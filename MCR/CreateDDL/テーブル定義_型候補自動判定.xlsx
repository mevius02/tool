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viu\Desktop\TOOL\MCR\CreateDDL\"/>
    </mc:Choice>
  </mc:AlternateContent>
  <xr:revisionPtr revIDLastSave="0" documentId="13_ncr:1_{E9F56EF6-56E9-4F50-854A-E3281FC06F5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テーブル定義" sheetId="1" r:id="rId1"/>
    <sheet name="型マス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2" i="1" l="1"/>
  <c r="U22" i="1" s="1"/>
  <c r="S21" i="1"/>
  <c r="U21" i="1" s="1"/>
  <c r="S20" i="1"/>
  <c r="U20" i="1" s="1"/>
  <c r="U19" i="1"/>
  <c r="T19" i="1"/>
  <c r="R19" i="1" s="1"/>
  <c r="S19" i="1"/>
  <c r="S18" i="1"/>
  <c r="U18" i="1" s="1"/>
  <c r="S17" i="1"/>
  <c r="U17" i="1" s="1"/>
  <c r="S16" i="1"/>
  <c r="U16" i="1" s="1"/>
  <c r="U15" i="1"/>
  <c r="T15" i="1"/>
  <c r="R15" i="1" s="1"/>
  <c r="S15" i="1"/>
  <c r="S14" i="1"/>
  <c r="U14" i="1" s="1"/>
  <c r="S13" i="1"/>
  <c r="U13" i="1" s="1"/>
  <c r="S12" i="1"/>
  <c r="U12" i="1" s="1"/>
  <c r="U11" i="1"/>
  <c r="T11" i="1"/>
  <c r="R11" i="1" s="1"/>
  <c r="S11" i="1"/>
  <c r="S10" i="1"/>
  <c r="U10" i="1" s="1"/>
  <c r="S9" i="1"/>
  <c r="U9" i="1" s="1"/>
  <c r="S8" i="1"/>
  <c r="U8" i="1" s="1"/>
  <c r="U7" i="1"/>
  <c r="T7" i="1"/>
  <c r="R7" i="1" s="1"/>
  <c r="S7" i="1"/>
  <c r="S6" i="1"/>
  <c r="U6" i="1" s="1"/>
  <c r="S5" i="1"/>
  <c r="U5" i="1" s="1"/>
  <c r="S4" i="1"/>
  <c r="U4" i="1" s="1"/>
  <c r="T4" i="1" l="1"/>
  <c r="R4" i="1" s="1"/>
  <c r="T8" i="1"/>
  <c r="R8" i="1" s="1"/>
  <c r="T12" i="1"/>
  <c r="R12" i="1" s="1"/>
  <c r="T16" i="1"/>
  <c r="R16" i="1" s="1"/>
  <c r="T20" i="1"/>
  <c r="R20" i="1" s="1"/>
  <c r="T5" i="1"/>
  <c r="R5" i="1" s="1"/>
  <c r="T9" i="1"/>
  <c r="R9" i="1" s="1"/>
  <c r="T13" i="1"/>
  <c r="R13" i="1" s="1"/>
  <c r="T17" i="1"/>
  <c r="R17" i="1" s="1"/>
  <c r="T21" i="1"/>
  <c r="R21" i="1" s="1"/>
  <c r="T6" i="1"/>
  <c r="R6" i="1" s="1"/>
  <c r="T10" i="1"/>
  <c r="R10" i="1" s="1"/>
  <c r="T14" i="1"/>
  <c r="R14" i="1" s="1"/>
  <c r="T18" i="1"/>
  <c r="R18" i="1" s="1"/>
  <c r="T22" i="1"/>
  <c r="R22" i="1" s="1"/>
</calcChain>
</file>

<file path=xl/sharedStrings.xml><?xml version="1.0" encoding="utf-8"?>
<sst xmlns="http://schemas.openxmlformats.org/spreadsheetml/2006/main" count="341" uniqueCount="147">
  <si>
    <t>凡例：黄色＝型候補の判定に使う入力欄／グレー＝判定に使わない管理用項目／緑＝自動計算（型候補）</t>
  </si>
  <si>
    <t>No</t>
  </si>
  <si>
    <t>スキーマ名</t>
  </si>
  <si>
    <t>テーブル名</t>
  </si>
  <si>
    <t>項目名</t>
  </si>
  <si>
    <t>項目論理名</t>
  </si>
  <si>
    <t>データ種別</t>
  </si>
  <si>
    <t>Unicode</t>
  </si>
  <si>
    <t>最大桁</t>
  </si>
  <si>
    <t>小数桁</t>
  </si>
  <si>
    <t>時間</t>
  </si>
  <si>
    <t>タイムゾーン</t>
  </si>
  <si>
    <t>デフォルト値</t>
  </si>
  <si>
    <t>PK</t>
  </si>
  <si>
    <t>UNIQUE</t>
  </si>
  <si>
    <t>型候補</t>
  </si>
  <si>
    <t>dbo</t>
  </si>
  <si>
    <t>users</t>
  </si>
  <si>
    <t>user_name</t>
  </si>
  <si>
    <t>ユーザー名</t>
  </si>
  <si>
    <t>SQLServer</t>
  </si>
  <si>
    <t>文字列</t>
  </si>
  <si>
    <t>要</t>
  </si>
  <si>
    <t>不可</t>
  </si>
  <si>
    <t>user_id</t>
  </si>
  <si>
    <t>Oracle</t>
  </si>
  <si>
    <t>UUID</t>
  </si>
  <si>
    <t>Yes</t>
  </si>
  <si>
    <t>public</t>
  </si>
  <si>
    <t>is_deleted</t>
  </si>
  <si>
    <t>削除フラグ</t>
  </si>
  <si>
    <t>PostgreSQL</t>
  </si>
  <si>
    <t>真偽値</t>
  </si>
  <si>
    <t>false</t>
  </si>
  <si>
    <t>SCOTT</t>
  </si>
  <si>
    <t>created_at</t>
  </si>
  <si>
    <t>作成日時</t>
  </si>
  <si>
    <t>日付</t>
  </si>
  <si>
    <t>不要</t>
  </si>
  <si>
    <t>updated_at</t>
  </si>
  <si>
    <t>更新日時</t>
  </si>
  <si>
    <t>orders</t>
  </si>
  <si>
    <t>amount</t>
  </si>
  <si>
    <t>金額</t>
  </si>
  <si>
    <t>数値</t>
  </si>
  <si>
    <t>0</t>
  </si>
  <si>
    <t>file_data</t>
  </si>
  <si>
    <t>添付ファイル</t>
  </si>
  <si>
    <t>バイナリ</t>
  </si>
  <si>
    <t>許可</t>
  </si>
  <si>
    <t>config_json</t>
  </si>
  <si>
    <t>設定情報</t>
  </si>
  <si>
    <t>JSON</t>
  </si>
  <si>
    <t>version_no</t>
  </si>
  <si>
    <t>バージョン番号</t>
  </si>
  <si>
    <t>members</t>
  </si>
  <si>
    <t>birth_date</t>
  </si>
  <si>
    <t>生年月日</t>
  </si>
  <si>
    <t>address</t>
  </si>
  <si>
    <t>住所</t>
  </si>
  <si>
    <t>memo</t>
  </si>
  <si>
    <t>備考</t>
  </si>
  <si>
    <t>stocks</t>
  </si>
  <si>
    <t>stock_qty</t>
  </si>
  <si>
    <t>在庫数</t>
  </si>
  <si>
    <t>age</t>
  </si>
  <si>
    <t>年齢</t>
  </si>
  <si>
    <t>customer_no</t>
  </si>
  <si>
    <t>顧客番号</t>
  </si>
  <si>
    <t>files</t>
  </si>
  <si>
    <t>photo</t>
  </si>
  <si>
    <t>写真データ</t>
  </si>
  <si>
    <t>large_file</t>
  </si>
  <si>
    <t>大容量ファイル</t>
  </si>
  <si>
    <t>row_version</t>
  </si>
  <si>
    <t>行バージョン</t>
  </si>
  <si>
    <t>1</t>
  </si>
  <si>
    <t>キー</t>
  </si>
  <si>
    <t>基本型名</t>
  </si>
  <si>
    <t>パターン</t>
  </si>
  <si>
    <t>VARCHAR2</t>
  </si>
  <si>
    <t>STRING</t>
  </si>
  <si>
    <t>VARCHAR</t>
  </si>
  <si>
    <t>STRING_PG</t>
  </si>
  <si>
    <t>STRING_MS</t>
  </si>
  <si>
    <t>NUMBER</t>
  </si>
  <si>
    <t>NUMBER_ORA</t>
  </si>
  <si>
    <t>NUMERIC</t>
  </si>
  <si>
    <t>NUMBER_PG</t>
  </si>
  <si>
    <t>DECIMAL</t>
  </si>
  <si>
    <t>NUMBER_MS</t>
  </si>
  <si>
    <t>CHAR(1)</t>
  </si>
  <si>
    <t>FIXED</t>
  </si>
  <si>
    <t>BOOLEAN</t>
  </si>
  <si>
    <t>BIT</t>
  </si>
  <si>
    <t>DATE_ORA</t>
  </si>
  <si>
    <t>DATE_PG</t>
  </si>
  <si>
    <t>DATE_MS</t>
  </si>
  <si>
    <t>BIN_ORA</t>
  </si>
  <si>
    <t>BYTEA</t>
  </si>
  <si>
    <t>BIN_MS</t>
  </si>
  <si>
    <t>UUID|Oracle</t>
  </si>
  <si>
    <t>RAW(16)</t>
  </si>
  <si>
    <t>UUID|PostgreSQL</t>
  </si>
  <si>
    <t>UUID|SQLServer</t>
  </si>
  <si>
    <t>UNIQUEIDENTIFIER</t>
  </si>
  <si>
    <t>JSON|Oracle</t>
  </si>
  <si>
    <t>CLOB</t>
  </si>
  <si>
    <t>JSON|PostgreSQL</t>
  </si>
  <si>
    <t>JSONB</t>
  </si>
  <si>
    <t>JSON|SQLServer</t>
  </si>
  <si>
    <t>NVARCHAR(MAX)</t>
  </si>
  <si>
    <t>XML|Oracle</t>
  </si>
  <si>
    <t>XML</t>
  </si>
  <si>
    <t>XMLType</t>
  </si>
  <si>
    <t>XML|PostgreSQL</t>
  </si>
  <si>
    <t>XML|SQLServer</t>
  </si>
  <si>
    <t>VERSION_ORA</t>
  </si>
  <si>
    <t>VERSION_PG</t>
  </si>
  <si>
    <t>ROWVERSION</t>
  </si>
  <si>
    <t>DB名・データ種別・Yes/No系の列はドロップダウンから選択してください。型候補は自動更新されます。</t>
  </si>
  <si>
    <t>DB名</t>
  </si>
  <si>
    <t>NULL許可</t>
  </si>
  <si>
    <t>PK順</t>
  </si>
  <si>
    <t>_キー</t>
  </si>
  <si>
    <t>_パターン</t>
  </si>
  <si>
    <t>_基本型名</t>
  </si>
  <si>
    <t>ユーザーID</t>
  </si>
  <si>
    <t>バージョン(排他制御)</t>
  </si>
  <si>
    <t>文字列|Oracle</t>
  </si>
  <si>
    <t>文字列|PostgreSQL</t>
  </si>
  <si>
    <t>文字列|SQLServer</t>
  </si>
  <si>
    <t>数値|Oracle</t>
  </si>
  <si>
    <t>数値|PostgreSQL</t>
  </si>
  <si>
    <t>数値|SQLServer</t>
  </si>
  <si>
    <t>真偽値|Oracle</t>
  </si>
  <si>
    <t>真偽値|PostgreSQL</t>
  </si>
  <si>
    <t>真偽値|SQLServer</t>
  </si>
  <si>
    <t>日付|Oracle</t>
  </si>
  <si>
    <t>日付|PostgreSQL</t>
  </si>
  <si>
    <t>日付|SQLServer</t>
  </si>
  <si>
    <t>バイナリ|Oracle</t>
  </si>
  <si>
    <t>バイナリ|PostgreSQL</t>
  </si>
  <si>
    <t>バイナリ|SQLServer</t>
  </si>
  <si>
    <t>バージョン(排他制御)|Oracle</t>
  </si>
  <si>
    <t>バージョン(排他制御)|PostgreSQL</t>
  </si>
  <si>
    <t>バージョン(排他制御)|SQLServer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</si>
</sst>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6"/>
      <name val="ＭＳ Ｐゴシック"/>
      <family val="3"/>
      <charset val="128"/>
    </font>
    <font>
      <i/>
      <sz val="9"/>
      <color rgb="FF7F7F7F"/>
      <name val="Yu Gothic UI"/>
      <family val="3"/>
      <charset val="128"/>
    </font>
    <font>
      <sz val="11"/>
      <color theme="1"/>
      <name val="Yu Gothic UI"/>
      <family val="3"/>
      <charset val="128"/>
    </font>
    <font>
      <b/>
      <sz val="11"/>
      <color rgb="FFFFFFFF"/>
      <name val="Yu Gothic UI"/>
      <family val="3"/>
      <charset val="128"/>
    </font>
    <font>
      <sz val="11"/>
      <name val="Yu Gothic UI"/>
      <family val="3"/>
      <charset val="128"/>
    </font>
    <font>
      <b/>
      <sz val="11"/>
      <color rgb="FF375623"/>
      <name val="Yu Gothic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2"/>
  <sheetViews>
    <sheetView tabSelected="1" zoomScaleNormal="100" workbookViewId="0">
      <pane ySplit="3" topLeftCell="A4" activePane="bottomLeft" state="frozen"/>
      <selection activeCell="C2" sqref="C2"/>
      <selection pane="bottomLeft" activeCell="A4" sqref="A4"/>
    </sheetView>
  </sheetViews>
  <sheetFormatPr defaultColWidth="8.6640625" defaultRowHeight="16.8" x14ac:dyDescent="0.4"/>
  <cols>
    <col min="1" max="1" width="4" style="1" customWidth="1"/>
    <col min="2" max="2" width="12" style="1" customWidth="1"/>
    <col min="3" max="3" width="14" style="1" customWidth="1"/>
    <col min="4" max="5" width="16" style="1" customWidth="1"/>
    <col min="6" max="6" width="12" style="1" customWidth="1"/>
    <col min="7" max="7" width="18" style="1" customWidth="1"/>
    <col min="8" max="8" width="9" style="1" customWidth="1"/>
    <col min="9" max="11" width="8" style="1" customWidth="1"/>
    <col min="12" max="12" width="11" style="1" customWidth="1"/>
    <col min="13" max="13" width="9" style="1" customWidth="1"/>
    <col min="14" max="14" width="12" style="1" customWidth="1"/>
    <col min="15" max="15" width="6" style="1" customWidth="1"/>
    <col min="16" max="16" width="7" style="1" customWidth="1"/>
    <col min="17" max="17" width="8" style="1" customWidth="1"/>
    <col min="18" max="18" width="30" style="1" customWidth="1"/>
    <col min="19" max="21" width="13" style="1" hidden="1" customWidth="1"/>
    <col min="22" max="16384" width="8.6640625" style="1"/>
  </cols>
  <sheetData>
    <row r="1" spans="1:21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21" x14ac:dyDescent="0.4">
      <c r="A2" s="10" t="s">
        <v>120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21" ht="31.5" customHeigh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121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122</v>
      </c>
      <c r="N3" s="2" t="s">
        <v>12</v>
      </c>
      <c r="O3" s="2" t="s">
        <v>13</v>
      </c>
      <c r="P3" s="2" t="s">
        <v>123</v>
      </c>
      <c r="Q3" s="2" t="s">
        <v>14</v>
      </c>
      <c r="R3" s="2" t="s">
        <v>15</v>
      </c>
      <c r="S3" s="2" t="s">
        <v>124</v>
      </c>
      <c r="T3" s="2" t="s">
        <v>125</v>
      </c>
      <c r="U3" s="2" t="s">
        <v>126</v>
      </c>
    </row>
    <row r="4" spans="1:21" x14ac:dyDescent="0.4">
      <c r="A4" s="3">
        <v>1</v>
      </c>
      <c r="B4" s="4" t="s">
        <v>16</v>
      </c>
      <c r="C4" s="4" t="s">
        <v>17</v>
      </c>
      <c r="D4" s="4" t="s">
        <v>18</v>
      </c>
      <c r="E4" s="4" t="s">
        <v>19</v>
      </c>
      <c r="F4" s="5" t="s">
        <v>20</v>
      </c>
      <c r="G4" s="5" t="s">
        <v>21</v>
      </c>
      <c r="H4" s="5" t="s">
        <v>22</v>
      </c>
      <c r="I4" s="5">
        <v>100</v>
      </c>
      <c r="J4" s="5"/>
      <c r="K4" s="5"/>
      <c r="L4" s="5"/>
      <c r="M4" s="5" t="s">
        <v>23</v>
      </c>
      <c r="N4" s="6"/>
      <c r="O4" s="5" t="s">
        <v>1</v>
      </c>
      <c r="P4" s="5"/>
      <c r="Q4" s="5" t="s">
        <v>1</v>
      </c>
      <c r="R4" s="7" t="str">
        <f t="shared" ref="R4:R22" si="0">_xlfn.IFS(T4="FIXED",U4,T4="STRING",IF(I4="","(最大桁を入力してください)",IF(I4&gt;4000,"CLOB",IF(H4="要","NVARCHAR2("&amp;I4&amp;")","VARCHAR2("&amp;I4&amp;")"))),T4="STRING_PG",IF(I4="","TEXT","VARCHAR("&amp;I4&amp;")"),T4="STRING_MS",IF(OR(I4="",I4&gt;8000),IF(H4="要","NVARCHAR(MAX)","VARCHAR(MAX)"),IF(H4="要","NVARCHAR("&amp;I4&amp;")","VARCHAR("&amp;I4&amp;")")),T4="NUMBER_ORA",IF(I4="","(最大桁を入力してください)",IF(AND(J4&lt;&gt;"",J4&gt;0),"NUMBER("&amp;I4&amp;","&amp;J4&amp;")","NUMBER("&amp;I4&amp;")")),T4="NUMBER_PG",IF(AND(J4&lt;&gt;"",J4&gt;0),IF(I4="","(最大桁を入力してください)","NUMERIC("&amp;I4&amp;","&amp;J4&amp;")"),IF(I4="","INTEGER",IF(I4&lt;=4,"SMALLINT",IF(I4&lt;=9,"INTEGER","BIGINT")))),T4="NUMBER_MS",IF(AND(J4&lt;&gt;"",J4&gt;0),IF(I4="","(最大桁を入力してください)","DECIMAL("&amp;I4&amp;","&amp;J4&amp;")"),IF(I4="","INT",IF(I4&lt;=2,"TINYINT",IF(I4&lt;=4,"SMALLINT",IF(I4&lt;=9,"INT","BIGINT"))))),T4="DATE_ORA",IF(K4="不要","DATE",IF(L4="要","TIMESTAMP WITH TIME ZONE","TIMESTAMP")),T4="DATE_PG",IF(K4="不要","DATE",IF(L4="要","TIMESTAMPTZ","TIMESTAMP")),T4="DATE_MS",IF(K4="不要","DATE",IF(L4="要","DATETIMEOFFSET","DATETIME2")),T4="BIN_ORA",IF(AND(I4&lt;&gt;"",I4&lt;=2000),"RAW("&amp;I4&amp;")","BLOB"),T4="BIN_MS",IF(AND(I4&lt;&gt;"",I4&lt;=8000),"VARBINARY("&amp;I4&amp;")","VARBINARY(MAX)"),T4="VERSION_ORA","NUMBER("&amp;IF(I4="",10,I4)&amp;")",T4="VERSION_PG","NUMERIC("&amp;IF(I4="",10,I4)&amp;")",TRUE(),"(データ種別・DB名を確認してください)")</f>
        <v>NVARCHAR(100)</v>
      </c>
      <c r="S4" s="1" t="str">
        <f t="shared" ref="S4:S22" si="1">G4&amp;"|"&amp;F4</f>
        <v>文字列|SQLServer</v>
      </c>
      <c r="T4" s="1" t="str">
        <f>IFERROR(INDEX(型マスタ!$E:$E,MATCH(S4,型マスタ!$A:$A,0)),"")</f>
        <v>STRING_MS</v>
      </c>
      <c r="U4" s="1" t="str">
        <f>IFERROR(INDEX(型マスタ!$D:$D,MATCH(S4,型マスタ!$A:$A,0)),"")</f>
        <v>VARCHAR</v>
      </c>
    </row>
    <row r="5" spans="1:21" x14ac:dyDescent="0.4">
      <c r="A5" s="3">
        <v>2</v>
      </c>
      <c r="B5" s="4" t="s">
        <v>16</v>
      </c>
      <c r="C5" s="4" t="s">
        <v>17</v>
      </c>
      <c r="D5" s="4" t="s">
        <v>24</v>
      </c>
      <c r="E5" s="4" t="s">
        <v>127</v>
      </c>
      <c r="F5" s="5" t="s">
        <v>25</v>
      </c>
      <c r="G5" s="5" t="s">
        <v>26</v>
      </c>
      <c r="H5" s="5"/>
      <c r="I5" s="5"/>
      <c r="J5" s="5"/>
      <c r="K5" s="5"/>
      <c r="L5" s="5"/>
      <c r="M5" s="5" t="s">
        <v>23</v>
      </c>
      <c r="N5" s="6"/>
      <c r="O5" s="5" t="s">
        <v>27</v>
      </c>
      <c r="P5" s="5">
        <v>1</v>
      </c>
      <c r="Q5" s="5" t="s">
        <v>27</v>
      </c>
      <c r="R5" s="7" t="str">
        <f t="shared" si="0"/>
        <v>RAW(16)</v>
      </c>
      <c r="S5" s="1" t="str">
        <f t="shared" si="1"/>
        <v>UUID|Oracle</v>
      </c>
      <c r="T5" s="1" t="str">
        <f>IFERROR(INDEX(型マスタ!$E:$E,MATCH(S5,型マスタ!$A:$A,0)),"")</f>
        <v>FIXED</v>
      </c>
      <c r="U5" s="1" t="str">
        <f>IFERROR(INDEX(型マスタ!$D:$D,MATCH(S5,型マスタ!$A:$A,0)),"")</f>
        <v>RAW(16)</v>
      </c>
    </row>
    <row r="6" spans="1:21" x14ac:dyDescent="0.4">
      <c r="A6" s="3">
        <v>3</v>
      </c>
      <c r="B6" s="4" t="s">
        <v>28</v>
      </c>
      <c r="C6" s="4" t="s">
        <v>17</v>
      </c>
      <c r="D6" s="4" t="s">
        <v>29</v>
      </c>
      <c r="E6" s="4" t="s">
        <v>30</v>
      </c>
      <c r="F6" s="5" t="s">
        <v>31</v>
      </c>
      <c r="G6" s="5" t="s">
        <v>32</v>
      </c>
      <c r="H6" s="5"/>
      <c r="I6" s="5"/>
      <c r="J6" s="5"/>
      <c r="K6" s="5"/>
      <c r="L6" s="5"/>
      <c r="M6" s="5" t="s">
        <v>23</v>
      </c>
      <c r="N6" s="6" t="s">
        <v>33</v>
      </c>
      <c r="O6" s="5" t="s">
        <v>1</v>
      </c>
      <c r="P6" s="5"/>
      <c r="Q6" s="5" t="s">
        <v>1</v>
      </c>
      <c r="R6" s="7" t="str">
        <f t="shared" si="0"/>
        <v>BOOLEAN</v>
      </c>
      <c r="S6" s="1" t="str">
        <f t="shared" si="1"/>
        <v>真偽値|PostgreSQL</v>
      </c>
      <c r="T6" s="1" t="str">
        <f>IFERROR(INDEX(型マスタ!$E:$E,MATCH(S6,型マスタ!$A:$A,0)),"")</f>
        <v>FIXED</v>
      </c>
      <c r="U6" s="1" t="str">
        <f>IFERROR(INDEX(型マスタ!$D:$D,MATCH(S6,型マスタ!$A:$A,0)),"")</f>
        <v>BOOLEAN</v>
      </c>
    </row>
    <row r="7" spans="1:21" x14ac:dyDescent="0.4">
      <c r="A7" s="3">
        <v>4</v>
      </c>
      <c r="B7" s="4" t="s">
        <v>34</v>
      </c>
      <c r="C7" s="4" t="s">
        <v>17</v>
      </c>
      <c r="D7" s="4" t="s">
        <v>35</v>
      </c>
      <c r="E7" s="4" t="s">
        <v>36</v>
      </c>
      <c r="F7" s="5" t="s">
        <v>25</v>
      </c>
      <c r="G7" s="5" t="s">
        <v>37</v>
      </c>
      <c r="H7" s="5"/>
      <c r="I7" s="5"/>
      <c r="J7" s="5"/>
      <c r="K7" s="5" t="s">
        <v>22</v>
      </c>
      <c r="L7" s="5" t="s">
        <v>38</v>
      </c>
      <c r="M7" s="5" t="s">
        <v>23</v>
      </c>
      <c r="N7" s="6"/>
      <c r="O7" s="5" t="s">
        <v>1</v>
      </c>
      <c r="P7" s="5"/>
      <c r="Q7" s="5" t="s">
        <v>1</v>
      </c>
      <c r="R7" s="7" t="str">
        <f t="shared" si="0"/>
        <v>TIMESTAMP</v>
      </c>
      <c r="S7" s="1" t="str">
        <f t="shared" si="1"/>
        <v>日付|Oracle</v>
      </c>
      <c r="T7" s="1" t="str">
        <f>IFERROR(INDEX(型マスタ!$E:$E,MATCH(S7,型マスタ!$A:$A,0)),"")</f>
        <v>DATE_ORA</v>
      </c>
      <c r="U7" s="1">
        <f>IFERROR(INDEX(型マスタ!$D:$D,MATCH(S7,型マスタ!$A:$A,0)),"")</f>
        <v>0</v>
      </c>
    </row>
    <row r="8" spans="1:21" x14ac:dyDescent="0.4">
      <c r="A8" s="3">
        <v>5</v>
      </c>
      <c r="B8" s="4" t="s">
        <v>16</v>
      </c>
      <c r="C8" s="4" t="s">
        <v>17</v>
      </c>
      <c r="D8" s="4" t="s">
        <v>39</v>
      </c>
      <c r="E8" s="4" t="s">
        <v>40</v>
      </c>
      <c r="F8" s="5" t="s">
        <v>20</v>
      </c>
      <c r="G8" s="5" t="s">
        <v>37</v>
      </c>
      <c r="H8" s="5"/>
      <c r="I8" s="5"/>
      <c r="J8" s="5"/>
      <c r="K8" s="5" t="s">
        <v>22</v>
      </c>
      <c r="L8" s="5" t="s">
        <v>22</v>
      </c>
      <c r="M8" s="5" t="s">
        <v>23</v>
      </c>
      <c r="N8" s="6"/>
      <c r="O8" s="5" t="s">
        <v>1</v>
      </c>
      <c r="P8" s="5"/>
      <c r="Q8" s="5" t="s">
        <v>1</v>
      </c>
      <c r="R8" s="7" t="str">
        <f t="shared" si="0"/>
        <v>DATETIMEOFFSET</v>
      </c>
      <c r="S8" s="1" t="str">
        <f t="shared" si="1"/>
        <v>日付|SQLServer</v>
      </c>
      <c r="T8" s="1" t="str">
        <f>IFERROR(INDEX(型マスタ!$E:$E,MATCH(S8,型マスタ!$A:$A,0)),"")</f>
        <v>DATE_MS</v>
      </c>
      <c r="U8" s="1">
        <f>IFERROR(INDEX(型マスタ!$D:$D,MATCH(S8,型マスタ!$A:$A,0)),"")</f>
        <v>0</v>
      </c>
    </row>
    <row r="9" spans="1:21" x14ac:dyDescent="0.4">
      <c r="A9" s="3">
        <v>6</v>
      </c>
      <c r="B9" s="4" t="s">
        <v>34</v>
      </c>
      <c r="C9" s="4" t="s">
        <v>41</v>
      </c>
      <c r="D9" s="4" t="s">
        <v>42</v>
      </c>
      <c r="E9" s="4" t="s">
        <v>43</v>
      </c>
      <c r="F9" s="5" t="s">
        <v>25</v>
      </c>
      <c r="G9" s="5" t="s">
        <v>44</v>
      </c>
      <c r="H9" s="5"/>
      <c r="I9" s="5">
        <v>10</v>
      </c>
      <c r="J9" s="5">
        <v>2</v>
      </c>
      <c r="K9" s="5"/>
      <c r="L9" s="5"/>
      <c r="M9" s="5" t="s">
        <v>23</v>
      </c>
      <c r="N9" s="6" t="s">
        <v>45</v>
      </c>
      <c r="O9" s="5" t="s">
        <v>1</v>
      </c>
      <c r="P9" s="5"/>
      <c r="Q9" s="5" t="s">
        <v>1</v>
      </c>
      <c r="R9" s="7" t="str">
        <f t="shared" si="0"/>
        <v>NUMBER(10,2)</v>
      </c>
      <c r="S9" s="1" t="str">
        <f t="shared" si="1"/>
        <v>数値|Oracle</v>
      </c>
      <c r="T9" s="1" t="str">
        <f>IFERROR(INDEX(型マスタ!$E:$E,MATCH(S9,型マスタ!$A:$A,0)),"")</f>
        <v>NUMBER_ORA</v>
      </c>
      <c r="U9" s="1" t="str">
        <f>IFERROR(INDEX(型マスタ!$D:$D,MATCH(S9,型マスタ!$A:$A,0)),"")</f>
        <v>NUMBER</v>
      </c>
    </row>
    <row r="10" spans="1:21" x14ac:dyDescent="0.4">
      <c r="A10" s="3">
        <v>7</v>
      </c>
      <c r="B10" s="4" t="s">
        <v>28</v>
      </c>
      <c r="C10" s="4" t="s">
        <v>41</v>
      </c>
      <c r="D10" s="4" t="s">
        <v>46</v>
      </c>
      <c r="E10" s="4" t="s">
        <v>47</v>
      </c>
      <c r="F10" s="5" t="s">
        <v>31</v>
      </c>
      <c r="G10" s="5" t="s">
        <v>48</v>
      </c>
      <c r="H10" s="5"/>
      <c r="I10" s="5"/>
      <c r="J10" s="5"/>
      <c r="K10" s="5"/>
      <c r="L10" s="5"/>
      <c r="M10" s="5" t="s">
        <v>49</v>
      </c>
      <c r="N10" s="6"/>
      <c r="O10" s="5" t="s">
        <v>1</v>
      </c>
      <c r="P10" s="5"/>
      <c r="Q10" s="5" t="s">
        <v>1</v>
      </c>
      <c r="R10" s="7" t="str">
        <f t="shared" si="0"/>
        <v>BYTEA</v>
      </c>
      <c r="S10" s="1" t="str">
        <f t="shared" si="1"/>
        <v>バイナリ|PostgreSQL</v>
      </c>
      <c r="T10" s="1" t="str">
        <f>IFERROR(INDEX(型マスタ!$E:$E,MATCH(S10,型マスタ!$A:$A,0)),"")</f>
        <v>FIXED</v>
      </c>
      <c r="U10" s="1" t="str">
        <f>IFERROR(INDEX(型マスタ!$D:$D,MATCH(S10,型マスタ!$A:$A,0)),"")</f>
        <v>BYTEA</v>
      </c>
    </row>
    <row r="11" spans="1:21" x14ac:dyDescent="0.4">
      <c r="A11" s="3">
        <v>8</v>
      </c>
      <c r="B11" s="4" t="s">
        <v>16</v>
      </c>
      <c r="C11" s="4" t="s">
        <v>41</v>
      </c>
      <c r="D11" s="4" t="s">
        <v>50</v>
      </c>
      <c r="E11" s="4" t="s">
        <v>51</v>
      </c>
      <c r="F11" s="5" t="s">
        <v>20</v>
      </c>
      <c r="G11" s="5" t="s">
        <v>52</v>
      </c>
      <c r="H11" s="5"/>
      <c r="I11" s="5"/>
      <c r="J11" s="5"/>
      <c r="K11" s="5"/>
      <c r="L11" s="5"/>
      <c r="M11" s="5" t="s">
        <v>49</v>
      </c>
      <c r="N11" s="6"/>
      <c r="O11" s="5" t="s">
        <v>1</v>
      </c>
      <c r="P11" s="5"/>
      <c r="Q11" s="5" t="s">
        <v>1</v>
      </c>
      <c r="R11" s="7" t="str">
        <f t="shared" si="0"/>
        <v>NVARCHAR(MAX)</v>
      </c>
      <c r="S11" s="1" t="str">
        <f t="shared" si="1"/>
        <v>JSON|SQLServer</v>
      </c>
      <c r="T11" s="1" t="str">
        <f>IFERROR(INDEX(型マスタ!$E:$E,MATCH(S11,型マスタ!$A:$A,0)),"")</f>
        <v>FIXED</v>
      </c>
      <c r="U11" s="1" t="str">
        <f>IFERROR(INDEX(型マスタ!$D:$D,MATCH(S11,型マスタ!$A:$A,0)),"")</f>
        <v>NVARCHAR(MAX)</v>
      </c>
    </row>
    <row r="12" spans="1:21" x14ac:dyDescent="0.4">
      <c r="A12" s="3">
        <v>9</v>
      </c>
      <c r="B12" s="4" t="s">
        <v>16</v>
      </c>
      <c r="C12" s="4" t="s">
        <v>41</v>
      </c>
      <c r="D12" s="4" t="s">
        <v>53</v>
      </c>
      <c r="E12" s="4" t="s">
        <v>54</v>
      </c>
      <c r="F12" s="5" t="s">
        <v>20</v>
      </c>
      <c r="G12" s="5" t="s">
        <v>128</v>
      </c>
      <c r="H12" s="5"/>
      <c r="I12" s="5"/>
      <c r="J12" s="5"/>
      <c r="K12" s="5"/>
      <c r="L12" s="5"/>
      <c r="M12" s="5" t="s">
        <v>23</v>
      </c>
      <c r="N12" s="6"/>
      <c r="O12" s="5" t="s">
        <v>1</v>
      </c>
      <c r="P12" s="5"/>
      <c r="Q12" s="5" t="s">
        <v>1</v>
      </c>
      <c r="R12" s="7" t="str">
        <f t="shared" si="0"/>
        <v>ROWVERSION</v>
      </c>
      <c r="S12" s="1" t="str">
        <f t="shared" si="1"/>
        <v>バージョン(排他制御)|SQLServer</v>
      </c>
      <c r="T12" s="1" t="str">
        <f>IFERROR(INDEX(型マスタ!$E:$E,MATCH(S12,型マスタ!$A:$A,0)),"")</f>
        <v>FIXED</v>
      </c>
      <c r="U12" s="1" t="str">
        <f>IFERROR(INDEX(型マスタ!$D:$D,MATCH(S12,型マスタ!$A:$A,0)),"")</f>
        <v>ROWVERSION</v>
      </c>
    </row>
    <row r="13" spans="1:21" x14ac:dyDescent="0.4">
      <c r="A13" s="3">
        <v>10</v>
      </c>
      <c r="B13" s="4" t="s">
        <v>28</v>
      </c>
      <c r="C13" s="4" t="s">
        <v>55</v>
      </c>
      <c r="D13" s="4" t="s">
        <v>56</v>
      </c>
      <c r="E13" s="4" t="s">
        <v>57</v>
      </c>
      <c r="F13" s="5" t="s">
        <v>31</v>
      </c>
      <c r="G13" s="5" t="s">
        <v>37</v>
      </c>
      <c r="H13" s="5"/>
      <c r="I13" s="5"/>
      <c r="J13" s="5"/>
      <c r="K13" s="5" t="s">
        <v>38</v>
      </c>
      <c r="L13" s="5"/>
      <c r="M13" s="5" t="s">
        <v>49</v>
      </c>
      <c r="N13" s="6"/>
      <c r="O13" s="5" t="s">
        <v>1</v>
      </c>
      <c r="P13" s="5"/>
      <c r="Q13" s="5" t="s">
        <v>1</v>
      </c>
      <c r="R13" s="7" t="str">
        <f t="shared" si="0"/>
        <v>DATE</v>
      </c>
      <c r="S13" s="1" t="str">
        <f t="shared" si="1"/>
        <v>日付|PostgreSQL</v>
      </c>
      <c r="T13" s="1" t="str">
        <f>IFERROR(INDEX(型マスタ!$E:$E,MATCH(S13,型マスタ!$A:$A,0)),"")</f>
        <v>DATE_PG</v>
      </c>
      <c r="U13" s="1">
        <f>IFERROR(INDEX(型マスタ!$D:$D,MATCH(S13,型マスタ!$A:$A,0)),"")</f>
        <v>0</v>
      </c>
    </row>
    <row r="14" spans="1:21" x14ac:dyDescent="0.4">
      <c r="A14" s="3">
        <v>11</v>
      </c>
      <c r="B14" s="4" t="s">
        <v>34</v>
      </c>
      <c r="C14" s="4" t="s">
        <v>55</v>
      </c>
      <c r="D14" s="4" t="s">
        <v>58</v>
      </c>
      <c r="E14" s="4" t="s">
        <v>59</v>
      </c>
      <c r="F14" s="5" t="s">
        <v>25</v>
      </c>
      <c r="G14" s="5" t="s">
        <v>21</v>
      </c>
      <c r="H14" s="5" t="s">
        <v>38</v>
      </c>
      <c r="I14" s="5">
        <v>200</v>
      </c>
      <c r="J14" s="5"/>
      <c r="K14" s="5"/>
      <c r="L14" s="5"/>
      <c r="M14" s="5" t="s">
        <v>49</v>
      </c>
      <c r="N14" s="6"/>
      <c r="O14" s="5" t="s">
        <v>1</v>
      </c>
      <c r="P14" s="5"/>
      <c r="Q14" s="5" t="s">
        <v>1</v>
      </c>
      <c r="R14" s="7" t="str">
        <f t="shared" si="0"/>
        <v>VARCHAR2(200)</v>
      </c>
      <c r="S14" s="1" t="str">
        <f t="shared" si="1"/>
        <v>文字列|Oracle</v>
      </c>
      <c r="T14" s="1" t="str">
        <f>IFERROR(INDEX(型マスタ!$E:$E,MATCH(S14,型マスタ!$A:$A,0)),"")</f>
        <v>STRING</v>
      </c>
      <c r="U14" s="1" t="str">
        <f>IFERROR(INDEX(型マスタ!$D:$D,MATCH(S14,型マスタ!$A:$A,0)),"")</f>
        <v>VARCHAR2</v>
      </c>
    </row>
    <row r="15" spans="1:21" x14ac:dyDescent="0.4">
      <c r="A15" s="3">
        <v>12</v>
      </c>
      <c r="B15" s="4" t="s">
        <v>28</v>
      </c>
      <c r="C15" s="4" t="s">
        <v>55</v>
      </c>
      <c r="D15" s="4" t="s">
        <v>60</v>
      </c>
      <c r="E15" s="4" t="s">
        <v>61</v>
      </c>
      <c r="F15" s="5" t="s">
        <v>31</v>
      </c>
      <c r="G15" s="5" t="s">
        <v>21</v>
      </c>
      <c r="H15" s="5"/>
      <c r="I15" s="5"/>
      <c r="J15" s="5"/>
      <c r="K15" s="5"/>
      <c r="L15" s="5"/>
      <c r="M15" s="5" t="s">
        <v>49</v>
      </c>
      <c r="N15" s="6"/>
      <c r="O15" s="5" t="s">
        <v>1</v>
      </c>
      <c r="P15" s="5"/>
      <c r="Q15" s="5" t="s">
        <v>1</v>
      </c>
      <c r="R15" s="7" t="str">
        <f t="shared" si="0"/>
        <v>TEXT</v>
      </c>
      <c r="S15" s="1" t="str">
        <f t="shared" si="1"/>
        <v>文字列|PostgreSQL</v>
      </c>
      <c r="T15" s="1" t="str">
        <f>IFERROR(INDEX(型マスタ!$E:$E,MATCH(S15,型マスタ!$A:$A,0)),"")</f>
        <v>STRING_PG</v>
      </c>
      <c r="U15" s="1" t="str">
        <f>IFERROR(INDEX(型マスタ!$D:$D,MATCH(S15,型マスタ!$A:$A,0)),"")</f>
        <v>VARCHAR</v>
      </c>
    </row>
    <row r="16" spans="1:21" x14ac:dyDescent="0.4">
      <c r="A16" s="3">
        <v>13</v>
      </c>
      <c r="B16" s="4" t="s">
        <v>28</v>
      </c>
      <c r="C16" s="4" t="s">
        <v>62</v>
      </c>
      <c r="D16" s="4" t="s">
        <v>63</v>
      </c>
      <c r="E16" s="4" t="s">
        <v>64</v>
      </c>
      <c r="F16" s="5" t="s">
        <v>31</v>
      </c>
      <c r="G16" s="5" t="s">
        <v>44</v>
      </c>
      <c r="H16" s="5"/>
      <c r="I16" s="5">
        <v>3</v>
      </c>
      <c r="J16" s="5"/>
      <c r="K16" s="5"/>
      <c r="L16" s="5"/>
      <c r="M16" s="5" t="s">
        <v>23</v>
      </c>
      <c r="N16" s="6" t="s">
        <v>45</v>
      </c>
      <c r="O16" s="5" t="s">
        <v>1</v>
      </c>
      <c r="P16" s="5"/>
      <c r="Q16" s="5" t="s">
        <v>1</v>
      </c>
      <c r="R16" s="7" t="str">
        <f t="shared" si="0"/>
        <v>SMALLINT</v>
      </c>
      <c r="S16" s="1" t="str">
        <f t="shared" si="1"/>
        <v>数値|PostgreSQL</v>
      </c>
      <c r="T16" s="1" t="str">
        <f>IFERROR(INDEX(型マスタ!$E:$E,MATCH(S16,型マスタ!$A:$A,0)),"")</f>
        <v>NUMBER_PG</v>
      </c>
      <c r="U16" s="1" t="str">
        <f>IFERROR(INDEX(型マスタ!$D:$D,MATCH(S16,型マスタ!$A:$A,0)),"")</f>
        <v>NUMERIC</v>
      </c>
    </row>
    <row r="17" spans="1:21" x14ac:dyDescent="0.4">
      <c r="A17" s="3">
        <v>14</v>
      </c>
      <c r="B17" s="4" t="s">
        <v>16</v>
      </c>
      <c r="C17" s="4" t="s">
        <v>62</v>
      </c>
      <c r="D17" s="4" t="s">
        <v>65</v>
      </c>
      <c r="E17" s="4" t="s">
        <v>66</v>
      </c>
      <c r="F17" s="5" t="s">
        <v>20</v>
      </c>
      <c r="G17" s="5" t="s">
        <v>44</v>
      </c>
      <c r="H17" s="5"/>
      <c r="I17" s="5">
        <v>2</v>
      </c>
      <c r="J17" s="5"/>
      <c r="K17" s="5"/>
      <c r="L17" s="5"/>
      <c r="M17" s="5" t="s">
        <v>49</v>
      </c>
      <c r="N17" s="6"/>
      <c r="O17" s="5" t="s">
        <v>1</v>
      </c>
      <c r="P17" s="5"/>
      <c r="Q17" s="5" t="s">
        <v>1</v>
      </c>
      <c r="R17" s="7" t="str">
        <f t="shared" si="0"/>
        <v>TINYINT</v>
      </c>
      <c r="S17" s="1" t="str">
        <f t="shared" si="1"/>
        <v>数値|SQLServer</v>
      </c>
      <c r="T17" s="1" t="str">
        <f>IFERROR(INDEX(型マスタ!$E:$E,MATCH(S17,型マスタ!$A:$A,0)),"")</f>
        <v>NUMBER_MS</v>
      </c>
      <c r="U17" s="1" t="str">
        <f>IFERROR(INDEX(型マスタ!$D:$D,MATCH(S17,型マスタ!$A:$A,0)),"")</f>
        <v>DECIMAL</v>
      </c>
    </row>
    <row r="18" spans="1:21" x14ac:dyDescent="0.4">
      <c r="A18" s="3">
        <v>15</v>
      </c>
      <c r="B18" s="4" t="s">
        <v>16</v>
      </c>
      <c r="C18" s="4" t="s">
        <v>62</v>
      </c>
      <c r="D18" s="4" t="s">
        <v>67</v>
      </c>
      <c r="E18" s="4" t="s">
        <v>68</v>
      </c>
      <c r="F18" s="5" t="s">
        <v>20</v>
      </c>
      <c r="G18" s="5" t="s">
        <v>44</v>
      </c>
      <c r="H18" s="5"/>
      <c r="I18" s="5">
        <v>12</v>
      </c>
      <c r="J18" s="5"/>
      <c r="K18" s="5"/>
      <c r="L18" s="5"/>
      <c r="M18" s="5" t="s">
        <v>23</v>
      </c>
      <c r="N18" s="6"/>
      <c r="O18" s="5" t="s">
        <v>1</v>
      </c>
      <c r="P18" s="5"/>
      <c r="Q18" s="5" t="s">
        <v>1</v>
      </c>
      <c r="R18" s="7" t="str">
        <f t="shared" si="0"/>
        <v>BIGINT</v>
      </c>
      <c r="S18" s="1" t="str">
        <f t="shared" si="1"/>
        <v>数値|SQLServer</v>
      </c>
      <c r="T18" s="1" t="str">
        <f>IFERROR(INDEX(型マスタ!$E:$E,MATCH(S18,型マスタ!$A:$A,0)),"")</f>
        <v>NUMBER_MS</v>
      </c>
      <c r="U18" s="1" t="str">
        <f>IFERROR(INDEX(型マスタ!$D:$D,MATCH(S18,型マスタ!$A:$A,0)),"")</f>
        <v>DECIMAL</v>
      </c>
    </row>
    <row r="19" spans="1:21" x14ac:dyDescent="0.4">
      <c r="A19" s="3">
        <v>16</v>
      </c>
      <c r="B19" s="4" t="s">
        <v>34</v>
      </c>
      <c r="C19" s="4" t="s">
        <v>69</v>
      </c>
      <c r="D19" s="4" t="s">
        <v>70</v>
      </c>
      <c r="E19" s="4" t="s">
        <v>71</v>
      </c>
      <c r="F19" s="5" t="s">
        <v>25</v>
      </c>
      <c r="G19" s="5" t="s">
        <v>48</v>
      </c>
      <c r="H19" s="5"/>
      <c r="I19" s="5">
        <v>500</v>
      </c>
      <c r="J19" s="5"/>
      <c r="K19" s="5"/>
      <c r="L19" s="5"/>
      <c r="M19" s="5" t="s">
        <v>49</v>
      </c>
      <c r="N19" s="6"/>
      <c r="O19" s="5" t="s">
        <v>1</v>
      </c>
      <c r="P19" s="5"/>
      <c r="Q19" s="5" t="s">
        <v>1</v>
      </c>
      <c r="R19" s="7" t="str">
        <f t="shared" si="0"/>
        <v>RAW(500)</v>
      </c>
      <c r="S19" s="1" t="str">
        <f t="shared" si="1"/>
        <v>バイナリ|Oracle</v>
      </c>
      <c r="T19" s="1" t="str">
        <f>IFERROR(INDEX(型マスタ!$E:$E,MATCH(S19,型マスタ!$A:$A,0)),"")</f>
        <v>BIN_ORA</v>
      </c>
      <c r="U19" s="1">
        <f>IFERROR(INDEX(型マスタ!$D:$D,MATCH(S19,型マスタ!$A:$A,0)),"")</f>
        <v>0</v>
      </c>
    </row>
    <row r="20" spans="1:21" x14ac:dyDescent="0.4">
      <c r="A20" s="3">
        <v>17</v>
      </c>
      <c r="B20" s="4" t="s">
        <v>16</v>
      </c>
      <c r="C20" s="4" t="s">
        <v>69</v>
      </c>
      <c r="D20" s="4" t="s">
        <v>72</v>
      </c>
      <c r="E20" s="4" t="s">
        <v>73</v>
      </c>
      <c r="F20" s="5" t="s">
        <v>20</v>
      </c>
      <c r="G20" s="5" t="s">
        <v>48</v>
      </c>
      <c r="H20" s="5"/>
      <c r="I20" s="5"/>
      <c r="J20" s="5"/>
      <c r="K20" s="5"/>
      <c r="L20" s="5"/>
      <c r="M20" s="5" t="s">
        <v>49</v>
      </c>
      <c r="N20" s="6"/>
      <c r="O20" s="5" t="s">
        <v>1</v>
      </c>
      <c r="P20" s="5"/>
      <c r="Q20" s="5" t="s">
        <v>1</v>
      </c>
      <c r="R20" s="7" t="str">
        <f t="shared" si="0"/>
        <v>VARBINARY(MAX)</v>
      </c>
      <c r="S20" s="1" t="str">
        <f t="shared" si="1"/>
        <v>バイナリ|SQLServer</v>
      </c>
      <c r="T20" s="1" t="str">
        <f>IFERROR(INDEX(型マスタ!$E:$E,MATCH(S20,型マスタ!$A:$A,0)),"")</f>
        <v>BIN_MS</v>
      </c>
      <c r="U20" s="1">
        <f>IFERROR(INDEX(型マスタ!$D:$D,MATCH(S20,型マスタ!$A:$A,0)),"")</f>
        <v>0</v>
      </c>
    </row>
    <row r="21" spans="1:21" x14ac:dyDescent="0.4">
      <c r="A21" s="3">
        <v>18</v>
      </c>
      <c r="B21" s="4" t="s">
        <v>34</v>
      </c>
      <c r="C21" s="4" t="s">
        <v>41</v>
      </c>
      <c r="D21" s="4" t="s">
        <v>74</v>
      </c>
      <c r="E21" s="4" t="s">
        <v>75</v>
      </c>
      <c r="F21" s="5" t="s">
        <v>25</v>
      </c>
      <c r="G21" s="5" t="s">
        <v>128</v>
      </c>
      <c r="H21" s="5"/>
      <c r="I21" s="5"/>
      <c r="J21" s="5"/>
      <c r="K21" s="5"/>
      <c r="L21" s="5"/>
      <c r="M21" s="5" t="s">
        <v>23</v>
      </c>
      <c r="N21" s="6" t="s">
        <v>76</v>
      </c>
      <c r="O21" s="5" t="s">
        <v>1</v>
      </c>
      <c r="P21" s="5"/>
      <c r="Q21" s="5" t="s">
        <v>1</v>
      </c>
      <c r="R21" s="7" t="str">
        <f t="shared" si="0"/>
        <v>NUMBER(10)</v>
      </c>
      <c r="S21" s="1" t="str">
        <f t="shared" si="1"/>
        <v>バージョン(排他制御)|Oracle</v>
      </c>
      <c r="T21" s="1" t="str">
        <f>IFERROR(INDEX(型マスタ!$E:$E,MATCH(S21,型マスタ!$A:$A,0)),"")</f>
        <v>VERSION_ORA</v>
      </c>
      <c r="U21" s="1" t="str">
        <f>IFERROR(INDEX(型マスタ!$D:$D,MATCH(S21,型マスタ!$A:$A,0)),"")</f>
        <v>NUMBER</v>
      </c>
    </row>
    <row r="22" spans="1:21" x14ac:dyDescent="0.4">
      <c r="A22" s="3">
        <v>19</v>
      </c>
      <c r="B22" s="4" t="s">
        <v>28</v>
      </c>
      <c r="C22" s="4" t="s">
        <v>41</v>
      </c>
      <c r="D22" s="4" t="s">
        <v>74</v>
      </c>
      <c r="E22" s="4" t="s">
        <v>75</v>
      </c>
      <c r="F22" s="5" t="s">
        <v>31</v>
      </c>
      <c r="G22" s="5" t="s">
        <v>128</v>
      </c>
      <c r="H22" s="5"/>
      <c r="I22" s="5"/>
      <c r="J22" s="5"/>
      <c r="K22" s="5"/>
      <c r="L22" s="5"/>
      <c r="M22" s="5" t="s">
        <v>23</v>
      </c>
      <c r="N22" s="6" t="s">
        <v>76</v>
      </c>
      <c r="O22" s="5" t="s">
        <v>1</v>
      </c>
      <c r="P22" s="5"/>
      <c r="Q22" s="5" t="s">
        <v>1</v>
      </c>
      <c r="R22" s="7" t="str">
        <f t="shared" si="0"/>
        <v>NUMERIC(10)</v>
      </c>
      <c r="S22" s="1" t="str">
        <f t="shared" si="1"/>
        <v>バージョン(排他制御)|PostgreSQL</v>
      </c>
      <c r="T22" s="1" t="str">
        <f>IFERROR(INDEX(型マスタ!$E:$E,MATCH(S22,型マスタ!$A:$A,0)),"")</f>
        <v>VERSION_PG</v>
      </c>
      <c r="U22" s="1" t="str">
        <f>IFERROR(INDEX(型マスタ!$D:$D,MATCH(S22,型マスタ!$A:$A,0)),"")</f>
        <v>NUMERIC</v>
      </c>
    </row>
  </sheetData>
  <mergeCells count="2">
    <mergeCell ref="A1:R1"/>
    <mergeCell ref="A2:R2"/>
  </mergeCells>
  <phoneticPr fontId="1"/>
  <dataValidations count="5">
    <dataValidation type="list" allowBlank="1" sqref="F4:F300" xr:uid="{00000000-0002-0000-0000-000000000000}">
      <formula1>"Oracle,PostgreSQL,SQLServer"</formula1>
      <formula2>0</formula2>
    </dataValidation>
    <dataValidation type="list" allowBlank="1" sqref="G4:G300" xr:uid="{00000000-0002-0000-0000-000001000000}">
      <formula1>"文字列,数値,真偽値,日付,バイナリ,UUID,JSON,XML,バージョン(排他制御)"</formula1>
      <formula2>0</formula2>
    </dataValidation>
    <dataValidation type="list" allowBlank="1" sqref="H4:H300 K4:L300" xr:uid="{00000000-0002-0000-0000-000002000000}">
      <formula1>"要,不要"</formula1>
      <formula2>0</formula2>
    </dataValidation>
    <dataValidation type="list" allowBlank="1" sqref="M4:M300" xr:uid="{00000000-0002-0000-0000-000005000000}">
      <formula1>"許可,不可"</formula1>
      <formula2>0</formula2>
    </dataValidation>
    <dataValidation type="list" allowBlank="1" sqref="O4:O300 Q4:Q300" xr:uid="{00000000-0002-0000-0000-000006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8"/>
  <sheetViews>
    <sheetView zoomScaleNormal="100" workbookViewId="0">
      <pane ySplit="1" topLeftCell="A2" activePane="bottomLeft" state="frozen"/>
      <selection activeCell="A4" sqref="A4"/>
      <selection pane="bottomLeft" activeCell="A2" sqref="A2"/>
    </sheetView>
  </sheetViews>
  <sheetFormatPr defaultColWidth="8.6640625" defaultRowHeight="16.8" x14ac:dyDescent="0.4"/>
  <cols>
    <col min="1" max="1" width="30" style="1" customWidth="1"/>
    <col min="2" max="2" width="20" style="1" customWidth="1"/>
    <col min="3" max="3" width="14" style="1" customWidth="1"/>
    <col min="4" max="4" width="20" style="1" customWidth="1"/>
    <col min="5" max="5" width="14" style="1" customWidth="1"/>
    <col min="6" max="16384" width="8.6640625" style="1"/>
  </cols>
  <sheetData>
    <row r="1" spans="1:5" x14ac:dyDescent="0.4">
      <c r="A1" s="8" t="s">
        <v>77</v>
      </c>
      <c r="B1" s="8" t="s">
        <v>6</v>
      </c>
      <c r="C1" s="8" t="s">
        <v>121</v>
      </c>
      <c r="D1" s="8" t="s">
        <v>78</v>
      </c>
      <c r="E1" s="8" t="s">
        <v>79</v>
      </c>
    </row>
    <row r="2" spans="1:5" x14ac:dyDescent="0.4">
      <c r="A2" s="9" t="s">
        <v>129</v>
      </c>
      <c r="B2" s="9" t="s">
        <v>21</v>
      </c>
      <c r="C2" s="9" t="s">
        <v>25</v>
      </c>
      <c r="D2" s="9" t="s">
        <v>80</v>
      </c>
      <c r="E2" s="9" t="s">
        <v>81</v>
      </c>
    </row>
    <row r="3" spans="1:5" x14ac:dyDescent="0.4">
      <c r="A3" s="9" t="s">
        <v>130</v>
      </c>
      <c r="B3" s="9" t="s">
        <v>21</v>
      </c>
      <c r="C3" s="9" t="s">
        <v>31</v>
      </c>
      <c r="D3" s="9" t="s">
        <v>82</v>
      </c>
      <c r="E3" s="9" t="s">
        <v>83</v>
      </c>
    </row>
    <row r="4" spans="1:5" x14ac:dyDescent="0.4">
      <c r="A4" s="9" t="s">
        <v>131</v>
      </c>
      <c r="B4" s="9" t="s">
        <v>21</v>
      </c>
      <c r="C4" s="9" t="s">
        <v>20</v>
      </c>
      <c r="D4" s="9" t="s">
        <v>82</v>
      </c>
      <c r="E4" s="9" t="s">
        <v>84</v>
      </c>
    </row>
    <row r="5" spans="1:5" x14ac:dyDescent="0.4">
      <c r="A5" s="9" t="s">
        <v>132</v>
      </c>
      <c r="B5" s="9" t="s">
        <v>44</v>
      </c>
      <c r="C5" s="9" t="s">
        <v>25</v>
      </c>
      <c r="D5" s="9" t="s">
        <v>85</v>
      </c>
      <c r="E5" s="9" t="s">
        <v>86</v>
      </c>
    </row>
    <row r="6" spans="1:5" x14ac:dyDescent="0.4">
      <c r="A6" s="9" t="s">
        <v>133</v>
      </c>
      <c r="B6" s="9" t="s">
        <v>44</v>
      </c>
      <c r="C6" s="9" t="s">
        <v>31</v>
      </c>
      <c r="D6" s="9" t="s">
        <v>87</v>
      </c>
      <c r="E6" s="9" t="s">
        <v>88</v>
      </c>
    </row>
    <row r="7" spans="1:5" x14ac:dyDescent="0.4">
      <c r="A7" s="9" t="s">
        <v>134</v>
      </c>
      <c r="B7" s="9" t="s">
        <v>44</v>
      </c>
      <c r="C7" s="9" t="s">
        <v>20</v>
      </c>
      <c r="D7" s="9" t="s">
        <v>89</v>
      </c>
      <c r="E7" s="9" t="s">
        <v>90</v>
      </c>
    </row>
    <row r="8" spans="1:5" x14ac:dyDescent="0.4">
      <c r="A8" s="9" t="s">
        <v>135</v>
      </c>
      <c r="B8" s="9" t="s">
        <v>32</v>
      </c>
      <c r="C8" s="9" t="s">
        <v>25</v>
      </c>
      <c r="D8" s="9" t="s">
        <v>91</v>
      </c>
      <c r="E8" s="9" t="s">
        <v>92</v>
      </c>
    </row>
    <row r="9" spans="1:5" x14ac:dyDescent="0.4">
      <c r="A9" s="9" t="s">
        <v>136</v>
      </c>
      <c r="B9" s="9" t="s">
        <v>32</v>
      </c>
      <c r="C9" s="9" t="s">
        <v>31</v>
      </c>
      <c r="D9" s="9" t="s">
        <v>93</v>
      </c>
      <c r="E9" s="9" t="s">
        <v>92</v>
      </c>
    </row>
    <row r="10" spans="1:5" x14ac:dyDescent="0.4">
      <c r="A10" s="9" t="s">
        <v>137</v>
      </c>
      <c r="B10" s="9" t="s">
        <v>32</v>
      </c>
      <c r="C10" s="9" t="s">
        <v>20</v>
      </c>
      <c r="D10" s="9" t="s">
        <v>94</v>
      </c>
      <c r="E10" s="9" t="s">
        <v>92</v>
      </c>
    </row>
    <row r="11" spans="1:5" x14ac:dyDescent="0.4">
      <c r="A11" s="9" t="s">
        <v>138</v>
      </c>
      <c r="B11" s="9" t="s">
        <v>37</v>
      </c>
      <c r="C11" s="9" t="s">
        <v>25</v>
      </c>
      <c r="D11" s="9"/>
      <c r="E11" s="9" t="s">
        <v>95</v>
      </c>
    </row>
    <row r="12" spans="1:5" x14ac:dyDescent="0.4">
      <c r="A12" s="9" t="s">
        <v>139</v>
      </c>
      <c r="B12" s="9" t="s">
        <v>37</v>
      </c>
      <c r="C12" s="9" t="s">
        <v>31</v>
      </c>
      <c r="D12" s="9"/>
      <c r="E12" s="9" t="s">
        <v>96</v>
      </c>
    </row>
    <row r="13" spans="1:5" x14ac:dyDescent="0.4">
      <c r="A13" s="9" t="s">
        <v>140</v>
      </c>
      <c r="B13" s="9" t="s">
        <v>37</v>
      </c>
      <c r="C13" s="9" t="s">
        <v>20</v>
      </c>
      <c r="D13" s="9"/>
      <c r="E13" s="9" t="s">
        <v>97</v>
      </c>
    </row>
    <row r="14" spans="1:5" x14ac:dyDescent="0.4">
      <c r="A14" s="9" t="s">
        <v>141</v>
      </c>
      <c r="B14" s="9" t="s">
        <v>48</v>
      </c>
      <c r="C14" s="9" t="s">
        <v>25</v>
      </c>
      <c r="D14" s="9"/>
      <c r="E14" s="9" t="s">
        <v>98</v>
      </c>
    </row>
    <row r="15" spans="1:5" x14ac:dyDescent="0.4">
      <c r="A15" s="9" t="s">
        <v>142</v>
      </c>
      <c r="B15" s="9" t="s">
        <v>48</v>
      </c>
      <c r="C15" s="9" t="s">
        <v>31</v>
      </c>
      <c r="D15" s="9" t="s">
        <v>99</v>
      </c>
      <c r="E15" s="9" t="s">
        <v>92</v>
      </c>
    </row>
    <row r="16" spans="1:5" x14ac:dyDescent="0.4">
      <c r="A16" s="9" t="s">
        <v>143</v>
      </c>
      <c r="B16" s="9" t="s">
        <v>48</v>
      </c>
      <c r="C16" s="9" t="s">
        <v>20</v>
      </c>
      <c r="D16" s="9"/>
      <c r="E16" s="9" t="s">
        <v>100</v>
      </c>
    </row>
    <row r="17" spans="1:5" x14ac:dyDescent="0.4">
      <c r="A17" s="9" t="s">
        <v>101</v>
      </c>
      <c r="B17" s="9" t="s">
        <v>26</v>
      </c>
      <c r="C17" s="9" t="s">
        <v>25</v>
      </c>
      <c r="D17" s="9" t="s">
        <v>102</v>
      </c>
      <c r="E17" s="9" t="s">
        <v>92</v>
      </c>
    </row>
    <row r="18" spans="1:5" x14ac:dyDescent="0.4">
      <c r="A18" s="9" t="s">
        <v>103</v>
      </c>
      <c r="B18" s="9" t="s">
        <v>26</v>
      </c>
      <c r="C18" s="9" t="s">
        <v>31</v>
      </c>
      <c r="D18" s="9" t="s">
        <v>26</v>
      </c>
      <c r="E18" s="9" t="s">
        <v>92</v>
      </c>
    </row>
    <row r="19" spans="1:5" x14ac:dyDescent="0.4">
      <c r="A19" s="9" t="s">
        <v>104</v>
      </c>
      <c r="B19" s="9" t="s">
        <v>26</v>
      </c>
      <c r="C19" s="9" t="s">
        <v>20</v>
      </c>
      <c r="D19" s="9" t="s">
        <v>105</v>
      </c>
      <c r="E19" s="9" t="s">
        <v>92</v>
      </c>
    </row>
    <row r="20" spans="1:5" x14ac:dyDescent="0.4">
      <c r="A20" s="9" t="s">
        <v>106</v>
      </c>
      <c r="B20" s="9" t="s">
        <v>52</v>
      </c>
      <c r="C20" s="9" t="s">
        <v>25</v>
      </c>
      <c r="D20" s="9" t="s">
        <v>107</v>
      </c>
      <c r="E20" s="9" t="s">
        <v>92</v>
      </c>
    </row>
    <row r="21" spans="1:5" x14ac:dyDescent="0.4">
      <c r="A21" s="9" t="s">
        <v>108</v>
      </c>
      <c r="B21" s="9" t="s">
        <v>52</v>
      </c>
      <c r="C21" s="9" t="s">
        <v>31</v>
      </c>
      <c r="D21" s="9" t="s">
        <v>109</v>
      </c>
      <c r="E21" s="9" t="s">
        <v>92</v>
      </c>
    </row>
    <row r="22" spans="1:5" x14ac:dyDescent="0.4">
      <c r="A22" s="9" t="s">
        <v>110</v>
      </c>
      <c r="B22" s="9" t="s">
        <v>52</v>
      </c>
      <c r="C22" s="9" t="s">
        <v>20</v>
      </c>
      <c r="D22" s="9" t="s">
        <v>111</v>
      </c>
      <c r="E22" s="9" t="s">
        <v>92</v>
      </c>
    </row>
    <row r="23" spans="1:5" x14ac:dyDescent="0.4">
      <c r="A23" s="9" t="s">
        <v>112</v>
      </c>
      <c r="B23" s="9" t="s">
        <v>113</v>
      </c>
      <c r="C23" s="9" t="s">
        <v>25</v>
      </c>
      <c r="D23" s="9" t="s">
        <v>114</v>
      </c>
      <c r="E23" s="9" t="s">
        <v>92</v>
      </c>
    </row>
    <row r="24" spans="1:5" x14ac:dyDescent="0.4">
      <c r="A24" s="9" t="s">
        <v>115</v>
      </c>
      <c r="B24" s="9" t="s">
        <v>113</v>
      </c>
      <c r="C24" s="9" t="s">
        <v>31</v>
      </c>
      <c r="D24" s="9" t="s">
        <v>113</v>
      </c>
      <c r="E24" s="9" t="s">
        <v>92</v>
      </c>
    </row>
    <row r="25" spans="1:5" x14ac:dyDescent="0.4">
      <c r="A25" s="9" t="s">
        <v>116</v>
      </c>
      <c r="B25" s="9" t="s">
        <v>113</v>
      </c>
      <c r="C25" s="9" t="s">
        <v>20</v>
      </c>
      <c r="D25" s="9" t="s">
        <v>113</v>
      </c>
      <c r="E25" s="9" t="s">
        <v>92</v>
      </c>
    </row>
    <row r="26" spans="1:5" x14ac:dyDescent="0.4">
      <c r="A26" s="9" t="s">
        <v>144</v>
      </c>
      <c r="B26" s="9" t="s">
        <v>128</v>
      </c>
      <c r="C26" s="9" t="s">
        <v>25</v>
      </c>
      <c r="D26" s="9" t="s">
        <v>85</v>
      </c>
      <c r="E26" s="9" t="s">
        <v>117</v>
      </c>
    </row>
    <row r="27" spans="1:5" x14ac:dyDescent="0.4">
      <c r="A27" s="9" t="s">
        <v>145</v>
      </c>
      <c r="B27" s="9" t="s">
        <v>128</v>
      </c>
      <c r="C27" s="9" t="s">
        <v>31</v>
      </c>
      <c r="D27" s="9" t="s">
        <v>87</v>
      </c>
      <c r="E27" s="9" t="s">
        <v>118</v>
      </c>
    </row>
    <row r="28" spans="1:5" x14ac:dyDescent="0.4">
      <c r="A28" s="9" t="s">
        <v>146</v>
      </c>
      <c r="B28" s="9" t="s">
        <v>128</v>
      </c>
      <c r="C28" s="9" t="s">
        <v>20</v>
      </c>
      <c r="D28" s="9" t="s">
        <v>119</v>
      </c>
      <c r="E28" s="9" t="s">
        <v>92</v>
      </c>
    </row>
  </sheetData>
  <phoneticPr fontId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テーブル定義</vt:lpstr>
      <vt:lpstr>型マスタ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KEITA OONISHI</cp:lastModifiedBy>
  <cp:revision>0</cp:revision>
  <dcterms:created xsi:type="dcterms:W3CDTF">2026-09-20T08:02:46Z</dcterms:created>
  <dcterms:modified xsi:type="dcterms:W3CDTF">2026-09-21T03:08:23Z</dcterms:modified>
  <dc:language>en-US</dc:language>
</cp:coreProperties>
</file>