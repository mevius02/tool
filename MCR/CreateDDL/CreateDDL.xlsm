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MCR\CreateDDL\"/>
    </mc:Choice>
  </mc:AlternateContent>
  <xr:revisionPtr revIDLastSave="0" documentId="13_ncr:1_{09E45A3D-239B-4E55-8B58-57313D814E2A}" xr6:coauthVersionLast="47" xr6:coauthVersionMax="47" xr10:uidLastSave="{00000000-0000-0000-0000-000000000000}"/>
  <bookViews>
    <workbookView xWindow="-108" yWindow="-108" windowWidth="23256" windowHeight="12456" tabRatio="871" xr2:uid="{1FF89011-A191-45E8-9A83-C1FA8DA044D9}"/>
  </bookViews>
  <sheets>
    <sheet name="目次" sheetId="323" r:id="rId1"/>
    <sheet name="CUSTOMERS" sheetId="319" r:id="rId2"/>
    <sheet name="ORDERS" sheetId="322" r:id="rId3"/>
    <sheet name="ORDER_DETAILS" sheetId="321" r:id="rId4"/>
    <sheet name="PRODUCTS" sheetId="320" r:id="rId5"/>
    <sheet name="Sheet1" sheetId="146" r:id="rId6"/>
  </sheets>
  <definedNames>
    <definedName name="_xlnm._FilterDatabase" localSheetId="1" hidden="1">CUSTOMERS!$A$6:$T$6</definedName>
    <definedName name="_xlnm._FilterDatabase" localSheetId="3" hidden="1">ORDER_DETAILS!$A$6:$T$6</definedName>
    <definedName name="_xlnm._FilterDatabase" localSheetId="2" hidden="1">ORDERS!$A$6:$T$6</definedName>
    <definedName name="_xlnm._FilterDatabase" localSheetId="4" hidden="1">PRODUCTS!$A$6:$T$6</definedName>
    <definedName name="_xlpm.returnRng" hidden="1" xlm="1">#NAME?</definedName>
    <definedName name="_xlpm.s" hidden="1" xlm="1">#NAME?</definedName>
    <definedName name="_xlpm.se" hidden="1" xlm="1">#NAME?</definedName>
    <definedName name="_xlpm.sea" hidden="1" xlm="1">#NAME?</definedName>
    <definedName name="_xlpm.sear" hidden="1" xlm="1">#NAME?</definedName>
    <definedName name="_xlpm.searc" hidden="1" xlm="1">#NAME?</definedName>
    <definedName name="_xlpm.search" hidden="1" xlm="1">#NAME?</definedName>
    <definedName name="_xlpm.searchR" hidden="1" xlm="1">#NAME?</definedName>
    <definedName name="_xlpm.searchRn" hidden="1" xlm="1">#NAME?</definedName>
    <definedName name="_xlpm.searchRng" hidden="1" xlm="1">#NAME?</definedName>
    <definedName name="_xlpm.sheetNm" hidden="1" xlm="1">#NAME?</definedName>
    <definedName name="_xlpm.t" hidden="1" xlm="1">#NAME?</definedName>
    <definedName name="_xlpm.tb" hidden="1" xlm="1">#NAME?</definedName>
    <definedName name="_xlpm.tbINm" hidden="1" xlm="1">#NAME?</definedName>
    <definedName name="_xlpm.tbl" hidden="1" xlm="1">#NAME?</definedName>
    <definedName name="_xlpm.tblN" hidden="1" xlm="1">#NAME?</definedName>
    <definedName name="_xlpm.tblNm" hidden="1" xlm="1">#NAME?</definedName>
    <definedName name="_xlpm.XLOOKUPtblN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22" l="1"/>
  <c r="A11" i="322"/>
  <c r="A10" i="322"/>
  <c r="A9" i="322"/>
  <c r="A8" i="322"/>
  <c r="A7" i="322"/>
  <c r="A11" i="321"/>
  <c r="A10" i="321"/>
  <c r="A9" i="321"/>
  <c r="A8" i="321"/>
  <c r="A7" i="321"/>
  <c r="A12" i="320"/>
  <c r="A11" i="320"/>
  <c r="A10" i="320"/>
  <c r="A9" i="320"/>
  <c r="A8" i="320"/>
  <c r="A7" i="320"/>
  <c r="A7" i="319"/>
  <c r="A8" i="319"/>
  <c r="A9" i="319"/>
  <c r="A10" i="319"/>
  <c r="A11" i="319"/>
  <c r="A12" i="319"/>
  <c r="A13" i="31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8E94C003-60B8-4488-B50B-E565C85E22B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77CD89FF-E61B-48A3-A75D-E2EFEDE19C6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9DA80701-E8C8-401D-B797-C5367F549629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191401E4-5292-4827-8661-7962EC3047DE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3E5264D4-A15E-4245-B326-0F2308D8C0E7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A6477AA9-45A2-4B6B-A3AC-48FE2B2DB9A8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AA584D97-E32E-4115-A74E-6C2D0C617C35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E8ECBA2F-4992-4206-AE93-8C05254A2296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E5EB7B04-D3A1-496B-B6B7-00BF42411748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451A975B-711B-44F1-B279-43E6499B4813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5DB8AEA1-087C-42CD-A5CA-73D9D6E023F8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3E0A4DF2-EB9E-4740-8F7E-3BC40F27CEFA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ちゃんた</author>
  </authors>
  <commentList>
    <comment ref="F1" authorId="0" shapeId="0" xr:uid="{4A6B0C42-03B7-431B-BDF8-2649F2B79A36}">
      <text>
        <r>
          <rPr>
            <sz val="9"/>
            <color indexed="81"/>
            <rFont val="MS P ゴシック"/>
            <family val="3"/>
            <charset val="128"/>
          </rPr>
          <t>FKなどのオプションを書く場所</t>
        </r>
      </text>
    </comment>
    <comment ref="J6" authorId="0" shapeId="0" xr:uid="{04C84D49-8380-4C2B-BB63-326AB2476765}">
      <text>
        <r>
          <rPr>
            <sz val="9"/>
            <color indexed="81"/>
            <rFont val="MS P ゴシック"/>
            <family val="3"/>
            <charset val="128"/>
          </rPr>
          <t>日本語の値を登録する場合[有]を選択</t>
        </r>
      </text>
    </comment>
    <comment ref="K6" authorId="0" shapeId="0" xr:uid="{EB7F6BFC-7A33-40F0-9EAE-7F4FD4CC51AA}">
      <text>
        <r>
          <rPr>
            <sz val="9"/>
            <color indexed="81"/>
            <rFont val="MS P ゴシック"/>
            <family val="3"/>
            <charset val="128"/>
          </rPr>
          <t>[データ分類]が"数値"の場合[正数桁数]_x000D_
[データ分類]が"日時"の場合[ミリ秒桁数]</t>
        </r>
      </text>
    </comment>
    <comment ref="N6" authorId="0" shapeId="0" xr:uid="{B617ECC4-EACB-452B-A4E7-E241A575B055}">
      <text>
        <r>
          <rPr>
            <sz val="9"/>
            <color indexed="81"/>
            <rFont val="MS P ゴシック"/>
            <family val="3"/>
            <charset val="128"/>
          </rPr>
          <t>日本以外から日時を登録する場合"要"を選択</t>
        </r>
      </text>
    </comment>
  </commentList>
</comments>
</file>

<file path=xl/sharedStrings.xml><?xml version="1.0" encoding="utf-8"?>
<sst xmlns="http://schemas.openxmlformats.org/spreadsheetml/2006/main" count="367" uniqueCount="123">
  <si>
    <t>DB</t>
  </si>
  <si>
    <t>SCHEMA</t>
  </si>
  <si>
    <t>COL論理名</t>
  </si>
  <si>
    <t>COL物理名</t>
  </si>
  <si>
    <t>PK</t>
  </si>
  <si>
    <t>初期値</t>
  </si>
  <si>
    <t>Y</t>
  </si>
  <si>
    <t>No</t>
  </si>
  <si>
    <t>備考</t>
  </si>
  <si>
    <t>NULL</t>
  </si>
  <si>
    <t>TBL(論)</t>
  </si>
  <si>
    <t>TBL(物)</t>
  </si>
  <si>
    <t>型候補</t>
  </si>
  <si>
    <t>文字列</t>
  </si>
  <si>
    <t>Oracle</t>
  </si>
  <si>
    <t>TBL定義</t>
  </si>
  <si>
    <t>型</t>
  </si>
  <si>
    <t>桁</t>
  </si>
  <si>
    <t>NULL_x000D_
不可</t>
  </si>
  <si>
    <t>COL詳細</t>
  </si>
  <si>
    <t>日本語_x000D_
有無</t>
  </si>
  <si>
    <t>桁数</t>
  </si>
  <si>
    <t>小数_x000D_
桁数</t>
  </si>
  <si>
    <t>時間_x000D_
有無</t>
  </si>
  <si>
    <t>時差修正_x000D_
要否</t>
  </si>
  <si>
    <t>エラー</t>
  </si>
  <si>
    <t>無</t>
  </si>
  <si>
    <t>否</t>
  </si>
  <si>
    <t>TBL概要</t>
  </si>
  <si>
    <t>COL概要</t>
  </si>
  <si>
    <t>データ_x000D_
分類</t>
  </si>
  <si>
    <t>目次</t>
  </si>
  <si>
    <t>顧客</t>
  </si>
  <si>
    <t>CUSTOMERS</t>
  </si>
  <si>
    <t>顧客ID</t>
  </si>
  <si>
    <t>CUSTOMER_ID</t>
  </si>
  <si>
    <t>NUMBER</t>
  </si>
  <si>
    <t>10,0</t>
  </si>
  <si>
    <t>顧客名</t>
  </si>
  <si>
    <t>CUSTOMER_NAME</t>
  </si>
  <si>
    <t>VARCHAR2</t>
  </si>
  <si>
    <t>メールアドレス</t>
  </si>
  <si>
    <t>EMAIL</t>
  </si>
  <si>
    <t>電話番号</t>
  </si>
  <si>
    <t>PHONE</t>
  </si>
  <si>
    <t>住所</t>
  </si>
  <si>
    <t>ADDRESS</t>
  </si>
  <si>
    <t>登録日時</t>
  </si>
  <si>
    <t>CREATED_AT</t>
  </si>
  <si>
    <t>TIMESTAMP(6)</t>
  </si>
  <si>
    <t>更新日時</t>
  </si>
  <si>
    <t>UPDATED_AT</t>
  </si>
  <si>
    <t>ORDER_DETAILS</t>
  </si>
  <si>
    <t>受注明細ID</t>
  </si>
  <si>
    <t>ORDER_DETAIL_ID</t>
  </si>
  <si>
    <t>受注ID</t>
  </si>
  <si>
    <t>ORDER_ID</t>
  </si>
  <si>
    <t>商品ID</t>
  </si>
  <si>
    <t>PRODUCT_ID</t>
  </si>
  <si>
    <t>数量</t>
  </si>
  <si>
    <t>QUANTITY</t>
  </si>
  <si>
    <t>受注時点の単価</t>
  </si>
  <si>
    <t>UNIT_PRICE</t>
  </si>
  <si>
    <t>10,2</t>
  </si>
  <si>
    <t>ORDERS</t>
  </si>
  <si>
    <t>受注日</t>
  </si>
  <si>
    <t>ORDER_DATE</t>
  </si>
  <si>
    <t>DATE</t>
  </si>
  <si>
    <t>ステータス</t>
  </si>
  <si>
    <t>STATUS</t>
  </si>
  <si>
    <t>PRODUCTS</t>
  </si>
  <si>
    <t>商品名</t>
  </si>
  <si>
    <t>PRODUCT_NAME</t>
  </si>
  <si>
    <t>単価</t>
  </si>
  <si>
    <t>在庫数</t>
  </si>
  <si>
    <t>STOCK_QUANTITY</t>
  </si>
  <si>
    <t>8,0</t>
  </si>
  <si>
    <t>SYSTEM</t>
  </si>
  <si>
    <t>日時</t>
  </si>
  <si>
    <t>有</t>
  </si>
  <si>
    <t>数値</t>
  </si>
  <si>
    <t>NUMBER(10,0)</t>
  </si>
  <si>
    <t>BINARY_DOUBLE</t>
  </si>
  <si>
    <t>BINARY_FLOAT</t>
  </si>
  <si>
    <t>NVARCHAR2(100)</t>
  </si>
  <si>
    <t>VARCHAR2(100)</t>
  </si>
  <si>
    <t>VARCHAR2(255)</t>
  </si>
  <si>
    <t>NVARCHAR2(255)</t>
  </si>
  <si>
    <t>VARCHAR2(20)</t>
  </si>
  <si>
    <t>NVARCHAR2(20)</t>
  </si>
  <si>
    <t>TIMESTAMP</t>
  </si>
  <si>
    <t>NVARCHAR2</t>
  </si>
  <si>
    <t>CURRENT_TIMESTAMP</t>
    <phoneticPr fontId="1"/>
  </si>
  <si>
    <t>NULL</t>
    <phoneticPr fontId="1"/>
  </si>
  <si>
    <t>受注明細</t>
    <phoneticPr fontId="1"/>
  </si>
  <si>
    <t>受注</t>
    <phoneticPr fontId="1"/>
  </si>
  <si>
    <t>ORDERS</t>
    <phoneticPr fontId="1"/>
  </si>
  <si>
    <t>10,0</t>
    <phoneticPr fontId="1"/>
  </si>
  <si>
    <t xml:space="preserve"> </t>
    <phoneticPr fontId="1"/>
  </si>
  <si>
    <t>TIMESTAMP</t>
    <phoneticPr fontId="1"/>
  </si>
  <si>
    <t>TIMESTAMP(0)</t>
  </si>
  <si>
    <t>ORDER_DETAILS</t>
    <phoneticPr fontId="1"/>
  </si>
  <si>
    <t>NUMBER(12,2)</t>
  </si>
  <si>
    <t>12,2</t>
    <phoneticPr fontId="1"/>
  </si>
  <si>
    <t>商品</t>
    <phoneticPr fontId="1"/>
  </si>
  <si>
    <t>PRODUCTS</t>
    <phoneticPr fontId="1"/>
  </si>
  <si>
    <t>NUMBER(8,0)</t>
  </si>
  <si>
    <t>1,</t>
  </si>
  <si>
    <t>2,</t>
  </si>
  <si>
    <t>3,</t>
  </si>
  <si>
    <t>4,</t>
  </si>
  <si>
    <t>CUSTOMERS</t>
    <phoneticPr fontId="1"/>
  </si>
  <si>
    <t>CUSTOMER_ID</t>
    <phoneticPr fontId="1"/>
  </si>
  <si>
    <t>Y</t>
    <phoneticPr fontId="1"/>
  </si>
  <si>
    <t>5,</t>
  </si>
  <si>
    <t>Sheet1</t>
  </si>
  <si>
    <t>ALTER TABLE 子テーブル</t>
  </si>
  <si>
    <t>ADD CONSTRAINT 制約名</t>
  </si>
  <si>
    <t>FOREIGN KEY (子カラム)</t>
  </si>
  <si>
    <t>REFERENCES 親テーブル (親カラム);</t>
  </si>
  <si>
    <t>PostgreSQL</t>
  </si>
  <si>
    <t>SQL Server</t>
  </si>
  <si>
    <t>TBLオプション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</si>
</sst>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M"/>
      <family val="3"/>
      <charset val="128"/>
    </font>
    <font>
      <sz val="11"/>
      <color theme="1"/>
      <name val="Calibri"/>
      <family val="2"/>
      <charset val="1"/>
    </font>
    <font>
      <b/>
      <sz val="11"/>
      <color rgb="FFFF0000"/>
      <name val="HGｺﾞｼｯｸM"/>
      <family val="3"/>
      <charset val="128"/>
    </font>
    <font>
      <sz val="9"/>
      <color indexed="81"/>
      <name val="MS P 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rgb="FFF8CBAD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</borders>
  <cellStyleXfs count="3">
    <xf numFmtId="0" fontId="0" fillId="0" borderId="0">
      <alignment vertical="center"/>
    </xf>
    <xf numFmtId="0" fontId="3" fillId="0" borderId="0"/>
    <xf numFmtId="0" fontId="6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right" vertical="top"/>
    </xf>
    <xf numFmtId="0" fontId="2" fillId="2" borderId="2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2" borderId="5" xfId="0" applyFont="1" applyFill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" borderId="9" xfId="0" applyFont="1" applyFill="1" applyBorder="1" applyAlignment="1">
      <alignment horizontal="center" vertical="top"/>
    </xf>
    <xf numFmtId="0" fontId="2" fillId="5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 wrapText="1"/>
    </xf>
    <xf numFmtId="0" fontId="2" fillId="6" borderId="9" xfId="0" applyFont="1" applyFill="1" applyBorder="1" applyAlignment="1">
      <alignment horizontal="center" vertical="top"/>
    </xf>
    <xf numFmtId="0" fontId="2" fillId="7" borderId="9" xfId="0" applyFont="1" applyFill="1" applyBorder="1" applyAlignment="1">
      <alignment horizontal="center" vertical="top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0" borderId="0" xfId="0" applyFont="1" applyAlignment="1">
      <alignment horizontal="left" vertical="top" wrapText="1"/>
    </xf>
    <xf numFmtId="0" fontId="6" fillId="0" borderId="0" xfId="2" applyAlignment="1">
      <alignment horizontal="left" vertical="top"/>
    </xf>
    <xf numFmtId="0" fontId="2" fillId="0" borderId="0" xfId="0" quotePrefix="1" applyFont="1" applyAlignment="1">
      <alignment horizontal="right" vertical="top"/>
    </xf>
    <xf numFmtId="0" fontId="2" fillId="6" borderId="7" xfId="0" applyFont="1" applyFill="1" applyBorder="1" applyAlignment="1">
      <alignment horizontal="center" vertical="top"/>
    </xf>
    <xf numFmtId="0" fontId="2" fillId="6" borderId="1" xfId="0" applyFont="1" applyFill="1" applyBorder="1" applyAlignment="1">
      <alignment horizontal="center" vertical="top"/>
    </xf>
    <xf numFmtId="0" fontId="2" fillId="6" borderId="5" xfId="0" applyFont="1" applyFill="1" applyBorder="1" applyAlignment="1">
      <alignment horizontal="center" vertical="top"/>
    </xf>
    <xf numFmtId="0" fontId="2" fillId="7" borderId="7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horizontal="center" vertical="top"/>
    </xf>
    <xf numFmtId="0" fontId="2" fillId="7" borderId="5" xfId="0" applyFont="1" applyFill="1" applyBorder="1" applyAlignment="1">
      <alignment horizontal="center" vertical="top"/>
    </xf>
    <xf numFmtId="0" fontId="2" fillId="8" borderId="9" xfId="0" applyFont="1" applyFill="1" applyBorder="1" applyAlignment="1">
      <alignment horizontal="center" vertical="top"/>
    </xf>
    <xf numFmtId="0" fontId="2" fillId="8" borderId="13" xfId="0" applyFont="1" applyFill="1" applyBorder="1" applyAlignment="1">
      <alignment horizontal="center" vertical="top"/>
    </xf>
    <xf numFmtId="0" fontId="2" fillId="4" borderId="10" xfId="0" applyFont="1" applyFill="1" applyBorder="1" applyAlignment="1">
      <alignment horizontal="center" vertical="top"/>
    </xf>
    <xf numFmtId="0" fontId="2" fillId="4" borderId="12" xfId="0" applyFont="1" applyFill="1" applyBorder="1" applyAlignment="1">
      <alignment horizontal="center" vertical="top"/>
    </xf>
    <xf numFmtId="0" fontId="2" fillId="3" borderId="4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 wrapText="1"/>
    </xf>
    <xf numFmtId="0" fontId="2" fillId="3" borderId="5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center" vertical="top"/>
    </xf>
    <xf numFmtId="0" fontId="2" fillId="5" borderId="11" xfId="0" applyFont="1" applyFill="1" applyBorder="1" applyAlignment="1">
      <alignment horizontal="center" vertical="top"/>
    </xf>
    <xf numFmtId="0" fontId="2" fillId="5" borderId="7" xfId="0" applyFont="1" applyFill="1" applyBorder="1" applyAlignment="1">
      <alignment horizontal="center" vertical="top"/>
    </xf>
    <xf numFmtId="0" fontId="2" fillId="5" borderId="1" xfId="0" applyFont="1" applyFill="1" applyBorder="1" applyAlignment="1">
      <alignment horizontal="center" vertical="top"/>
    </xf>
    <xf numFmtId="0" fontId="2" fillId="5" borderId="5" xfId="0" applyFont="1" applyFill="1" applyBorder="1" applyAlignment="1">
      <alignment horizontal="center" vertical="top"/>
    </xf>
    <xf numFmtId="0" fontId="2" fillId="7" borderId="4" xfId="0" applyFont="1" applyFill="1" applyBorder="1" applyAlignment="1">
      <alignment horizontal="center" vertical="top"/>
    </xf>
    <xf numFmtId="0" fontId="2" fillId="7" borderId="2" xfId="0" applyFont="1" applyFill="1" applyBorder="1" applyAlignment="1">
      <alignment horizontal="center" vertical="top"/>
    </xf>
    <xf numFmtId="0" fontId="2" fillId="9" borderId="10" xfId="0" applyFont="1" applyFill="1" applyBorder="1" applyAlignment="1">
      <alignment horizontal="left" vertical="top" wrapText="1"/>
    </xf>
    <xf numFmtId="0" fontId="2" fillId="9" borderId="8" xfId="0" applyFont="1" applyFill="1" applyBorder="1" applyAlignment="1">
      <alignment horizontal="left" vertical="top" wrapText="1"/>
    </xf>
    <xf numFmtId="0" fontId="2" fillId="9" borderId="12" xfId="0" applyFont="1" applyFill="1" applyBorder="1" applyAlignment="1">
      <alignment horizontal="left" vertical="top" wrapText="1"/>
    </xf>
    <xf numFmtId="0" fontId="2" fillId="9" borderId="11" xfId="0" applyFont="1" applyFill="1" applyBorder="1" applyAlignment="1">
      <alignment horizontal="left" vertical="top" wrapText="1"/>
    </xf>
    <xf numFmtId="0" fontId="2" fillId="9" borderId="4" xfId="0" applyFont="1" applyFill="1" applyBorder="1" applyAlignment="1">
      <alignment horizontal="left" vertical="top" wrapText="1"/>
    </xf>
    <xf numFmtId="0" fontId="2" fillId="9" borderId="2" xfId="0" applyFont="1" applyFill="1" applyBorder="1" applyAlignment="1">
      <alignment horizontal="left" vertical="top" wrapText="1"/>
    </xf>
    <xf numFmtId="0" fontId="2" fillId="10" borderId="4" xfId="0" applyFont="1" applyFill="1" applyBorder="1" applyAlignment="1">
      <alignment horizontal="center" vertical="top"/>
    </xf>
    <xf numFmtId="0" fontId="2" fillId="10" borderId="14" xfId="0" applyFont="1" applyFill="1" applyBorder="1" applyAlignment="1">
      <alignment horizontal="center" vertical="top"/>
    </xf>
    <xf numFmtId="0" fontId="2" fillId="10" borderId="2" xfId="0" applyFont="1" applyFill="1" applyBorder="1" applyAlignment="1">
      <alignment horizontal="center" vertical="top"/>
    </xf>
    <xf numFmtId="0" fontId="2" fillId="11" borderId="10" xfId="0" applyFont="1" applyFill="1" applyBorder="1" applyAlignment="1">
      <alignment horizontal="left" vertical="top" wrapText="1"/>
    </xf>
    <xf numFmtId="0" fontId="2" fillId="11" borderId="15" xfId="0" applyFont="1" applyFill="1" applyBorder="1" applyAlignment="1">
      <alignment horizontal="left" vertical="top" wrapText="1"/>
    </xf>
    <xf numFmtId="0" fontId="2" fillId="11" borderId="8" xfId="0" applyFont="1" applyFill="1" applyBorder="1" applyAlignment="1">
      <alignment horizontal="left" vertical="top" wrapText="1"/>
    </xf>
    <xf numFmtId="0" fontId="2" fillId="11" borderId="12" xfId="0" applyFont="1" applyFill="1" applyBorder="1" applyAlignment="1">
      <alignment horizontal="left" vertical="top" wrapText="1"/>
    </xf>
    <xf numFmtId="0" fontId="2" fillId="11" borderId="0" xfId="0" applyFont="1" applyFill="1" applyBorder="1" applyAlignment="1">
      <alignment horizontal="left" vertical="top" wrapText="1"/>
    </xf>
    <xf numFmtId="0" fontId="2" fillId="11" borderId="11" xfId="0" applyFont="1" applyFill="1" applyBorder="1" applyAlignment="1">
      <alignment horizontal="left" vertical="top" wrapText="1"/>
    </xf>
    <xf numFmtId="0" fontId="2" fillId="11" borderId="4" xfId="0" applyFont="1" applyFill="1" applyBorder="1" applyAlignment="1">
      <alignment horizontal="left" vertical="top" wrapText="1"/>
    </xf>
    <xf numFmtId="0" fontId="2" fillId="11" borderId="14" xfId="0" applyFont="1" applyFill="1" applyBorder="1" applyAlignment="1">
      <alignment horizontal="left" vertical="top" wrapText="1"/>
    </xf>
    <xf numFmtId="0" fontId="2" fillId="11" borderId="2" xfId="0" applyFont="1" applyFill="1" applyBorder="1" applyAlignment="1">
      <alignment horizontal="left" vertical="top" wrapText="1"/>
    </xf>
  </cellXfs>
  <cellStyles count="3">
    <cellStyle name="ハイパーリンク" xfId="2" builtinId="8"/>
    <cellStyle name="標準" xfId="0" builtinId="0"/>
    <cellStyle name="標準 2" xfId="1" xr:uid="{5D5C2975-BE8E-4B2F-AD6F-3D5C9F26567D}"/>
  </cellStyles>
  <dxfs count="11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BBD9D9"/>
      <color rgb="FFED7D31"/>
      <color rgb="FF87E7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2AF60F42-1337-CF07-B63B-C035E16C45B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725E8709-ED8A-17F6-BF3D-2754F185225B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FB0FD52F-D570-4BC6-A1F5-151D7C517ED8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A180B2F8-67DB-4BDA-BEBD-DBC78387339E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99FCAC91-7F99-4544-8312-05674C28FC49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662A5702-607F-44E9-BE7A-55216CFB47C6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63500</xdr:colOff>
      <xdr:row>1</xdr:row>
      <xdr:rowOff>0</xdr:rowOff>
    </xdr:from>
    <xdr:to>
      <xdr:col>10</xdr:col>
      <xdr:colOff>226220</xdr:colOff>
      <xdr:row>3</xdr:row>
      <xdr:rowOff>24720</xdr:rowOff>
    </xdr:to>
    <xdr:sp macro="Btn_CreateDdlFile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C75B55B4-CB7C-454A-8C0D-CD486E7D046A}"/>
            </a:ext>
          </a:extLst>
        </xdr:cNvPr>
        <xdr:cNvSpPr/>
      </xdr:nvSpPr>
      <xdr:spPr>
        <a:xfrm>
          <a:off x="9558020" y="167640"/>
          <a:ext cx="126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DDL</a:t>
          </a:r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作成</a:t>
          </a:r>
        </a:p>
      </xdr:txBody>
    </xdr:sp>
    <xdr:clientData/>
  </xdr:twoCellAnchor>
  <xdr:twoCellAnchor>
    <xdr:from>
      <xdr:col>11</xdr:col>
      <xdr:colOff>68580</xdr:colOff>
      <xdr:row>1</xdr:row>
      <xdr:rowOff>0</xdr:rowOff>
    </xdr:from>
    <xdr:to>
      <xdr:col>13</xdr:col>
      <xdr:colOff>612300</xdr:colOff>
      <xdr:row>3</xdr:row>
      <xdr:rowOff>24720</xdr:rowOff>
    </xdr:to>
    <xdr:sp macro="Btn_SetColumnDataType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D5173E2F-4BA3-4AB2-98DE-6B6848AB1957}"/>
            </a:ext>
          </a:extLst>
        </xdr:cNvPr>
        <xdr:cNvSpPr/>
      </xdr:nvSpPr>
      <xdr:spPr>
        <a:xfrm>
          <a:off x="11018520" y="167640"/>
          <a:ext cx="1260000" cy="360000"/>
        </a:xfrm>
        <a:prstGeom prst="bevel">
          <a:avLst/>
        </a:prstGeom>
        <a:solidFill>
          <a:srgbClr val="70AD47"/>
        </a:solidFill>
        <a:ln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游ゴシック" panose="020B0400000000000000" pitchFamily="50" charset="-128"/>
              <a:ea typeface="游ゴシック" panose="020B0400000000000000" pitchFamily="50" charset="-128"/>
            </a:rPr>
            <a:t>型候補セット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E03ED-8DF5-4C06-96CB-FDCFFB516079}">
  <sheetPr codeName="Sheet26"/>
  <dimension ref="B2:C8"/>
  <sheetViews>
    <sheetView showGridLines="0" tabSelected="1" zoomScale="85" zoomScaleNormal="85" workbookViewId="0"/>
  </sheetViews>
  <sheetFormatPr defaultColWidth="2.69921875" defaultRowHeight="18"/>
  <cols>
    <col min="1" max="1" width="2.69921875" style="17"/>
    <col min="2" max="2" width="4.69921875" style="17" customWidth="1"/>
    <col min="3" max="3" width="50.69921875" style="17" customWidth="1"/>
    <col min="4" max="16384" width="2.69921875" style="17"/>
  </cols>
  <sheetData>
    <row r="2" spans="2:3">
      <c r="B2" s="17" t="s">
        <v>31</v>
      </c>
    </row>
    <row r="4" spans="2:3">
      <c r="B4" s="17" t="s">
        <v>107</v>
      </c>
      <c r="C4" s="19" t="s">
        <v>33</v>
      </c>
    </row>
    <row r="5" spans="2:3">
      <c r="B5" s="17" t="s">
        <v>108</v>
      </c>
      <c r="C5" s="19" t="s">
        <v>64</v>
      </c>
    </row>
    <row r="6" spans="2:3">
      <c r="B6" s="17" t="s">
        <v>109</v>
      </c>
      <c r="C6" s="19" t="s">
        <v>52</v>
      </c>
    </row>
    <row r="7" spans="2:3">
      <c r="B7" s="17" t="s">
        <v>110</v>
      </c>
      <c r="C7" s="19" t="s">
        <v>70</v>
      </c>
    </row>
    <row r="8" spans="2:3">
      <c r="B8" s="17" t="s">
        <v>114</v>
      </c>
      <c r="C8" s="19" t="s">
        <v>115</v>
      </c>
    </row>
  </sheetData>
  <phoneticPr fontId="1"/>
  <hyperlinks>
    <hyperlink ref="C4" location="'CUSTOMERS'!A1" display="CUSTOMERS" xr:uid="{B369AA67-9341-44A5-8ED4-252504DBBF38}"/>
    <hyperlink ref="C5" location="'ORDERS'!A1" display="ORDERS" xr:uid="{40BAFB2D-CC79-4280-9780-F527D7CCFC1F}"/>
    <hyperlink ref="C6" location="'ORDER_DETAILS'!A1" display="ORDER_DETAILS" xr:uid="{C00A1DAA-ED23-4780-8B70-FBF3322C43D1}"/>
    <hyperlink ref="C7" location="'PRODUCTS'!A1" display="PRODUCTS" xr:uid="{8E411FC1-780A-4BD3-A4F9-09BDB88D3C6C}"/>
    <hyperlink ref="C8" location="'Sheet1'!A1" display="Sheet1" xr:uid="{F82D797B-83FA-4D51-B0D1-69F869991EB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4439A-1A4C-469E-BE0B-D84891F543F4}">
  <sheetPr codeName="Sheet22"/>
  <dimension ref="A1:T13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122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32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111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>
      <c r="A7" s="3">
        <f t="shared" ref="A7:A13" si="0">ROW()-6</f>
        <v>1</v>
      </c>
      <c r="B7" s="3" t="s">
        <v>113</v>
      </c>
      <c r="C7" s="2" t="s">
        <v>34</v>
      </c>
      <c r="D7" s="2" t="s">
        <v>112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38</v>
      </c>
      <c r="D8" s="2" t="s">
        <v>39</v>
      </c>
      <c r="E8" s="2" t="s">
        <v>40</v>
      </c>
      <c r="F8" s="20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41</v>
      </c>
      <c r="D9" s="2" t="s">
        <v>42</v>
      </c>
      <c r="E9" s="2" t="s">
        <v>40</v>
      </c>
      <c r="F9" s="4">
        <v>255</v>
      </c>
      <c r="G9" s="3"/>
      <c r="H9" s="2" t="s">
        <v>98</v>
      </c>
      <c r="I9" s="1" t="s">
        <v>13</v>
      </c>
      <c r="J9" s="3" t="s">
        <v>26</v>
      </c>
      <c r="K9" s="4">
        <v>255</v>
      </c>
      <c r="L9" s="4"/>
      <c r="M9" s="3"/>
      <c r="N9" s="3"/>
      <c r="O9" s="2" t="s">
        <v>86</v>
      </c>
      <c r="P9" s="2" t="s">
        <v>87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43</v>
      </c>
      <c r="D10" s="2" t="s">
        <v>44</v>
      </c>
      <c r="E10" s="2" t="s">
        <v>40</v>
      </c>
      <c r="F10" s="4">
        <v>20</v>
      </c>
      <c r="G10" s="3"/>
      <c r="H10" s="2" t="s">
        <v>9</v>
      </c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45</v>
      </c>
      <c r="D11" s="2" t="s">
        <v>46</v>
      </c>
      <c r="E11" s="2" t="s">
        <v>91</v>
      </c>
      <c r="F11" s="4">
        <v>255</v>
      </c>
      <c r="G11" s="3"/>
      <c r="H11" s="2" t="s">
        <v>93</v>
      </c>
      <c r="I11" s="1" t="s">
        <v>13</v>
      </c>
      <c r="J11" s="3" t="s">
        <v>79</v>
      </c>
      <c r="K11" s="4">
        <v>255</v>
      </c>
      <c r="L11" s="4"/>
      <c r="M11" s="3"/>
      <c r="N11" s="3"/>
      <c r="O11" s="2" t="s">
        <v>87</v>
      </c>
      <c r="P11" s="2" t="s">
        <v>86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47</v>
      </c>
      <c r="D12" s="2" t="s">
        <v>48</v>
      </c>
      <c r="E12" s="2" t="s">
        <v>90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  <row r="13" spans="1:20">
      <c r="A13" s="3">
        <f t="shared" si="0"/>
        <v>7</v>
      </c>
      <c r="B13" s="3"/>
      <c r="C13" s="2" t="s">
        <v>50</v>
      </c>
      <c r="D13" s="2" t="s">
        <v>51</v>
      </c>
      <c r="E13" s="2" t="s">
        <v>90</v>
      </c>
      <c r="F13" s="4">
        <v>6</v>
      </c>
      <c r="G13" s="3" t="s">
        <v>6</v>
      </c>
      <c r="H13" s="2" t="s">
        <v>92</v>
      </c>
      <c r="I13" s="1" t="s">
        <v>78</v>
      </c>
      <c r="J13" s="3"/>
      <c r="K13" s="4">
        <v>6</v>
      </c>
      <c r="L13" s="4"/>
      <c r="M13" s="3" t="s">
        <v>79</v>
      </c>
      <c r="N13" s="3" t="s">
        <v>27</v>
      </c>
      <c r="O13" s="2" t="s">
        <v>49</v>
      </c>
      <c r="P13" s="2" t="s">
        <v>67</v>
      </c>
      <c r="Q13" s="2"/>
      <c r="R13" s="2"/>
      <c r="S13" s="2"/>
      <c r="T13" s="16"/>
    </row>
  </sheetData>
  <autoFilter ref="A6:T6" xr:uid="{8FA4439A-1A4C-469E-BE0B-D84891F543F4}"/>
  <mergeCells count="15">
    <mergeCell ref="I5:N5"/>
    <mergeCell ref="O5:Q5"/>
    <mergeCell ref="R5:R6"/>
    <mergeCell ref="S5:S6"/>
    <mergeCell ref="T5:T6"/>
    <mergeCell ref="B1:C1"/>
    <mergeCell ref="B2:C2"/>
    <mergeCell ref="B3:C3"/>
    <mergeCell ref="B4:C4"/>
    <mergeCell ref="A5:A6"/>
    <mergeCell ref="B5:H5"/>
    <mergeCell ref="D1:E1"/>
    <mergeCell ref="D2:E4"/>
    <mergeCell ref="F1:H1"/>
    <mergeCell ref="F2:H4"/>
  </mergeCells>
  <phoneticPr fontId="1"/>
  <conditionalFormatting sqref="A7:A13">
    <cfRule type="expression" dxfId="10" priority="2" stopIfTrue="1">
      <formula>ISODD(ROW())</formula>
    </cfRule>
  </conditionalFormatting>
  <conditionalFormatting sqref="B7:T13">
    <cfRule type="expression" dxfId="9" priority="1" stopIfTrue="1">
      <formula>ISODD(ROW())</formula>
    </cfRule>
  </conditionalFormatting>
  <dataValidations count="5">
    <dataValidation type="list" allowBlank="1" showInputMessage="1" showErrorMessage="1" sqref="B1" xr:uid="{EFF9019E-9EF9-4C93-9585-F261DB16EDAB}">
      <formula1>"Oracle,PostgreSQL,SQLServer"</formula1>
    </dataValidation>
    <dataValidation type="list" allowBlank="1" showInputMessage="1" showErrorMessage="1" sqref="G7:G13 B7:B13" xr:uid="{0E78A026-9008-45D6-8042-288BFCF2B7F5}">
      <formula1>"Y,N"</formula1>
    </dataValidation>
    <dataValidation type="list" allowBlank="1" showInputMessage="1" showErrorMessage="1" sqref="I7:I13" xr:uid="{3E271582-B829-4666-AA1B-184C513D2A0D}">
      <formula1>"文字列,数値,日時,真偽値,バイナリ,JSON,XML,UUID"</formula1>
    </dataValidation>
    <dataValidation type="list" allowBlank="1" showInputMessage="1" showErrorMessage="1" sqref="M7:M13 J7:J13" xr:uid="{5A4B3E21-FAFA-4A50-A29A-5E7A687D3D58}">
      <formula1>"有,無"</formula1>
    </dataValidation>
    <dataValidation type="list" allowBlank="1" showInputMessage="1" showErrorMessage="1" sqref="N7:N13" xr:uid="{DD50E7DE-8AB7-4966-AA23-DAFED7811C30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11F92-538C-44A9-BCE3-BD90DD245950}">
  <sheetPr codeName="Sheet25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122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95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96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>
      <c r="A7" s="3">
        <f t="shared" ref="A7:A12" si="0">ROW()-6</f>
        <v>1</v>
      </c>
      <c r="B7" s="3" t="s">
        <v>6</v>
      </c>
      <c r="C7" s="2" t="s">
        <v>55</v>
      </c>
      <c r="D7" s="2" t="s">
        <v>56</v>
      </c>
      <c r="E7" s="2" t="s">
        <v>36</v>
      </c>
      <c r="F7" s="4" t="s">
        <v>97</v>
      </c>
      <c r="G7" s="3" t="s">
        <v>6</v>
      </c>
      <c r="H7" s="2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34</v>
      </c>
      <c r="D8" s="2" t="s">
        <v>35</v>
      </c>
      <c r="E8" s="2" t="s">
        <v>36</v>
      </c>
      <c r="F8" s="4" t="s">
        <v>97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65</v>
      </c>
      <c r="D9" s="2" t="s">
        <v>66</v>
      </c>
      <c r="E9" s="2" t="s">
        <v>67</v>
      </c>
      <c r="F9" s="4"/>
      <c r="G9" s="3" t="s">
        <v>6</v>
      </c>
      <c r="H9" s="2" t="s">
        <v>92</v>
      </c>
      <c r="I9" s="1" t="s">
        <v>78</v>
      </c>
      <c r="J9" s="3"/>
      <c r="K9" s="4">
        <v>0</v>
      </c>
      <c r="L9" s="4"/>
      <c r="M9" s="3" t="s">
        <v>26</v>
      </c>
      <c r="N9" s="3" t="s">
        <v>27</v>
      </c>
      <c r="O9" s="2" t="s">
        <v>67</v>
      </c>
      <c r="P9" s="2" t="s">
        <v>100</v>
      </c>
      <c r="Q9" s="2"/>
      <c r="R9" s="2"/>
      <c r="S9" s="2"/>
      <c r="T9" s="16"/>
    </row>
    <row r="10" spans="1:20">
      <c r="A10" s="3">
        <f t="shared" si="0"/>
        <v>4</v>
      </c>
      <c r="B10" s="3"/>
      <c r="C10" s="2" t="s">
        <v>68</v>
      </c>
      <c r="D10" s="2" t="s">
        <v>69</v>
      </c>
      <c r="E10" s="2" t="s">
        <v>40</v>
      </c>
      <c r="F10" s="4">
        <v>20</v>
      </c>
      <c r="G10" s="3" t="s">
        <v>6</v>
      </c>
      <c r="H10" s="2"/>
      <c r="I10" s="1" t="s">
        <v>13</v>
      </c>
      <c r="J10" s="3" t="s">
        <v>26</v>
      </c>
      <c r="K10" s="4">
        <v>20</v>
      </c>
      <c r="L10" s="4"/>
      <c r="M10" s="3"/>
      <c r="N10" s="3"/>
      <c r="O10" s="2" t="s">
        <v>88</v>
      </c>
      <c r="P10" s="2" t="s">
        <v>89</v>
      </c>
      <c r="Q10" s="2"/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99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99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8" priority="4" stopIfTrue="1">
      <formula>ISODD(ROW())</formula>
    </cfRule>
  </conditionalFormatting>
  <conditionalFormatting sqref="B10:T10 B9:G9 B11:G12 I11:T12 I9:T9 B7:T8">
    <cfRule type="expression" dxfId="7" priority="3" stopIfTrue="1">
      <formula>ISODD(ROW())</formula>
    </cfRule>
  </conditionalFormatting>
  <conditionalFormatting sqref="H11:H12">
    <cfRule type="expression" dxfId="6" priority="2" stopIfTrue="1">
      <formula>ISODD(ROW())</formula>
    </cfRule>
  </conditionalFormatting>
  <conditionalFormatting sqref="H9">
    <cfRule type="expression" dxfId="5" priority="1" stopIfTrue="1">
      <formula>ISODD(ROW())</formula>
    </cfRule>
  </conditionalFormatting>
  <dataValidations count="5">
    <dataValidation type="list" allowBlank="1" showInputMessage="1" showErrorMessage="1" sqref="N7:N12" xr:uid="{D5590B12-B7AE-489C-A25E-F451D22682AA}">
      <formula1>"要,否"</formula1>
    </dataValidation>
    <dataValidation type="list" allowBlank="1" showInputMessage="1" showErrorMessage="1" sqref="M7:M12 J7:J12" xr:uid="{C15A911D-CE0D-46DF-AA5A-5AC0F199AD1B}">
      <formula1>"有,無"</formula1>
    </dataValidation>
    <dataValidation type="list" allowBlank="1" showInputMessage="1" showErrorMessage="1" sqref="I7:I12" xr:uid="{C5D2EDB2-477F-44F4-AD2C-1E3C21C77813}">
      <formula1>"文字列,数値,日時,真偽値,バイナリ,JSON,XML,UUID"</formula1>
    </dataValidation>
    <dataValidation type="list" allowBlank="1" showInputMessage="1" showErrorMessage="1" sqref="G7:G12 B7:B12" xr:uid="{E1BCEE97-C021-4673-A424-00967718DFEE}">
      <formula1>"Y,N"</formula1>
    </dataValidation>
    <dataValidation type="list" allowBlank="1" showInputMessage="1" showErrorMessage="1" sqref="B1" xr:uid="{CDD08ADC-6735-4488-A01B-5653334EB060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E0366-A840-4DBD-8479-342AE5FAC285}">
  <sheetPr codeName="Sheet24"/>
  <dimension ref="A1:T11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122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94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101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 ht="14.4">
      <c r="A7" s="3">
        <f t="shared" ref="A7:A11" si="0">ROW()-6</f>
        <v>1</v>
      </c>
      <c r="B7" s="3" t="s">
        <v>6</v>
      </c>
      <c r="C7" s="2" t="s">
        <v>53</v>
      </c>
      <c r="D7" s="2" t="s">
        <v>54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55</v>
      </c>
      <c r="D8" s="2" t="s">
        <v>56</v>
      </c>
      <c r="E8" s="2" t="s">
        <v>36</v>
      </c>
      <c r="F8" s="4" t="s">
        <v>37</v>
      </c>
      <c r="G8" s="3" t="s">
        <v>6</v>
      </c>
      <c r="H8" s="2"/>
      <c r="I8" s="1" t="s">
        <v>80</v>
      </c>
      <c r="J8" s="3"/>
      <c r="K8" s="4">
        <v>10</v>
      </c>
      <c r="L8" s="4">
        <v>0</v>
      </c>
      <c r="M8" s="3"/>
      <c r="N8" s="3"/>
      <c r="O8" s="2" t="s">
        <v>81</v>
      </c>
      <c r="P8" s="2" t="s">
        <v>82</v>
      </c>
      <c r="Q8" s="2" t="s">
        <v>83</v>
      </c>
      <c r="R8" s="2"/>
      <c r="S8" s="2"/>
      <c r="T8" s="16"/>
    </row>
    <row r="9" spans="1:20">
      <c r="A9" s="3">
        <f t="shared" si="0"/>
        <v>3</v>
      </c>
      <c r="B9" s="3"/>
      <c r="C9" s="2" t="s">
        <v>57</v>
      </c>
      <c r="D9" s="2" t="s">
        <v>58</v>
      </c>
      <c r="E9" s="2" t="s">
        <v>36</v>
      </c>
      <c r="F9" s="4" t="s">
        <v>37</v>
      </c>
      <c r="G9" s="3" t="s">
        <v>6</v>
      </c>
      <c r="H9" s="2"/>
      <c r="I9" s="1" t="s">
        <v>80</v>
      </c>
      <c r="J9" s="3"/>
      <c r="K9" s="4">
        <v>10</v>
      </c>
      <c r="L9" s="4">
        <v>0</v>
      </c>
      <c r="M9" s="3"/>
      <c r="N9" s="3"/>
      <c r="O9" s="2" t="s">
        <v>81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59</v>
      </c>
      <c r="D10" s="2" t="s">
        <v>60</v>
      </c>
      <c r="E10" s="2" t="s">
        <v>36</v>
      </c>
      <c r="F10" s="4" t="s">
        <v>37</v>
      </c>
      <c r="G10" s="3" t="s">
        <v>6</v>
      </c>
      <c r="H10" s="2"/>
      <c r="I10" s="1" t="s">
        <v>80</v>
      </c>
      <c r="J10" s="3"/>
      <c r="K10" s="4">
        <v>10</v>
      </c>
      <c r="L10" s="4">
        <v>0</v>
      </c>
      <c r="M10" s="3"/>
      <c r="N10" s="3"/>
      <c r="O10" s="2" t="s">
        <v>81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61</v>
      </c>
      <c r="D11" s="2" t="s">
        <v>62</v>
      </c>
      <c r="E11" s="2" t="s">
        <v>36</v>
      </c>
      <c r="F11" s="4" t="s">
        <v>103</v>
      </c>
      <c r="G11" s="3" t="s">
        <v>6</v>
      </c>
      <c r="H11" s="2"/>
      <c r="I11" s="1" t="s">
        <v>80</v>
      </c>
      <c r="J11" s="3"/>
      <c r="K11" s="4">
        <v>10</v>
      </c>
      <c r="L11" s="4">
        <v>2</v>
      </c>
      <c r="M11" s="3"/>
      <c r="N11" s="3"/>
      <c r="O11" s="2" t="s">
        <v>102</v>
      </c>
      <c r="P11" s="2" t="s">
        <v>82</v>
      </c>
      <c r="Q11" s="2" t="s">
        <v>83</v>
      </c>
      <c r="R11" s="2"/>
      <c r="S11" s="2"/>
      <c r="T11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1">
    <cfRule type="expression" dxfId="4" priority="2" stopIfTrue="1">
      <formula>ISODD(ROW())</formula>
    </cfRule>
  </conditionalFormatting>
  <conditionalFormatting sqref="B7:T11">
    <cfRule type="expression" dxfId="3" priority="1" stopIfTrue="1">
      <formula>ISODD(ROW())</formula>
    </cfRule>
  </conditionalFormatting>
  <dataValidations count="5">
    <dataValidation type="list" allowBlank="1" showInputMessage="1" showErrorMessage="1" sqref="B1" xr:uid="{03B2FC83-8C4B-40B3-8E9F-F0401B704766}">
      <formula1>"Oracle,PostgreSQL,SQLServer"</formula1>
    </dataValidation>
    <dataValidation type="list" allowBlank="1" showInputMessage="1" showErrorMessage="1" sqref="G7:G11 B7:B11" xr:uid="{B100FACE-685E-44DF-86B3-6E20B8A3CBA9}">
      <formula1>"Y,N"</formula1>
    </dataValidation>
    <dataValidation type="list" allowBlank="1" showInputMessage="1" showErrorMessage="1" sqref="I7:I11" xr:uid="{034B384B-D2A5-445F-8545-1D2BCAAAE6F1}">
      <formula1>"文字列,数値,日時,真偽値,バイナリ,JSON,XML,UUID"</formula1>
    </dataValidation>
    <dataValidation type="list" allowBlank="1" showInputMessage="1" showErrorMessage="1" sqref="M7:M11 J7:J11" xr:uid="{949CDD6F-670B-4B13-87A9-76553B3DB788}">
      <formula1>"有,無"</formula1>
    </dataValidation>
    <dataValidation type="list" allowBlank="1" showInputMessage="1" showErrorMessage="1" sqref="N7:N11" xr:uid="{FD590185-43DA-4CAA-82C7-F047301FF21B}">
      <formula1>"要,否"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BCCD4-F986-4A1D-899E-BBCE639EE446}">
  <sheetPr codeName="Sheet23"/>
  <dimension ref="A1:T12"/>
  <sheetViews>
    <sheetView showGridLines="0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7" sqref="B7"/>
    </sheetView>
  </sheetViews>
  <sheetFormatPr defaultRowHeight="13.2" outlineLevelRow="1" outlineLevelCol="1"/>
  <cols>
    <col min="1" max="1" width="6.69921875" style="1" customWidth="1"/>
    <col min="2" max="2" width="4.69921875" style="1" customWidth="1"/>
    <col min="3" max="4" width="30.69921875" style="1" customWidth="1"/>
    <col min="5" max="5" width="20.69921875" style="1" customWidth="1"/>
    <col min="6" max="6" width="4.69921875" style="1" customWidth="1"/>
    <col min="7" max="7" width="5.69921875" style="1" customWidth="1"/>
    <col min="8" max="8" width="20.69921875" style="1" customWidth="1"/>
    <col min="9" max="9" width="7.69921875" style="1" customWidth="1"/>
    <col min="10" max="10" width="6.69921875" style="1" customWidth="1"/>
    <col min="11" max="13" width="4.69921875" style="1" customWidth="1"/>
    <col min="14" max="14" width="8.69921875" style="1" customWidth="1"/>
    <col min="15" max="17" width="20.69921875" style="1" customWidth="1" outlineLevel="1"/>
    <col min="18" max="19" width="30.69921875" style="1" customWidth="1"/>
    <col min="20" max="20" width="70.69921875" style="1" customWidth="1"/>
    <col min="21" max="16384" width="8.796875" style="1"/>
  </cols>
  <sheetData>
    <row r="1" spans="1:20" outlineLevel="1">
      <c r="A1" s="5" t="s">
        <v>0</v>
      </c>
      <c r="B1" s="31" t="s">
        <v>14</v>
      </c>
      <c r="C1" s="32"/>
      <c r="D1" s="40" t="s">
        <v>28</v>
      </c>
      <c r="E1" s="41"/>
      <c r="F1" s="48" t="s">
        <v>122</v>
      </c>
      <c r="G1" s="49"/>
      <c r="H1" s="50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7"/>
    </row>
    <row r="2" spans="1:20" outlineLevel="1">
      <c r="A2" s="8" t="s">
        <v>1</v>
      </c>
      <c r="B2" s="33" t="s">
        <v>77</v>
      </c>
      <c r="C2" s="34"/>
      <c r="D2" s="42"/>
      <c r="E2" s="43"/>
      <c r="F2" s="51"/>
      <c r="G2" s="52"/>
      <c r="H2" s="53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10"/>
    </row>
    <row r="3" spans="1:20" outlineLevel="1">
      <c r="A3" s="8" t="s">
        <v>10</v>
      </c>
      <c r="B3" s="33" t="s">
        <v>104</v>
      </c>
      <c r="C3" s="34"/>
      <c r="D3" s="44"/>
      <c r="E3" s="45"/>
      <c r="F3" s="54"/>
      <c r="G3" s="55"/>
      <c r="H3" s="56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10"/>
    </row>
    <row r="4" spans="1:20" outlineLevel="1">
      <c r="A4" s="8" t="s">
        <v>11</v>
      </c>
      <c r="B4" s="33" t="s">
        <v>105</v>
      </c>
      <c r="C4" s="34"/>
      <c r="D4" s="46"/>
      <c r="E4" s="47"/>
      <c r="F4" s="57"/>
      <c r="G4" s="58"/>
      <c r="H4" s="5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10"/>
    </row>
    <row r="5" spans="1:20">
      <c r="A5" s="35" t="s">
        <v>7</v>
      </c>
      <c r="B5" s="37" t="s">
        <v>15</v>
      </c>
      <c r="C5" s="38"/>
      <c r="D5" s="38"/>
      <c r="E5" s="38"/>
      <c r="F5" s="38"/>
      <c r="G5" s="38"/>
      <c r="H5" s="39"/>
      <c r="I5" s="21" t="s">
        <v>19</v>
      </c>
      <c r="J5" s="22"/>
      <c r="K5" s="22"/>
      <c r="L5" s="22"/>
      <c r="M5" s="22"/>
      <c r="N5" s="23"/>
      <c r="O5" s="24" t="s">
        <v>12</v>
      </c>
      <c r="P5" s="25"/>
      <c r="Q5" s="26"/>
      <c r="R5" s="27" t="s">
        <v>29</v>
      </c>
      <c r="S5" s="27" t="s">
        <v>8</v>
      </c>
      <c r="T5" s="29" t="s">
        <v>25</v>
      </c>
    </row>
    <row r="6" spans="1:20" ht="26.4">
      <c r="A6" s="36"/>
      <c r="B6" s="11" t="s">
        <v>4</v>
      </c>
      <c r="C6" s="11" t="s">
        <v>2</v>
      </c>
      <c r="D6" s="11" t="s">
        <v>3</v>
      </c>
      <c r="E6" s="11" t="s">
        <v>16</v>
      </c>
      <c r="F6" s="11" t="s">
        <v>17</v>
      </c>
      <c r="G6" s="12" t="s">
        <v>18</v>
      </c>
      <c r="H6" s="11" t="s">
        <v>5</v>
      </c>
      <c r="I6" s="13" t="s">
        <v>30</v>
      </c>
      <c r="J6" s="13" t="s">
        <v>20</v>
      </c>
      <c r="K6" s="14" t="s">
        <v>21</v>
      </c>
      <c r="L6" s="13" t="s">
        <v>22</v>
      </c>
      <c r="M6" s="13" t="s">
        <v>23</v>
      </c>
      <c r="N6" s="13" t="s">
        <v>24</v>
      </c>
      <c r="O6" s="15">
        <v>1</v>
      </c>
      <c r="P6" s="15">
        <v>2</v>
      </c>
      <c r="Q6" s="15">
        <v>3</v>
      </c>
      <c r="R6" s="28"/>
      <c r="S6" s="28"/>
      <c r="T6" s="30"/>
    </row>
    <row r="7" spans="1:20" ht="14.4">
      <c r="A7" s="3">
        <f t="shared" ref="A7:A12" si="0">ROW()-6</f>
        <v>1</v>
      </c>
      <c r="B7" s="3" t="s">
        <v>6</v>
      </c>
      <c r="C7" s="2" t="s">
        <v>57</v>
      </c>
      <c r="D7" s="2" t="s">
        <v>58</v>
      </c>
      <c r="E7" s="2" t="s">
        <v>36</v>
      </c>
      <c r="F7" s="4" t="s">
        <v>37</v>
      </c>
      <c r="G7" s="3" t="s">
        <v>6</v>
      </c>
      <c r="H7" s="18"/>
      <c r="I7" s="1" t="s">
        <v>80</v>
      </c>
      <c r="J7" s="3"/>
      <c r="K7" s="4">
        <v>10</v>
      </c>
      <c r="L7" s="4">
        <v>0</v>
      </c>
      <c r="M7" s="3"/>
      <c r="N7" s="3"/>
      <c r="O7" s="2" t="s">
        <v>81</v>
      </c>
      <c r="P7" s="2" t="s">
        <v>82</v>
      </c>
      <c r="Q7" s="2" t="s">
        <v>83</v>
      </c>
      <c r="R7" s="2"/>
      <c r="S7" s="2"/>
      <c r="T7" s="16"/>
    </row>
    <row r="8" spans="1:20">
      <c r="A8" s="3">
        <f t="shared" si="0"/>
        <v>2</v>
      </c>
      <c r="B8" s="3"/>
      <c r="C8" s="2" t="s">
        <v>71</v>
      </c>
      <c r="D8" s="2" t="s">
        <v>72</v>
      </c>
      <c r="E8" s="2" t="s">
        <v>40</v>
      </c>
      <c r="F8" s="4">
        <v>100</v>
      </c>
      <c r="G8" s="3" t="s">
        <v>6</v>
      </c>
      <c r="H8" s="2"/>
      <c r="I8" s="1" t="s">
        <v>13</v>
      </c>
      <c r="J8" s="3" t="s">
        <v>79</v>
      </c>
      <c r="K8" s="4">
        <v>100</v>
      </c>
      <c r="L8" s="4"/>
      <c r="M8" s="3"/>
      <c r="N8" s="3"/>
      <c r="O8" s="2" t="s">
        <v>84</v>
      </c>
      <c r="P8" s="2" t="s">
        <v>85</v>
      </c>
      <c r="Q8" s="2"/>
      <c r="R8" s="2"/>
      <c r="S8" s="2"/>
      <c r="T8" s="16"/>
    </row>
    <row r="9" spans="1:20">
      <c r="A9" s="3">
        <f t="shared" si="0"/>
        <v>3</v>
      </c>
      <c r="B9" s="3"/>
      <c r="C9" s="2" t="s">
        <v>73</v>
      </c>
      <c r="D9" s="2" t="s">
        <v>62</v>
      </c>
      <c r="E9" s="2" t="s">
        <v>36</v>
      </c>
      <c r="F9" s="4" t="s">
        <v>63</v>
      </c>
      <c r="G9" s="3" t="s">
        <v>6</v>
      </c>
      <c r="H9" s="2"/>
      <c r="I9" s="1" t="s">
        <v>80</v>
      </c>
      <c r="J9" s="3"/>
      <c r="K9" s="4">
        <v>10</v>
      </c>
      <c r="L9" s="4">
        <v>2</v>
      </c>
      <c r="M9" s="3"/>
      <c r="N9" s="3"/>
      <c r="O9" s="2" t="s">
        <v>102</v>
      </c>
      <c r="P9" s="2" t="s">
        <v>82</v>
      </c>
      <c r="Q9" s="2" t="s">
        <v>83</v>
      </c>
      <c r="R9" s="2"/>
      <c r="S9" s="2"/>
      <c r="T9" s="16"/>
    </row>
    <row r="10" spans="1:20">
      <c r="A10" s="3">
        <f t="shared" si="0"/>
        <v>4</v>
      </c>
      <c r="B10" s="3"/>
      <c r="C10" s="2" t="s">
        <v>74</v>
      </c>
      <c r="D10" s="2" t="s">
        <v>75</v>
      </c>
      <c r="E10" s="2" t="s">
        <v>36</v>
      </c>
      <c r="F10" s="4" t="s">
        <v>76</v>
      </c>
      <c r="G10" s="3" t="s">
        <v>6</v>
      </c>
      <c r="H10" s="2">
        <v>0</v>
      </c>
      <c r="I10" s="1" t="s">
        <v>80</v>
      </c>
      <c r="J10" s="3"/>
      <c r="K10" s="4">
        <v>8</v>
      </c>
      <c r="L10" s="4">
        <v>0</v>
      </c>
      <c r="M10" s="3"/>
      <c r="N10" s="3"/>
      <c r="O10" s="2" t="s">
        <v>106</v>
      </c>
      <c r="P10" s="2" t="s">
        <v>82</v>
      </c>
      <c r="Q10" s="2" t="s">
        <v>83</v>
      </c>
      <c r="R10" s="2"/>
      <c r="S10" s="2"/>
      <c r="T10" s="16"/>
    </row>
    <row r="11" spans="1:20">
      <c r="A11" s="3">
        <f t="shared" si="0"/>
        <v>5</v>
      </c>
      <c r="B11" s="3"/>
      <c r="C11" s="2" t="s">
        <v>47</v>
      </c>
      <c r="D11" s="2" t="s">
        <v>48</v>
      </c>
      <c r="E11" s="2" t="s">
        <v>99</v>
      </c>
      <c r="F11" s="4">
        <v>6</v>
      </c>
      <c r="G11" s="3" t="s">
        <v>6</v>
      </c>
      <c r="H11" s="2" t="s">
        <v>92</v>
      </c>
      <c r="I11" s="1" t="s">
        <v>78</v>
      </c>
      <c r="J11" s="3"/>
      <c r="K11" s="4">
        <v>6</v>
      </c>
      <c r="L11" s="4"/>
      <c r="M11" s="3" t="s">
        <v>79</v>
      </c>
      <c r="N11" s="3" t="s">
        <v>27</v>
      </c>
      <c r="O11" s="2" t="s">
        <v>49</v>
      </c>
      <c r="P11" s="2" t="s">
        <v>67</v>
      </c>
      <c r="Q11" s="2"/>
      <c r="R11" s="2"/>
      <c r="S11" s="2"/>
      <c r="T11" s="16"/>
    </row>
    <row r="12" spans="1:20">
      <c r="A12" s="3">
        <f t="shared" si="0"/>
        <v>6</v>
      </c>
      <c r="B12" s="3"/>
      <c r="C12" s="2" t="s">
        <v>50</v>
      </c>
      <c r="D12" s="2" t="s">
        <v>51</v>
      </c>
      <c r="E12" s="2" t="s">
        <v>99</v>
      </c>
      <c r="F12" s="4">
        <v>6</v>
      </c>
      <c r="G12" s="3" t="s">
        <v>6</v>
      </c>
      <c r="H12" s="2" t="s">
        <v>92</v>
      </c>
      <c r="I12" s="1" t="s">
        <v>78</v>
      </c>
      <c r="J12" s="3"/>
      <c r="K12" s="4">
        <v>6</v>
      </c>
      <c r="L12" s="4"/>
      <c r="M12" s="3" t="s">
        <v>79</v>
      </c>
      <c r="N12" s="3" t="s">
        <v>27</v>
      </c>
      <c r="O12" s="2" t="s">
        <v>49</v>
      </c>
      <c r="P12" s="2" t="s">
        <v>67</v>
      </c>
      <c r="Q12" s="2"/>
      <c r="R12" s="2"/>
      <c r="S12" s="2"/>
      <c r="T12" s="16"/>
    </row>
  </sheetData>
  <autoFilter ref="A6:T6" xr:uid="{8FA4439A-1A4C-469E-BE0B-D84891F543F4}"/>
  <mergeCells count="15">
    <mergeCell ref="T5:T6"/>
    <mergeCell ref="A5:A6"/>
    <mergeCell ref="B5:H5"/>
    <mergeCell ref="I5:N5"/>
    <mergeCell ref="O5:Q5"/>
    <mergeCell ref="R5:R6"/>
    <mergeCell ref="S5:S6"/>
    <mergeCell ref="B1:C1"/>
    <mergeCell ref="D1:E1"/>
    <mergeCell ref="F1:H1"/>
    <mergeCell ref="B2:C2"/>
    <mergeCell ref="D2:E4"/>
    <mergeCell ref="F2:H4"/>
    <mergeCell ref="B3:C3"/>
    <mergeCell ref="B4:C4"/>
  </mergeCells>
  <phoneticPr fontId="1"/>
  <conditionalFormatting sqref="A7:A12">
    <cfRule type="expression" dxfId="2" priority="3" stopIfTrue="1">
      <formula>ISODD(ROW())</formula>
    </cfRule>
  </conditionalFormatting>
  <conditionalFormatting sqref="B11:G12 B7:T10 I11:T12">
    <cfRule type="expression" dxfId="1" priority="2" stopIfTrue="1">
      <formula>ISODD(ROW())</formula>
    </cfRule>
  </conditionalFormatting>
  <conditionalFormatting sqref="H11:H12">
    <cfRule type="expression" dxfId="0" priority="1" stopIfTrue="1">
      <formula>ISODD(ROW())</formula>
    </cfRule>
  </conditionalFormatting>
  <dataValidations count="5">
    <dataValidation type="list" allowBlank="1" showInputMessage="1" showErrorMessage="1" sqref="N7:N12" xr:uid="{E57812A2-79B9-4D1A-8BEA-99FDF7035446}">
      <formula1>"要,否"</formula1>
    </dataValidation>
    <dataValidation type="list" allowBlank="1" showInputMessage="1" showErrorMessage="1" sqref="M7:M12 J7:J12" xr:uid="{20E793F7-C80D-4069-8B55-216129471604}">
      <formula1>"有,無"</formula1>
    </dataValidation>
    <dataValidation type="list" allowBlank="1" showInputMessage="1" showErrorMessage="1" sqref="I7:I12" xr:uid="{265958FF-23D5-4F78-B7DF-2B1682F48A1B}">
      <formula1>"文字列,数値,日時,真偽値,バイナリ,JSON,XML,UUID"</formula1>
    </dataValidation>
    <dataValidation type="list" allowBlank="1" showInputMessage="1" showErrorMessage="1" sqref="G7:G12 B7:B12" xr:uid="{5347FF86-765E-41D2-A5D1-216225995090}">
      <formula1>"Y,N"</formula1>
    </dataValidation>
    <dataValidation type="list" allowBlank="1" showInputMessage="1" showErrorMessage="1" sqref="B1" xr:uid="{CEB99211-7623-4D4B-A6D9-0D9A8B2B3DD2}">
      <formula1>"Oracle,PostgreSQL,SQLServer"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4D235-E520-4531-8606-4FB3ECB03964}">
  <sheetPr codeName="Sheet14"/>
  <dimension ref="B2:B18"/>
  <sheetViews>
    <sheetView workbookViewId="0"/>
  </sheetViews>
  <sheetFormatPr defaultRowHeight="18"/>
  <sheetData>
    <row r="2" spans="2:2">
      <c r="B2" t="s">
        <v>14</v>
      </c>
    </row>
    <row r="3" spans="2:2">
      <c r="B3" t="s">
        <v>116</v>
      </c>
    </row>
    <row r="4" spans="2:2">
      <c r="B4" t="s">
        <v>117</v>
      </c>
    </row>
    <row r="5" spans="2:2">
      <c r="B5" t="s">
        <v>118</v>
      </c>
    </row>
    <row r="6" spans="2:2">
      <c r="B6" t="s">
        <v>119</v>
      </c>
    </row>
    <row r="8" spans="2:2">
      <c r="B8" t="s">
        <v>120</v>
      </c>
    </row>
    <row r="9" spans="2:2">
      <c r="B9" t="s">
        <v>116</v>
      </c>
    </row>
    <row r="10" spans="2:2">
      <c r="B10" t="s">
        <v>117</v>
      </c>
    </row>
    <row r="11" spans="2:2">
      <c r="B11" t="s">
        <v>118</v>
      </c>
    </row>
    <row r="12" spans="2:2">
      <c r="B12" t="s">
        <v>119</v>
      </c>
    </row>
    <row r="14" spans="2:2">
      <c r="B14" t="s">
        <v>121</v>
      </c>
    </row>
    <row r="15" spans="2:2">
      <c r="B15" t="s">
        <v>116</v>
      </c>
    </row>
    <row r="16" spans="2:2">
      <c r="B16" t="s">
        <v>117</v>
      </c>
    </row>
    <row r="17" spans="2:2">
      <c r="B17" t="s">
        <v>118</v>
      </c>
    </row>
    <row r="18" spans="2:2">
      <c r="B18" t="s">
        <v>119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目次</vt:lpstr>
      <vt:lpstr>CUSTOMERS</vt:lpstr>
      <vt:lpstr>ORDERS</vt:lpstr>
      <vt:lpstr>ORDER_DETAILS</vt:lpstr>
      <vt:lpstr>PRODUCTS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2026-02-27T05:39:14Z</dcterms:created>
  <dcterms:modified xsi:type="dcterms:W3CDTF">2026-09-23T11:11:17Z</dcterms:modified>
</cp:coreProperties>
</file>