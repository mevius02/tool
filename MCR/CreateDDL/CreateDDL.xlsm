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0B8206B3-80C0-4C98-AAFD-D53E44620F0F}" xr6:coauthVersionLast="47" xr6:coauthVersionMax="47" xr10:uidLastSave="{00000000-0000-0000-0000-000000000000}"/>
  <bookViews>
    <workbookView xWindow="-108" yWindow="-108" windowWidth="23256" windowHeight="12456" tabRatio="871" activeTab="3" xr2:uid="{1FF89011-A191-45E8-9A83-C1FA8DA044D9}"/>
  </bookViews>
  <sheets>
    <sheet name="目次" sheetId="409" r:id="rId1"/>
    <sheet name="TBL定義書" sheetId="408" r:id="rId2"/>
    <sheet name="CUSTOMERS" sheetId="319" r:id="rId3"/>
    <sheet name="使い方" sheetId="410" r:id="rId4"/>
    <sheet name="ORDERS" sheetId="322" r:id="rId5"/>
    <sheet name="ORDER_DETAILS" sheetId="321" r:id="rId6"/>
    <sheet name="PRODUCTS" sheetId="320" r:id="rId7"/>
    <sheet name="Sheet1" sheetId="146" r:id="rId8"/>
  </sheets>
  <definedNames>
    <definedName name="_xlnm._FilterDatabase" localSheetId="2" hidden="1">CUSTOMERS!$A$6:$T$6</definedName>
    <definedName name="_xlnm._FilterDatabase" localSheetId="5" hidden="1">ORDER_DETAILS!$A$6:$T$6</definedName>
    <definedName name="_xlnm._FilterDatabase" localSheetId="4" hidden="1">ORDERS!$A$6:$T$6</definedName>
    <definedName name="_xlnm._FilterDatabase" localSheetId="6" hidden="1">PRODUCTS!$A$6:$T$6</definedName>
    <definedName name="_xlnm._FilterDatabase" localSheetId="1" hidden="1">TBL定義書!$A$2:$N$2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6" i="410" l="1"/>
  <c r="A12" i="322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<sst xmlns="http://schemas.openxmlformats.org/spreadsheetml/2006/main" count="652" uniqueCount="194">
  <si>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</si>
  <si>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</si>
  <si>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</si>
  <si>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</si>
  <si>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</si>
  <si>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</si>
  <si>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</si>
  <si>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</si>
  <si>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</si>
  <si>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</si>
  <si>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</si>
  <si>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</si>
  <si>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</si>
  <si>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</si>
  <si>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</si>
  <si>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</si>
  <si>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</si>
  <si>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</si>
  <si>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</si>
  <si>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</si>
  <si>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</si>
  <si>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</si>
  <si>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</si>
  <si>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</si>
  <si>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</si>
  <si>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</si>
  <si>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</si>
  <si>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</si>
  <si>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</si>
  <si>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</si>
  <si>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</si>
  <si>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</si>
  <si>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</si>
  <si>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</si>
  <si>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</si>
  <si>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</si>
  <si>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</si>
  <si>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</si>
  <si>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</si>
  <si>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</si>
  <si>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</si>
  <si>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</si>
  <si>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</si>
  <si>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</si>
  <si>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</si>
  <si>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</si>
  <si>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</si>
  <si>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</si>
  <si>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</si>
  <si>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</si>
  <si>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</si>
  <si>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</si>
  <si>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</si>
  <si>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</si>
  <si>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</si>
  <si>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</si>
  <si>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</si>
  <si>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</si>
  <si>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</si>
  <si>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</si>
  <si>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</si>
  <si>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</si>
  <si>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</si>
  <si>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</si>
  <si>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</si>
  <si>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</si>
  <si>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</si>
  <si>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</si>
  <si>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</si>
  <si>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</si>
  <si>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</si>
  <si>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</si>
  <si>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</si>
  <si>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</si>
  <si>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</si>
  <si>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</si>
  <si>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</si>
  <si>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</si>
  <si>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</si>
  <si>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</si>
  <si>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</si>
  <si>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</si>
  <si>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</si>
  <si>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</si>
  <si>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</si>
  <si>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</si>
  <si>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</si>
  <si>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</si>
  <si>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</si>
  <si>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</si>
  <si>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</si>
  <si>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</si>
  <si>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</si>
  <si>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</si>
  <si>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</si>
  <si>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</si>
  <si>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</si>
  <si>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</si>
  <si>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</si>
  <si>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</si>
  <si>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</si>
  <si>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</si>
  <si>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</si>
  <si>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</si>
  <si>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</si>
  <si>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</si>
  <si>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</si>
  <si>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</si>
  <si>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</si>
  <si>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</si>
  <si>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</si>
  <si>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</si>
  <si>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</si>
  <si>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</si>
  <si>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</si>
  <si>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</si>
  <si>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</si>
  <si>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</si>
  <si>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</si>
  <si>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</si>
  <si>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</si>
  <si>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</si>
  <si>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</si>
  <si>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</si>
  <si>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</si>
  <si>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</si>
  <si>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</si>
  <si>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</si>
  <si>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</si>
  <si>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</si>
  <si>
    <t>顧客マスタ</t>
  </si>
  <si>
    <t>顧客マスタ</t>
    <rPh sb="0" eb="2">
      <t>コキャク</t>
    </rPh>
    <phoneticPr fontId="1"/>
  </si>
  <si>
    <t>受注トラン</t>
  </si>
  <si>
    <t>受注トラン</t>
    <rPh sb="0" eb="2">
      <t>ジュチュウ</t>
    </rPh>
    <phoneticPr fontId="1"/>
  </si>
  <si>
    <t>商品マスタ</t>
  </si>
  <si>
    <t>商品マスタ</t>
    <rPh sb="0" eb="2">
      <t>ショウヒン</t>
    </rPh>
    <phoneticPr fontId="1"/>
  </si>
  <si>
    <t>TBL内特定ID</t>
  </si>
  <si>
    <t>TBL内特定ID</t>
    <rPh sb="3" eb="4">
      <t>ナイ</t>
    </rPh>
    <rPh sb="4" eb="6">
      <t>トクテイ</t>
    </rPh>
    <phoneticPr fontId="1"/>
  </si>
  <si>
    <t>備考1</t>
  </si>
  <si>
    <t>備考1</t>
    <phoneticPr fontId="1"/>
  </si>
  <si>
    <t>Y</t>
    <phoneticPr fontId="1"/>
  </si>
  <si>
    <t>受注トランの明細トラン</t>
  </si>
  <si>
    <t>受注トランの明細トラン</t>
    <rPh sb="6" eb="8">
      <t>メイサイ</t>
    </rPh>
    <phoneticPr fontId="1"/>
  </si>
  <si>
    <t>使い方</t>
    <rPh sb="0" eb="1">
      <t>ツカ</t>
    </rPh>
    <rPh sb="2" eb="3">
      <t>カタ</t>
    </rPh>
    <phoneticPr fontId="1"/>
  </si>
  <si>
    <t>ボタンを押す</t>
  </si>
  <si>
    <t>設定値を設定する</t>
  </si>
  <si>
    <t>このExcelファイルと同じ場所に本日日付フォルダが作成され、その中にファイルが作成される</t>
  </si>
  <si>
    <t>1,</t>
    <phoneticPr fontId="1"/>
  </si>
  <si>
    <t>TBL定義を確定する</t>
    <rPh sb="3" eb="5">
      <t>テイギ</t>
    </rPh>
    <rPh sb="6" eb="8">
      <t>カクテイ</t>
    </rPh>
    <phoneticPr fontId="1"/>
  </si>
  <si>
    <t>COL詳細を入力する</t>
    <rPh sb="3" eb="5">
      <t>ショウサイ</t>
    </rPh>
    <rPh sb="6" eb="8">
      <t>ニュウリョク</t>
    </rPh>
    <phoneticPr fontId="1"/>
  </si>
  <si>
    <t>数値</t>
    <rPh sb="0" eb="2">
      <t>スウチ</t>
    </rPh>
    <phoneticPr fontId="1"/>
  </si>
  <si>
    <t>文字列</t>
    <rPh sb="0" eb="3">
      <t>モジレツ</t>
    </rPh>
    <phoneticPr fontId="1"/>
  </si>
  <si>
    <t>有</t>
    <rPh sb="0" eb="1">
      <t>ア</t>
    </rPh>
    <phoneticPr fontId="1"/>
  </si>
  <si>
    <t>無</t>
    <rPh sb="0" eb="1">
      <t>ナ</t>
    </rPh>
    <phoneticPr fontId="1"/>
  </si>
  <si>
    <t>10</t>
    <phoneticPr fontId="1"/>
  </si>
  <si>
    <t>100</t>
    <phoneticPr fontId="1"/>
  </si>
  <si>
    <t>255</t>
    <phoneticPr fontId="1"/>
  </si>
  <si>
    <t>0</t>
    <phoneticPr fontId="1"/>
  </si>
  <si>
    <t>型候補セット</t>
    <rPh sb="0" eb="1">
      <t>カタ</t>
    </rPh>
    <rPh sb="1" eb="3">
      <t>コウホ</t>
    </rPh>
    <phoneticPr fontId="1"/>
  </si>
  <si>
    <t>型候補</t>
    <rPh sb="0" eb="1">
      <t>カタ</t>
    </rPh>
    <rPh sb="1" eb="3">
      <t>コウホ</t>
    </rPh>
    <phoneticPr fontId="1"/>
  </si>
  <si>
    <t>NUMBER(10,0)</t>
    <phoneticPr fontId="1"/>
  </si>
  <si>
    <t>BINARY_DOUBLE</t>
    <phoneticPr fontId="1"/>
  </si>
  <si>
    <t>BINARY_FLOAT</t>
    <phoneticPr fontId="1"/>
  </si>
  <si>
    <t>NVARCHAR2(100)</t>
    <phoneticPr fontId="1"/>
  </si>
  <si>
    <t>VARCHAR2(100)</t>
    <phoneticPr fontId="1"/>
  </si>
  <si>
    <t>VARCHAR2(255)</t>
    <phoneticPr fontId="1"/>
  </si>
  <si>
    <r>
      <rPr>
        <b/>
        <sz val="11"/>
        <color rgb="FFFF0000"/>
        <rFont val="游ゴシック"/>
        <family val="3"/>
        <charset val="128"/>
        <scheme val="minor"/>
      </rPr>
      <t>赤枠</t>
    </r>
    <r>
      <rPr>
        <sz val="11"/>
        <color theme="1"/>
        <rFont val="游ゴシック"/>
        <family val="2"/>
        <charset val="128"/>
        <scheme val="minor"/>
      </rPr>
      <t>に型候補が出力される</t>
    </r>
    <rPh sb="0" eb="1">
      <t>アカ</t>
    </rPh>
    <rPh sb="1" eb="2">
      <t>ワク</t>
    </rPh>
    <rPh sb="3" eb="4">
      <t>カタ</t>
    </rPh>
    <rPh sb="4" eb="6">
      <t>コウホ</t>
    </rPh>
    <rPh sb="7" eb="9">
      <t>シュツリョク</t>
    </rPh>
    <phoneticPr fontId="1"/>
  </si>
  <si>
    <t>上部</t>
    <phoneticPr fontId="1"/>
  </si>
  <si>
    <t>項目の型の候補を取得する (作業スキップ可)</t>
    <rPh sb="0" eb="2">
      <t>コウモク</t>
    </rPh>
    <rPh sb="3" eb="4">
      <t>カタ</t>
    </rPh>
    <rPh sb="5" eb="7">
      <t>コウホ</t>
    </rPh>
    <rPh sb="8" eb="10">
      <t>シュトク</t>
    </rPh>
    <phoneticPr fontId="1"/>
  </si>
  <si>
    <t>2,</t>
    <phoneticPr fontId="1"/>
  </si>
  <si>
    <t>2-1,</t>
    <phoneticPr fontId="1"/>
  </si>
  <si>
    <t>2-2,</t>
    <phoneticPr fontId="1"/>
  </si>
  <si>
    <t>2-3,</t>
    <phoneticPr fontId="1"/>
  </si>
  <si>
    <t>3,</t>
    <phoneticPr fontId="1"/>
  </si>
  <si>
    <t>DBの種類を指定</t>
    <phoneticPr fontId="1"/>
  </si>
  <si>
    <t>Oracle</t>
    <phoneticPr fontId="1"/>
  </si>
  <si>
    <t>スキーマ名を指定</t>
    <phoneticPr fontId="1"/>
  </si>
  <si>
    <t>テーブル論理名を指定</t>
    <phoneticPr fontId="1"/>
  </si>
  <si>
    <t>テーブル物理名を指定</t>
    <rPh sb="4" eb="6">
      <t>ブツリ</t>
    </rPh>
    <phoneticPr fontId="1"/>
  </si>
  <si>
    <t>NULL不可</t>
    <phoneticPr fontId="1"/>
  </si>
  <si>
    <t>顧客ID</t>
    <rPh sb="0" eb="2">
      <t>コキャク</t>
    </rPh>
    <phoneticPr fontId="1"/>
  </si>
  <si>
    <t>顧客名</t>
    <rPh sb="0" eb="2">
      <t>コキャク</t>
    </rPh>
    <rPh sb="2" eb="3">
      <t>メイ</t>
    </rPh>
    <phoneticPr fontId="1"/>
  </si>
  <si>
    <t>メールアドレス</t>
    <phoneticPr fontId="1"/>
  </si>
  <si>
    <t>CUSTOMER_NAME</t>
    <phoneticPr fontId="1"/>
  </si>
  <si>
    <t>EMAIL</t>
    <phoneticPr fontId="1"/>
  </si>
  <si>
    <t>NUMBER</t>
    <phoneticPr fontId="1"/>
  </si>
  <si>
    <t>VARCHAR2</t>
    <phoneticPr fontId="1"/>
  </si>
  <si>
    <t>4,</t>
    <phoneticPr fontId="1"/>
  </si>
  <si>
    <t>DDL作成</t>
    <rPh sb="3" eb="5">
      <t>サクセイ</t>
    </rPh>
    <phoneticPr fontId="1"/>
  </si>
  <si>
    <t>4-1,</t>
    <phoneticPr fontId="1"/>
  </si>
  <si>
    <t>DDLファイルを作成する</t>
    <phoneticPr fontId="1"/>
  </si>
  <si>
    <t>4-2,</t>
    <phoneticPr fontId="1"/>
  </si>
  <si>
    <t>DDLファイル</t>
    <phoneticPr fontId="1"/>
  </si>
  <si>
    <t>顧客</t>
    <rPh sb="0" eb="2">
      <t>コキャク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</si>
</sst>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AD47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rgb="FFFF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rgb="FFFF0000"/>
      </bottom>
      <diagonal/>
    </border>
    <border>
      <left style="thin">
        <color theme="0"/>
      </left>
      <right/>
      <top style="thin">
        <color theme="0"/>
      </top>
      <bottom style="thick">
        <color rgb="FFFF0000"/>
      </bottom>
      <diagonal/>
    </border>
    <border>
      <left/>
      <right style="thin">
        <color theme="0"/>
      </right>
      <top/>
      <bottom style="thin">
        <color rgb="FFFFFFFF"/>
      </bottom>
      <diagonal/>
    </border>
    <border>
      <left style="thin">
        <color theme="0"/>
      </left>
      <right style="thin">
        <color theme="0"/>
      </right>
      <top/>
      <bottom style="thin">
        <color rgb="FFFFFFFF"/>
      </bottom>
      <diagonal/>
    </border>
    <border>
      <left style="thin">
        <color theme="0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auto="1"/>
      </bottom>
      <diagonal/>
    </border>
    <border>
      <left style="thin">
        <color rgb="FFFFFFFF"/>
      </left>
      <right/>
      <top style="thin">
        <color rgb="FFFFFFFF"/>
      </top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/>
      <right style="thin">
        <color rgb="FFFFFFFF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rgb="FFFFFFFF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rgb="FFFFFFFF"/>
      </top>
      <bottom style="thin">
        <color auto="1"/>
      </bottom>
      <diagonal/>
    </border>
    <border>
      <left style="thin">
        <color theme="0"/>
      </left>
      <right/>
      <top style="thin">
        <color rgb="FFFFFFFF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17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6" fillId="0" borderId="0" xfId="2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8" fillId="12" borderId="16" xfId="0" applyFont="1" applyFill="1" applyBorder="1" applyAlignment="1">
      <alignment horizontal="center" vertical="top"/>
    </xf>
    <xf numFmtId="0" fontId="8" fillId="12" borderId="17" xfId="0" applyFont="1" applyFill="1" applyBorder="1" applyAlignment="1">
      <alignment horizontal="center" vertical="top"/>
    </xf>
    <xf numFmtId="0" fontId="0" fillId="0" borderId="20" xfId="0" applyBorder="1" applyAlignment="1">
      <alignment horizontal="left" vertical="top" wrapText="1"/>
    </xf>
    <xf numFmtId="0" fontId="0" fillId="0" borderId="20" xfId="0" applyBorder="1" applyAlignment="1">
      <alignment horizontal="center" vertical="top" wrapText="1"/>
    </xf>
    <xf numFmtId="0" fontId="0" fillId="0" borderId="20" xfId="0" applyBorder="1" applyAlignment="1">
      <alignment horizontal="right" vertical="top" wrapText="1"/>
    </xf>
    <xf numFmtId="0" fontId="0" fillId="0" borderId="21" xfId="0" applyBorder="1" applyAlignment="1">
      <alignment horizontal="left" vertical="top" wrapText="1"/>
    </xf>
    <xf numFmtId="0" fontId="0" fillId="0" borderId="19" xfId="0" applyBorder="1" applyAlignment="1">
      <alignment horizontal="center" vertical="top"/>
    </xf>
    <xf numFmtId="0" fontId="0" fillId="0" borderId="20" xfId="0" applyBorder="1" applyAlignment="1">
      <alignment horizontal="left" vertical="top"/>
    </xf>
    <xf numFmtId="0" fontId="0" fillId="0" borderId="20" xfId="0" applyBorder="1" applyAlignment="1">
      <alignment horizontal="center" vertical="top"/>
    </xf>
    <xf numFmtId="0" fontId="0" fillId="0" borderId="20" xfId="0" applyBorder="1" applyAlignment="1">
      <alignment horizontal="right" vertical="top"/>
    </xf>
    <xf numFmtId="0" fontId="0" fillId="0" borderId="21" xfId="0" applyBorder="1" applyAlignment="1">
      <alignment horizontal="left" vertical="top"/>
    </xf>
    <xf numFmtId="0" fontId="0" fillId="0" borderId="22" xfId="0" applyBorder="1" applyAlignment="1">
      <alignment horizontal="center" vertical="top"/>
    </xf>
    <xf numFmtId="0" fontId="0" fillId="0" borderId="23" xfId="0" applyBorder="1" applyAlignment="1">
      <alignment horizontal="left" vertical="top"/>
    </xf>
    <xf numFmtId="0" fontId="0" fillId="0" borderId="23" xfId="0" applyBorder="1" applyAlignment="1">
      <alignment horizontal="center" vertical="top"/>
    </xf>
    <xf numFmtId="0" fontId="0" fillId="0" borderId="23" xfId="0" applyBorder="1" applyAlignment="1">
      <alignment horizontal="right" vertical="top"/>
    </xf>
    <xf numFmtId="0" fontId="0" fillId="0" borderId="24" xfId="0" applyBorder="1" applyAlignment="1">
      <alignment horizontal="left" vertical="top"/>
    </xf>
    <xf numFmtId="0" fontId="0" fillId="0" borderId="25" xfId="0" applyBorder="1" applyAlignment="1">
      <alignment horizontal="center" vertical="top"/>
    </xf>
    <xf numFmtId="0" fontId="0" fillId="0" borderId="26" xfId="0" applyBorder="1" applyAlignment="1">
      <alignment horizontal="left" vertical="top"/>
    </xf>
    <xf numFmtId="0" fontId="0" fillId="0" borderId="26" xfId="0" applyBorder="1" applyAlignment="1">
      <alignment horizontal="center" vertical="top"/>
    </xf>
    <xf numFmtId="0" fontId="0" fillId="0" borderId="26" xfId="0" applyBorder="1" applyAlignment="1">
      <alignment horizontal="right" vertical="top"/>
    </xf>
    <xf numFmtId="0" fontId="0" fillId="0" borderId="27" xfId="0" applyBorder="1" applyAlignment="1">
      <alignment horizontal="left" vertical="top"/>
    </xf>
    <xf numFmtId="0" fontId="0" fillId="0" borderId="28" xfId="0" applyBorder="1" applyAlignment="1">
      <alignment horizontal="center" vertical="top"/>
    </xf>
    <xf numFmtId="0" fontId="0" fillId="0" borderId="29" xfId="0" applyBorder="1" applyAlignment="1">
      <alignment horizontal="left" vertical="top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right" vertical="top"/>
    </xf>
    <xf numFmtId="0" fontId="0" fillId="0" borderId="30" xfId="0" applyBorder="1" applyAlignment="1">
      <alignment horizontal="left" vertical="top"/>
    </xf>
    <xf numFmtId="0" fontId="8" fillId="8" borderId="17" xfId="0" applyFont="1" applyFill="1" applyBorder="1" applyAlignment="1">
      <alignment horizontal="center" vertical="top"/>
    </xf>
    <xf numFmtId="0" fontId="8" fillId="8" borderId="18" xfId="0" applyFont="1" applyFill="1" applyBorder="1" applyAlignment="1">
      <alignment horizontal="center" vertical="top"/>
    </xf>
    <xf numFmtId="0" fontId="0" fillId="0" borderId="29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10" fillId="13" borderId="31" xfId="0" applyFont="1" applyFill="1" applyBorder="1" applyAlignment="1">
      <alignment horizontal="center" vertical="center"/>
    </xf>
    <xf numFmtId="0" fontId="10" fillId="13" borderId="32" xfId="0" applyFont="1" applyFill="1" applyBorder="1" applyAlignment="1">
      <alignment horizontal="center" vertical="center"/>
    </xf>
    <xf numFmtId="0" fontId="10" fillId="13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top" wrapText="1"/>
    </xf>
    <xf numFmtId="0" fontId="0" fillId="0" borderId="26" xfId="0" applyBorder="1" applyAlignment="1">
      <alignment horizontal="right" vertical="top" wrapText="1"/>
    </xf>
    <xf numFmtId="0" fontId="0" fillId="0" borderId="27" xfId="0" applyBorder="1" applyAlignment="1">
      <alignment horizontal="left" vertical="top" wrapText="1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 wrapText="1"/>
    </xf>
    <xf numFmtId="0" fontId="0" fillId="0" borderId="30" xfId="0" applyBorder="1" applyAlignment="1">
      <alignment horizontal="left" vertical="top" wrapText="1"/>
    </xf>
    <xf numFmtId="0" fontId="10" fillId="15" borderId="31" xfId="0" applyFont="1" applyFill="1" applyBorder="1" applyAlignment="1">
      <alignment horizontal="center" vertic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2" fillId="0" borderId="34" xfId="0" applyFont="1" applyBorder="1" applyAlignment="1">
      <alignment horizontal="center" vertical="top"/>
    </xf>
    <xf numFmtId="0" fontId="2" fillId="0" borderId="34" xfId="0" applyFont="1" applyBorder="1" applyAlignment="1">
      <alignment horizontal="left" vertical="top" wrapText="1"/>
    </xf>
    <xf numFmtId="0" fontId="2" fillId="0" borderId="34" xfId="0" applyFont="1" applyBorder="1" applyAlignment="1">
      <alignment horizontal="right" vertical="top"/>
    </xf>
    <xf numFmtId="0" fontId="2" fillId="0" borderId="34" xfId="0" applyFont="1" applyBorder="1" applyAlignment="1">
      <alignment horizontal="left" vertical="top"/>
    </xf>
    <xf numFmtId="0" fontId="4" fillId="0" borderId="34" xfId="0" applyFont="1" applyBorder="1" applyAlignment="1">
      <alignment horizontal="left" vertical="top" wrapText="1"/>
    </xf>
    <xf numFmtId="0" fontId="2" fillId="0" borderId="35" xfId="0" applyFont="1" applyBorder="1" applyAlignment="1">
      <alignment horizontal="center" vertical="top"/>
    </xf>
    <xf numFmtId="0" fontId="2" fillId="0" borderId="35" xfId="0" applyFont="1" applyBorder="1" applyAlignment="1">
      <alignment horizontal="left" vertical="top" wrapText="1"/>
    </xf>
    <xf numFmtId="0" fontId="2" fillId="0" borderId="35" xfId="0" quotePrefix="1" applyFont="1" applyBorder="1" applyAlignment="1">
      <alignment horizontal="right" vertical="top"/>
    </xf>
    <xf numFmtId="0" fontId="2" fillId="0" borderId="35" xfId="0" applyFont="1" applyBorder="1" applyAlignment="1">
      <alignment horizontal="left" vertical="top"/>
    </xf>
    <xf numFmtId="0" fontId="2" fillId="0" borderId="35" xfId="0" applyFont="1" applyBorder="1" applyAlignment="1">
      <alignment horizontal="right" vertical="top"/>
    </xf>
    <xf numFmtId="0" fontId="4" fillId="0" borderId="35" xfId="0" applyFont="1" applyBorder="1" applyAlignment="1">
      <alignment horizontal="left" vertical="top" wrapText="1"/>
    </xf>
    <xf numFmtId="0" fontId="2" fillId="0" borderId="36" xfId="0" applyFont="1" applyBorder="1" applyAlignment="1">
      <alignment horizontal="center" vertical="top"/>
    </xf>
    <xf numFmtId="0" fontId="2" fillId="0" borderId="36" xfId="0" applyFont="1" applyBorder="1" applyAlignment="1">
      <alignment horizontal="left" vertical="top" wrapText="1"/>
    </xf>
    <xf numFmtId="0" fontId="2" fillId="0" borderId="36" xfId="0" applyFont="1" applyBorder="1" applyAlignment="1">
      <alignment horizontal="right" vertical="top"/>
    </xf>
    <xf numFmtId="0" fontId="2" fillId="0" borderId="36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2" fillId="0" borderId="38" xfId="0" applyFont="1" applyFill="1" applyBorder="1" applyAlignment="1">
      <alignment horizontal="left" vertical="center" wrapText="1"/>
    </xf>
    <xf numFmtId="0" fontId="2" fillId="0" borderId="39" xfId="0" applyFont="1" applyFill="1" applyBorder="1" applyAlignment="1">
      <alignment horizontal="left" vertical="center" wrapText="1"/>
    </xf>
    <xf numFmtId="0" fontId="2" fillId="0" borderId="39" xfId="0" applyFont="1" applyFill="1" applyBorder="1" applyAlignment="1">
      <alignment horizontal="left" vertical="center"/>
    </xf>
    <xf numFmtId="0" fontId="2" fillId="0" borderId="40" xfId="0" applyFont="1" applyFill="1" applyBorder="1" applyAlignment="1">
      <alignment horizontal="left" vertical="center"/>
    </xf>
    <xf numFmtId="0" fontId="2" fillId="14" borderId="37" xfId="0" applyFont="1" applyFill="1" applyBorder="1" applyAlignment="1">
      <alignment horizontal="left" vertical="center" wrapText="1"/>
    </xf>
    <xf numFmtId="0" fontId="2" fillId="14" borderId="35" xfId="0" applyFont="1" applyFill="1" applyBorder="1" applyAlignment="1">
      <alignment horizontal="left" vertical="center" wrapText="1"/>
    </xf>
    <xf numFmtId="0" fontId="2" fillId="14" borderId="35" xfId="0" applyFont="1" applyFill="1" applyBorder="1" applyAlignment="1">
      <alignment horizontal="left" vertical="center"/>
    </xf>
    <xf numFmtId="0" fontId="2" fillId="14" borderId="41" xfId="0" applyFont="1" applyFill="1" applyBorder="1" applyAlignment="1">
      <alignment horizontal="left" vertical="center"/>
    </xf>
    <xf numFmtId="0" fontId="2" fillId="0" borderId="42" xfId="0" applyFont="1" applyFill="1" applyBorder="1" applyAlignment="1">
      <alignment horizontal="left" vertical="center" wrapText="1"/>
    </xf>
    <xf numFmtId="0" fontId="2" fillId="0" borderId="43" xfId="0" applyFont="1" applyFill="1" applyBorder="1" applyAlignment="1">
      <alignment horizontal="left" vertical="center" wrapText="1"/>
    </xf>
    <xf numFmtId="0" fontId="2" fillId="0" borderId="43" xfId="0" applyFont="1" applyFill="1" applyBorder="1" applyAlignment="1">
      <alignment horizontal="left" vertical="center"/>
    </xf>
    <xf numFmtId="0" fontId="2" fillId="0" borderId="44" xfId="0" applyFont="1" applyFill="1" applyBorder="1" applyAlignment="1">
      <alignment horizontal="left" vertical="center"/>
    </xf>
    <xf numFmtId="0" fontId="2" fillId="14" borderId="35" xfId="0" applyFont="1" applyFill="1" applyBorder="1" applyAlignment="1">
      <alignment horizontal="center" vertical="center"/>
    </xf>
    <xf numFmtId="0" fontId="2" fillId="14" borderId="35" xfId="0" quotePrefix="1" applyFont="1" applyFill="1" applyBorder="1" applyAlignment="1">
      <alignment horizontal="right" vertical="center"/>
    </xf>
    <xf numFmtId="0" fontId="2" fillId="14" borderId="35" xfId="0" applyFont="1" applyFill="1" applyBorder="1" applyAlignment="1">
      <alignment horizontal="right" vertical="center"/>
    </xf>
    <xf numFmtId="0" fontId="2" fillId="0" borderId="36" xfId="0" applyFont="1" applyBorder="1" applyAlignment="1">
      <alignment horizontal="left" vertical="center"/>
    </xf>
    <xf numFmtId="0" fontId="2" fillId="0" borderId="36" xfId="0" applyFont="1" applyBorder="1" applyAlignment="1">
      <alignment horizontal="center" vertical="center"/>
    </xf>
    <xf numFmtId="0" fontId="2" fillId="0" borderId="36" xfId="0" quotePrefix="1" applyFont="1" applyBorder="1" applyAlignment="1">
      <alignment horizontal="right" vertical="center"/>
    </xf>
    <xf numFmtId="0" fontId="2" fillId="0" borderId="36" xfId="0" applyFont="1" applyBorder="1" applyAlignment="1">
      <alignment horizontal="right" vertical="center"/>
    </xf>
    <xf numFmtId="0" fontId="0" fillId="0" borderId="0" xfId="0" applyFont="1" applyAlignment="1">
      <alignment horizontal="left" vertical="top"/>
    </xf>
    <xf numFmtId="0" fontId="2" fillId="6" borderId="51" xfId="0" applyFont="1" applyFill="1" applyBorder="1" applyAlignment="1">
      <alignment horizontal="center" vertical="top"/>
    </xf>
    <xf numFmtId="0" fontId="2" fillId="6" borderId="52" xfId="0" applyFont="1" applyFill="1" applyBorder="1" applyAlignment="1">
      <alignment horizontal="center" vertical="top"/>
    </xf>
    <xf numFmtId="0" fontId="2" fillId="6" borderId="53" xfId="0" applyFont="1" applyFill="1" applyBorder="1" applyAlignment="1">
      <alignment horizontal="center" vertical="top"/>
    </xf>
    <xf numFmtId="0" fontId="2" fillId="7" borderId="45" xfId="0" applyFont="1" applyFill="1" applyBorder="1" applyAlignment="1">
      <alignment horizontal="center" vertical="top"/>
    </xf>
    <xf numFmtId="0" fontId="2" fillId="7" borderId="46" xfId="0" applyFont="1" applyFill="1" applyBorder="1" applyAlignment="1">
      <alignment horizontal="center" vertical="top"/>
    </xf>
    <xf numFmtId="0" fontId="2" fillId="7" borderId="47" xfId="0" applyFont="1" applyFill="1" applyBorder="1" applyAlignment="1">
      <alignment horizontal="center" vertical="top"/>
    </xf>
    <xf numFmtId="0" fontId="2" fillId="7" borderId="48" xfId="0" applyFont="1" applyFill="1" applyBorder="1" applyAlignment="1">
      <alignment horizontal="center" vertical="top" wrapText="1"/>
    </xf>
    <xf numFmtId="0" fontId="2" fillId="7" borderId="49" xfId="0" applyFont="1" applyFill="1" applyBorder="1" applyAlignment="1">
      <alignment horizontal="center" vertical="top" wrapText="1"/>
    </xf>
    <xf numFmtId="0" fontId="2" fillId="7" borderId="49" xfId="0" applyFont="1" applyFill="1" applyBorder="1" applyAlignment="1">
      <alignment horizontal="center" vertical="top"/>
    </xf>
    <xf numFmtId="0" fontId="2" fillId="7" borderId="50" xfId="0" applyFont="1" applyFill="1" applyBorder="1" applyAlignment="1">
      <alignment horizontal="center" vertical="top"/>
    </xf>
    <xf numFmtId="0" fontId="2" fillId="5" borderId="54" xfId="0" applyFont="1" applyFill="1" applyBorder="1" applyAlignment="1">
      <alignment horizontal="center" vertical="top"/>
    </xf>
    <xf numFmtId="0" fontId="2" fillId="5" borderId="54" xfId="0" applyFont="1" applyFill="1" applyBorder="1" applyAlignment="1">
      <alignment horizontal="center" vertical="top" wrapText="1"/>
    </xf>
    <xf numFmtId="0" fontId="2" fillId="5" borderId="55" xfId="0" applyFont="1" applyFill="1" applyBorder="1" applyAlignment="1">
      <alignment horizontal="center" vertical="top"/>
    </xf>
    <xf numFmtId="0" fontId="2" fillId="0" borderId="56" xfId="0" applyFont="1" applyBorder="1" applyAlignment="1">
      <alignment horizontal="center" vertical="center"/>
    </xf>
    <xf numFmtId="0" fontId="2" fillId="0" borderId="56" xfId="0" applyFont="1" applyBorder="1" applyAlignment="1">
      <alignment horizontal="left" vertical="center"/>
    </xf>
    <xf numFmtId="0" fontId="2" fillId="0" borderId="56" xfId="0" quotePrefix="1" applyFont="1" applyBorder="1" applyAlignment="1">
      <alignment horizontal="right" vertical="center"/>
    </xf>
    <xf numFmtId="0" fontId="2" fillId="0" borderId="56" xfId="0" applyFont="1" applyBorder="1" applyAlignment="1">
      <alignment horizontal="right" vertical="center"/>
    </xf>
    <xf numFmtId="0" fontId="2" fillId="5" borderId="57" xfId="0" applyFont="1" applyFill="1" applyBorder="1" applyAlignment="1">
      <alignment horizontal="center" vertical="top"/>
    </xf>
    <xf numFmtId="0" fontId="2" fillId="5" borderId="58" xfId="0" applyFont="1" applyFill="1" applyBorder="1" applyAlignment="1">
      <alignment horizontal="center" vertical="top"/>
    </xf>
    <xf numFmtId="0" fontId="2" fillId="5" borderId="59" xfId="0" applyFont="1" applyFill="1" applyBorder="1" applyAlignment="1">
      <alignment horizontal="center" vertical="top"/>
    </xf>
    <xf numFmtId="0" fontId="2" fillId="5" borderId="60" xfId="0" applyFont="1" applyFill="1" applyBorder="1" applyAlignment="1">
      <alignment horizontal="center" vertical="top"/>
    </xf>
    <xf numFmtId="0" fontId="2" fillId="6" borderId="61" xfId="0" applyFont="1" applyFill="1" applyBorder="1" applyAlignment="1">
      <alignment horizontal="center" vertical="top" wrapText="1"/>
    </xf>
    <xf numFmtId="0" fontId="2" fillId="6" borderId="62" xfId="0" applyFont="1" applyFill="1" applyBorder="1" applyAlignment="1">
      <alignment horizontal="center" vertical="top" wrapText="1"/>
    </xf>
    <xf numFmtId="0" fontId="2" fillId="6" borderId="62" xfId="0" applyFont="1" applyFill="1" applyBorder="1" applyAlignment="1">
      <alignment horizontal="center" vertical="top"/>
    </xf>
    <xf numFmtId="0" fontId="2" fillId="6" borderId="6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 wrapText="1"/>
    </xf>
    <xf numFmtId="0" fontId="2" fillId="2" borderId="6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D9D9D9"/>
      <color rgb="FF70AD47"/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759620</xdr:colOff>
      <xdr:row>0</xdr:row>
      <xdr:rowOff>423500</xdr:rowOff>
    </xdr:to>
    <xdr:sp macro="Btn_UpdateSheet_TableOfContent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68B5177-78BB-961D-21A6-98689123CCE7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508160</xdr:colOff>
      <xdr:row>0</xdr:row>
      <xdr:rowOff>423500</xdr:rowOff>
    </xdr:to>
    <xdr:sp macro="Btn_UpdateSheet_TableInf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BAAF056-0ADE-3DA1-47C8-07B3BDAE1B5F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E3410-9A1C-48A0-B4A1-5891AE4D0E0A}">
  <sheetPr codeName="Sheet29"/>
  <dimension ref="B1:C10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2.69921875" defaultRowHeight="18" outlineLevelRow="1"/>
  <cols>
    <col min="1" max="1" width="2.69921875" style="13"/>
    <col min="2" max="2" width="4.69921875" style="13" customWidth="1"/>
    <col min="3" max="3" width="50.69921875" style="13" customWidth="1"/>
    <col min="4" max="16384" width="2.69921875" style="13"/>
  </cols>
  <sheetData>
    <row r="1" spans="2:3" ht="37.950000000000003" customHeight="1" outlineLevel="1"/>
    <row r="3" spans="2:3">
      <c r="B3" s="13" t="s">
        <v>31</v>
      </c>
    </row>
    <row r="5" spans="2:3">
      <c r="B5" s="13" t="s">
        <v>106</v>
      </c>
      <c r="C5" s="14" t="s">
        <v>128</v>
      </c>
    </row>
    <row r="6" spans="2:3">
      <c r="B6" s="13" t="s">
        <v>107</v>
      </c>
      <c r="C6" s="14" t="s">
        <v>33</v>
      </c>
    </row>
    <row r="7" spans="2:3">
      <c r="B7" s="13" t="s">
        <v>108</v>
      </c>
      <c r="C7" s="14" t="s">
        <v>64</v>
      </c>
    </row>
    <row r="8" spans="2:3">
      <c r="B8" s="13" t="s">
        <v>109</v>
      </c>
      <c r="C8" s="14" t="s">
        <v>52</v>
      </c>
    </row>
    <row r="9" spans="2:3">
      <c r="B9" s="13" t="s">
        <v>113</v>
      </c>
      <c r="C9" s="14" t="s">
        <v>70</v>
      </c>
    </row>
    <row r="10" spans="2:3">
      <c r="B10" s="13" t="s">
        <v>129</v>
      </c>
      <c r="C10" s="14" t="s">
        <v>114</v>
      </c>
    </row>
  </sheetData>
  <phoneticPr fontId="1"/>
  <hyperlinks>
    <hyperlink ref="C5" location="'TBL定義書'!A1" display="TBL定義書" xr:uid="{2F24747E-18D6-4B2C-A41E-64C0F9855E46}"/>
    <hyperlink ref="C6" location="'CUSTOMERS'!A1" display="CUSTOMERS" xr:uid="{4780344F-0439-4AD6-8218-F4B9C0B0CB32}"/>
    <hyperlink ref="C7" location="'ORDERS'!A1" display="ORDERS" xr:uid="{9C3A6354-F165-490F-BC89-243D4D4C7508}"/>
    <hyperlink ref="C8" location="'ORDER_DETAILS'!A1" display="ORDER_DETAILS" xr:uid="{2533E7A6-D480-4664-8239-D7DCEA0AAB06}"/>
    <hyperlink ref="C9" location="'PRODUCTS'!A1" display="PRODUCTS" xr:uid="{E970C024-B173-4FA8-BC45-8AE0A190FDAF}"/>
    <hyperlink ref="C10" location="'Sheet1'!A1" display="Sheet1" xr:uid="{7046FAE7-6289-407C-B818-BA752AF27EE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ECFA1-1938-4D58-8F66-A21F04F4853B}">
  <sheetPr codeName="Sheet28">
    <tabColor rgb="FF87E7AD"/>
  </sheetPr>
  <dimension ref="A1:N26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/>
  <cols>
    <col min="1" max="1" width="10.69921875" style="15" customWidth="1"/>
    <col min="2" max="3" width="30.69921875" style="13" customWidth="1"/>
    <col min="4" max="4" width="10.69921875" style="15" customWidth="1"/>
    <col min="5" max="5" width="5.69921875" style="15" customWidth="1"/>
    <col min="6" max="7" width="30.69921875" style="13" customWidth="1"/>
    <col min="8" max="8" width="20.69921875" style="13" customWidth="1"/>
    <col min="9" max="9" width="10.69921875" style="16" customWidth="1"/>
    <col min="10" max="10" width="12.69921875" style="15" customWidth="1"/>
    <col min="11" max="11" width="20.69921875" style="13" customWidth="1"/>
    <col min="12" max="14" width="30.69921875" style="13" customWidth="1"/>
    <col min="15" max="16384" width="8.796875" style="13"/>
  </cols>
  <sheetData>
    <row r="1" spans="1:14" ht="37.950000000000003" customHeight="1" outlineLevel="1"/>
    <row r="2" spans="1:14" s="15" customFormat="1">
      <c r="A2" s="56" t="s">
        <v>116</v>
      </c>
      <c r="B2" s="57" t="s">
        <v>117</v>
      </c>
      <c r="C2" s="57" t="s">
        <v>118</v>
      </c>
      <c r="D2" s="57" t="s">
        <v>119</v>
      </c>
      <c r="E2" s="57" t="s">
        <v>4</v>
      </c>
      <c r="F2" s="57" t="s">
        <v>120</v>
      </c>
      <c r="G2" s="57" t="s">
        <v>121</v>
      </c>
      <c r="H2" s="57" t="s">
        <v>16</v>
      </c>
      <c r="I2" s="57" t="s">
        <v>17</v>
      </c>
      <c r="J2" s="57" t="s">
        <v>122</v>
      </c>
      <c r="K2" s="57" t="s">
        <v>5</v>
      </c>
      <c r="L2" s="82" t="s">
        <v>28</v>
      </c>
      <c r="M2" s="82" t="s">
        <v>29</v>
      </c>
      <c r="N2" s="83" t="s">
        <v>8</v>
      </c>
    </row>
    <row r="3" spans="1:14">
      <c r="A3" s="62">
        <v>1</v>
      </c>
      <c r="B3" s="58" t="s">
        <v>32</v>
      </c>
      <c r="C3" s="58" t="s">
        <v>33</v>
      </c>
      <c r="D3" s="59">
        <v>1</v>
      </c>
      <c r="E3" s="59" t="s">
        <v>6</v>
      </c>
      <c r="F3" s="58" t="s">
        <v>34</v>
      </c>
      <c r="G3" s="58" t="s">
        <v>35</v>
      </c>
      <c r="H3" s="58" t="s">
        <v>36</v>
      </c>
      <c r="I3" s="60" t="s">
        <v>37</v>
      </c>
      <c r="J3" s="59" t="s">
        <v>6</v>
      </c>
      <c r="K3" s="58"/>
      <c r="L3" s="58" t="s">
        <v>130</v>
      </c>
      <c r="M3" s="58" t="s">
        <v>136</v>
      </c>
      <c r="N3" s="61" t="s">
        <v>138</v>
      </c>
    </row>
    <row r="4" spans="1:14">
      <c r="A4" s="62">
        <v>1</v>
      </c>
      <c r="B4" s="58" t="s">
        <v>32</v>
      </c>
      <c r="C4" s="58" t="s">
        <v>33</v>
      </c>
      <c r="D4" s="59">
        <v>2</v>
      </c>
      <c r="E4" s="59"/>
      <c r="F4" s="58" t="s">
        <v>38</v>
      </c>
      <c r="G4" s="58" t="s">
        <v>39</v>
      </c>
      <c r="H4" s="58" t="s">
        <v>40</v>
      </c>
      <c r="I4" s="60">
        <v>100</v>
      </c>
      <c r="J4" s="59" t="s">
        <v>6</v>
      </c>
      <c r="K4" s="58"/>
      <c r="L4" s="58" t="s">
        <v>130</v>
      </c>
      <c r="M4" s="58"/>
      <c r="N4" s="61"/>
    </row>
    <row r="5" spans="1:14">
      <c r="A5" s="62">
        <v>1</v>
      </c>
      <c r="B5" s="58" t="s">
        <v>32</v>
      </c>
      <c r="C5" s="58" t="s">
        <v>33</v>
      </c>
      <c r="D5" s="59">
        <v>3</v>
      </c>
      <c r="E5" s="59"/>
      <c r="F5" s="58" t="s">
        <v>41</v>
      </c>
      <c r="G5" s="58" t="s">
        <v>42</v>
      </c>
      <c r="H5" s="58" t="s">
        <v>40</v>
      </c>
      <c r="I5" s="60">
        <v>255</v>
      </c>
      <c r="J5" s="59"/>
      <c r="K5" s="58" t="s">
        <v>9</v>
      </c>
      <c r="L5" s="58" t="s">
        <v>130</v>
      </c>
      <c r="M5" s="58"/>
      <c r="N5" s="61"/>
    </row>
    <row r="6" spans="1:14">
      <c r="A6" s="62">
        <v>1</v>
      </c>
      <c r="B6" s="58" t="s">
        <v>32</v>
      </c>
      <c r="C6" s="58" t="s">
        <v>33</v>
      </c>
      <c r="D6" s="59">
        <v>4</v>
      </c>
      <c r="E6" s="59"/>
      <c r="F6" s="58" t="s">
        <v>43</v>
      </c>
      <c r="G6" s="58" t="s">
        <v>44</v>
      </c>
      <c r="H6" s="58" t="s">
        <v>40</v>
      </c>
      <c r="I6" s="60">
        <v>20</v>
      </c>
      <c r="J6" s="59"/>
      <c r="K6" s="58" t="s">
        <v>9</v>
      </c>
      <c r="L6" s="58" t="s">
        <v>130</v>
      </c>
      <c r="M6" s="58"/>
      <c r="N6" s="61"/>
    </row>
    <row r="7" spans="1:14">
      <c r="A7" s="62">
        <v>1</v>
      </c>
      <c r="B7" s="58" t="s">
        <v>32</v>
      </c>
      <c r="C7" s="58" t="s">
        <v>33</v>
      </c>
      <c r="D7" s="59">
        <v>5</v>
      </c>
      <c r="E7" s="59"/>
      <c r="F7" s="58" t="s">
        <v>45</v>
      </c>
      <c r="G7" s="58" t="s">
        <v>46</v>
      </c>
      <c r="H7" s="58" t="s">
        <v>91</v>
      </c>
      <c r="I7" s="60">
        <v>255</v>
      </c>
      <c r="J7" s="59"/>
      <c r="K7" s="58" t="s">
        <v>9</v>
      </c>
      <c r="L7" s="58" t="s">
        <v>130</v>
      </c>
      <c r="M7" s="58"/>
      <c r="N7" s="61"/>
    </row>
    <row r="8" spans="1:14">
      <c r="A8" s="62">
        <v>1</v>
      </c>
      <c r="B8" s="58" t="s">
        <v>32</v>
      </c>
      <c r="C8" s="58" t="s">
        <v>33</v>
      </c>
      <c r="D8" s="59">
        <v>6</v>
      </c>
      <c r="E8" s="59"/>
      <c r="F8" s="58" t="s">
        <v>47</v>
      </c>
      <c r="G8" s="58" t="s">
        <v>48</v>
      </c>
      <c r="H8" s="58" t="s">
        <v>90</v>
      </c>
      <c r="I8" s="60">
        <v>6</v>
      </c>
      <c r="J8" s="59" t="s">
        <v>6</v>
      </c>
      <c r="K8" s="58" t="s">
        <v>92</v>
      </c>
      <c r="L8" s="58" t="s">
        <v>130</v>
      </c>
      <c r="M8" s="58"/>
      <c r="N8" s="61"/>
    </row>
    <row r="9" spans="1:14" ht="18.600000000000001" thickBot="1">
      <c r="A9" s="72">
        <v>1</v>
      </c>
      <c r="B9" s="85" t="s">
        <v>32</v>
      </c>
      <c r="C9" s="85" t="s">
        <v>33</v>
      </c>
      <c r="D9" s="89">
        <v>7</v>
      </c>
      <c r="E9" s="89"/>
      <c r="F9" s="85" t="s">
        <v>50</v>
      </c>
      <c r="G9" s="85" t="s">
        <v>51</v>
      </c>
      <c r="H9" s="85" t="s">
        <v>90</v>
      </c>
      <c r="I9" s="90">
        <v>6</v>
      </c>
      <c r="J9" s="89" t="s">
        <v>6</v>
      </c>
      <c r="K9" s="85" t="s">
        <v>92</v>
      </c>
      <c r="L9" s="85" t="s">
        <v>130</v>
      </c>
      <c r="M9" s="85"/>
      <c r="N9" s="91"/>
    </row>
    <row r="10" spans="1:14" ht="18.600000000000001" thickTop="1">
      <c r="A10" s="77">
        <v>2</v>
      </c>
      <c r="B10" s="84" t="s">
        <v>124</v>
      </c>
      <c r="C10" s="84" t="s">
        <v>64</v>
      </c>
      <c r="D10" s="92">
        <v>1</v>
      </c>
      <c r="E10" s="92" t="s">
        <v>6</v>
      </c>
      <c r="F10" s="84" t="s">
        <v>55</v>
      </c>
      <c r="G10" s="84" t="s">
        <v>56</v>
      </c>
      <c r="H10" s="84" t="s">
        <v>36</v>
      </c>
      <c r="I10" s="93" t="s">
        <v>37</v>
      </c>
      <c r="J10" s="92" t="s">
        <v>6</v>
      </c>
      <c r="K10" s="84"/>
      <c r="L10" s="84" t="s">
        <v>132</v>
      </c>
      <c r="M10" s="84"/>
      <c r="N10" s="94"/>
    </row>
    <row r="11" spans="1:14">
      <c r="A11" s="62">
        <v>2</v>
      </c>
      <c r="B11" s="58" t="s">
        <v>124</v>
      </c>
      <c r="C11" s="58" t="s">
        <v>64</v>
      </c>
      <c r="D11" s="59">
        <v>2</v>
      </c>
      <c r="E11" s="59"/>
      <c r="F11" s="58" t="s">
        <v>34</v>
      </c>
      <c r="G11" s="58" t="s">
        <v>35</v>
      </c>
      <c r="H11" s="58" t="s">
        <v>36</v>
      </c>
      <c r="I11" s="60" t="s">
        <v>37</v>
      </c>
      <c r="J11" s="59" t="s">
        <v>6</v>
      </c>
      <c r="K11" s="58"/>
      <c r="L11" s="58" t="s">
        <v>132</v>
      </c>
      <c r="M11" s="58"/>
      <c r="N11" s="61"/>
    </row>
    <row r="12" spans="1:14">
      <c r="A12" s="62">
        <v>2</v>
      </c>
      <c r="B12" s="58" t="s">
        <v>124</v>
      </c>
      <c r="C12" s="58" t="s">
        <v>64</v>
      </c>
      <c r="D12" s="59">
        <v>3</v>
      </c>
      <c r="E12" s="59"/>
      <c r="F12" s="58" t="s">
        <v>65</v>
      </c>
      <c r="G12" s="58" t="s">
        <v>66</v>
      </c>
      <c r="H12" s="58" t="s">
        <v>67</v>
      </c>
      <c r="I12" s="60"/>
      <c r="J12" s="59" t="s">
        <v>6</v>
      </c>
      <c r="K12" s="58" t="s">
        <v>126</v>
      </c>
      <c r="L12" s="58" t="s">
        <v>132</v>
      </c>
      <c r="M12" s="58"/>
      <c r="N12" s="61"/>
    </row>
    <row r="13" spans="1:14">
      <c r="A13" s="62">
        <v>2</v>
      </c>
      <c r="B13" s="63" t="s">
        <v>124</v>
      </c>
      <c r="C13" s="63" t="s">
        <v>64</v>
      </c>
      <c r="D13" s="64">
        <v>4</v>
      </c>
      <c r="E13" s="64"/>
      <c r="F13" s="63" t="s">
        <v>68</v>
      </c>
      <c r="G13" s="63" t="s">
        <v>69</v>
      </c>
      <c r="H13" s="63" t="s">
        <v>40</v>
      </c>
      <c r="I13" s="65">
        <v>20</v>
      </c>
      <c r="J13" s="64" t="s">
        <v>6</v>
      </c>
      <c r="K13" s="63"/>
      <c r="L13" s="63" t="s">
        <v>132</v>
      </c>
      <c r="M13" s="63"/>
      <c r="N13" s="66"/>
    </row>
    <row r="14" spans="1:14">
      <c r="A14" s="62">
        <v>2</v>
      </c>
      <c r="B14" s="63" t="s">
        <v>124</v>
      </c>
      <c r="C14" s="63" t="s">
        <v>64</v>
      </c>
      <c r="D14" s="64">
        <v>5</v>
      </c>
      <c r="E14" s="64"/>
      <c r="F14" s="63" t="s">
        <v>47</v>
      </c>
      <c r="G14" s="63" t="s">
        <v>48</v>
      </c>
      <c r="H14" s="63" t="s">
        <v>90</v>
      </c>
      <c r="I14" s="65">
        <v>6</v>
      </c>
      <c r="J14" s="64" t="s">
        <v>6</v>
      </c>
      <c r="K14" s="63" t="s">
        <v>126</v>
      </c>
      <c r="L14" s="63" t="s">
        <v>132</v>
      </c>
      <c r="M14" s="63"/>
      <c r="N14" s="66"/>
    </row>
    <row r="15" spans="1:14" ht="18.600000000000001" thickBot="1">
      <c r="A15" s="72">
        <v>2</v>
      </c>
      <c r="B15" s="73" t="s">
        <v>124</v>
      </c>
      <c r="C15" s="73" t="s">
        <v>64</v>
      </c>
      <c r="D15" s="74">
        <v>6</v>
      </c>
      <c r="E15" s="74"/>
      <c r="F15" s="73" t="s">
        <v>50</v>
      </c>
      <c r="G15" s="73" t="s">
        <v>51</v>
      </c>
      <c r="H15" s="73" t="s">
        <v>90</v>
      </c>
      <c r="I15" s="75">
        <v>6</v>
      </c>
      <c r="J15" s="74" t="s">
        <v>6</v>
      </c>
      <c r="K15" s="73" t="s">
        <v>126</v>
      </c>
      <c r="L15" s="73" t="s">
        <v>132</v>
      </c>
      <c r="M15" s="73"/>
      <c r="N15" s="76"/>
    </row>
    <row r="16" spans="1:14" ht="18.600000000000001" thickTop="1">
      <c r="A16" s="77">
        <v>3</v>
      </c>
      <c r="B16" s="78" t="s">
        <v>123</v>
      </c>
      <c r="C16" s="78" t="s">
        <v>52</v>
      </c>
      <c r="D16" s="79">
        <v>1</v>
      </c>
      <c r="E16" s="79" t="s">
        <v>6</v>
      </c>
      <c r="F16" s="78" t="s">
        <v>53</v>
      </c>
      <c r="G16" s="78" t="s">
        <v>54</v>
      </c>
      <c r="H16" s="78" t="s">
        <v>36</v>
      </c>
      <c r="I16" s="80" t="s">
        <v>37</v>
      </c>
      <c r="J16" s="79" t="s">
        <v>6</v>
      </c>
      <c r="K16" s="78"/>
      <c r="L16" s="78" t="s">
        <v>141</v>
      </c>
      <c r="M16" s="78"/>
      <c r="N16" s="81"/>
    </row>
    <row r="17" spans="1:14">
      <c r="A17" s="62">
        <v>3</v>
      </c>
      <c r="B17" s="63" t="s">
        <v>123</v>
      </c>
      <c r="C17" s="63" t="s">
        <v>52</v>
      </c>
      <c r="D17" s="64">
        <v>2</v>
      </c>
      <c r="E17" s="64"/>
      <c r="F17" s="63" t="s">
        <v>55</v>
      </c>
      <c r="G17" s="63" t="s">
        <v>56</v>
      </c>
      <c r="H17" s="63" t="s">
        <v>36</v>
      </c>
      <c r="I17" s="65" t="s">
        <v>37</v>
      </c>
      <c r="J17" s="64" t="s">
        <v>6</v>
      </c>
      <c r="K17" s="63"/>
      <c r="L17" s="63" t="s">
        <v>141</v>
      </c>
      <c r="M17" s="63"/>
      <c r="N17" s="66"/>
    </row>
    <row r="18" spans="1:14">
      <c r="A18" s="62">
        <v>3</v>
      </c>
      <c r="B18" s="63" t="s">
        <v>123</v>
      </c>
      <c r="C18" s="63" t="s">
        <v>52</v>
      </c>
      <c r="D18" s="64">
        <v>3</v>
      </c>
      <c r="E18" s="64"/>
      <c r="F18" s="63" t="s">
        <v>57</v>
      </c>
      <c r="G18" s="63" t="s">
        <v>58</v>
      </c>
      <c r="H18" s="63" t="s">
        <v>36</v>
      </c>
      <c r="I18" s="65" t="s">
        <v>37</v>
      </c>
      <c r="J18" s="64" t="s">
        <v>6</v>
      </c>
      <c r="K18" s="63"/>
      <c r="L18" s="63" t="s">
        <v>141</v>
      </c>
      <c r="M18" s="63"/>
      <c r="N18" s="66"/>
    </row>
    <row r="19" spans="1:14">
      <c r="A19" s="62">
        <v>3</v>
      </c>
      <c r="B19" s="63" t="s">
        <v>123</v>
      </c>
      <c r="C19" s="63" t="s">
        <v>52</v>
      </c>
      <c r="D19" s="64">
        <v>4</v>
      </c>
      <c r="E19" s="64"/>
      <c r="F19" s="63" t="s">
        <v>59</v>
      </c>
      <c r="G19" s="63" t="s">
        <v>60</v>
      </c>
      <c r="H19" s="63" t="s">
        <v>36</v>
      </c>
      <c r="I19" s="65" t="s">
        <v>37</v>
      </c>
      <c r="J19" s="64" t="s">
        <v>6</v>
      </c>
      <c r="K19" s="63"/>
      <c r="L19" s="63" t="s">
        <v>141</v>
      </c>
      <c r="M19" s="63"/>
      <c r="N19" s="66"/>
    </row>
    <row r="20" spans="1:14" ht="18.600000000000001" thickBot="1">
      <c r="A20" s="72">
        <v>3</v>
      </c>
      <c r="B20" s="73" t="s">
        <v>123</v>
      </c>
      <c r="C20" s="73" t="s">
        <v>52</v>
      </c>
      <c r="D20" s="74">
        <v>5</v>
      </c>
      <c r="E20" s="74"/>
      <c r="F20" s="73" t="s">
        <v>61</v>
      </c>
      <c r="G20" s="73" t="s">
        <v>62</v>
      </c>
      <c r="H20" s="73" t="s">
        <v>36</v>
      </c>
      <c r="I20" s="75" t="s">
        <v>127</v>
      </c>
      <c r="J20" s="74" t="s">
        <v>6</v>
      </c>
      <c r="K20" s="73"/>
      <c r="L20" s="73" t="s">
        <v>141</v>
      </c>
      <c r="M20" s="73"/>
      <c r="N20" s="76"/>
    </row>
    <row r="21" spans="1:14" ht="18.600000000000001" thickTop="1">
      <c r="A21" s="77">
        <v>4</v>
      </c>
      <c r="B21" s="78" t="s">
        <v>125</v>
      </c>
      <c r="C21" s="78" t="s">
        <v>70</v>
      </c>
      <c r="D21" s="79">
        <v>1</v>
      </c>
      <c r="E21" s="79" t="s">
        <v>6</v>
      </c>
      <c r="F21" s="78" t="s">
        <v>57</v>
      </c>
      <c r="G21" s="78" t="s">
        <v>58</v>
      </c>
      <c r="H21" s="78" t="s">
        <v>36</v>
      </c>
      <c r="I21" s="80" t="s">
        <v>37</v>
      </c>
      <c r="J21" s="79" t="s">
        <v>6</v>
      </c>
      <c r="K21" s="78"/>
      <c r="L21" s="78" t="s">
        <v>134</v>
      </c>
      <c r="M21" s="78"/>
      <c r="N21" s="81"/>
    </row>
    <row r="22" spans="1:14">
      <c r="A22" s="62">
        <v>4</v>
      </c>
      <c r="B22" s="63" t="s">
        <v>125</v>
      </c>
      <c r="C22" s="63" t="s">
        <v>70</v>
      </c>
      <c r="D22" s="64">
        <v>2</v>
      </c>
      <c r="E22" s="64"/>
      <c r="F22" s="63" t="s">
        <v>71</v>
      </c>
      <c r="G22" s="63" t="s">
        <v>72</v>
      </c>
      <c r="H22" s="63" t="s">
        <v>40</v>
      </c>
      <c r="I22" s="65">
        <v>100</v>
      </c>
      <c r="J22" s="64" t="s">
        <v>6</v>
      </c>
      <c r="K22" s="63"/>
      <c r="L22" s="63" t="s">
        <v>134</v>
      </c>
      <c r="M22" s="63"/>
      <c r="N22" s="66"/>
    </row>
    <row r="23" spans="1:14">
      <c r="A23" s="62">
        <v>4</v>
      </c>
      <c r="B23" s="63" t="s">
        <v>125</v>
      </c>
      <c r="C23" s="63" t="s">
        <v>70</v>
      </c>
      <c r="D23" s="64">
        <v>3</v>
      </c>
      <c r="E23" s="64"/>
      <c r="F23" s="63" t="s">
        <v>73</v>
      </c>
      <c r="G23" s="63" t="s">
        <v>62</v>
      </c>
      <c r="H23" s="63" t="s">
        <v>36</v>
      </c>
      <c r="I23" s="65" t="s">
        <v>63</v>
      </c>
      <c r="J23" s="64" t="s">
        <v>6</v>
      </c>
      <c r="K23" s="63"/>
      <c r="L23" s="63" t="s">
        <v>134</v>
      </c>
      <c r="M23" s="63"/>
      <c r="N23" s="66"/>
    </row>
    <row r="24" spans="1:14">
      <c r="A24" s="62">
        <v>4</v>
      </c>
      <c r="B24" s="63" t="s">
        <v>125</v>
      </c>
      <c r="C24" s="63" t="s">
        <v>70</v>
      </c>
      <c r="D24" s="64">
        <v>4</v>
      </c>
      <c r="E24" s="64"/>
      <c r="F24" s="63" t="s">
        <v>74</v>
      </c>
      <c r="G24" s="63" t="s">
        <v>75</v>
      </c>
      <c r="H24" s="63" t="s">
        <v>36</v>
      </c>
      <c r="I24" s="65" t="s">
        <v>76</v>
      </c>
      <c r="J24" s="64" t="s">
        <v>6</v>
      </c>
      <c r="K24" s="63">
        <v>0</v>
      </c>
      <c r="L24" s="63" t="s">
        <v>134</v>
      </c>
      <c r="M24" s="63"/>
      <c r="N24" s="66"/>
    </row>
    <row r="25" spans="1:14">
      <c r="A25" s="62">
        <v>4</v>
      </c>
      <c r="B25" s="63" t="s">
        <v>125</v>
      </c>
      <c r="C25" s="63" t="s">
        <v>70</v>
      </c>
      <c r="D25" s="64">
        <v>5</v>
      </c>
      <c r="E25" s="64"/>
      <c r="F25" s="63" t="s">
        <v>47</v>
      </c>
      <c r="G25" s="63" t="s">
        <v>48</v>
      </c>
      <c r="H25" s="63" t="s">
        <v>90</v>
      </c>
      <c r="I25" s="65">
        <v>6</v>
      </c>
      <c r="J25" s="64" t="s">
        <v>6</v>
      </c>
      <c r="K25" s="63" t="s">
        <v>126</v>
      </c>
      <c r="L25" s="63" t="s">
        <v>134</v>
      </c>
      <c r="M25" s="63"/>
      <c r="N25" s="66"/>
    </row>
    <row r="26" spans="1:14">
      <c r="A26" s="67">
        <v>4</v>
      </c>
      <c r="B26" s="68" t="s">
        <v>125</v>
      </c>
      <c r="C26" s="68" t="s">
        <v>70</v>
      </c>
      <c r="D26" s="69">
        <v>6</v>
      </c>
      <c r="E26" s="69"/>
      <c r="F26" s="68" t="s">
        <v>50</v>
      </c>
      <c r="G26" s="68" t="s">
        <v>51</v>
      </c>
      <c r="H26" s="68" t="s">
        <v>90</v>
      </c>
      <c r="I26" s="70">
        <v>6</v>
      </c>
      <c r="J26" s="69" t="s">
        <v>6</v>
      </c>
      <c r="K26" s="68" t="s">
        <v>126</v>
      </c>
      <c r="L26" s="68" t="s">
        <v>134</v>
      </c>
      <c r="M26" s="68"/>
      <c r="N26" s="71"/>
    </row>
  </sheetData>
  <autoFilter ref="A2:N2" xr:uid="{47AECFA1-1938-4D58-8F66-A21F04F4853B}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17" t="s">
        <v>14</v>
      </c>
      <c r="C1" s="18"/>
      <c r="D1" s="26" t="s">
        <v>28</v>
      </c>
      <c r="E1" s="27"/>
      <c r="F1" s="34" t="s">
        <v>115</v>
      </c>
      <c r="G1" s="35"/>
      <c r="H1" s="36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19" t="s">
        <v>77</v>
      </c>
      <c r="C2" s="20"/>
      <c r="D2" s="28" t="s">
        <v>131</v>
      </c>
      <c r="E2" s="29"/>
      <c r="F2" s="37"/>
      <c r="G2" s="38"/>
      <c r="H2" s="39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19" t="s">
        <v>32</v>
      </c>
      <c r="C3" s="20"/>
      <c r="D3" s="30"/>
      <c r="E3" s="31"/>
      <c r="F3" s="40"/>
      <c r="G3" s="41"/>
      <c r="H3" s="42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19" t="s">
        <v>110</v>
      </c>
      <c r="C4" s="20"/>
      <c r="D4" s="32"/>
      <c r="E4" s="33"/>
      <c r="F4" s="43"/>
      <c r="G4" s="44"/>
      <c r="H4" s="45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21" t="s">
        <v>7</v>
      </c>
      <c r="B5" s="23" t="s">
        <v>15</v>
      </c>
      <c r="C5" s="24"/>
      <c r="D5" s="24"/>
      <c r="E5" s="24"/>
      <c r="F5" s="24"/>
      <c r="G5" s="24"/>
      <c r="H5" s="25"/>
      <c r="I5" s="46" t="s">
        <v>19</v>
      </c>
      <c r="J5" s="47"/>
      <c r="K5" s="47"/>
      <c r="L5" s="47"/>
      <c r="M5" s="47"/>
      <c r="N5" s="48"/>
      <c r="O5" s="49" t="s">
        <v>12</v>
      </c>
      <c r="P5" s="50"/>
      <c r="Q5" s="51"/>
      <c r="R5" s="52" t="s">
        <v>29</v>
      </c>
      <c r="S5" s="52" t="s">
        <v>8</v>
      </c>
      <c r="T5" s="54" t="s">
        <v>25</v>
      </c>
    </row>
    <row r="6" spans="1:20" ht="26.4">
      <c r="A6" s="22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53"/>
      <c r="S6" s="53"/>
      <c r="T6" s="55"/>
    </row>
    <row r="7" spans="1:20">
      <c r="A7" s="104">
        <f t="shared" ref="A7:A13" si="0">ROW()-6</f>
        <v>1</v>
      </c>
      <c r="B7" s="104" t="s">
        <v>112</v>
      </c>
      <c r="C7" s="105" t="s">
        <v>34</v>
      </c>
      <c r="D7" s="105" t="s">
        <v>111</v>
      </c>
      <c r="E7" s="105" t="s">
        <v>36</v>
      </c>
      <c r="F7" s="106" t="s">
        <v>97</v>
      </c>
      <c r="G7" s="104" t="s">
        <v>6</v>
      </c>
      <c r="H7" s="105"/>
      <c r="I7" s="107" t="s">
        <v>80</v>
      </c>
      <c r="J7" s="104"/>
      <c r="K7" s="106">
        <v>10</v>
      </c>
      <c r="L7" s="106">
        <v>0</v>
      </c>
      <c r="M7" s="104"/>
      <c r="N7" s="104"/>
      <c r="O7" s="105" t="s">
        <v>81</v>
      </c>
      <c r="P7" s="105" t="s">
        <v>82</v>
      </c>
      <c r="Q7" s="105" t="s">
        <v>83</v>
      </c>
      <c r="R7" s="105" t="s">
        <v>137</v>
      </c>
      <c r="S7" s="105" t="s">
        <v>139</v>
      </c>
      <c r="T7" s="108"/>
    </row>
    <row r="8" spans="1:20">
      <c r="A8" s="109">
        <f t="shared" si="0"/>
        <v>2</v>
      </c>
      <c r="B8" s="109"/>
      <c r="C8" s="110" t="s">
        <v>38</v>
      </c>
      <c r="D8" s="110" t="s">
        <v>39</v>
      </c>
      <c r="E8" s="110" t="s">
        <v>40</v>
      </c>
      <c r="F8" s="111">
        <v>100</v>
      </c>
      <c r="G8" s="109" t="s">
        <v>6</v>
      </c>
      <c r="H8" s="110"/>
      <c r="I8" s="112" t="s">
        <v>13</v>
      </c>
      <c r="J8" s="109" t="s">
        <v>79</v>
      </c>
      <c r="K8" s="113">
        <v>100</v>
      </c>
      <c r="L8" s="113"/>
      <c r="M8" s="109"/>
      <c r="N8" s="109"/>
      <c r="O8" s="110" t="s">
        <v>84</v>
      </c>
      <c r="P8" s="110" t="s">
        <v>85</v>
      </c>
      <c r="Q8" s="110"/>
      <c r="R8" s="110"/>
      <c r="S8" s="110"/>
      <c r="T8" s="114"/>
    </row>
    <row r="9" spans="1:20">
      <c r="A9" s="109">
        <f t="shared" si="0"/>
        <v>3</v>
      </c>
      <c r="B9" s="109"/>
      <c r="C9" s="110" t="s">
        <v>41</v>
      </c>
      <c r="D9" s="110" t="s">
        <v>42</v>
      </c>
      <c r="E9" s="110" t="s">
        <v>40</v>
      </c>
      <c r="F9" s="113">
        <v>255</v>
      </c>
      <c r="G9" s="109"/>
      <c r="H9" s="110" t="s">
        <v>9</v>
      </c>
      <c r="I9" s="112" t="s">
        <v>13</v>
      </c>
      <c r="J9" s="109" t="s">
        <v>26</v>
      </c>
      <c r="K9" s="113">
        <v>255</v>
      </c>
      <c r="L9" s="113"/>
      <c r="M9" s="109"/>
      <c r="N9" s="109"/>
      <c r="O9" s="110" t="s">
        <v>86</v>
      </c>
      <c r="P9" s="110" t="s">
        <v>87</v>
      </c>
      <c r="Q9" s="110"/>
      <c r="R9" s="110"/>
      <c r="S9" s="110"/>
      <c r="T9" s="114"/>
    </row>
    <row r="10" spans="1:20">
      <c r="A10" s="109">
        <f t="shared" si="0"/>
        <v>4</v>
      </c>
      <c r="B10" s="109"/>
      <c r="C10" s="110" t="s">
        <v>43</v>
      </c>
      <c r="D10" s="110" t="s">
        <v>44</v>
      </c>
      <c r="E10" s="110" t="s">
        <v>40</v>
      </c>
      <c r="F10" s="113">
        <v>20</v>
      </c>
      <c r="G10" s="109"/>
      <c r="H10" s="110" t="s">
        <v>9</v>
      </c>
      <c r="I10" s="112" t="s">
        <v>13</v>
      </c>
      <c r="J10" s="109" t="s">
        <v>26</v>
      </c>
      <c r="K10" s="113">
        <v>20</v>
      </c>
      <c r="L10" s="113"/>
      <c r="M10" s="109"/>
      <c r="N10" s="109"/>
      <c r="O10" s="110" t="s">
        <v>88</v>
      </c>
      <c r="P10" s="110" t="s">
        <v>89</v>
      </c>
      <c r="Q10" s="110"/>
      <c r="R10" s="110"/>
      <c r="S10" s="110"/>
      <c r="T10" s="114"/>
    </row>
    <row r="11" spans="1:20">
      <c r="A11" s="109">
        <f t="shared" si="0"/>
        <v>5</v>
      </c>
      <c r="B11" s="109"/>
      <c r="C11" s="110" t="s">
        <v>45</v>
      </c>
      <c r="D11" s="110" t="s">
        <v>46</v>
      </c>
      <c r="E11" s="110" t="s">
        <v>91</v>
      </c>
      <c r="F11" s="113">
        <v>255</v>
      </c>
      <c r="G11" s="109"/>
      <c r="H11" s="110" t="s">
        <v>93</v>
      </c>
      <c r="I11" s="112" t="s">
        <v>13</v>
      </c>
      <c r="J11" s="109" t="s">
        <v>79</v>
      </c>
      <c r="K11" s="113">
        <v>255</v>
      </c>
      <c r="L11" s="113"/>
      <c r="M11" s="109"/>
      <c r="N11" s="109"/>
      <c r="O11" s="110" t="s">
        <v>87</v>
      </c>
      <c r="P11" s="110" t="s">
        <v>86</v>
      </c>
      <c r="Q11" s="110"/>
      <c r="R11" s="110"/>
      <c r="S11" s="110"/>
      <c r="T11" s="114"/>
    </row>
    <row r="12" spans="1:20">
      <c r="A12" s="109">
        <f t="shared" si="0"/>
        <v>6</v>
      </c>
      <c r="B12" s="109"/>
      <c r="C12" s="110" t="s">
        <v>47</v>
      </c>
      <c r="D12" s="110" t="s">
        <v>48</v>
      </c>
      <c r="E12" s="110" t="s">
        <v>90</v>
      </c>
      <c r="F12" s="113">
        <v>6</v>
      </c>
      <c r="G12" s="109" t="s">
        <v>6</v>
      </c>
      <c r="H12" s="110" t="s">
        <v>92</v>
      </c>
      <c r="I12" s="112" t="s">
        <v>78</v>
      </c>
      <c r="J12" s="109"/>
      <c r="K12" s="113">
        <v>6</v>
      </c>
      <c r="L12" s="113"/>
      <c r="M12" s="109" t="s">
        <v>79</v>
      </c>
      <c r="N12" s="109" t="s">
        <v>27</v>
      </c>
      <c r="O12" s="110" t="s">
        <v>49</v>
      </c>
      <c r="P12" s="110" t="s">
        <v>67</v>
      </c>
      <c r="Q12" s="110"/>
      <c r="R12" s="110"/>
      <c r="S12" s="110"/>
      <c r="T12" s="114"/>
    </row>
    <row r="13" spans="1:20">
      <c r="A13" s="115">
        <f t="shared" si="0"/>
        <v>7</v>
      </c>
      <c r="B13" s="115"/>
      <c r="C13" s="116" t="s">
        <v>50</v>
      </c>
      <c r="D13" s="116" t="s">
        <v>51</v>
      </c>
      <c r="E13" s="116" t="s">
        <v>90</v>
      </c>
      <c r="F13" s="117">
        <v>6</v>
      </c>
      <c r="G13" s="115" t="s">
        <v>6</v>
      </c>
      <c r="H13" s="116" t="s">
        <v>92</v>
      </c>
      <c r="I13" s="118" t="s">
        <v>78</v>
      </c>
      <c r="J13" s="115"/>
      <c r="K13" s="117">
        <v>6</v>
      </c>
      <c r="L13" s="117"/>
      <c r="M13" s="115" t="s">
        <v>79</v>
      </c>
      <c r="N13" s="115" t="s">
        <v>27</v>
      </c>
      <c r="O13" s="116" t="s">
        <v>49</v>
      </c>
      <c r="P13" s="116" t="s">
        <v>67</v>
      </c>
      <c r="Q13" s="116"/>
      <c r="R13" s="116"/>
      <c r="S13" s="116"/>
      <c r="T13" s="119"/>
    </row>
  </sheetData>
  <autoFilter ref="A6:T6" xr:uid="{8FA4439A-1A4C-469E-BE0B-D84891F543F4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C36B6-75B8-4E3D-85A5-73275D5C6759}">
  <sheetPr codeName="Sheet30">
    <tabColor theme="0" tint="-0.499984740745262"/>
  </sheetPr>
  <dimension ref="B2:AA46"/>
  <sheetViews>
    <sheetView showGridLines="0" tabSelected="1" zoomScale="85" zoomScaleNormal="85" workbookViewId="0"/>
  </sheetViews>
  <sheetFormatPr defaultColWidth="2.69921875" defaultRowHeight="18"/>
  <cols>
    <col min="1" max="16384" width="2.69921875" style="13"/>
  </cols>
  <sheetData>
    <row r="2" spans="2:19">
      <c r="B2" s="13" t="s">
        <v>143</v>
      </c>
    </row>
    <row r="4" spans="2:19">
      <c r="B4" s="13" t="s">
        <v>147</v>
      </c>
      <c r="C4" s="13" t="s">
        <v>145</v>
      </c>
    </row>
    <row r="6" spans="2:19">
      <c r="C6" s="99" t="s">
        <v>0</v>
      </c>
      <c r="D6" s="166"/>
      <c r="E6" s="166"/>
      <c r="F6" s="167" t="s">
        <v>175</v>
      </c>
      <c r="G6" s="167"/>
      <c r="H6" s="167"/>
      <c r="I6" s="167"/>
      <c r="J6" s="101"/>
      <c r="L6" s="13" t="s">
        <v>174</v>
      </c>
    </row>
    <row r="7" spans="2:19">
      <c r="C7" s="100" t="s">
        <v>1</v>
      </c>
      <c r="D7" s="168"/>
      <c r="E7" s="168"/>
      <c r="F7" s="167" t="s">
        <v>77</v>
      </c>
      <c r="G7" s="167"/>
      <c r="H7" s="167"/>
      <c r="I7" s="167"/>
      <c r="J7" s="101"/>
      <c r="L7" s="13" t="s">
        <v>176</v>
      </c>
    </row>
    <row r="8" spans="2:19">
      <c r="C8" s="100" t="s">
        <v>10</v>
      </c>
      <c r="D8" s="168"/>
      <c r="E8" s="168"/>
      <c r="F8" s="167" t="s">
        <v>193</v>
      </c>
      <c r="G8" s="167"/>
      <c r="H8" s="167"/>
      <c r="I8" s="167"/>
      <c r="J8" s="101"/>
      <c r="L8" s="13" t="s">
        <v>177</v>
      </c>
    </row>
    <row r="9" spans="2:19">
      <c r="C9" s="169" t="s">
        <v>11</v>
      </c>
      <c r="D9" s="170"/>
      <c r="E9" s="170"/>
      <c r="F9" s="171" t="s">
        <v>110</v>
      </c>
      <c r="G9" s="171"/>
      <c r="H9" s="171"/>
      <c r="I9" s="171"/>
      <c r="J9" s="172"/>
      <c r="L9" s="13" t="s">
        <v>178</v>
      </c>
    </row>
    <row r="12" spans="2:19">
      <c r="B12" s="13" t="s">
        <v>169</v>
      </c>
      <c r="C12" s="13" t="s">
        <v>168</v>
      </c>
    </row>
    <row r="13" spans="2:19">
      <c r="C13" s="13" t="s">
        <v>170</v>
      </c>
      <c r="E13" s="140" t="s">
        <v>149</v>
      </c>
    </row>
    <row r="15" spans="2:19">
      <c r="E15" s="141" t="s">
        <v>19</v>
      </c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3"/>
    </row>
    <row r="16" spans="2:19" ht="30" customHeight="1">
      <c r="E16" s="162" t="s">
        <v>30</v>
      </c>
      <c r="F16" s="163"/>
      <c r="G16" s="163"/>
      <c r="H16" s="163" t="s">
        <v>20</v>
      </c>
      <c r="I16" s="163"/>
      <c r="J16" s="163"/>
      <c r="K16" s="164" t="s">
        <v>21</v>
      </c>
      <c r="L16" s="164"/>
      <c r="M16" s="163" t="s">
        <v>22</v>
      </c>
      <c r="N16" s="163"/>
      <c r="O16" s="163" t="s">
        <v>23</v>
      </c>
      <c r="P16" s="163"/>
      <c r="Q16" s="163" t="s">
        <v>24</v>
      </c>
      <c r="R16" s="163"/>
      <c r="S16" s="165"/>
    </row>
    <row r="17" spans="2:22">
      <c r="E17" s="155" t="s">
        <v>150</v>
      </c>
      <c r="F17" s="155"/>
      <c r="G17" s="155"/>
      <c r="H17" s="154"/>
      <c r="I17" s="154"/>
      <c r="J17" s="154"/>
      <c r="K17" s="156" t="s">
        <v>154</v>
      </c>
      <c r="L17" s="157"/>
      <c r="M17" s="156" t="s">
        <v>157</v>
      </c>
      <c r="N17" s="157"/>
      <c r="O17" s="155"/>
      <c r="P17" s="155"/>
      <c r="Q17" s="155"/>
      <c r="R17" s="155"/>
      <c r="S17" s="155"/>
    </row>
    <row r="18" spans="2:22">
      <c r="E18" s="127" t="s">
        <v>151</v>
      </c>
      <c r="F18" s="127"/>
      <c r="G18" s="127"/>
      <c r="H18" s="133" t="s">
        <v>152</v>
      </c>
      <c r="I18" s="133"/>
      <c r="J18" s="133"/>
      <c r="K18" s="134" t="s">
        <v>155</v>
      </c>
      <c r="L18" s="135"/>
      <c r="M18" s="135"/>
      <c r="N18" s="135"/>
      <c r="O18" s="127"/>
      <c r="P18" s="127"/>
      <c r="Q18" s="127"/>
      <c r="R18" s="127"/>
      <c r="S18" s="127"/>
    </row>
    <row r="19" spans="2:22">
      <c r="E19" s="136" t="s">
        <v>151</v>
      </c>
      <c r="F19" s="136"/>
      <c r="G19" s="136"/>
      <c r="H19" s="137" t="s">
        <v>153</v>
      </c>
      <c r="I19" s="137"/>
      <c r="J19" s="137"/>
      <c r="K19" s="138" t="s">
        <v>156</v>
      </c>
      <c r="L19" s="139"/>
      <c r="M19" s="139"/>
      <c r="N19" s="139"/>
      <c r="O19" s="136"/>
      <c r="P19" s="136"/>
      <c r="Q19" s="136"/>
      <c r="R19" s="136"/>
      <c r="S19" s="136"/>
    </row>
    <row r="20" spans="2:22" ht="18.600000000000001" thickBot="1"/>
    <row r="21" spans="2:22" ht="19.2" thickTop="1" thickBot="1">
      <c r="C21" s="13" t="s">
        <v>171</v>
      </c>
      <c r="E21" s="13" t="s">
        <v>167</v>
      </c>
      <c r="G21" s="95" t="s">
        <v>158</v>
      </c>
      <c r="H21" s="96"/>
      <c r="I21" s="96"/>
      <c r="J21" s="96"/>
      <c r="K21" s="97"/>
      <c r="L21" s="13" t="s">
        <v>144</v>
      </c>
    </row>
    <row r="22" spans="2:22" ht="18.600000000000001" thickTop="1"/>
    <row r="23" spans="2:22">
      <c r="C23" s="13" t="s">
        <v>172</v>
      </c>
      <c r="E23" s="98" t="s">
        <v>166</v>
      </c>
    </row>
    <row r="25" spans="2:22">
      <c r="E25" s="144" t="s">
        <v>159</v>
      </c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6"/>
    </row>
    <row r="26" spans="2:22" ht="18.600000000000001" thickBot="1">
      <c r="E26" s="147">
        <v>1</v>
      </c>
      <c r="F26" s="148"/>
      <c r="G26" s="148"/>
      <c r="H26" s="148"/>
      <c r="I26" s="148"/>
      <c r="J26" s="148"/>
      <c r="K26" s="148">
        <v>2</v>
      </c>
      <c r="L26" s="148"/>
      <c r="M26" s="148"/>
      <c r="N26" s="148"/>
      <c r="O26" s="148"/>
      <c r="P26" s="148"/>
      <c r="Q26" s="149">
        <v>3</v>
      </c>
      <c r="R26" s="149"/>
      <c r="S26" s="149"/>
      <c r="T26" s="149"/>
      <c r="U26" s="149"/>
      <c r="V26" s="150"/>
    </row>
    <row r="27" spans="2:22" ht="18.600000000000001" thickTop="1">
      <c r="E27" s="121" t="s">
        <v>160</v>
      </c>
      <c r="F27" s="122"/>
      <c r="G27" s="122"/>
      <c r="H27" s="122"/>
      <c r="I27" s="122"/>
      <c r="J27" s="122"/>
      <c r="K27" s="122" t="s">
        <v>161</v>
      </c>
      <c r="L27" s="122"/>
      <c r="M27" s="122"/>
      <c r="N27" s="122"/>
      <c r="O27" s="122"/>
      <c r="P27" s="122"/>
      <c r="Q27" s="123" t="s">
        <v>162</v>
      </c>
      <c r="R27" s="123"/>
      <c r="S27" s="123"/>
      <c r="T27" s="123"/>
      <c r="U27" s="123"/>
      <c r="V27" s="124"/>
    </row>
    <row r="28" spans="2:22">
      <c r="E28" s="125" t="s">
        <v>163</v>
      </c>
      <c r="F28" s="126"/>
      <c r="G28" s="126"/>
      <c r="H28" s="126"/>
      <c r="I28" s="126"/>
      <c r="J28" s="126"/>
      <c r="K28" s="126" t="s">
        <v>164</v>
      </c>
      <c r="L28" s="126"/>
      <c r="M28" s="126"/>
      <c r="N28" s="126"/>
      <c r="O28" s="126"/>
      <c r="P28" s="126"/>
      <c r="Q28" s="127"/>
      <c r="R28" s="127"/>
      <c r="S28" s="127"/>
      <c r="T28" s="127"/>
      <c r="U28" s="127"/>
      <c r="V28" s="128"/>
    </row>
    <row r="29" spans="2:22" ht="18.600000000000001" thickBot="1">
      <c r="E29" s="129" t="s">
        <v>165</v>
      </c>
      <c r="F29" s="130"/>
      <c r="G29" s="130"/>
      <c r="H29" s="130"/>
      <c r="I29" s="130"/>
      <c r="J29" s="130"/>
      <c r="K29" s="130" t="s">
        <v>165</v>
      </c>
      <c r="L29" s="130"/>
      <c r="M29" s="130"/>
      <c r="N29" s="130"/>
      <c r="O29" s="130"/>
      <c r="P29" s="130"/>
      <c r="Q29" s="131"/>
      <c r="R29" s="131"/>
      <c r="S29" s="131"/>
      <c r="T29" s="131"/>
      <c r="U29" s="131"/>
      <c r="V29" s="132"/>
    </row>
    <row r="30" spans="2:22" ht="18.600000000000001" thickTop="1"/>
    <row r="32" spans="2:22">
      <c r="B32" s="13" t="s">
        <v>173</v>
      </c>
      <c r="C32" s="13" t="s">
        <v>148</v>
      </c>
    </row>
    <row r="34" spans="2:27">
      <c r="C34" s="158" t="s">
        <v>7</v>
      </c>
      <c r="D34" s="159"/>
      <c r="E34" s="102" t="s">
        <v>15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3"/>
    </row>
    <row r="35" spans="2:27">
      <c r="C35" s="160"/>
      <c r="D35" s="161"/>
      <c r="E35" s="151" t="s">
        <v>4</v>
      </c>
      <c r="F35" s="151"/>
      <c r="G35" s="151" t="s">
        <v>2</v>
      </c>
      <c r="H35" s="151"/>
      <c r="I35" s="151"/>
      <c r="J35" s="151"/>
      <c r="K35" s="151"/>
      <c r="L35" s="151" t="s">
        <v>3</v>
      </c>
      <c r="M35" s="151"/>
      <c r="N35" s="151"/>
      <c r="O35" s="151"/>
      <c r="P35" s="151"/>
      <c r="Q35" s="151" t="s">
        <v>16</v>
      </c>
      <c r="R35" s="151"/>
      <c r="S35" s="151"/>
      <c r="T35" s="151" t="s">
        <v>17</v>
      </c>
      <c r="U35" s="151"/>
      <c r="V35" s="152" t="s">
        <v>179</v>
      </c>
      <c r="W35" s="152"/>
      <c r="X35" s="152"/>
      <c r="Y35" s="151" t="s">
        <v>5</v>
      </c>
      <c r="Z35" s="151"/>
      <c r="AA35" s="153"/>
    </row>
    <row r="36" spans="2:27">
      <c r="C36" s="154">
        <v>1</v>
      </c>
      <c r="D36" s="154"/>
      <c r="E36" s="154" t="s">
        <v>112</v>
      </c>
      <c r="F36" s="154"/>
      <c r="G36" s="155" t="s">
        <v>180</v>
      </c>
      <c r="H36" s="155"/>
      <c r="I36" s="155"/>
      <c r="J36" s="155"/>
      <c r="K36" s="155"/>
      <c r="L36" s="155" t="s">
        <v>111</v>
      </c>
      <c r="M36" s="155"/>
      <c r="N36" s="155"/>
      <c r="O36" s="155"/>
      <c r="P36" s="155"/>
      <c r="Q36" s="155" t="s">
        <v>185</v>
      </c>
      <c r="R36" s="155"/>
      <c r="S36" s="155"/>
      <c r="T36" s="156" t="s">
        <v>97</v>
      </c>
      <c r="U36" s="157"/>
      <c r="V36" s="154" t="s">
        <v>112</v>
      </c>
      <c r="W36" s="154"/>
      <c r="X36" s="154"/>
      <c r="Y36" s="155"/>
      <c r="Z36" s="155"/>
      <c r="AA36" s="155"/>
    </row>
    <row r="37" spans="2:27">
      <c r="C37" s="133">
        <v>2</v>
      </c>
      <c r="D37" s="133"/>
      <c r="E37" s="133"/>
      <c r="F37" s="133"/>
      <c r="G37" s="127" t="s">
        <v>181</v>
      </c>
      <c r="H37" s="127"/>
      <c r="I37" s="127"/>
      <c r="J37" s="127"/>
      <c r="K37" s="127"/>
      <c r="L37" s="127" t="s">
        <v>183</v>
      </c>
      <c r="M37" s="127"/>
      <c r="N37" s="127"/>
      <c r="O37" s="127"/>
      <c r="P37" s="127"/>
      <c r="Q37" s="127" t="s">
        <v>186</v>
      </c>
      <c r="R37" s="127"/>
      <c r="S37" s="127"/>
      <c r="T37" s="134" t="s">
        <v>155</v>
      </c>
      <c r="U37" s="135"/>
      <c r="V37" s="133" t="s">
        <v>112</v>
      </c>
      <c r="W37" s="133"/>
      <c r="X37" s="133"/>
      <c r="Y37" s="127"/>
      <c r="Z37" s="127"/>
      <c r="AA37" s="127"/>
    </row>
    <row r="38" spans="2:27">
      <c r="C38" s="137">
        <v>3</v>
      </c>
      <c r="D38" s="137"/>
      <c r="E38" s="137"/>
      <c r="F38" s="137"/>
      <c r="G38" s="136" t="s">
        <v>182</v>
      </c>
      <c r="H38" s="136"/>
      <c r="I38" s="136"/>
      <c r="J38" s="136"/>
      <c r="K38" s="136"/>
      <c r="L38" s="136" t="s">
        <v>184</v>
      </c>
      <c r="M38" s="136"/>
      <c r="N38" s="136"/>
      <c r="O38" s="136"/>
      <c r="P38" s="136"/>
      <c r="Q38" s="136" t="s">
        <v>186</v>
      </c>
      <c r="R38" s="136"/>
      <c r="S38" s="136"/>
      <c r="T38" s="138" t="s">
        <v>156</v>
      </c>
      <c r="U38" s="139"/>
      <c r="V38" s="137"/>
      <c r="W38" s="137"/>
      <c r="X38" s="137"/>
      <c r="Y38" s="136" t="s">
        <v>93</v>
      </c>
      <c r="Z38" s="136"/>
      <c r="AA38" s="136"/>
    </row>
    <row r="41" spans="2:27" ht="18.600000000000001" thickBot="1">
      <c r="B41" s="13" t="s">
        <v>187</v>
      </c>
      <c r="C41" s="13" t="s">
        <v>190</v>
      </c>
    </row>
    <row r="42" spans="2:27" ht="19.2" thickTop="1" thickBot="1">
      <c r="C42" s="13" t="s">
        <v>189</v>
      </c>
      <c r="E42" s="13" t="s">
        <v>167</v>
      </c>
      <c r="G42" s="86" t="s">
        <v>188</v>
      </c>
      <c r="H42" s="87"/>
      <c r="I42" s="87"/>
      <c r="J42" s="88"/>
      <c r="K42" s="13" t="s">
        <v>144</v>
      </c>
    </row>
    <row r="43" spans="2:27" ht="18.600000000000001" thickTop="1"/>
    <row r="44" spans="2:27">
      <c r="C44" s="13" t="s">
        <v>191</v>
      </c>
      <c r="E44" s="13" t="s">
        <v>146</v>
      </c>
    </row>
    <row r="45" spans="2:27">
      <c r="F45" s="13" t="s">
        <v>106</v>
      </c>
      <c r="G45" s="13" t="s">
        <v>192</v>
      </c>
    </row>
    <row r="46" spans="2:27">
      <c r="H46" s="13" t="str">
        <f ca="1">"Excelファイル &gt; "&amp;TEXT(TODAY(),"yyyymmdd")&amp;" &gt; [DDL-CUSTOMERS.sql]"</f>
        <v>Excelファイル &gt; 20260926 &gt; [DDL-CUSTOMERS.sql]</v>
      </c>
    </row>
  </sheetData>
  <mergeCells count="81">
    <mergeCell ref="C36:D36"/>
    <mergeCell ref="C37:D37"/>
    <mergeCell ref="C38:D38"/>
    <mergeCell ref="G42:J42"/>
    <mergeCell ref="G36:K36"/>
    <mergeCell ref="G37:K37"/>
    <mergeCell ref="G38:K38"/>
    <mergeCell ref="E36:F36"/>
    <mergeCell ref="E37:F37"/>
    <mergeCell ref="E38:F38"/>
    <mergeCell ref="T38:U38"/>
    <mergeCell ref="Q36:S36"/>
    <mergeCell ref="Q37:S37"/>
    <mergeCell ref="Q38:S38"/>
    <mergeCell ref="L36:P36"/>
    <mergeCell ref="L37:P37"/>
    <mergeCell ref="L38:P38"/>
    <mergeCell ref="G35:K35"/>
    <mergeCell ref="E35:F35"/>
    <mergeCell ref="Y36:AA36"/>
    <mergeCell ref="Y37:AA37"/>
    <mergeCell ref="Y38:AA38"/>
    <mergeCell ref="V36:X36"/>
    <mergeCell ref="V37:X37"/>
    <mergeCell ref="V38:X38"/>
    <mergeCell ref="T36:U36"/>
    <mergeCell ref="T37:U37"/>
    <mergeCell ref="C9:E9"/>
    <mergeCell ref="E34:AA34"/>
    <mergeCell ref="C34:D35"/>
    <mergeCell ref="Y35:AA35"/>
    <mergeCell ref="V35:X35"/>
    <mergeCell ref="T35:U35"/>
    <mergeCell ref="Q35:S35"/>
    <mergeCell ref="L35:P35"/>
    <mergeCell ref="E29:J29"/>
    <mergeCell ref="K29:P29"/>
    <mergeCell ref="Q29:V29"/>
    <mergeCell ref="F6:J6"/>
    <mergeCell ref="F7:J7"/>
    <mergeCell ref="F8:J8"/>
    <mergeCell ref="F9:J9"/>
    <mergeCell ref="C6:E6"/>
    <mergeCell ref="C7:E7"/>
    <mergeCell ref="C8:E8"/>
    <mergeCell ref="E27:J27"/>
    <mergeCell ref="K27:P27"/>
    <mergeCell ref="Q27:V27"/>
    <mergeCell ref="E28:J28"/>
    <mergeCell ref="K28:P28"/>
    <mergeCell ref="Q28:V28"/>
    <mergeCell ref="G21:K21"/>
    <mergeCell ref="E25:V25"/>
    <mergeCell ref="E26:J26"/>
    <mergeCell ref="K26:P26"/>
    <mergeCell ref="Q26:V26"/>
    <mergeCell ref="K19:L19"/>
    <mergeCell ref="H17:J17"/>
    <mergeCell ref="H18:J18"/>
    <mergeCell ref="H19:J19"/>
    <mergeCell ref="E17:G17"/>
    <mergeCell ref="E18:G18"/>
    <mergeCell ref="E19:G19"/>
    <mergeCell ref="Q19:S19"/>
    <mergeCell ref="O17:P17"/>
    <mergeCell ref="O18:P18"/>
    <mergeCell ref="O19:P19"/>
    <mergeCell ref="M17:N17"/>
    <mergeCell ref="M18:N18"/>
    <mergeCell ref="M19:N19"/>
    <mergeCell ref="Q17:S17"/>
    <mergeCell ref="Q18:S18"/>
    <mergeCell ref="K17:L17"/>
    <mergeCell ref="K18:L18"/>
    <mergeCell ref="E15:S15"/>
    <mergeCell ref="E16:G16"/>
    <mergeCell ref="H16:J16"/>
    <mergeCell ref="K16:L16"/>
    <mergeCell ref="M16:N16"/>
    <mergeCell ref="O16:P16"/>
    <mergeCell ref="Q16:S16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17" t="s">
        <v>14</v>
      </c>
      <c r="C1" s="18"/>
      <c r="D1" s="26" t="s">
        <v>28</v>
      </c>
      <c r="E1" s="27"/>
      <c r="F1" s="34" t="s">
        <v>115</v>
      </c>
      <c r="G1" s="35"/>
      <c r="H1" s="36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19" t="s">
        <v>77</v>
      </c>
      <c r="C2" s="20"/>
      <c r="D2" s="28" t="s">
        <v>133</v>
      </c>
      <c r="E2" s="29"/>
      <c r="F2" s="37"/>
      <c r="G2" s="38"/>
      <c r="H2" s="39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19" t="s">
        <v>95</v>
      </c>
      <c r="C3" s="20"/>
      <c r="D3" s="30"/>
      <c r="E3" s="31"/>
      <c r="F3" s="40"/>
      <c r="G3" s="41"/>
      <c r="H3" s="42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19" t="s">
        <v>96</v>
      </c>
      <c r="C4" s="20"/>
      <c r="D4" s="32"/>
      <c r="E4" s="33"/>
      <c r="F4" s="43"/>
      <c r="G4" s="44"/>
      <c r="H4" s="45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21" t="s">
        <v>7</v>
      </c>
      <c r="B5" s="23" t="s">
        <v>15</v>
      </c>
      <c r="C5" s="24"/>
      <c r="D5" s="24"/>
      <c r="E5" s="24"/>
      <c r="F5" s="24"/>
      <c r="G5" s="24"/>
      <c r="H5" s="25"/>
      <c r="I5" s="46" t="s">
        <v>19</v>
      </c>
      <c r="J5" s="47"/>
      <c r="K5" s="47"/>
      <c r="L5" s="47"/>
      <c r="M5" s="47"/>
      <c r="N5" s="48"/>
      <c r="O5" s="49" t="s">
        <v>12</v>
      </c>
      <c r="P5" s="50"/>
      <c r="Q5" s="51"/>
      <c r="R5" s="52" t="s">
        <v>29</v>
      </c>
      <c r="S5" s="52" t="s">
        <v>8</v>
      </c>
      <c r="T5" s="54" t="s">
        <v>25</v>
      </c>
    </row>
    <row r="6" spans="1:20" ht="26.4">
      <c r="A6" s="22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53"/>
      <c r="S6" s="53"/>
      <c r="T6" s="55"/>
    </row>
    <row r="7" spans="1:20">
      <c r="A7" s="104">
        <f t="shared" ref="A7:A12" si="0">ROW()-6</f>
        <v>1</v>
      </c>
      <c r="B7" s="104" t="s">
        <v>6</v>
      </c>
      <c r="C7" s="105" t="s">
        <v>55</v>
      </c>
      <c r="D7" s="105" t="s">
        <v>56</v>
      </c>
      <c r="E7" s="105" t="s">
        <v>36</v>
      </c>
      <c r="F7" s="106" t="s">
        <v>97</v>
      </c>
      <c r="G7" s="104" t="s">
        <v>6</v>
      </c>
      <c r="H7" s="105"/>
      <c r="I7" s="107" t="s">
        <v>80</v>
      </c>
      <c r="J7" s="104"/>
      <c r="K7" s="106">
        <v>10</v>
      </c>
      <c r="L7" s="106">
        <v>0</v>
      </c>
      <c r="M7" s="104"/>
      <c r="N7" s="104"/>
      <c r="O7" s="105" t="s">
        <v>81</v>
      </c>
      <c r="P7" s="105" t="s">
        <v>82</v>
      </c>
      <c r="Q7" s="105" t="s">
        <v>83</v>
      </c>
      <c r="R7" s="105"/>
      <c r="S7" s="105"/>
      <c r="T7" s="108"/>
    </row>
    <row r="8" spans="1:20">
      <c r="A8" s="109">
        <f t="shared" si="0"/>
        <v>2</v>
      </c>
      <c r="B8" s="109"/>
      <c r="C8" s="110" t="s">
        <v>34</v>
      </c>
      <c r="D8" s="110" t="s">
        <v>35</v>
      </c>
      <c r="E8" s="110" t="s">
        <v>36</v>
      </c>
      <c r="F8" s="113" t="s">
        <v>97</v>
      </c>
      <c r="G8" s="109" t="s">
        <v>6</v>
      </c>
      <c r="H8" s="110"/>
      <c r="I8" s="112" t="s">
        <v>80</v>
      </c>
      <c r="J8" s="109"/>
      <c r="K8" s="113">
        <v>10</v>
      </c>
      <c r="L8" s="113">
        <v>0</v>
      </c>
      <c r="M8" s="109"/>
      <c r="N8" s="109"/>
      <c r="O8" s="110" t="s">
        <v>81</v>
      </c>
      <c r="P8" s="110" t="s">
        <v>82</v>
      </c>
      <c r="Q8" s="110" t="s">
        <v>83</v>
      </c>
      <c r="R8" s="110"/>
      <c r="S8" s="110"/>
      <c r="T8" s="114"/>
    </row>
    <row r="9" spans="1:20">
      <c r="A9" s="109">
        <f t="shared" si="0"/>
        <v>3</v>
      </c>
      <c r="B9" s="109"/>
      <c r="C9" s="110" t="s">
        <v>65</v>
      </c>
      <c r="D9" s="110" t="s">
        <v>66</v>
      </c>
      <c r="E9" s="110" t="s">
        <v>67</v>
      </c>
      <c r="F9" s="113"/>
      <c r="G9" s="109" t="s">
        <v>6</v>
      </c>
      <c r="H9" s="110" t="s">
        <v>92</v>
      </c>
      <c r="I9" s="112" t="s">
        <v>78</v>
      </c>
      <c r="J9" s="109"/>
      <c r="K9" s="113">
        <v>0</v>
      </c>
      <c r="L9" s="113"/>
      <c r="M9" s="109" t="s">
        <v>26</v>
      </c>
      <c r="N9" s="109" t="s">
        <v>27</v>
      </c>
      <c r="O9" s="110" t="s">
        <v>67</v>
      </c>
      <c r="P9" s="110" t="s">
        <v>99</v>
      </c>
      <c r="Q9" s="110"/>
      <c r="R9" s="110"/>
      <c r="S9" s="110"/>
      <c r="T9" s="114"/>
    </row>
    <row r="10" spans="1:20">
      <c r="A10" s="109">
        <f t="shared" si="0"/>
        <v>4</v>
      </c>
      <c r="B10" s="109"/>
      <c r="C10" s="110" t="s">
        <v>68</v>
      </c>
      <c r="D10" s="110" t="s">
        <v>69</v>
      </c>
      <c r="E10" s="110" t="s">
        <v>40</v>
      </c>
      <c r="F10" s="113">
        <v>20</v>
      </c>
      <c r="G10" s="109" t="s">
        <v>6</v>
      </c>
      <c r="H10" s="110"/>
      <c r="I10" s="112" t="s">
        <v>13</v>
      </c>
      <c r="J10" s="109" t="s">
        <v>26</v>
      </c>
      <c r="K10" s="113">
        <v>20</v>
      </c>
      <c r="L10" s="113"/>
      <c r="M10" s="109"/>
      <c r="N10" s="109"/>
      <c r="O10" s="110" t="s">
        <v>88</v>
      </c>
      <c r="P10" s="110" t="s">
        <v>89</v>
      </c>
      <c r="Q10" s="110"/>
      <c r="R10" s="110"/>
      <c r="S10" s="110"/>
      <c r="T10" s="114"/>
    </row>
    <row r="11" spans="1:20">
      <c r="A11" s="109">
        <f t="shared" si="0"/>
        <v>5</v>
      </c>
      <c r="B11" s="109"/>
      <c r="C11" s="110" t="s">
        <v>47</v>
      </c>
      <c r="D11" s="110" t="s">
        <v>48</v>
      </c>
      <c r="E11" s="110" t="s">
        <v>98</v>
      </c>
      <c r="F11" s="113">
        <v>6</v>
      </c>
      <c r="G11" s="109" t="s">
        <v>6</v>
      </c>
      <c r="H11" s="110" t="s">
        <v>92</v>
      </c>
      <c r="I11" s="112" t="s">
        <v>78</v>
      </c>
      <c r="J11" s="109"/>
      <c r="K11" s="113">
        <v>6</v>
      </c>
      <c r="L11" s="113"/>
      <c r="M11" s="109" t="s">
        <v>79</v>
      </c>
      <c r="N11" s="109" t="s">
        <v>27</v>
      </c>
      <c r="O11" s="110" t="s">
        <v>49</v>
      </c>
      <c r="P11" s="110" t="s">
        <v>67</v>
      </c>
      <c r="Q11" s="110"/>
      <c r="R11" s="110"/>
      <c r="S11" s="110"/>
      <c r="T11" s="114"/>
    </row>
    <row r="12" spans="1:20">
      <c r="A12" s="115">
        <f t="shared" si="0"/>
        <v>6</v>
      </c>
      <c r="B12" s="115"/>
      <c r="C12" s="116" t="s">
        <v>50</v>
      </c>
      <c r="D12" s="116" t="s">
        <v>51</v>
      </c>
      <c r="E12" s="116" t="s">
        <v>98</v>
      </c>
      <c r="F12" s="117">
        <v>6</v>
      </c>
      <c r="G12" s="115" t="s">
        <v>6</v>
      </c>
      <c r="H12" s="116" t="s">
        <v>92</v>
      </c>
      <c r="I12" s="118" t="s">
        <v>78</v>
      </c>
      <c r="J12" s="115"/>
      <c r="K12" s="117">
        <v>6</v>
      </c>
      <c r="L12" s="117"/>
      <c r="M12" s="115" t="s">
        <v>79</v>
      </c>
      <c r="N12" s="115" t="s">
        <v>27</v>
      </c>
      <c r="O12" s="116" t="s">
        <v>49</v>
      </c>
      <c r="P12" s="116" t="s">
        <v>67</v>
      </c>
      <c r="Q12" s="116"/>
      <c r="R12" s="116"/>
      <c r="S12" s="116"/>
      <c r="T12" s="119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17" t="s">
        <v>14</v>
      </c>
      <c r="C1" s="18"/>
      <c r="D1" s="26" t="s">
        <v>28</v>
      </c>
      <c r="E1" s="27"/>
      <c r="F1" s="34" t="s">
        <v>115</v>
      </c>
      <c r="G1" s="35"/>
      <c r="H1" s="36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19" t="s">
        <v>77</v>
      </c>
      <c r="C2" s="20"/>
      <c r="D2" s="28" t="s">
        <v>142</v>
      </c>
      <c r="E2" s="29"/>
      <c r="F2" s="37"/>
      <c r="G2" s="38"/>
      <c r="H2" s="39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19" t="s">
        <v>94</v>
      </c>
      <c r="C3" s="20"/>
      <c r="D3" s="30"/>
      <c r="E3" s="31"/>
      <c r="F3" s="40"/>
      <c r="G3" s="41"/>
      <c r="H3" s="42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19" t="s">
        <v>100</v>
      </c>
      <c r="C4" s="20"/>
      <c r="D4" s="32"/>
      <c r="E4" s="33"/>
      <c r="F4" s="43"/>
      <c r="G4" s="44"/>
      <c r="H4" s="45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21" t="s">
        <v>7</v>
      </c>
      <c r="B5" s="23" t="s">
        <v>15</v>
      </c>
      <c r="C5" s="24"/>
      <c r="D5" s="24"/>
      <c r="E5" s="24"/>
      <c r="F5" s="24"/>
      <c r="G5" s="24"/>
      <c r="H5" s="25"/>
      <c r="I5" s="46" t="s">
        <v>19</v>
      </c>
      <c r="J5" s="47"/>
      <c r="K5" s="47"/>
      <c r="L5" s="47"/>
      <c r="M5" s="47"/>
      <c r="N5" s="48"/>
      <c r="O5" s="49" t="s">
        <v>12</v>
      </c>
      <c r="P5" s="50"/>
      <c r="Q5" s="51"/>
      <c r="R5" s="52" t="s">
        <v>29</v>
      </c>
      <c r="S5" s="52" t="s">
        <v>8</v>
      </c>
      <c r="T5" s="54" t="s">
        <v>25</v>
      </c>
    </row>
    <row r="6" spans="1:20" ht="26.4">
      <c r="A6" s="22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53"/>
      <c r="S6" s="53"/>
      <c r="T6" s="55"/>
    </row>
    <row r="7" spans="1:20" ht="14.4">
      <c r="A7" s="104">
        <f t="shared" ref="A7:A11" si="0">ROW()-6</f>
        <v>1</v>
      </c>
      <c r="B7" s="104" t="s">
        <v>140</v>
      </c>
      <c r="C7" s="105" t="s">
        <v>53</v>
      </c>
      <c r="D7" s="105" t="s">
        <v>54</v>
      </c>
      <c r="E7" s="105" t="s">
        <v>36</v>
      </c>
      <c r="F7" s="106" t="s">
        <v>37</v>
      </c>
      <c r="G7" s="104" t="s">
        <v>6</v>
      </c>
      <c r="H7" s="120"/>
      <c r="I7" s="107" t="s">
        <v>80</v>
      </c>
      <c r="J7" s="104"/>
      <c r="K7" s="106">
        <v>10</v>
      </c>
      <c r="L7" s="106">
        <v>0</v>
      </c>
      <c r="M7" s="104"/>
      <c r="N7" s="104"/>
      <c r="O7" s="105" t="s">
        <v>81</v>
      </c>
      <c r="P7" s="105" t="s">
        <v>82</v>
      </c>
      <c r="Q7" s="105" t="s">
        <v>83</v>
      </c>
      <c r="R7" s="105"/>
      <c r="S7" s="105"/>
      <c r="T7" s="108"/>
    </row>
    <row r="8" spans="1:20">
      <c r="A8" s="109">
        <f t="shared" si="0"/>
        <v>2</v>
      </c>
      <c r="B8" s="109"/>
      <c r="C8" s="110" t="s">
        <v>55</v>
      </c>
      <c r="D8" s="110" t="s">
        <v>56</v>
      </c>
      <c r="E8" s="110" t="s">
        <v>36</v>
      </c>
      <c r="F8" s="113" t="s">
        <v>37</v>
      </c>
      <c r="G8" s="109" t="s">
        <v>6</v>
      </c>
      <c r="H8" s="110"/>
      <c r="I8" s="112" t="s">
        <v>80</v>
      </c>
      <c r="J8" s="109"/>
      <c r="K8" s="113">
        <v>10</v>
      </c>
      <c r="L8" s="113">
        <v>0</v>
      </c>
      <c r="M8" s="109"/>
      <c r="N8" s="109"/>
      <c r="O8" s="110" t="s">
        <v>81</v>
      </c>
      <c r="P8" s="110" t="s">
        <v>82</v>
      </c>
      <c r="Q8" s="110" t="s">
        <v>83</v>
      </c>
      <c r="R8" s="110"/>
      <c r="S8" s="110"/>
      <c r="T8" s="114"/>
    </row>
    <row r="9" spans="1:20">
      <c r="A9" s="109">
        <f t="shared" si="0"/>
        <v>3</v>
      </c>
      <c r="B9" s="109"/>
      <c r="C9" s="110" t="s">
        <v>57</v>
      </c>
      <c r="D9" s="110" t="s">
        <v>58</v>
      </c>
      <c r="E9" s="110" t="s">
        <v>36</v>
      </c>
      <c r="F9" s="113" t="s">
        <v>37</v>
      </c>
      <c r="G9" s="109" t="s">
        <v>6</v>
      </c>
      <c r="H9" s="110"/>
      <c r="I9" s="112" t="s">
        <v>80</v>
      </c>
      <c r="J9" s="109"/>
      <c r="K9" s="113">
        <v>10</v>
      </c>
      <c r="L9" s="113">
        <v>0</v>
      </c>
      <c r="M9" s="109"/>
      <c r="N9" s="109"/>
      <c r="O9" s="110" t="s">
        <v>81</v>
      </c>
      <c r="P9" s="110" t="s">
        <v>82</v>
      </c>
      <c r="Q9" s="110" t="s">
        <v>83</v>
      </c>
      <c r="R9" s="110"/>
      <c r="S9" s="110"/>
      <c r="T9" s="114"/>
    </row>
    <row r="10" spans="1:20">
      <c r="A10" s="109">
        <f t="shared" si="0"/>
        <v>4</v>
      </c>
      <c r="B10" s="109"/>
      <c r="C10" s="110" t="s">
        <v>59</v>
      </c>
      <c r="D10" s="110" t="s">
        <v>60</v>
      </c>
      <c r="E10" s="110" t="s">
        <v>36</v>
      </c>
      <c r="F10" s="113" t="s">
        <v>37</v>
      </c>
      <c r="G10" s="109" t="s">
        <v>6</v>
      </c>
      <c r="H10" s="110"/>
      <c r="I10" s="112" t="s">
        <v>80</v>
      </c>
      <c r="J10" s="109"/>
      <c r="K10" s="113">
        <v>10</v>
      </c>
      <c r="L10" s="113">
        <v>0</v>
      </c>
      <c r="M10" s="109"/>
      <c r="N10" s="109"/>
      <c r="O10" s="110" t="s">
        <v>81</v>
      </c>
      <c r="P10" s="110" t="s">
        <v>82</v>
      </c>
      <c r="Q10" s="110" t="s">
        <v>83</v>
      </c>
      <c r="R10" s="110"/>
      <c r="S10" s="110"/>
      <c r="T10" s="114"/>
    </row>
    <row r="11" spans="1:20">
      <c r="A11" s="115">
        <f t="shared" si="0"/>
        <v>5</v>
      </c>
      <c r="B11" s="115"/>
      <c r="C11" s="116" t="s">
        <v>61</v>
      </c>
      <c r="D11" s="116" t="s">
        <v>62</v>
      </c>
      <c r="E11" s="116" t="s">
        <v>36</v>
      </c>
      <c r="F11" s="117" t="s">
        <v>102</v>
      </c>
      <c r="G11" s="115" t="s">
        <v>6</v>
      </c>
      <c r="H11" s="116"/>
      <c r="I11" s="118" t="s">
        <v>80</v>
      </c>
      <c r="J11" s="115"/>
      <c r="K11" s="117">
        <v>10</v>
      </c>
      <c r="L11" s="117">
        <v>2</v>
      </c>
      <c r="M11" s="115"/>
      <c r="N11" s="115"/>
      <c r="O11" s="116" t="s">
        <v>101</v>
      </c>
      <c r="P11" s="116" t="s">
        <v>82</v>
      </c>
      <c r="Q11" s="116" t="s">
        <v>83</v>
      </c>
      <c r="R11" s="116"/>
      <c r="S11" s="116"/>
      <c r="T11" s="119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17" t="s">
        <v>14</v>
      </c>
      <c r="C1" s="18"/>
      <c r="D1" s="26" t="s">
        <v>28</v>
      </c>
      <c r="E1" s="27"/>
      <c r="F1" s="34" t="s">
        <v>115</v>
      </c>
      <c r="G1" s="35"/>
      <c r="H1" s="36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19" t="s">
        <v>77</v>
      </c>
      <c r="C2" s="20"/>
      <c r="D2" s="28" t="s">
        <v>135</v>
      </c>
      <c r="E2" s="29"/>
      <c r="F2" s="37"/>
      <c r="G2" s="38"/>
      <c r="H2" s="39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19" t="s">
        <v>103</v>
      </c>
      <c r="C3" s="20"/>
      <c r="D3" s="30"/>
      <c r="E3" s="31"/>
      <c r="F3" s="40"/>
      <c r="G3" s="41"/>
      <c r="H3" s="42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19" t="s">
        <v>104</v>
      </c>
      <c r="C4" s="20"/>
      <c r="D4" s="32"/>
      <c r="E4" s="33"/>
      <c r="F4" s="43"/>
      <c r="G4" s="44"/>
      <c r="H4" s="45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21" t="s">
        <v>7</v>
      </c>
      <c r="B5" s="23" t="s">
        <v>15</v>
      </c>
      <c r="C5" s="24"/>
      <c r="D5" s="24"/>
      <c r="E5" s="24"/>
      <c r="F5" s="24"/>
      <c r="G5" s="24"/>
      <c r="H5" s="25"/>
      <c r="I5" s="46" t="s">
        <v>19</v>
      </c>
      <c r="J5" s="47"/>
      <c r="K5" s="47"/>
      <c r="L5" s="47"/>
      <c r="M5" s="47"/>
      <c r="N5" s="48"/>
      <c r="O5" s="49" t="s">
        <v>12</v>
      </c>
      <c r="P5" s="50"/>
      <c r="Q5" s="51"/>
      <c r="R5" s="52" t="s">
        <v>29</v>
      </c>
      <c r="S5" s="52" t="s">
        <v>8</v>
      </c>
      <c r="T5" s="54" t="s">
        <v>25</v>
      </c>
    </row>
    <row r="6" spans="1:20" ht="26.4">
      <c r="A6" s="22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53"/>
      <c r="S6" s="53"/>
      <c r="T6" s="55"/>
    </row>
    <row r="7" spans="1:20" ht="14.4">
      <c r="A7" s="104">
        <f t="shared" ref="A7:A12" si="0">ROW()-6</f>
        <v>1</v>
      </c>
      <c r="B7" s="104" t="s">
        <v>6</v>
      </c>
      <c r="C7" s="105" t="s">
        <v>57</v>
      </c>
      <c r="D7" s="105" t="s">
        <v>58</v>
      </c>
      <c r="E7" s="105" t="s">
        <v>36</v>
      </c>
      <c r="F7" s="106" t="s">
        <v>37</v>
      </c>
      <c r="G7" s="104" t="s">
        <v>6</v>
      </c>
      <c r="H7" s="120"/>
      <c r="I7" s="107" t="s">
        <v>80</v>
      </c>
      <c r="J7" s="104"/>
      <c r="K7" s="106">
        <v>10</v>
      </c>
      <c r="L7" s="106">
        <v>0</v>
      </c>
      <c r="M7" s="104"/>
      <c r="N7" s="104"/>
      <c r="O7" s="105" t="s">
        <v>81</v>
      </c>
      <c r="P7" s="105" t="s">
        <v>82</v>
      </c>
      <c r="Q7" s="105" t="s">
        <v>83</v>
      </c>
      <c r="R7" s="105"/>
      <c r="S7" s="105"/>
      <c r="T7" s="108"/>
    </row>
    <row r="8" spans="1:20">
      <c r="A8" s="109">
        <f t="shared" si="0"/>
        <v>2</v>
      </c>
      <c r="B8" s="109"/>
      <c r="C8" s="110" t="s">
        <v>71</v>
      </c>
      <c r="D8" s="110" t="s">
        <v>72</v>
      </c>
      <c r="E8" s="110" t="s">
        <v>40</v>
      </c>
      <c r="F8" s="113">
        <v>100</v>
      </c>
      <c r="G8" s="109" t="s">
        <v>6</v>
      </c>
      <c r="H8" s="110"/>
      <c r="I8" s="112" t="s">
        <v>13</v>
      </c>
      <c r="J8" s="109" t="s">
        <v>79</v>
      </c>
      <c r="K8" s="113">
        <v>100</v>
      </c>
      <c r="L8" s="113"/>
      <c r="M8" s="109"/>
      <c r="N8" s="109"/>
      <c r="O8" s="110" t="s">
        <v>84</v>
      </c>
      <c r="P8" s="110" t="s">
        <v>85</v>
      </c>
      <c r="Q8" s="110"/>
      <c r="R8" s="110"/>
      <c r="S8" s="110"/>
      <c r="T8" s="114"/>
    </row>
    <row r="9" spans="1:20">
      <c r="A9" s="109">
        <f t="shared" si="0"/>
        <v>3</v>
      </c>
      <c r="B9" s="109"/>
      <c r="C9" s="110" t="s">
        <v>73</v>
      </c>
      <c r="D9" s="110" t="s">
        <v>62</v>
      </c>
      <c r="E9" s="110" t="s">
        <v>36</v>
      </c>
      <c r="F9" s="113" t="s">
        <v>63</v>
      </c>
      <c r="G9" s="109" t="s">
        <v>6</v>
      </c>
      <c r="H9" s="110"/>
      <c r="I9" s="112" t="s">
        <v>80</v>
      </c>
      <c r="J9" s="109"/>
      <c r="K9" s="113">
        <v>10</v>
      </c>
      <c r="L9" s="113">
        <v>2</v>
      </c>
      <c r="M9" s="109"/>
      <c r="N9" s="109"/>
      <c r="O9" s="110" t="s">
        <v>101</v>
      </c>
      <c r="P9" s="110" t="s">
        <v>82</v>
      </c>
      <c r="Q9" s="110" t="s">
        <v>83</v>
      </c>
      <c r="R9" s="110"/>
      <c r="S9" s="110"/>
      <c r="T9" s="114"/>
    </row>
    <row r="10" spans="1:20">
      <c r="A10" s="109">
        <f t="shared" si="0"/>
        <v>4</v>
      </c>
      <c r="B10" s="109"/>
      <c r="C10" s="110" t="s">
        <v>74</v>
      </c>
      <c r="D10" s="110" t="s">
        <v>75</v>
      </c>
      <c r="E10" s="110" t="s">
        <v>36</v>
      </c>
      <c r="F10" s="113" t="s">
        <v>76</v>
      </c>
      <c r="G10" s="109" t="s">
        <v>6</v>
      </c>
      <c r="H10" s="110">
        <v>0</v>
      </c>
      <c r="I10" s="112" t="s">
        <v>80</v>
      </c>
      <c r="J10" s="109"/>
      <c r="K10" s="113">
        <v>8</v>
      </c>
      <c r="L10" s="113">
        <v>0</v>
      </c>
      <c r="M10" s="109"/>
      <c r="N10" s="109"/>
      <c r="O10" s="110" t="s">
        <v>105</v>
      </c>
      <c r="P10" s="110" t="s">
        <v>82</v>
      </c>
      <c r="Q10" s="110" t="s">
        <v>83</v>
      </c>
      <c r="R10" s="110"/>
      <c r="S10" s="110"/>
      <c r="T10" s="114"/>
    </row>
    <row r="11" spans="1:20">
      <c r="A11" s="109">
        <f t="shared" si="0"/>
        <v>5</v>
      </c>
      <c r="B11" s="109"/>
      <c r="C11" s="110" t="s">
        <v>47</v>
      </c>
      <c r="D11" s="110" t="s">
        <v>48</v>
      </c>
      <c r="E11" s="110" t="s">
        <v>98</v>
      </c>
      <c r="F11" s="113">
        <v>6</v>
      </c>
      <c r="G11" s="109" t="s">
        <v>6</v>
      </c>
      <c r="H11" s="110" t="s">
        <v>92</v>
      </c>
      <c r="I11" s="112" t="s">
        <v>78</v>
      </c>
      <c r="J11" s="109"/>
      <c r="K11" s="113">
        <v>6</v>
      </c>
      <c r="L11" s="113"/>
      <c r="M11" s="109" t="s">
        <v>79</v>
      </c>
      <c r="N11" s="109" t="s">
        <v>27</v>
      </c>
      <c r="O11" s="110" t="s">
        <v>49</v>
      </c>
      <c r="P11" s="110" t="s">
        <v>67</v>
      </c>
      <c r="Q11" s="110"/>
      <c r="R11" s="110"/>
      <c r="S11" s="110"/>
      <c r="T11" s="114"/>
    </row>
    <row r="12" spans="1:20">
      <c r="A12" s="115">
        <f t="shared" si="0"/>
        <v>6</v>
      </c>
      <c r="B12" s="115"/>
      <c r="C12" s="116" t="s">
        <v>50</v>
      </c>
      <c r="D12" s="116" t="s">
        <v>51</v>
      </c>
      <c r="E12" s="116" t="s">
        <v>98</v>
      </c>
      <c r="F12" s="117">
        <v>6</v>
      </c>
      <c r="G12" s="115" t="s">
        <v>6</v>
      </c>
      <c r="H12" s="116" t="s">
        <v>92</v>
      </c>
      <c r="I12" s="118" t="s">
        <v>78</v>
      </c>
      <c r="J12" s="115"/>
      <c r="K12" s="117">
        <v>6</v>
      </c>
      <c r="L12" s="117"/>
      <c r="M12" s="115" t="s">
        <v>79</v>
      </c>
      <c r="N12" s="115" t="s">
        <v>27</v>
      </c>
      <c r="O12" s="116" t="s">
        <v>49</v>
      </c>
      <c r="P12" s="116" t="s">
        <v>67</v>
      </c>
      <c r="Q12" s="116"/>
      <c r="R12" s="116"/>
      <c r="S12" s="116"/>
      <c r="T12" s="119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目次</vt:lpstr>
      <vt:lpstr>TBL定義書</vt:lpstr>
      <vt:lpstr>CUSTOMERS</vt:lpstr>
      <vt:lpstr>使い方</vt:lpstr>
      <vt:lpstr>ORDERS</vt:lpstr>
      <vt:lpstr>ORDER_DETAILS</vt:lpstr>
      <vt:lpstr>PRODUCTS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2026-09-26T13:40:50Z</dcterms:modified>
</cp:coreProperties>
</file>