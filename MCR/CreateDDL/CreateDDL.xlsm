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DDL\"/>
    </mc:Choice>
  </mc:AlternateContent>
  <xr:revisionPtr revIDLastSave="0" documentId="13_ncr:1_{30E20F45-15BF-4948-87C0-DA6D7F17F23F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目次" sheetId="428" r:id="rId1"/>
    <sheet name="TBL定義書" sheetId="427" r:id="rId2"/>
    <sheet name="TBL3" sheetId="429" r:id="rId3"/>
    <sheet name="CUSTOMERS" sheetId="319" r:id="rId4"/>
    <sheet name="ORDERS" sheetId="322" r:id="rId5"/>
    <sheet name="ORDER_DETAILS" sheetId="321" r:id="rId6"/>
    <sheet name="PRODUCTS" sheetId="320" r:id="rId7"/>
    <sheet name="使い方" sheetId="425" r:id="rId8"/>
    <sheet name="Sheet1" sheetId="146" r:id="rId9"/>
  </sheets>
  <definedNames>
    <definedName name="_xlnm._FilterDatabase" localSheetId="3" hidden="1">CUSTOMERS!$A$6:$T$6</definedName>
    <definedName name="_xlnm._FilterDatabase" localSheetId="5" hidden="1">ORDER_DETAILS!$A$6:$T$6</definedName>
    <definedName name="_xlnm._FilterDatabase" localSheetId="4" hidden="1">ORDERS!$A$6:$T$6</definedName>
    <definedName name="_xlnm._FilterDatabase" localSheetId="6" hidden="1">PRODUCTS!$A$6:$T$6</definedName>
    <definedName name="_xlnm._FilterDatabase" localSheetId="2" hidden="1">'TBL3'!$A$1:$K$1</definedName>
    <definedName name="_xlnm._FilterDatabase" localSheetId="1" hidden="1">TBL定義書!$A$2:$N$2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6" i="425" l="1"/>
  <c r="A12" i="322" l="1"/>
  <c r="A11" i="322"/>
  <c r="A10" i="322"/>
  <c r="A9" i="322"/>
  <c r="A8" i="322"/>
  <c r="A7" i="322"/>
  <c r="A11" i="321"/>
  <c r="A10" i="321"/>
  <c r="A9" i="321"/>
  <c r="A8" i="321"/>
  <c r="A7" i="321"/>
  <c r="A12" i="320"/>
  <c r="A11" i="320"/>
  <c r="A10" i="320"/>
  <c r="A9" i="320"/>
  <c r="A8" i="320"/>
  <c r="A7" i="320"/>
  <c r="A7" i="319"/>
  <c r="A8" i="319"/>
  <c r="A9" i="319"/>
  <c r="A10" i="319"/>
  <c r="A11" i="319"/>
  <c r="A12" i="319"/>
  <c r="A13" i="3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8E94C003-60B8-4488-B50B-E565C85E22B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77CD89FF-E61B-48A3-A75D-E2EFEDE19C6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9DA80701-E8C8-401D-B797-C5367F549629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191401E4-5292-4827-8661-7962EC3047DE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3E5264D4-A15E-4245-B326-0F2308D8C0E7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A6477AA9-45A2-4B6B-A3AC-48FE2B2DB9A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AA584D97-E32E-4115-A74E-6C2D0C617C35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E8ECBA2F-4992-4206-AE93-8C05254A2296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E5EB7B04-D3A1-496B-B6B7-00BF42411748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451A975B-711B-44F1-B279-43E6499B4813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5DB8AEA1-087C-42CD-A5CA-73D9D6E023F8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3E0A4DF2-EB9E-4740-8F7E-3BC40F27CEFA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4A6B0C42-03B7-431B-BDF8-2649F2B79A3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04C84D49-8380-4C2B-BB63-326AB2476765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EB7F6BFC-7A33-40F0-9EAE-7F4FD4CC51AA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B617ECC4-EACB-452B-A4E7-E241A575B055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sharedStrings.xml><?xml version="1.0" encoding="utf-8"?>
<sst xmlns="http://schemas.openxmlformats.org/spreadsheetml/2006/main" count="866" uniqueCount="216">
  <si>
    <t>DB</t>
  </si>
  <si>
    <t>SCHEMA</t>
  </si>
  <si>
    <t>COL論理名</t>
  </si>
  <si>
    <t>COL物理名</t>
  </si>
  <si>
    <t>PK</t>
  </si>
  <si>
    <t>初期値</t>
  </si>
  <si>
    <t>Y</t>
  </si>
  <si>
    <t>No</t>
  </si>
  <si>
    <t>備考</t>
  </si>
  <si>
    <t>NULL</t>
  </si>
  <si>
    <t>TBL(論)</t>
  </si>
  <si>
    <t>TBL(物)</t>
  </si>
  <si>
    <t>型候補</t>
  </si>
  <si>
    <t>文字列</t>
  </si>
  <si>
    <t>Oracle</t>
  </si>
  <si>
    <t>TBL定義</t>
  </si>
  <si>
    <t>型</t>
  </si>
  <si>
    <t>桁</t>
  </si>
  <si>
    <t>NULL_x000D_
不可</t>
  </si>
  <si>
    <t>COL詳細</t>
  </si>
  <si>
    <t>日本語_x000D_
有無</t>
  </si>
  <si>
    <t>桁数</t>
  </si>
  <si>
    <t>小数_x000D_
桁数</t>
  </si>
  <si>
    <t>時間_x000D_
有無</t>
  </si>
  <si>
    <t>時差修正_x000D_
要否</t>
  </si>
  <si>
    <t>エラー</t>
  </si>
  <si>
    <t>無</t>
  </si>
  <si>
    <t>否</t>
  </si>
  <si>
    <t>TBL概要</t>
  </si>
  <si>
    <t>COL概要</t>
  </si>
  <si>
    <t>データ_x000D_
分類</t>
  </si>
  <si>
    <t>目次</t>
  </si>
  <si>
    <t>顧客</t>
  </si>
  <si>
    <t>CUSTOMERS</t>
  </si>
  <si>
    <t>顧客ID</t>
  </si>
  <si>
    <t>CUSTOMER_ID</t>
  </si>
  <si>
    <t>NUMBER</t>
  </si>
  <si>
    <t>10,0</t>
  </si>
  <si>
    <t>顧客名</t>
  </si>
  <si>
    <t>CUSTOMER_NAME</t>
  </si>
  <si>
    <t>VARCHAR2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</si>
  <si>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</si>
  <si>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</si>
  <si>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</si>
  <si>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</si>
  <si>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</si>
  <si>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</si>
  <si>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</si>
  <si>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</si>
  <si>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TIMESTAMP(6)</t>
  </si>
  <si>
    <t>更新日時</t>
  </si>
  <si>
    <t>UPDATED_AT</t>
  </si>
  <si>
    <t>ORDER_DETAILS</t>
  </si>
  <si>
    <t>受注明細ID</t>
  </si>
  <si>
    <t>ORDER_DETAIL_ID</t>
  </si>
  <si>
    <t>受注ID</t>
  </si>
  <si>
    <t>ORDER_ID</t>
  </si>
  <si>
    <t>商品ID</t>
  </si>
  <si>
    <t>PRODUCT_ID</t>
  </si>
  <si>
    <t>数量</t>
  </si>
  <si>
    <t>QUANTITY</t>
  </si>
  <si>
    <t>受注時点の単価</t>
  </si>
  <si>
    <t>UNIT_PRICE</t>
  </si>
  <si>
    <t>10,2</t>
  </si>
  <si>
    <t>ORDERS</t>
  </si>
  <si>
    <t>受注日</t>
  </si>
  <si>
    <t>ORDER_DATE</t>
  </si>
  <si>
    <t>DATE</t>
  </si>
  <si>
    <t>ステータス</t>
  </si>
  <si>
    <t>STATUS</t>
  </si>
  <si>
    <t>PRODUCTS</t>
  </si>
  <si>
    <t>商品名</t>
  </si>
  <si>
    <t>PRODUCT_NAME</t>
  </si>
  <si>
    <t>単価</t>
  </si>
  <si>
    <t>在庫数</t>
  </si>
  <si>
    <t>STOCK_QUANTITY</t>
  </si>
  <si>
    <t>8,0</t>
  </si>
  <si>
    <t>SYSTEM</t>
  </si>
  <si>
    <t>日時</t>
  </si>
  <si>
    <t>有</t>
  </si>
  <si>
    <t>数値</t>
  </si>
  <si>
    <t>NUMBER(10,0)</t>
  </si>
  <si>
    <t>BINARY_DOUBLE</t>
  </si>
  <si>
    <t>BINARY_FLOAT</t>
  </si>
  <si>
    <t>NVARCHAR2(100)</t>
  </si>
  <si>
    <t>VARCHAR2(100)</t>
  </si>
  <si>
    <t>VARCHAR2(255)</t>
  </si>
  <si>
    <t>NVARCHAR2(255)</t>
  </si>
  <si>
    <t>VARCHAR2(20)</t>
  </si>
  <si>
    <t>NVARCHAR2(20)</t>
  </si>
  <si>
    <t>TIMESTAMP</t>
  </si>
  <si>
    <t>NVARCHAR2</t>
  </si>
  <si>
    <t>CURRENT_TIMESTAMP</t>
    <phoneticPr fontId="1"/>
  </si>
  <si>
    <t>NULL</t>
    <phoneticPr fontId="1"/>
  </si>
  <si>
    <t>受注明細</t>
    <phoneticPr fontId="1"/>
  </si>
  <si>
    <t>受注</t>
    <phoneticPr fontId="1"/>
  </si>
  <si>
    <t>ORDERS</t>
    <phoneticPr fontId="1"/>
  </si>
  <si>
    <t>10,0</t>
    <phoneticPr fontId="1"/>
  </si>
  <si>
    <t>TIMESTAMP</t>
    <phoneticPr fontId="1"/>
  </si>
  <si>
    <t>TIMESTAMP(0)</t>
  </si>
  <si>
    <t>ORDER_DETAILS</t>
    <phoneticPr fontId="1"/>
  </si>
  <si>
    <t>NUMBER(12,2)</t>
  </si>
  <si>
    <t>12,2</t>
    <phoneticPr fontId="1"/>
  </si>
  <si>
    <t>商品</t>
    <phoneticPr fontId="1"/>
  </si>
  <si>
    <t>PRODUCTS</t>
    <phoneticPr fontId="1"/>
  </si>
  <si>
    <t>NUMBER(8,0)</t>
  </si>
  <si>
    <t>1,</t>
  </si>
  <si>
    <t>2,</t>
  </si>
  <si>
    <t>3,</t>
  </si>
  <si>
    <t>4,</t>
  </si>
  <si>
    <t>CUSTOMERS</t>
    <phoneticPr fontId="1"/>
  </si>
  <si>
    <t>CUSTOMER_ID</t>
    <phoneticPr fontId="1"/>
  </si>
  <si>
    <t>Y</t>
    <phoneticPr fontId="1"/>
  </si>
  <si>
    <t>5,</t>
  </si>
  <si>
    <t>Sheet1</t>
  </si>
  <si>
    <t>TBLオプション</t>
  </si>
  <si>
    <t>TBL-No</t>
  </si>
  <si>
    <t>TBL(論理)</t>
  </si>
  <si>
    <t>TBL(物理)</t>
  </si>
  <si>
    <t>COL-No</t>
  </si>
  <si>
    <t>COL(論理)</t>
  </si>
  <si>
    <t>COL(物理)</t>
  </si>
  <si>
    <t>NULL不可</t>
  </si>
  <si>
    <t>受注明細</t>
  </si>
  <si>
    <t>受注</t>
  </si>
  <si>
    <t>商品</t>
  </si>
  <si>
    <t>CURRENT_TIMESTAMP</t>
  </si>
  <si>
    <t>12,2</t>
  </si>
  <si>
    <t>TBL定義書</t>
  </si>
  <si>
    <t>6,</t>
  </si>
  <si>
    <t>顧客マスタ</t>
  </si>
  <si>
    <t>顧客マスタ</t>
    <rPh sb="0" eb="2">
      <t>コキャク</t>
    </rPh>
    <phoneticPr fontId="1"/>
  </si>
  <si>
    <t>受注トラン</t>
  </si>
  <si>
    <t>受注トラン</t>
    <rPh sb="0" eb="2">
      <t>ジュチュウ</t>
    </rPh>
    <phoneticPr fontId="1"/>
  </si>
  <si>
    <t>商品マスタ</t>
  </si>
  <si>
    <t>商品マスタ</t>
    <rPh sb="0" eb="2">
      <t>ショウヒン</t>
    </rPh>
    <phoneticPr fontId="1"/>
  </si>
  <si>
    <t>TBL内特定ID</t>
  </si>
  <si>
    <t>TBL内特定ID</t>
    <rPh sb="3" eb="4">
      <t>ナイ</t>
    </rPh>
    <rPh sb="4" eb="6">
      <t>トクテイ</t>
    </rPh>
    <phoneticPr fontId="1"/>
  </si>
  <si>
    <t>備考1</t>
  </si>
  <si>
    <t>備考1</t>
    <phoneticPr fontId="1"/>
  </si>
  <si>
    <t>Y</t>
    <phoneticPr fontId="1"/>
  </si>
  <si>
    <t>受注トランの明細トラン</t>
  </si>
  <si>
    <t>受注トランの明細トラン</t>
    <rPh sb="6" eb="8">
      <t>メイサイ</t>
    </rPh>
    <phoneticPr fontId="1"/>
  </si>
  <si>
    <t>ボタンを押す</t>
  </si>
  <si>
    <t>設定値を設定する</t>
  </si>
  <si>
    <t>このExcelファイルと同じ場所に本日日付フォルダが作成され、その中にファイルが作成される</t>
  </si>
  <si>
    <t>型候補が出力される</t>
  </si>
  <si>
    <t>スキーマ名を指定</t>
  </si>
  <si>
    <t>テーブル論理名を指定</t>
  </si>
  <si>
    <t>テーブル物理名を指定</t>
  </si>
  <si>
    <t>使い方</t>
  </si>
  <si>
    <t>2-1,</t>
  </si>
  <si>
    <t>2-2,</t>
  </si>
  <si>
    <t>上部</t>
  </si>
  <si>
    <t>2-3,</t>
  </si>
  <si>
    <t>DBの種類を指定</t>
  </si>
  <si>
    <t>4-1,</t>
  </si>
  <si>
    <t>4-2,</t>
  </si>
  <si>
    <t>項目の型の候補を取得する (作業スキップ可)</t>
  </si>
  <si>
    <t>COL詳細を入力する</t>
  </si>
  <si>
    <t>型候補セット</t>
  </si>
  <si>
    <t>TBL定義を確定する</t>
  </si>
  <si>
    <t>DDLファイルを作成する</t>
  </si>
  <si>
    <t>DDL作成</t>
  </si>
  <si>
    <t>DDLファイル</t>
  </si>
  <si>
    <t>7,</t>
  </si>
  <si>
    <t>TBL(物)</t>
    <phoneticPr fontId="1"/>
  </si>
  <si>
    <t>customers</t>
  </si>
  <si>
    <t>1</t>
  </si>
  <si>
    <t>N</t>
    <phoneticPr fontId="1"/>
  </si>
  <si>
    <t>customer_id</t>
  </si>
  <si>
    <t>numeric</t>
  </si>
  <si>
    <t>2</t>
  </si>
  <si>
    <t>N</t>
  </si>
  <si>
    <t>customer_name</t>
  </si>
  <si>
    <t>nvarchar</t>
  </si>
  <si>
    <t>100</t>
  </si>
  <si>
    <t>3</t>
  </si>
  <si>
    <t>email</t>
  </si>
  <si>
    <t>255</t>
  </si>
  <si>
    <t>4</t>
  </si>
  <si>
    <t>phone</t>
  </si>
  <si>
    <t>20</t>
  </si>
  <si>
    <t>5</t>
  </si>
  <si>
    <t>address</t>
  </si>
  <si>
    <t>6</t>
  </si>
  <si>
    <t>created_at</t>
  </si>
  <si>
    <t>datetime2</t>
  </si>
  <si>
    <t>(sysdatetime())</t>
  </si>
  <si>
    <t>7</t>
  </si>
  <si>
    <t>updated_at</t>
  </si>
  <si>
    <t>order_details</t>
  </si>
  <si>
    <t>order_detail_id</t>
  </si>
  <si>
    <t>order_id</t>
  </si>
  <si>
    <t>product_id</t>
  </si>
  <si>
    <t>quantity</t>
  </si>
  <si>
    <t>unit_price</t>
  </si>
  <si>
    <t>orders</t>
  </si>
  <si>
    <t>order_date</t>
  </si>
  <si>
    <t>date</t>
  </si>
  <si>
    <t>(CONVERT([date],sysdatetime()))</t>
  </si>
  <si>
    <t>status</t>
  </si>
  <si>
    <t>products</t>
  </si>
  <si>
    <t>product_name</t>
  </si>
  <si>
    <t>stock_quantity</t>
  </si>
  <si>
    <t>((0))</t>
  </si>
  <si>
    <t>customers (2)</t>
  </si>
  <si>
    <t>order_details (2)</t>
  </si>
  <si>
    <t>orders (2)</t>
  </si>
  <si>
    <t>products (2)</t>
  </si>
  <si>
    <t>TBL3</t>
  </si>
  <si>
    <t>8,</t>
  </si>
  <si>
    <t>9,</t>
  </si>
  <si>
    <t>10,</t>
  </si>
  <si>
    <t>11,</t>
  </si>
  <si>
    <t>12,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</si>
</sst>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theme="1"/>
      <name val="Calibri"/>
      <family val="2"/>
      <charset val="1"/>
    </font>
    <font>
      <b/>
      <sz val="11"/>
      <color rgb="FFFF0000"/>
      <name val="HGｺﾞｼｯｸM"/>
      <family val="3"/>
      <charset val="128"/>
    </font>
    <font>
      <sz val="9"/>
      <color indexed="81"/>
      <name val="MS P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Calibri"/>
      <family val="2"/>
    </font>
    <font>
      <b/>
      <sz val="11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0AD47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6" fillId="0" borderId="0" applyNumberForma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" borderId="9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6" fillId="0" borderId="0" xfId="2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2" fillId="0" borderId="19" xfId="0" applyFont="1" applyBorder="1" applyAlignment="1">
      <alignment horizontal="center" vertical="top"/>
    </xf>
    <xf numFmtId="0" fontId="2" fillId="0" borderId="19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right" vertical="top"/>
    </xf>
    <xf numFmtId="0" fontId="2" fillId="0" borderId="19" xfId="0" applyFont="1" applyBorder="1" applyAlignment="1">
      <alignment horizontal="left" vertical="top"/>
    </xf>
    <xf numFmtId="0" fontId="4" fillId="0" borderId="19" xfId="0" applyFont="1" applyBorder="1" applyAlignment="1">
      <alignment horizontal="left" vertical="top" wrapText="1"/>
    </xf>
    <xf numFmtId="0" fontId="2" fillId="0" borderId="20" xfId="0" applyFont="1" applyBorder="1" applyAlignment="1">
      <alignment horizontal="center" vertical="top"/>
    </xf>
    <xf numFmtId="0" fontId="2" fillId="0" borderId="20" xfId="0" applyFont="1" applyBorder="1" applyAlignment="1">
      <alignment horizontal="left" vertical="top" wrapText="1"/>
    </xf>
    <xf numFmtId="0" fontId="2" fillId="0" borderId="20" xfId="0" quotePrefix="1" applyFont="1" applyBorder="1" applyAlignment="1">
      <alignment horizontal="right" vertical="top"/>
    </xf>
    <xf numFmtId="0" fontId="2" fillId="0" borderId="20" xfId="0" applyFont="1" applyBorder="1" applyAlignment="1">
      <alignment horizontal="left" vertical="top"/>
    </xf>
    <xf numFmtId="0" fontId="2" fillId="0" borderId="20" xfId="0" applyFont="1" applyBorder="1" applyAlignment="1">
      <alignment horizontal="right" vertical="top"/>
    </xf>
    <xf numFmtId="0" fontId="4" fillId="0" borderId="20" xfId="0" applyFont="1" applyBorder="1" applyAlignment="1">
      <alignment horizontal="left" vertical="top" wrapText="1"/>
    </xf>
    <xf numFmtId="0" fontId="2" fillId="0" borderId="21" xfId="0" applyFont="1" applyBorder="1" applyAlignment="1">
      <alignment horizontal="center" vertical="top"/>
    </xf>
    <xf numFmtId="0" fontId="2" fillId="0" borderId="21" xfId="0" applyFont="1" applyBorder="1" applyAlignment="1">
      <alignment horizontal="left" vertical="top" wrapText="1"/>
    </xf>
    <xf numFmtId="0" fontId="2" fillId="0" borderId="21" xfId="0" applyFont="1" applyBorder="1" applyAlignment="1">
      <alignment horizontal="right" vertical="top"/>
    </xf>
    <xf numFmtId="0" fontId="2" fillId="0" borderId="21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 wrapText="1"/>
    </xf>
    <xf numFmtId="0" fontId="7" fillId="0" borderId="19" xfId="0" applyFont="1" applyBorder="1" applyAlignment="1">
      <alignment horizontal="left" vertical="top" wrapText="1"/>
    </xf>
    <xf numFmtId="0" fontId="8" fillId="12" borderId="23" xfId="0" applyFont="1" applyFill="1" applyBorder="1" applyAlignment="1">
      <alignment horizontal="center" vertical="top"/>
    </xf>
    <xf numFmtId="0" fontId="8" fillId="12" borderId="24" xfId="0" applyFont="1" applyFill="1" applyBorder="1" applyAlignment="1">
      <alignment horizontal="center" vertical="top"/>
    </xf>
    <xf numFmtId="0" fontId="8" fillId="8" borderId="24" xfId="0" applyFont="1" applyFill="1" applyBorder="1" applyAlignment="1">
      <alignment horizontal="center" vertical="top"/>
    </xf>
    <xf numFmtId="0" fontId="8" fillId="8" borderId="25" xfId="0" applyFont="1" applyFill="1" applyBorder="1" applyAlignment="1">
      <alignment horizontal="center" vertical="top"/>
    </xf>
    <xf numFmtId="0" fontId="0" fillId="0" borderId="27" xfId="0" applyBorder="1" applyAlignment="1">
      <alignment horizontal="left" vertical="top" wrapText="1"/>
    </xf>
    <xf numFmtId="0" fontId="0" fillId="0" borderId="27" xfId="0" applyBorder="1" applyAlignment="1">
      <alignment horizontal="center" vertical="top" wrapText="1"/>
    </xf>
    <xf numFmtId="0" fontId="0" fillId="0" borderId="27" xfId="0" applyBorder="1" applyAlignment="1">
      <alignment horizontal="right" vertical="top" wrapText="1"/>
    </xf>
    <xf numFmtId="0" fontId="0" fillId="0" borderId="28" xfId="0" applyBorder="1" applyAlignment="1">
      <alignment horizontal="left" vertical="top" wrapText="1"/>
    </xf>
    <xf numFmtId="0" fontId="0" fillId="0" borderId="26" xfId="0" applyBorder="1" applyAlignment="1">
      <alignment horizontal="center" vertical="top"/>
    </xf>
    <xf numFmtId="0" fontId="0" fillId="0" borderId="29" xfId="0" applyBorder="1" applyAlignment="1">
      <alignment horizontal="center" vertical="top"/>
    </xf>
    <xf numFmtId="0" fontId="0" fillId="0" borderId="32" xfId="0" applyBorder="1" applyAlignment="1">
      <alignment horizontal="center" vertical="top"/>
    </xf>
    <xf numFmtId="0" fontId="0" fillId="0" borderId="33" xfId="0" applyBorder="1" applyAlignment="1">
      <alignment horizontal="left" vertical="top" wrapText="1"/>
    </xf>
    <xf numFmtId="0" fontId="0" fillId="0" borderId="33" xfId="0" applyBorder="1" applyAlignment="1">
      <alignment horizontal="center" vertical="top" wrapText="1"/>
    </xf>
    <xf numFmtId="0" fontId="0" fillId="0" borderId="33" xfId="0" applyBorder="1" applyAlignment="1">
      <alignment horizontal="right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center" vertical="top"/>
    </xf>
    <xf numFmtId="0" fontId="0" fillId="0" borderId="36" xfId="0" applyBorder="1" applyAlignment="1">
      <alignment horizontal="left" vertical="top" wrapText="1"/>
    </xf>
    <xf numFmtId="0" fontId="0" fillId="0" borderId="36" xfId="0" applyBorder="1" applyAlignment="1">
      <alignment horizontal="center" vertical="top" wrapText="1"/>
    </xf>
    <xf numFmtId="0" fontId="0" fillId="0" borderId="36" xfId="0" applyBorder="1" applyAlignment="1">
      <alignment horizontal="right" vertical="top" wrapText="1"/>
    </xf>
    <xf numFmtId="0" fontId="0" fillId="0" borderId="37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30" xfId="0" applyBorder="1" applyAlignment="1">
      <alignment horizontal="center" vertical="top" wrapText="1"/>
    </xf>
    <xf numFmtId="0" fontId="0" fillId="0" borderId="30" xfId="0" applyBorder="1" applyAlignment="1">
      <alignment horizontal="right" vertical="top" wrapText="1"/>
    </xf>
    <xf numFmtId="0" fontId="0" fillId="0" borderId="31" xfId="0" applyBorder="1" applyAlignment="1">
      <alignment horizontal="left" vertical="top" wrapText="1"/>
    </xf>
    <xf numFmtId="49" fontId="10" fillId="12" borderId="38" xfId="0" applyNumberFormat="1" applyFont="1" applyFill="1" applyBorder="1" applyAlignment="1">
      <alignment horizontal="left" vertical="center" wrapText="1"/>
    </xf>
    <xf numFmtId="1" fontId="0" fillId="0" borderId="38" xfId="0" applyNumberFormat="1" applyBorder="1" applyAlignment="1">
      <alignment horizontal="right" vertical="center"/>
    </xf>
    <xf numFmtId="49" fontId="0" fillId="0" borderId="38" xfId="0" applyNumberFormat="1" applyBorder="1">
      <alignment vertical="center"/>
    </xf>
    <xf numFmtId="0" fontId="2" fillId="6" borderId="7" xfId="0" applyFont="1" applyFill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top"/>
    </xf>
    <xf numFmtId="0" fontId="2" fillId="6" borderId="5" xfId="0" applyFont="1" applyFill="1" applyBorder="1" applyAlignment="1">
      <alignment horizontal="center" vertical="top"/>
    </xf>
    <xf numFmtId="0" fontId="2" fillId="7" borderId="7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5" xfId="0" applyFont="1" applyFill="1" applyBorder="1" applyAlignment="1">
      <alignment horizontal="center" vertical="top"/>
    </xf>
    <xf numFmtId="0" fontId="2" fillId="8" borderId="9" xfId="0" applyFont="1" applyFill="1" applyBorder="1" applyAlignment="1">
      <alignment horizontal="center" vertical="top"/>
    </xf>
    <xf numFmtId="0" fontId="2" fillId="8" borderId="13" xfId="0" applyFont="1" applyFill="1" applyBorder="1" applyAlignment="1">
      <alignment horizontal="center" vertical="top"/>
    </xf>
    <xf numFmtId="0" fontId="2" fillId="4" borderId="10" xfId="0" applyFont="1" applyFill="1" applyBorder="1" applyAlignment="1">
      <alignment horizontal="center" vertical="top"/>
    </xf>
    <xf numFmtId="0" fontId="2" fillId="4" borderId="12" xfId="0" applyFont="1" applyFill="1" applyBorder="1" applyAlignment="1">
      <alignment horizontal="center" vertical="top"/>
    </xf>
    <xf numFmtId="0" fontId="2" fillId="3" borderId="4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center" vertical="top"/>
    </xf>
    <xf numFmtId="0" fontId="2" fillId="5" borderId="11" xfId="0" applyFont="1" applyFill="1" applyBorder="1" applyAlignment="1">
      <alignment horizontal="center" vertical="top"/>
    </xf>
    <xf numFmtId="0" fontId="2" fillId="5" borderId="7" xfId="0" applyFont="1" applyFill="1" applyBorder="1" applyAlignment="1">
      <alignment horizontal="center" vertical="top"/>
    </xf>
    <xf numFmtId="0" fontId="2" fillId="5" borderId="1" xfId="0" applyFont="1" applyFill="1" applyBorder="1" applyAlignment="1">
      <alignment horizontal="center" vertical="top"/>
    </xf>
    <xf numFmtId="0" fontId="2" fillId="5" borderId="5" xfId="0" applyFont="1" applyFill="1" applyBorder="1" applyAlignment="1">
      <alignment horizontal="center" vertical="top"/>
    </xf>
    <xf numFmtId="0" fontId="2" fillId="7" borderId="4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10" xfId="0" applyFont="1" applyFill="1" applyBorder="1" applyAlignment="1">
      <alignment horizontal="left" vertical="top" wrapText="1"/>
    </xf>
    <xf numFmtId="0" fontId="2" fillId="9" borderId="8" xfId="0" applyFont="1" applyFill="1" applyBorder="1" applyAlignment="1">
      <alignment horizontal="left" vertical="top" wrapText="1"/>
    </xf>
    <xf numFmtId="0" fontId="2" fillId="9" borderId="12" xfId="0" applyFont="1" applyFill="1" applyBorder="1" applyAlignment="1">
      <alignment horizontal="left" vertical="top" wrapText="1"/>
    </xf>
    <xf numFmtId="0" fontId="2" fillId="9" borderId="11" xfId="0" applyFont="1" applyFill="1" applyBorder="1" applyAlignment="1">
      <alignment horizontal="left" vertical="top" wrapText="1"/>
    </xf>
    <xf numFmtId="0" fontId="2" fillId="9" borderId="4" xfId="0" applyFont="1" applyFill="1" applyBorder="1" applyAlignment="1">
      <alignment horizontal="left" vertical="top" wrapText="1"/>
    </xf>
    <xf numFmtId="0" fontId="2" fillId="9" borderId="2" xfId="0" applyFont="1" applyFill="1" applyBorder="1" applyAlignment="1">
      <alignment horizontal="left" vertical="top" wrapText="1"/>
    </xf>
    <xf numFmtId="0" fontId="2" fillId="10" borderId="4" xfId="0" applyFont="1" applyFill="1" applyBorder="1" applyAlignment="1">
      <alignment horizontal="center" vertical="top"/>
    </xf>
    <xf numFmtId="0" fontId="2" fillId="10" borderId="14" xfId="0" applyFont="1" applyFill="1" applyBorder="1" applyAlignment="1">
      <alignment horizontal="center" vertical="top"/>
    </xf>
    <xf numFmtId="0" fontId="2" fillId="10" borderId="2" xfId="0" applyFont="1" applyFill="1" applyBorder="1" applyAlignment="1">
      <alignment horizontal="center" vertical="top"/>
    </xf>
    <xf numFmtId="0" fontId="2" fillId="11" borderId="10" xfId="0" applyFont="1" applyFill="1" applyBorder="1" applyAlignment="1">
      <alignment horizontal="left" vertical="top" wrapText="1"/>
    </xf>
    <xf numFmtId="0" fontId="2" fillId="11" borderId="15" xfId="0" applyFont="1" applyFill="1" applyBorder="1" applyAlignment="1">
      <alignment horizontal="left" vertical="top" wrapText="1"/>
    </xf>
    <xf numFmtId="0" fontId="2" fillId="11" borderId="8" xfId="0" applyFont="1" applyFill="1" applyBorder="1" applyAlignment="1">
      <alignment horizontal="left" vertical="top" wrapText="1"/>
    </xf>
    <xf numFmtId="0" fontId="2" fillId="11" borderId="12" xfId="0" applyFont="1" applyFill="1" applyBorder="1" applyAlignment="1">
      <alignment horizontal="left" vertical="top" wrapText="1"/>
    </xf>
    <xf numFmtId="0" fontId="2" fillId="11" borderId="0" xfId="0" applyFont="1" applyFill="1" applyAlignment="1">
      <alignment horizontal="left" vertical="top" wrapText="1"/>
    </xf>
    <xf numFmtId="0" fontId="2" fillId="11" borderId="11" xfId="0" applyFont="1" applyFill="1" applyBorder="1" applyAlignment="1">
      <alignment horizontal="left" vertical="top" wrapText="1"/>
    </xf>
    <xf numFmtId="0" fontId="2" fillId="11" borderId="4" xfId="0" applyFont="1" applyFill="1" applyBorder="1" applyAlignment="1">
      <alignment horizontal="left" vertical="top" wrapText="1"/>
    </xf>
    <xf numFmtId="0" fontId="2" fillId="11" borderId="14" xfId="0" applyFont="1" applyFill="1" applyBorder="1" applyAlignment="1">
      <alignment horizontal="left" vertical="top" wrapText="1"/>
    </xf>
    <xf numFmtId="0" fontId="2" fillId="11" borderId="2" xfId="0" applyFont="1" applyFill="1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6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center" vertical="top"/>
    </xf>
    <xf numFmtId="0" fontId="2" fillId="6" borderId="3" xfId="0" applyFont="1" applyFill="1" applyBorder="1" applyAlignment="1">
      <alignment horizontal="center" vertical="top"/>
    </xf>
    <xf numFmtId="0" fontId="2" fillId="6" borderId="4" xfId="0" applyFont="1" applyFill="1" applyBorder="1" applyAlignment="1">
      <alignment horizontal="center" vertical="top"/>
    </xf>
    <xf numFmtId="0" fontId="2" fillId="6" borderId="8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0" borderId="22" xfId="0" applyFont="1" applyBorder="1" applyAlignment="1">
      <alignment horizontal="left" vertical="center"/>
    </xf>
    <xf numFmtId="0" fontId="2" fillId="9" borderId="20" xfId="0" applyFont="1" applyFill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2" fillId="9" borderId="2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top"/>
    </xf>
    <xf numFmtId="0" fontId="2" fillId="0" borderId="22" xfId="0" applyFont="1" applyBorder="1" applyAlignment="1">
      <alignment horizontal="right" vertical="center"/>
    </xf>
    <xf numFmtId="0" fontId="2" fillId="9" borderId="20" xfId="0" applyFont="1" applyFill="1" applyBorder="1" applyAlignment="1">
      <alignment horizontal="right" vertical="center"/>
    </xf>
    <xf numFmtId="0" fontId="2" fillId="0" borderId="21" xfId="0" applyFont="1" applyBorder="1" applyAlignment="1">
      <alignment horizontal="right" vertical="center"/>
    </xf>
    <xf numFmtId="0" fontId="2" fillId="6" borderId="10" xfId="0" applyFont="1" applyFill="1" applyBorder="1" applyAlignment="1">
      <alignment horizontal="center" vertical="top" wrapText="1"/>
    </xf>
    <xf numFmtId="0" fontId="9" fillId="14" borderId="16" xfId="0" applyFont="1" applyFill="1" applyBorder="1" applyAlignment="1">
      <alignment horizontal="center" vertical="center"/>
    </xf>
    <xf numFmtId="0" fontId="9" fillId="14" borderId="17" xfId="0" applyFont="1" applyFill="1" applyBorder="1" applyAlignment="1">
      <alignment horizontal="center" vertical="center"/>
    </xf>
    <xf numFmtId="0" fontId="9" fillId="14" borderId="18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top"/>
    </xf>
    <xf numFmtId="0" fontId="2" fillId="7" borderId="8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2" fillId="7" borderId="10" xfId="0" applyFont="1" applyFill="1" applyBorder="1" applyAlignment="1">
      <alignment horizontal="center" vertical="top"/>
    </xf>
    <xf numFmtId="0" fontId="2" fillId="5" borderId="2" xfId="0" applyFont="1" applyFill="1" applyBorder="1" applyAlignment="1">
      <alignment horizontal="center" vertical="top"/>
    </xf>
    <xf numFmtId="0" fontId="2" fillId="5" borderId="3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9" fillId="13" borderId="16" xfId="0" applyFont="1" applyFill="1" applyBorder="1" applyAlignment="1">
      <alignment horizontal="center" vertical="center"/>
    </xf>
    <xf numFmtId="0" fontId="9" fillId="13" borderId="17" xfId="0" applyFont="1" applyFill="1" applyBorder="1" applyAlignment="1">
      <alignment horizontal="center" vertical="center"/>
    </xf>
    <xf numFmtId="0" fontId="9" fillId="13" borderId="18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top"/>
    </xf>
  </cellXfs>
  <cellStyles count="3">
    <cellStyle name="ハイパーリンク" xfId="2" builtinId="8"/>
    <cellStyle name="標準" xfId="0" builtinId="0"/>
    <cellStyle name="標準 2" xfId="1" xr:uid="{5D5C2975-BE8E-4B2F-AD6F-3D5C9F26567D}"/>
  </cellStyles>
  <dxfs count="11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5B9BD5"/>
      <color rgb="FFD9D9D9"/>
      <color rgb="FF70AD47"/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759620</xdr:colOff>
      <xdr:row>0</xdr:row>
      <xdr:rowOff>423500</xdr:rowOff>
    </xdr:to>
    <xdr:sp macro="Btn_UpdateSheet_TableOfContent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89DFAAB-AAE0-5BFB-1826-B1704B565BDE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508160</xdr:colOff>
      <xdr:row>0</xdr:row>
      <xdr:rowOff>423500</xdr:rowOff>
    </xdr:to>
    <xdr:sp macro="Btn_UpdateSheet_TableInf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B7DBCF7-F54A-0BE9-81F6-EF8167D113DF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AF60F42-1337-CF07-B63B-C035E16C45B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725E8709-ED8A-17F6-BF3D-2754F185225B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B0FD52F-D570-4BC6-A1F5-151D7C517ED8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180B2F8-67DB-4BDA-BEBD-DBC78387339E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9FCAC91-7F99-4544-8312-05674C28FC4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662A5702-607F-44E9-BE7A-55216CFB47C6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75B55B4-CB7C-454A-8C0D-CD486E7D046A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5173E2F-4BA3-4AB2-98DE-6B6848AB1957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44896-BCDA-427D-99B0-96B85BB1D9EE}">
  <sheetPr codeName="Sheet18"/>
  <dimension ref="B1:C16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2.69921875" defaultRowHeight="18" outlineLevelRow="1"/>
  <cols>
    <col min="1" max="1" width="2.69921875" style="13"/>
    <col min="2" max="2" width="4.69921875" style="13" customWidth="1"/>
    <col min="3" max="3" width="50.69921875" style="13" customWidth="1"/>
    <col min="4" max="16384" width="2.69921875" style="13"/>
  </cols>
  <sheetData>
    <row r="1" spans="2:3" ht="37.950000000000003" customHeight="1" outlineLevel="1"/>
    <row r="3" spans="2:3">
      <c r="B3" s="13" t="s">
        <v>31</v>
      </c>
    </row>
    <row r="5" spans="2:3">
      <c r="B5" s="13" t="s">
        <v>106</v>
      </c>
      <c r="C5" s="14" t="s">
        <v>206</v>
      </c>
    </row>
    <row r="6" spans="2:3">
      <c r="B6" s="13" t="s">
        <v>107</v>
      </c>
      <c r="C6" s="14" t="s">
        <v>207</v>
      </c>
    </row>
    <row r="7" spans="2:3">
      <c r="B7" s="13" t="s">
        <v>108</v>
      </c>
      <c r="C7" s="14" t="s">
        <v>208</v>
      </c>
    </row>
    <row r="8" spans="2:3">
      <c r="B8" s="13" t="s">
        <v>109</v>
      </c>
      <c r="C8" s="14" t="s">
        <v>209</v>
      </c>
    </row>
    <row r="9" spans="2:3">
      <c r="B9" s="13" t="s">
        <v>113</v>
      </c>
      <c r="C9" s="14" t="s">
        <v>128</v>
      </c>
    </row>
    <row r="10" spans="2:3">
      <c r="B10" s="13" t="s">
        <v>129</v>
      </c>
      <c r="C10" s="14" t="s">
        <v>210</v>
      </c>
    </row>
    <row r="11" spans="2:3">
      <c r="B11" s="13" t="s">
        <v>165</v>
      </c>
      <c r="C11" s="14" t="s">
        <v>33</v>
      </c>
    </row>
    <row r="12" spans="2:3">
      <c r="B12" s="13" t="s">
        <v>211</v>
      </c>
      <c r="C12" s="14" t="s">
        <v>64</v>
      </c>
    </row>
    <row r="13" spans="2:3">
      <c r="B13" s="13" t="s">
        <v>212</v>
      </c>
      <c r="C13" s="14" t="s">
        <v>52</v>
      </c>
    </row>
    <row r="14" spans="2:3">
      <c r="B14" s="13" t="s">
        <v>213</v>
      </c>
      <c r="C14" s="14" t="s">
        <v>70</v>
      </c>
    </row>
    <row r="15" spans="2:3">
      <c r="B15" s="13" t="s">
        <v>214</v>
      </c>
      <c r="C15" s="14" t="s">
        <v>150</v>
      </c>
    </row>
    <row r="16" spans="2:3">
      <c r="B16" s="13" t="s">
        <v>215</v>
      </c>
      <c r="C16" s="14" t="s">
        <v>114</v>
      </c>
    </row>
  </sheetData>
  <phoneticPr fontId="1"/>
  <hyperlinks>
    <hyperlink ref="C5" location="'customers (2)'!A1" display="customers (2)" xr:uid="{B3611D79-6583-48EA-8452-BB719E418A64}"/>
    <hyperlink ref="C6" location="'order_details (2)'!A1" display="order_details (2)" xr:uid="{B903D644-D451-4509-A6F1-57DFBE08EEEC}"/>
    <hyperlink ref="C7" location="'orders (2)'!A1" display="orders (2)" xr:uid="{05775B54-1F30-4363-B990-8976DB16087D}"/>
    <hyperlink ref="C8" location="'products (2)'!A1" display="products (2)" xr:uid="{BAD1A44E-9777-4120-8BB4-2E75BACF7267}"/>
    <hyperlink ref="C9" location="'TBL定義書'!A1" display="TBL定義書" xr:uid="{4A266B5D-E60B-48B9-9DD5-2B4B26A93B39}"/>
    <hyperlink ref="C10" location="'TBL3'!A1" display="TBL3" xr:uid="{8AB9B678-8DDB-4F6C-9B89-F75AFC7A80B2}"/>
    <hyperlink ref="C11" location="'CUSTOMERS'!A1" display="CUSTOMERS" xr:uid="{AEDBFCA0-90C1-4457-8C36-D186A993BA86}"/>
    <hyperlink ref="C12" location="'ORDERS'!A1" display="ORDERS" xr:uid="{2D0C02A5-6737-49B0-B6D2-729E1399886F}"/>
    <hyperlink ref="C13" location="'ORDER_DETAILS'!A1" display="ORDER_DETAILS" xr:uid="{5FFF4E22-C328-441C-8AEA-30714A24F780}"/>
    <hyperlink ref="C14" location="'PRODUCTS'!A1" display="PRODUCTS" xr:uid="{58CB2784-0357-41E3-8E0A-D833E6487BAC}"/>
    <hyperlink ref="C15" location="'使い方'!A1" display="使い方" xr:uid="{22F30F4E-9513-49D6-AAD7-3676114739A0}"/>
    <hyperlink ref="C16" location="'Sheet1'!A1" display="Sheet1" xr:uid="{6FD52888-F636-4B0B-8B20-B6AD38A2D159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28D84-E7D3-476D-857D-0BBD422F96DC}">
  <sheetPr codeName="Sheet17">
    <tabColor rgb="FF87E7AD"/>
  </sheetPr>
  <dimension ref="A1:N26"/>
  <sheetViews>
    <sheetView showGridLines="0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outlineLevelRow="1"/>
  <cols>
    <col min="1" max="1" width="10.69921875" style="15" customWidth="1"/>
    <col min="2" max="3" width="30.69921875" style="13" customWidth="1"/>
    <col min="4" max="4" width="10.69921875" style="15" customWidth="1"/>
    <col min="5" max="5" width="5.69921875" style="15" customWidth="1"/>
    <col min="6" max="7" width="30.69921875" style="13" customWidth="1"/>
    <col min="8" max="8" width="20.69921875" style="13" customWidth="1"/>
    <col min="9" max="9" width="10.69921875" style="16" customWidth="1"/>
    <col min="10" max="10" width="12.69921875" style="15" customWidth="1"/>
    <col min="11" max="11" width="20.69921875" style="13" customWidth="1"/>
    <col min="12" max="14" width="30.69921875" style="13" customWidth="1"/>
    <col min="15" max="16384" width="8.796875" style="13"/>
  </cols>
  <sheetData>
    <row r="1" spans="1:14" ht="37.950000000000003" customHeight="1" outlineLevel="1"/>
    <row r="2" spans="1:14" s="15" customFormat="1">
      <c r="A2" s="34" t="s">
        <v>116</v>
      </c>
      <c r="B2" s="35" t="s">
        <v>117</v>
      </c>
      <c r="C2" s="35" t="s">
        <v>118</v>
      </c>
      <c r="D2" s="35" t="s">
        <v>119</v>
      </c>
      <c r="E2" s="35" t="s">
        <v>4</v>
      </c>
      <c r="F2" s="35" t="s">
        <v>120</v>
      </c>
      <c r="G2" s="35" t="s">
        <v>121</v>
      </c>
      <c r="H2" s="35" t="s">
        <v>16</v>
      </c>
      <c r="I2" s="35" t="s">
        <v>17</v>
      </c>
      <c r="J2" s="35" t="s">
        <v>122</v>
      </c>
      <c r="K2" s="35" t="s">
        <v>5</v>
      </c>
      <c r="L2" s="36" t="s">
        <v>28</v>
      </c>
      <c r="M2" s="36" t="s">
        <v>29</v>
      </c>
      <c r="N2" s="37" t="s">
        <v>8</v>
      </c>
    </row>
    <row r="3" spans="1:14">
      <c r="A3" s="42">
        <v>1</v>
      </c>
      <c r="B3" s="38" t="s">
        <v>32</v>
      </c>
      <c r="C3" s="38" t="s">
        <v>33</v>
      </c>
      <c r="D3" s="39">
        <v>1</v>
      </c>
      <c r="E3" s="39" t="s">
        <v>6</v>
      </c>
      <c r="F3" s="38" t="s">
        <v>34</v>
      </c>
      <c r="G3" s="38" t="s">
        <v>35</v>
      </c>
      <c r="H3" s="38" t="s">
        <v>36</v>
      </c>
      <c r="I3" s="40" t="s">
        <v>37</v>
      </c>
      <c r="J3" s="39" t="s">
        <v>6</v>
      </c>
      <c r="K3" s="38"/>
      <c r="L3" s="100" t="s">
        <v>130</v>
      </c>
      <c r="M3" s="38" t="s">
        <v>136</v>
      </c>
      <c r="N3" s="41" t="s">
        <v>138</v>
      </c>
    </row>
    <row r="4" spans="1:14">
      <c r="A4" s="42">
        <v>1</v>
      </c>
      <c r="B4" s="38" t="s">
        <v>32</v>
      </c>
      <c r="C4" s="38" t="s">
        <v>33</v>
      </c>
      <c r="D4" s="39">
        <v>2</v>
      </c>
      <c r="E4" s="39"/>
      <c r="F4" s="38" t="s">
        <v>38</v>
      </c>
      <c r="G4" s="38" t="s">
        <v>39</v>
      </c>
      <c r="H4" s="38" t="s">
        <v>40</v>
      </c>
      <c r="I4" s="40">
        <v>100</v>
      </c>
      <c r="J4" s="39" t="s">
        <v>6</v>
      </c>
      <c r="K4" s="38"/>
      <c r="L4" s="100"/>
      <c r="M4" s="38"/>
      <c r="N4" s="41"/>
    </row>
    <row r="5" spans="1:14">
      <c r="A5" s="42">
        <v>1</v>
      </c>
      <c r="B5" s="38" t="s">
        <v>32</v>
      </c>
      <c r="C5" s="38" t="s">
        <v>33</v>
      </c>
      <c r="D5" s="39">
        <v>3</v>
      </c>
      <c r="E5" s="39"/>
      <c r="F5" s="38" t="s">
        <v>41</v>
      </c>
      <c r="G5" s="38" t="s">
        <v>42</v>
      </c>
      <c r="H5" s="38" t="s">
        <v>40</v>
      </c>
      <c r="I5" s="40">
        <v>255</v>
      </c>
      <c r="J5" s="39"/>
      <c r="K5" s="38" t="s">
        <v>9</v>
      </c>
      <c r="L5" s="100"/>
      <c r="M5" s="38"/>
      <c r="N5" s="41"/>
    </row>
    <row r="6" spans="1:14">
      <c r="A6" s="42">
        <v>1</v>
      </c>
      <c r="B6" s="38" t="s">
        <v>32</v>
      </c>
      <c r="C6" s="38" t="s">
        <v>33</v>
      </c>
      <c r="D6" s="39">
        <v>4</v>
      </c>
      <c r="E6" s="39"/>
      <c r="F6" s="38" t="s">
        <v>43</v>
      </c>
      <c r="G6" s="38" t="s">
        <v>44</v>
      </c>
      <c r="H6" s="38" t="s">
        <v>40</v>
      </c>
      <c r="I6" s="40">
        <v>20</v>
      </c>
      <c r="J6" s="39"/>
      <c r="K6" s="38" t="s">
        <v>9</v>
      </c>
      <c r="L6" s="100"/>
      <c r="M6" s="38"/>
      <c r="N6" s="41"/>
    </row>
    <row r="7" spans="1:14">
      <c r="A7" s="42">
        <v>1</v>
      </c>
      <c r="B7" s="38" t="s">
        <v>32</v>
      </c>
      <c r="C7" s="38" t="s">
        <v>33</v>
      </c>
      <c r="D7" s="39">
        <v>5</v>
      </c>
      <c r="E7" s="39"/>
      <c r="F7" s="38" t="s">
        <v>45</v>
      </c>
      <c r="G7" s="38" t="s">
        <v>46</v>
      </c>
      <c r="H7" s="38" t="s">
        <v>91</v>
      </c>
      <c r="I7" s="40">
        <v>255</v>
      </c>
      <c r="J7" s="39"/>
      <c r="K7" s="38" t="s">
        <v>9</v>
      </c>
      <c r="L7" s="100"/>
      <c r="M7" s="38"/>
      <c r="N7" s="41"/>
    </row>
    <row r="8" spans="1:14">
      <c r="A8" s="42">
        <v>1</v>
      </c>
      <c r="B8" s="38" t="s">
        <v>32</v>
      </c>
      <c r="C8" s="38" t="s">
        <v>33</v>
      </c>
      <c r="D8" s="39">
        <v>6</v>
      </c>
      <c r="E8" s="39"/>
      <c r="F8" s="38" t="s">
        <v>47</v>
      </c>
      <c r="G8" s="38" t="s">
        <v>48</v>
      </c>
      <c r="H8" s="38" t="s">
        <v>90</v>
      </c>
      <c r="I8" s="40">
        <v>6</v>
      </c>
      <c r="J8" s="39" t="s">
        <v>6</v>
      </c>
      <c r="K8" s="38" t="s">
        <v>126</v>
      </c>
      <c r="L8" s="100"/>
      <c r="M8" s="38"/>
      <c r="N8" s="41"/>
    </row>
    <row r="9" spans="1:14" ht="18.600000000000001" thickBot="1">
      <c r="A9" s="44">
        <v>1</v>
      </c>
      <c r="B9" s="45" t="s">
        <v>32</v>
      </c>
      <c r="C9" s="45" t="s">
        <v>33</v>
      </c>
      <c r="D9" s="46">
        <v>7</v>
      </c>
      <c r="E9" s="46"/>
      <c r="F9" s="45" t="s">
        <v>50</v>
      </c>
      <c r="G9" s="45" t="s">
        <v>51</v>
      </c>
      <c r="H9" s="45" t="s">
        <v>90</v>
      </c>
      <c r="I9" s="47">
        <v>6</v>
      </c>
      <c r="J9" s="46" t="s">
        <v>6</v>
      </c>
      <c r="K9" s="45" t="s">
        <v>126</v>
      </c>
      <c r="L9" s="101"/>
      <c r="M9" s="45"/>
      <c r="N9" s="48"/>
    </row>
    <row r="10" spans="1:14" ht="18.600000000000001" thickTop="1">
      <c r="A10" s="49">
        <v>2</v>
      </c>
      <c r="B10" s="50" t="s">
        <v>124</v>
      </c>
      <c r="C10" s="50" t="s">
        <v>64</v>
      </c>
      <c r="D10" s="51">
        <v>1</v>
      </c>
      <c r="E10" s="51" t="s">
        <v>6</v>
      </c>
      <c r="F10" s="50" t="s">
        <v>55</v>
      </c>
      <c r="G10" s="50" t="s">
        <v>56</v>
      </c>
      <c r="H10" s="50" t="s">
        <v>36</v>
      </c>
      <c r="I10" s="52" t="s">
        <v>37</v>
      </c>
      <c r="J10" s="51" t="s">
        <v>6</v>
      </c>
      <c r="K10" s="50"/>
      <c r="L10" s="102" t="s">
        <v>132</v>
      </c>
      <c r="M10" s="50"/>
      <c r="N10" s="53"/>
    </row>
    <row r="11" spans="1:14">
      <c r="A11" s="42">
        <v>2</v>
      </c>
      <c r="B11" s="38" t="s">
        <v>124</v>
      </c>
      <c r="C11" s="38" t="s">
        <v>64</v>
      </c>
      <c r="D11" s="39">
        <v>2</v>
      </c>
      <c r="E11" s="39"/>
      <c r="F11" s="38" t="s">
        <v>34</v>
      </c>
      <c r="G11" s="38" t="s">
        <v>35</v>
      </c>
      <c r="H11" s="38" t="s">
        <v>36</v>
      </c>
      <c r="I11" s="40" t="s">
        <v>37</v>
      </c>
      <c r="J11" s="39" t="s">
        <v>6</v>
      </c>
      <c r="K11" s="38"/>
      <c r="L11" s="100"/>
      <c r="M11" s="38"/>
      <c r="N11" s="41"/>
    </row>
    <row r="12" spans="1:14">
      <c r="A12" s="42">
        <v>2</v>
      </c>
      <c r="B12" s="38" t="s">
        <v>124</v>
      </c>
      <c r="C12" s="38" t="s">
        <v>64</v>
      </c>
      <c r="D12" s="39">
        <v>3</v>
      </c>
      <c r="E12" s="39"/>
      <c r="F12" s="38" t="s">
        <v>65</v>
      </c>
      <c r="G12" s="38" t="s">
        <v>66</v>
      </c>
      <c r="H12" s="38" t="s">
        <v>67</v>
      </c>
      <c r="I12" s="40"/>
      <c r="J12" s="39" t="s">
        <v>6</v>
      </c>
      <c r="K12" s="38" t="s">
        <v>126</v>
      </c>
      <c r="L12" s="100"/>
      <c r="M12" s="38"/>
      <c r="N12" s="41"/>
    </row>
    <row r="13" spans="1:14">
      <c r="A13" s="42">
        <v>2</v>
      </c>
      <c r="B13" s="38" t="s">
        <v>124</v>
      </c>
      <c r="C13" s="38" t="s">
        <v>64</v>
      </c>
      <c r="D13" s="39">
        <v>4</v>
      </c>
      <c r="E13" s="39"/>
      <c r="F13" s="38" t="s">
        <v>68</v>
      </c>
      <c r="G13" s="38" t="s">
        <v>69</v>
      </c>
      <c r="H13" s="38" t="s">
        <v>40</v>
      </c>
      <c r="I13" s="40">
        <v>20</v>
      </c>
      <c r="J13" s="39" t="s">
        <v>6</v>
      </c>
      <c r="K13" s="38"/>
      <c r="L13" s="100"/>
      <c r="M13" s="38"/>
      <c r="N13" s="41"/>
    </row>
    <row r="14" spans="1:14">
      <c r="A14" s="42">
        <v>2</v>
      </c>
      <c r="B14" s="38" t="s">
        <v>124</v>
      </c>
      <c r="C14" s="38" t="s">
        <v>64</v>
      </c>
      <c r="D14" s="39">
        <v>5</v>
      </c>
      <c r="E14" s="39"/>
      <c r="F14" s="38" t="s">
        <v>47</v>
      </c>
      <c r="G14" s="38" t="s">
        <v>48</v>
      </c>
      <c r="H14" s="38" t="s">
        <v>90</v>
      </c>
      <c r="I14" s="40">
        <v>6</v>
      </c>
      <c r="J14" s="39" t="s">
        <v>6</v>
      </c>
      <c r="K14" s="38" t="s">
        <v>126</v>
      </c>
      <c r="L14" s="100"/>
      <c r="M14" s="38"/>
      <c r="N14" s="41"/>
    </row>
    <row r="15" spans="1:14" ht="18.600000000000001" thickBot="1">
      <c r="A15" s="44">
        <v>2</v>
      </c>
      <c r="B15" s="45" t="s">
        <v>124</v>
      </c>
      <c r="C15" s="45" t="s">
        <v>64</v>
      </c>
      <c r="D15" s="46">
        <v>6</v>
      </c>
      <c r="E15" s="46"/>
      <c r="F15" s="45" t="s">
        <v>50</v>
      </c>
      <c r="G15" s="45" t="s">
        <v>51</v>
      </c>
      <c r="H15" s="45" t="s">
        <v>90</v>
      </c>
      <c r="I15" s="47">
        <v>6</v>
      </c>
      <c r="J15" s="46" t="s">
        <v>6</v>
      </c>
      <c r="K15" s="45" t="s">
        <v>126</v>
      </c>
      <c r="L15" s="101"/>
      <c r="M15" s="45"/>
      <c r="N15" s="48"/>
    </row>
    <row r="16" spans="1:14" ht="18.600000000000001" thickTop="1">
      <c r="A16" s="49">
        <v>3</v>
      </c>
      <c r="B16" s="50" t="s">
        <v>123</v>
      </c>
      <c r="C16" s="50" t="s">
        <v>52</v>
      </c>
      <c r="D16" s="51">
        <v>1</v>
      </c>
      <c r="E16" s="51" t="s">
        <v>6</v>
      </c>
      <c r="F16" s="50" t="s">
        <v>53</v>
      </c>
      <c r="G16" s="50" t="s">
        <v>54</v>
      </c>
      <c r="H16" s="50" t="s">
        <v>36</v>
      </c>
      <c r="I16" s="52" t="s">
        <v>37</v>
      </c>
      <c r="J16" s="51" t="s">
        <v>6</v>
      </c>
      <c r="K16" s="50"/>
      <c r="L16" s="102" t="s">
        <v>141</v>
      </c>
      <c r="M16" s="50"/>
      <c r="N16" s="53"/>
    </row>
    <row r="17" spans="1:14">
      <c r="A17" s="42">
        <v>3</v>
      </c>
      <c r="B17" s="38" t="s">
        <v>123</v>
      </c>
      <c r="C17" s="38" t="s">
        <v>52</v>
      </c>
      <c r="D17" s="39">
        <v>2</v>
      </c>
      <c r="E17" s="39"/>
      <c r="F17" s="38" t="s">
        <v>55</v>
      </c>
      <c r="G17" s="38" t="s">
        <v>56</v>
      </c>
      <c r="H17" s="38" t="s">
        <v>36</v>
      </c>
      <c r="I17" s="40" t="s">
        <v>37</v>
      </c>
      <c r="J17" s="39" t="s">
        <v>6</v>
      </c>
      <c r="K17" s="38"/>
      <c r="L17" s="100"/>
      <c r="M17" s="38"/>
      <c r="N17" s="41"/>
    </row>
    <row r="18" spans="1:14">
      <c r="A18" s="42">
        <v>3</v>
      </c>
      <c r="B18" s="38" t="s">
        <v>123</v>
      </c>
      <c r="C18" s="38" t="s">
        <v>52</v>
      </c>
      <c r="D18" s="39">
        <v>3</v>
      </c>
      <c r="E18" s="39"/>
      <c r="F18" s="38" t="s">
        <v>57</v>
      </c>
      <c r="G18" s="38" t="s">
        <v>58</v>
      </c>
      <c r="H18" s="38" t="s">
        <v>36</v>
      </c>
      <c r="I18" s="40" t="s">
        <v>37</v>
      </c>
      <c r="J18" s="39" t="s">
        <v>6</v>
      </c>
      <c r="K18" s="38"/>
      <c r="L18" s="100"/>
      <c r="M18" s="38"/>
      <c r="N18" s="41"/>
    </row>
    <row r="19" spans="1:14">
      <c r="A19" s="42">
        <v>3</v>
      </c>
      <c r="B19" s="38" t="s">
        <v>123</v>
      </c>
      <c r="C19" s="38" t="s">
        <v>52</v>
      </c>
      <c r="D19" s="39">
        <v>4</v>
      </c>
      <c r="E19" s="39"/>
      <c r="F19" s="38" t="s">
        <v>59</v>
      </c>
      <c r="G19" s="38" t="s">
        <v>60</v>
      </c>
      <c r="H19" s="38" t="s">
        <v>36</v>
      </c>
      <c r="I19" s="40" t="s">
        <v>37</v>
      </c>
      <c r="J19" s="39" t="s">
        <v>6</v>
      </c>
      <c r="K19" s="38"/>
      <c r="L19" s="100"/>
      <c r="M19" s="38"/>
      <c r="N19" s="41"/>
    </row>
    <row r="20" spans="1:14" ht="18.600000000000001" thickBot="1">
      <c r="A20" s="44">
        <v>3</v>
      </c>
      <c r="B20" s="45" t="s">
        <v>123</v>
      </c>
      <c r="C20" s="45" t="s">
        <v>52</v>
      </c>
      <c r="D20" s="46">
        <v>5</v>
      </c>
      <c r="E20" s="46"/>
      <c r="F20" s="45" t="s">
        <v>61</v>
      </c>
      <c r="G20" s="45" t="s">
        <v>62</v>
      </c>
      <c r="H20" s="45" t="s">
        <v>36</v>
      </c>
      <c r="I20" s="47" t="s">
        <v>127</v>
      </c>
      <c r="J20" s="46" t="s">
        <v>6</v>
      </c>
      <c r="K20" s="45"/>
      <c r="L20" s="101"/>
      <c r="M20" s="45"/>
      <c r="N20" s="48"/>
    </row>
    <row r="21" spans="1:14" ht="18.600000000000001" thickTop="1">
      <c r="A21" s="49">
        <v>4</v>
      </c>
      <c r="B21" s="50" t="s">
        <v>125</v>
      </c>
      <c r="C21" s="50" t="s">
        <v>70</v>
      </c>
      <c r="D21" s="51">
        <v>1</v>
      </c>
      <c r="E21" s="51" t="s">
        <v>6</v>
      </c>
      <c r="F21" s="50" t="s">
        <v>57</v>
      </c>
      <c r="G21" s="50" t="s">
        <v>58</v>
      </c>
      <c r="H21" s="50" t="s">
        <v>36</v>
      </c>
      <c r="I21" s="52" t="s">
        <v>37</v>
      </c>
      <c r="J21" s="51" t="s">
        <v>6</v>
      </c>
      <c r="K21" s="50"/>
      <c r="L21" s="102" t="s">
        <v>134</v>
      </c>
      <c r="M21" s="50"/>
      <c r="N21" s="53"/>
    </row>
    <row r="22" spans="1:14">
      <c r="A22" s="42">
        <v>4</v>
      </c>
      <c r="B22" s="38" t="s">
        <v>125</v>
      </c>
      <c r="C22" s="38" t="s">
        <v>70</v>
      </c>
      <c r="D22" s="39">
        <v>2</v>
      </c>
      <c r="E22" s="39"/>
      <c r="F22" s="38" t="s">
        <v>71</v>
      </c>
      <c r="G22" s="38" t="s">
        <v>72</v>
      </c>
      <c r="H22" s="38" t="s">
        <v>40</v>
      </c>
      <c r="I22" s="40">
        <v>100</v>
      </c>
      <c r="J22" s="39" t="s">
        <v>6</v>
      </c>
      <c r="K22" s="38"/>
      <c r="L22" s="100"/>
      <c r="M22" s="38"/>
      <c r="N22" s="41"/>
    </row>
    <row r="23" spans="1:14">
      <c r="A23" s="42">
        <v>4</v>
      </c>
      <c r="B23" s="38" t="s">
        <v>125</v>
      </c>
      <c r="C23" s="38" t="s">
        <v>70</v>
      </c>
      <c r="D23" s="39">
        <v>3</v>
      </c>
      <c r="E23" s="39"/>
      <c r="F23" s="38" t="s">
        <v>73</v>
      </c>
      <c r="G23" s="38" t="s">
        <v>62</v>
      </c>
      <c r="H23" s="38" t="s">
        <v>36</v>
      </c>
      <c r="I23" s="40" t="s">
        <v>63</v>
      </c>
      <c r="J23" s="39" t="s">
        <v>6</v>
      </c>
      <c r="K23" s="38"/>
      <c r="L23" s="100"/>
      <c r="M23" s="38"/>
      <c r="N23" s="41"/>
    </row>
    <row r="24" spans="1:14">
      <c r="A24" s="42">
        <v>4</v>
      </c>
      <c r="B24" s="38" t="s">
        <v>125</v>
      </c>
      <c r="C24" s="38" t="s">
        <v>70</v>
      </c>
      <c r="D24" s="39">
        <v>4</v>
      </c>
      <c r="E24" s="39"/>
      <c r="F24" s="38" t="s">
        <v>74</v>
      </c>
      <c r="G24" s="38" t="s">
        <v>75</v>
      </c>
      <c r="H24" s="38" t="s">
        <v>36</v>
      </c>
      <c r="I24" s="40" t="s">
        <v>76</v>
      </c>
      <c r="J24" s="39" t="s">
        <v>6</v>
      </c>
      <c r="K24" s="38">
        <v>0</v>
      </c>
      <c r="L24" s="100"/>
      <c r="M24" s="38"/>
      <c r="N24" s="41"/>
    </row>
    <row r="25" spans="1:14">
      <c r="A25" s="42">
        <v>4</v>
      </c>
      <c r="B25" s="38" t="s">
        <v>125</v>
      </c>
      <c r="C25" s="38" t="s">
        <v>70</v>
      </c>
      <c r="D25" s="39">
        <v>5</v>
      </c>
      <c r="E25" s="39"/>
      <c r="F25" s="38" t="s">
        <v>47</v>
      </c>
      <c r="G25" s="38" t="s">
        <v>48</v>
      </c>
      <c r="H25" s="38" t="s">
        <v>90</v>
      </c>
      <c r="I25" s="40">
        <v>6</v>
      </c>
      <c r="J25" s="39" t="s">
        <v>6</v>
      </c>
      <c r="K25" s="38" t="s">
        <v>126</v>
      </c>
      <c r="L25" s="100"/>
      <c r="M25" s="38"/>
      <c r="N25" s="41"/>
    </row>
    <row r="26" spans="1:14">
      <c r="A26" s="43">
        <v>4</v>
      </c>
      <c r="B26" s="54" t="s">
        <v>125</v>
      </c>
      <c r="C26" s="54" t="s">
        <v>70</v>
      </c>
      <c r="D26" s="55">
        <v>6</v>
      </c>
      <c r="E26" s="55"/>
      <c r="F26" s="54" t="s">
        <v>50</v>
      </c>
      <c r="G26" s="54" t="s">
        <v>51</v>
      </c>
      <c r="H26" s="54" t="s">
        <v>90</v>
      </c>
      <c r="I26" s="56">
        <v>6</v>
      </c>
      <c r="J26" s="55" t="s">
        <v>6</v>
      </c>
      <c r="K26" s="54" t="s">
        <v>126</v>
      </c>
      <c r="L26" s="103"/>
      <c r="M26" s="54"/>
      <c r="N26" s="57"/>
    </row>
  </sheetData>
  <autoFilter ref="A2:N2" xr:uid="{7FE28D84-E7D3-476D-857D-0BBD422F96DC}"/>
  <mergeCells count="4">
    <mergeCell ref="L3:L9"/>
    <mergeCell ref="L10:L15"/>
    <mergeCell ref="L16:L20"/>
    <mergeCell ref="L21:L26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32069-7170-498C-A4D6-0452B7D99FE4}">
  <sheetPr codeName="Sheet6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activeCell="D14" sqref="D14"/>
      <selection pane="topRight" activeCell="D14" sqref="D14"/>
      <selection pane="bottomLeft" activeCell="D14" sqref="D14"/>
      <selection pane="bottomRight" activeCell="B2" sqref="B2"/>
    </sheetView>
  </sheetViews>
  <sheetFormatPr defaultRowHeight="18"/>
  <cols>
    <col min="1" max="1" width="10.69921875" style="13" customWidth="1"/>
    <col min="2" max="3" width="30.69921875" style="13" customWidth="1"/>
    <col min="4" max="4" width="10.69921875" style="13" customWidth="1"/>
    <col min="5" max="5" width="5.69921875" style="13" customWidth="1"/>
    <col min="6" max="7" width="30.69921875" style="13" customWidth="1"/>
    <col min="8" max="8" width="20.69921875" style="13" customWidth="1"/>
    <col min="9" max="9" width="10.69921875" style="13" customWidth="1"/>
    <col min="10" max="10" width="12.69921875" style="13" customWidth="1"/>
    <col min="11" max="11" width="20.69921875" style="13" customWidth="1"/>
    <col min="12" max="16384" width="8.796875" style="13"/>
  </cols>
  <sheetData>
    <row r="1" spans="1:11">
      <c r="A1" s="58" t="s">
        <v>116</v>
      </c>
      <c r="B1" s="58" t="s">
        <v>117</v>
      </c>
      <c r="C1" s="58" t="s">
        <v>118</v>
      </c>
      <c r="D1" s="58" t="s">
        <v>119</v>
      </c>
      <c r="E1" s="58" t="s">
        <v>4</v>
      </c>
      <c r="F1" s="58" t="s">
        <v>120</v>
      </c>
      <c r="G1" s="58" t="s">
        <v>121</v>
      </c>
      <c r="H1" s="58" t="s">
        <v>16</v>
      </c>
      <c r="I1" s="58" t="s">
        <v>17</v>
      </c>
      <c r="J1" s="58" t="s">
        <v>122</v>
      </c>
      <c r="K1" s="58" t="s">
        <v>5</v>
      </c>
    </row>
    <row r="2" spans="1:11">
      <c r="A2" s="59">
        <v>1</v>
      </c>
      <c r="B2" s="60" t="s">
        <v>32</v>
      </c>
      <c r="C2" s="60" t="s">
        <v>167</v>
      </c>
      <c r="D2" s="60" t="s">
        <v>168</v>
      </c>
      <c r="E2" s="60" t="s">
        <v>112</v>
      </c>
      <c r="F2" s="60" t="s">
        <v>34</v>
      </c>
      <c r="G2" s="60" t="s">
        <v>170</v>
      </c>
      <c r="H2" s="60" t="s">
        <v>171</v>
      </c>
      <c r="I2" s="60" t="s">
        <v>97</v>
      </c>
      <c r="J2" s="60" t="s">
        <v>169</v>
      </c>
      <c r="K2" s="60"/>
    </row>
    <row r="3" spans="1:11">
      <c r="A3" s="59">
        <v>1</v>
      </c>
      <c r="B3" s="60" t="s">
        <v>32</v>
      </c>
      <c r="C3" s="60" t="s">
        <v>167</v>
      </c>
      <c r="D3" s="60" t="s">
        <v>172</v>
      </c>
      <c r="E3" s="60" t="s">
        <v>173</v>
      </c>
      <c r="F3" s="60" t="s">
        <v>38</v>
      </c>
      <c r="G3" s="60" t="s">
        <v>174</v>
      </c>
      <c r="H3" s="60" t="s">
        <v>175</v>
      </c>
      <c r="I3" s="60" t="s">
        <v>176</v>
      </c>
      <c r="J3" s="60" t="s">
        <v>6</v>
      </c>
      <c r="K3" s="60"/>
    </row>
    <row r="4" spans="1:11">
      <c r="A4" s="59">
        <v>1</v>
      </c>
      <c r="B4" s="60" t="s">
        <v>32</v>
      </c>
      <c r="C4" s="60" t="s">
        <v>167</v>
      </c>
      <c r="D4" s="60" t="s">
        <v>177</v>
      </c>
      <c r="E4" s="60" t="s">
        <v>173</v>
      </c>
      <c r="F4" s="60" t="s">
        <v>41</v>
      </c>
      <c r="G4" s="60" t="s">
        <v>178</v>
      </c>
      <c r="H4" s="60" t="s">
        <v>175</v>
      </c>
      <c r="I4" s="60" t="s">
        <v>179</v>
      </c>
      <c r="J4" s="60" t="s">
        <v>173</v>
      </c>
      <c r="K4" s="60"/>
    </row>
    <row r="5" spans="1:11">
      <c r="A5" s="59">
        <v>1</v>
      </c>
      <c r="B5" s="60" t="s">
        <v>32</v>
      </c>
      <c r="C5" s="60" t="s">
        <v>167</v>
      </c>
      <c r="D5" s="60" t="s">
        <v>180</v>
      </c>
      <c r="E5" s="60" t="s">
        <v>173</v>
      </c>
      <c r="F5" s="60" t="s">
        <v>43</v>
      </c>
      <c r="G5" s="60" t="s">
        <v>181</v>
      </c>
      <c r="H5" s="60" t="s">
        <v>175</v>
      </c>
      <c r="I5" s="60" t="s">
        <v>182</v>
      </c>
      <c r="J5" s="60" t="s">
        <v>173</v>
      </c>
      <c r="K5" s="60"/>
    </row>
    <row r="6" spans="1:11">
      <c r="A6" s="59">
        <v>1</v>
      </c>
      <c r="B6" s="60" t="s">
        <v>32</v>
      </c>
      <c r="C6" s="60" t="s">
        <v>167</v>
      </c>
      <c r="D6" s="60" t="s">
        <v>183</v>
      </c>
      <c r="E6" s="60" t="s">
        <v>173</v>
      </c>
      <c r="F6" s="60" t="s">
        <v>45</v>
      </c>
      <c r="G6" s="60" t="s">
        <v>184</v>
      </c>
      <c r="H6" s="60" t="s">
        <v>175</v>
      </c>
      <c r="I6" s="60" t="s">
        <v>179</v>
      </c>
      <c r="J6" s="60" t="s">
        <v>173</v>
      </c>
      <c r="K6" s="60"/>
    </row>
    <row r="7" spans="1:11">
      <c r="A7" s="59">
        <v>1</v>
      </c>
      <c r="B7" s="60" t="s">
        <v>32</v>
      </c>
      <c r="C7" s="60" t="s">
        <v>167</v>
      </c>
      <c r="D7" s="60" t="s">
        <v>185</v>
      </c>
      <c r="E7" s="60" t="s">
        <v>173</v>
      </c>
      <c r="F7" s="60" t="s">
        <v>47</v>
      </c>
      <c r="G7" s="60" t="s">
        <v>186</v>
      </c>
      <c r="H7" s="60" t="s">
        <v>187</v>
      </c>
      <c r="I7" s="60"/>
      <c r="J7" s="60" t="s">
        <v>6</v>
      </c>
      <c r="K7" s="60" t="s">
        <v>188</v>
      </c>
    </row>
    <row r="8" spans="1:11">
      <c r="A8" s="59">
        <v>1</v>
      </c>
      <c r="B8" s="60" t="s">
        <v>32</v>
      </c>
      <c r="C8" s="60" t="s">
        <v>167</v>
      </c>
      <c r="D8" s="60" t="s">
        <v>189</v>
      </c>
      <c r="E8" s="60" t="s">
        <v>173</v>
      </c>
      <c r="F8" s="60" t="s">
        <v>50</v>
      </c>
      <c r="G8" s="60" t="s">
        <v>190</v>
      </c>
      <c r="H8" s="60" t="s">
        <v>187</v>
      </c>
      <c r="I8" s="60"/>
      <c r="J8" s="60" t="s">
        <v>6</v>
      </c>
      <c r="K8" s="60" t="s">
        <v>188</v>
      </c>
    </row>
    <row r="9" spans="1:11">
      <c r="A9" s="59">
        <v>2</v>
      </c>
      <c r="B9" s="60" t="s">
        <v>123</v>
      </c>
      <c r="C9" s="60" t="s">
        <v>191</v>
      </c>
      <c r="D9" s="60" t="s">
        <v>168</v>
      </c>
      <c r="E9" s="60" t="s">
        <v>6</v>
      </c>
      <c r="F9" s="60" t="s">
        <v>53</v>
      </c>
      <c r="G9" s="60" t="s">
        <v>192</v>
      </c>
      <c r="H9" s="60" t="s">
        <v>171</v>
      </c>
      <c r="I9" s="60" t="s">
        <v>37</v>
      </c>
      <c r="J9" s="60" t="s">
        <v>6</v>
      </c>
      <c r="K9" s="60"/>
    </row>
    <row r="10" spans="1:11">
      <c r="A10" s="59">
        <v>2</v>
      </c>
      <c r="B10" s="60" t="s">
        <v>123</v>
      </c>
      <c r="C10" s="60" t="s">
        <v>191</v>
      </c>
      <c r="D10" s="60" t="s">
        <v>172</v>
      </c>
      <c r="E10" s="60" t="s">
        <v>173</v>
      </c>
      <c r="F10" s="60" t="s">
        <v>55</v>
      </c>
      <c r="G10" s="60" t="s">
        <v>193</v>
      </c>
      <c r="H10" s="60" t="s">
        <v>171</v>
      </c>
      <c r="I10" s="60" t="s">
        <v>37</v>
      </c>
      <c r="J10" s="60" t="s">
        <v>6</v>
      </c>
      <c r="K10" s="60"/>
    </row>
    <row r="11" spans="1:11">
      <c r="A11" s="59">
        <v>2</v>
      </c>
      <c r="B11" s="60" t="s">
        <v>123</v>
      </c>
      <c r="C11" s="60" t="s">
        <v>191</v>
      </c>
      <c r="D11" s="60" t="s">
        <v>177</v>
      </c>
      <c r="E11" s="60" t="s">
        <v>173</v>
      </c>
      <c r="F11" s="60" t="s">
        <v>57</v>
      </c>
      <c r="G11" s="60" t="s">
        <v>194</v>
      </c>
      <c r="H11" s="60" t="s">
        <v>171</v>
      </c>
      <c r="I11" s="60" t="s">
        <v>37</v>
      </c>
      <c r="J11" s="60" t="s">
        <v>6</v>
      </c>
      <c r="K11" s="60"/>
    </row>
    <row r="12" spans="1:11">
      <c r="A12" s="59">
        <v>2</v>
      </c>
      <c r="B12" s="60" t="s">
        <v>123</v>
      </c>
      <c r="C12" s="60" t="s">
        <v>191</v>
      </c>
      <c r="D12" s="60" t="s">
        <v>180</v>
      </c>
      <c r="E12" s="60" t="s">
        <v>173</v>
      </c>
      <c r="F12" s="60" t="s">
        <v>59</v>
      </c>
      <c r="G12" s="60" t="s">
        <v>195</v>
      </c>
      <c r="H12" s="60" t="s">
        <v>171</v>
      </c>
      <c r="I12" s="60" t="s">
        <v>37</v>
      </c>
      <c r="J12" s="60" t="s">
        <v>6</v>
      </c>
      <c r="K12" s="60"/>
    </row>
    <row r="13" spans="1:11">
      <c r="A13" s="59">
        <v>2</v>
      </c>
      <c r="B13" s="60" t="s">
        <v>123</v>
      </c>
      <c r="C13" s="60" t="s">
        <v>191</v>
      </c>
      <c r="D13" s="60" t="s">
        <v>183</v>
      </c>
      <c r="E13" s="60" t="s">
        <v>173</v>
      </c>
      <c r="F13" s="60" t="s">
        <v>61</v>
      </c>
      <c r="G13" s="60" t="s">
        <v>196</v>
      </c>
      <c r="H13" s="60" t="s">
        <v>171</v>
      </c>
      <c r="I13" s="60" t="s">
        <v>63</v>
      </c>
      <c r="J13" s="60" t="s">
        <v>6</v>
      </c>
      <c r="K13" s="60"/>
    </row>
    <row r="14" spans="1:11">
      <c r="A14" s="59">
        <v>3</v>
      </c>
      <c r="B14" s="60" t="s">
        <v>124</v>
      </c>
      <c r="C14" s="60" t="s">
        <v>197</v>
      </c>
      <c r="D14" s="60" t="s">
        <v>168</v>
      </c>
      <c r="E14" s="60" t="s">
        <v>6</v>
      </c>
      <c r="F14" s="60" t="s">
        <v>55</v>
      </c>
      <c r="G14" s="60" t="s">
        <v>193</v>
      </c>
      <c r="H14" s="60" t="s">
        <v>171</v>
      </c>
      <c r="I14" s="60" t="s">
        <v>37</v>
      </c>
      <c r="J14" s="60" t="s">
        <v>6</v>
      </c>
      <c r="K14" s="60"/>
    </row>
    <row r="15" spans="1:11">
      <c r="A15" s="59">
        <v>3</v>
      </c>
      <c r="B15" s="60" t="s">
        <v>124</v>
      </c>
      <c r="C15" s="60" t="s">
        <v>197</v>
      </c>
      <c r="D15" s="60" t="s">
        <v>172</v>
      </c>
      <c r="E15" s="60" t="s">
        <v>173</v>
      </c>
      <c r="F15" s="60" t="s">
        <v>34</v>
      </c>
      <c r="G15" s="60" t="s">
        <v>170</v>
      </c>
      <c r="H15" s="60" t="s">
        <v>171</v>
      </c>
      <c r="I15" s="60" t="s">
        <v>37</v>
      </c>
      <c r="J15" s="60" t="s">
        <v>6</v>
      </c>
      <c r="K15" s="60"/>
    </row>
    <row r="16" spans="1:11">
      <c r="A16" s="59">
        <v>3</v>
      </c>
      <c r="B16" s="60" t="s">
        <v>124</v>
      </c>
      <c r="C16" s="60" t="s">
        <v>197</v>
      </c>
      <c r="D16" s="60" t="s">
        <v>177</v>
      </c>
      <c r="E16" s="60" t="s">
        <v>173</v>
      </c>
      <c r="F16" s="60" t="s">
        <v>65</v>
      </c>
      <c r="G16" s="60" t="s">
        <v>198</v>
      </c>
      <c r="H16" s="60" t="s">
        <v>199</v>
      </c>
      <c r="I16" s="60"/>
      <c r="J16" s="60" t="s">
        <v>6</v>
      </c>
      <c r="K16" s="60" t="s">
        <v>200</v>
      </c>
    </row>
    <row r="17" spans="1:11">
      <c r="A17" s="59">
        <v>3</v>
      </c>
      <c r="B17" s="60" t="s">
        <v>124</v>
      </c>
      <c r="C17" s="60" t="s">
        <v>197</v>
      </c>
      <c r="D17" s="60" t="s">
        <v>180</v>
      </c>
      <c r="E17" s="60" t="s">
        <v>173</v>
      </c>
      <c r="F17" s="60" t="s">
        <v>68</v>
      </c>
      <c r="G17" s="60" t="s">
        <v>201</v>
      </c>
      <c r="H17" s="60" t="s">
        <v>175</v>
      </c>
      <c r="I17" s="60" t="s">
        <v>182</v>
      </c>
      <c r="J17" s="60" t="s">
        <v>6</v>
      </c>
      <c r="K17" s="60"/>
    </row>
    <row r="18" spans="1:11">
      <c r="A18" s="59">
        <v>3</v>
      </c>
      <c r="B18" s="60" t="s">
        <v>124</v>
      </c>
      <c r="C18" s="60" t="s">
        <v>197</v>
      </c>
      <c r="D18" s="60" t="s">
        <v>183</v>
      </c>
      <c r="E18" s="60" t="s">
        <v>173</v>
      </c>
      <c r="F18" s="60" t="s">
        <v>47</v>
      </c>
      <c r="G18" s="60" t="s">
        <v>186</v>
      </c>
      <c r="H18" s="60" t="s">
        <v>187</v>
      </c>
      <c r="I18" s="60"/>
      <c r="J18" s="60" t="s">
        <v>6</v>
      </c>
      <c r="K18" s="60" t="s">
        <v>188</v>
      </c>
    </row>
    <row r="19" spans="1:11">
      <c r="A19" s="59">
        <v>3</v>
      </c>
      <c r="B19" s="60" t="s">
        <v>124</v>
      </c>
      <c r="C19" s="60" t="s">
        <v>197</v>
      </c>
      <c r="D19" s="60" t="s">
        <v>185</v>
      </c>
      <c r="E19" s="60" t="s">
        <v>173</v>
      </c>
      <c r="F19" s="60" t="s">
        <v>50</v>
      </c>
      <c r="G19" s="60" t="s">
        <v>190</v>
      </c>
      <c r="H19" s="60" t="s">
        <v>187</v>
      </c>
      <c r="I19" s="60"/>
      <c r="J19" s="60" t="s">
        <v>6</v>
      </c>
      <c r="K19" s="60" t="s">
        <v>188</v>
      </c>
    </row>
    <row r="20" spans="1:11">
      <c r="A20" s="59">
        <v>4</v>
      </c>
      <c r="B20" s="60" t="s">
        <v>125</v>
      </c>
      <c r="C20" s="60" t="s">
        <v>202</v>
      </c>
      <c r="D20" s="60" t="s">
        <v>168</v>
      </c>
      <c r="E20" s="60" t="s">
        <v>6</v>
      </c>
      <c r="F20" s="60" t="s">
        <v>57</v>
      </c>
      <c r="G20" s="60" t="s">
        <v>194</v>
      </c>
      <c r="H20" s="60" t="s">
        <v>171</v>
      </c>
      <c r="I20" s="60" t="s">
        <v>37</v>
      </c>
      <c r="J20" s="60" t="s">
        <v>6</v>
      </c>
      <c r="K20" s="60"/>
    </row>
    <row r="21" spans="1:11">
      <c r="A21" s="59">
        <v>4</v>
      </c>
      <c r="B21" s="60" t="s">
        <v>125</v>
      </c>
      <c r="C21" s="60" t="s">
        <v>202</v>
      </c>
      <c r="D21" s="60" t="s">
        <v>172</v>
      </c>
      <c r="E21" s="60" t="s">
        <v>173</v>
      </c>
      <c r="F21" s="60" t="s">
        <v>71</v>
      </c>
      <c r="G21" s="60" t="s">
        <v>203</v>
      </c>
      <c r="H21" s="60" t="s">
        <v>175</v>
      </c>
      <c r="I21" s="60" t="s">
        <v>176</v>
      </c>
      <c r="J21" s="60" t="s">
        <v>6</v>
      </c>
      <c r="K21" s="60"/>
    </row>
    <row r="22" spans="1:11">
      <c r="A22" s="59">
        <v>4</v>
      </c>
      <c r="B22" s="60" t="s">
        <v>125</v>
      </c>
      <c r="C22" s="60" t="s">
        <v>202</v>
      </c>
      <c r="D22" s="60" t="s">
        <v>177</v>
      </c>
      <c r="E22" s="60" t="s">
        <v>173</v>
      </c>
      <c r="F22" s="60" t="s">
        <v>73</v>
      </c>
      <c r="G22" s="60" t="s">
        <v>196</v>
      </c>
      <c r="H22" s="60" t="s">
        <v>171</v>
      </c>
      <c r="I22" s="60" t="s">
        <v>63</v>
      </c>
      <c r="J22" s="60" t="s">
        <v>6</v>
      </c>
      <c r="K22" s="60"/>
    </row>
    <row r="23" spans="1:11">
      <c r="A23" s="59">
        <v>4</v>
      </c>
      <c r="B23" s="60" t="s">
        <v>125</v>
      </c>
      <c r="C23" s="60" t="s">
        <v>202</v>
      </c>
      <c r="D23" s="60" t="s">
        <v>180</v>
      </c>
      <c r="E23" s="60" t="s">
        <v>173</v>
      </c>
      <c r="F23" s="60" t="s">
        <v>74</v>
      </c>
      <c r="G23" s="60" t="s">
        <v>204</v>
      </c>
      <c r="H23" s="60" t="s">
        <v>171</v>
      </c>
      <c r="I23" s="60" t="s">
        <v>76</v>
      </c>
      <c r="J23" s="60" t="s">
        <v>6</v>
      </c>
      <c r="K23" s="60" t="s">
        <v>205</v>
      </c>
    </row>
    <row r="24" spans="1:11">
      <c r="A24" s="59">
        <v>4</v>
      </c>
      <c r="B24" s="60" t="s">
        <v>125</v>
      </c>
      <c r="C24" s="60" t="s">
        <v>202</v>
      </c>
      <c r="D24" s="60" t="s">
        <v>183</v>
      </c>
      <c r="E24" s="60" t="s">
        <v>173</v>
      </c>
      <c r="F24" s="60" t="s">
        <v>47</v>
      </c>
      <c r="G24" s="60" t="s">
        <v>186</v>
      </c>
      <c r="H24" s="60" t="s">
        <v>187</v>
      </c>
      <c r="I24" s="60"/>
      <c r="J24" s="60" t="s">
        <v>6</v>
      </c>
      <c r="K24" s="60" t="s">
        <v>188</v>
      </c>
    </row>
    <row r="25" spans="1:11">
      <c r="A25" s="59">
        <v>4</v>
      </c>
      <c r="B25" s="60" t="s">
        <v>125</v>
      </c>
      <c r="C25" s="60" t="s">
        <v>202</v>
      </c>
      <c r="D25" s="60" t="s">
        <v>185</v>
      </c>
      <c r="E25" s="60" t="s">
        <v>173</v>
      </c>
      <c r="F25" s="60" t="s">
        <v>50</v>
      </c>
      <c r="G25" s="60" t="s">
        <v>190</v>
      </c>
      <c r="H25" s="60" t="s">
        <v>187</v>
      </c>
      <c r="I25" s="60"/>
      <c r="J25" s="60" t="s">
        <v>6</v>
      </c>
      <c r="K25" s="60" t="s">
        <v>188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4439A-1A4C-469E-BE0B-D84891F543F4}">
  <sheetPr codeName="Sheet22"/>
  <dimension ref="A1:T1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1" t="s">
        <v>14</v>
      </c>
      <c r="C1" s="72"/>
      <c r="D1" s="80" t="s">
        <v>28</v>
      </c>
      <c r="E1" s="81"/>
      <c r="F1" s="88" t="s">
        <v>115</v>
      </c>
      <c r="G1" s="89"/>
      <c r="H1" s="90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3" t="s">
        <v>77</v>
      </c>
      <c r="C2" s="74"/>
      <c r="D2" s="82" t="s">
        <v>131</v>
      </c>
      <c r="E2" s="83"/>
      <c r="F2" s="91"/>
      <c r="G2" s="92"/>
      <c r="H2" s="93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3" t="s">
        <v>32</v>
      </c>
      <c r="C3" s="74"/>
      <c r="D3" s="84"/>
      <c r="E3" s="85"/>
      <c r="F3" s="94"/>
      <c r="G3" s="95"/>
      <c r="H3" s="9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3" t="s">
        <v>110</v>
      </c>
      <c r="C4" s="74"/>
      <c r="D4" s="86"/>
      <c r="E4" s="87"/>
      <c r="F4" s="97"/>
      <c r="G4" s="98"/>
      <c r="H4" s="99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5" t="s">
        <v>7</v>
      </c>
      <c r="B5" s="77" t="s">
        <v>15</v>
      </c>
      <c r="C5" s="78"/>
      <c r="D5" s="78"/>
      <c r="E5" s="78"/>
      <c r="F5" s="78"/>
      <c r="G5" s="78"/>
      <c r="H5" s="79"/>
      <c r="I5" s="61" t="s">
        <v>19</v>
      </c>
      <c r="J5" s="62"/>
      <c r="K5" s="62"/>
      <c r="L5" s="62"/>
      <c r="M5" s="62"/>
      <c r="N5" s="63"/>
      <c r="O5" s="64" t="s">
        <v>12</v>
      </c>
      <c r="P5" s="65"/>
      <c r="Q5" s="66"/>
      <c r="R5" s="67" t="s">
        <v>29</v>
      </c>
      <c r="S5" s="67" t="s">
        <v>8</v>
      </c>
      <c r="T5" s="69" t="s">
        <v>25</v>
      </c>
    </row>
    <row r="6" spans="1:20" ht="26.4">
      <c r="A6" s="76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8"/>
      <c r="S6" s="68"/>
      <c r="T6" s="70"/>
    </row>
    <row r="7" spans="1:20">
      <c r="A7" s="17">
        <f t="shared" ref="A7:A13" si="0">ROW()-6</f>
        <v>1</v>
      </c>
      <c r="B7" s="17" t="s">
        <v>112</v>
      </c>
      <c r="C7" s="18" t="s">
        <v>34</v>
      </c>
      <c r="D7" s="18" t="s">
        <v>111</v>
      </c>
      <c r="E7" s="18" t="s">
        <v>36</v>
      </c>
      <c r="F7" s="19" t="s">
        <v>97</v>
      </c>
      <c r="G7" s="17" t="s">
        <v>6</v>
      </c>
      <c r="H7" s="18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 t="s">
        <v>137</v>
      </c>
      <c r="S7" s="18" t="s">
        <v>139</v>
      </c>
      <c r="T7" s="21"/>
    </row>
    <row r="8" spans="1:20">
      <c r="A8" s="22">
        <f t="shared" si="0"/>
        <v>2</v>
      </c>
      <c r="B8" s="22"/>
      <c r="C8" s="23" t="s">
        <v>38</v>
      </c>
      <c r="D8" s="23" t="s">
        <v>39</v>
      </c>
      <c r="E8" s="23" t="s">
        <v>40</v>
      </c>
      <c r="F8" s="24">
        <v>100</v>
      </c>
      <c r="G8" s="22" t="s">
        <v>6</v>
      </c>
      <c r="H8" s="23"/>
      <c r="I8" s="25" t="s">
        <v>13</v>
      </c>
      <c r="J8" s="22" t="s">
        <v>79</v>
      </c>
      <c r="K8" s="26">
        <v>100</v>
      </c>
      <c r="L8" s="26"/>
      <c r="M8" s="22"/>
      <c r="N8" s="22"/>
      <c r="O8" s="23" t="s">
        <v>84</v>
      </c>
      <c r="P8" s="23" t="s">
        <v>85</v>
      </c>
      <c r="Q8" s="23"/>
      <c r="R8" s="23"/>
      <c r="S8" s="23"/>
      <c r="T8" s="27"/>
    </row>
    <row r="9" spans="1:20">
      <c r="A9" s="22">
        <f t="shared" si="0"/>
        <v>3</v>
      </c>
      <c r="B9" s="22"/>
      <c r="C9" s="23" t="s">
        <v>41</v>
      </c>
      <c r="D9" s="23" t="s">
        <v>42</v>
      </c>
      <c r="E9" s="23" t="s">
        <v>40</v>
      </c>
      <c r="F9" s="26">
        <v>255</v>
      </c>
      <c r="G9" s="22"/>
      <c r="H9" s="23" t="s">
        <v>9</v>
      </c>
      <c r="I9" s="25" t="s">
        <v>13</v>
      </c>
      <c r="J9" s="22" t="s">
        <v>26</v>
      </c>
      <c r="K9" s="26">
        <v>255</v>
      </c>
      <c r="L9" s="26"/>
      <c r="M9" s="22"/>
      <c r="N9" s="22"/>
      <c r="O9" s="23" t="s">
        <v>86</v>
      </c>
      <c r="P9" s="23" t="s">
        <v>87</v>
      </c>
      <c r="Q9" s="23"/>
      <c r="R9" s="23"/>
      <c r="S9" s="23"/>
      <c r="T9" s="27"/>
    </row>
    <row r="10" spans="1:20">
      <c r="A10" s="22">
        <f t="shared" si="0"/>
        <v>4</v>
      </c>
      <c r="B10" s="22"/>
      <c r="C10" s="23" t="s">
        <v>43</v>
      </c>
      <c r="D10" s="23" t="s">
        <v>44</v>
      </c>
      <c r="E10" s="23" t="s">
        <v>40</v>
      </c>
      <c r="F10" s="26">
        <v>20</v>
      </c>
      <c r="G10" s="22"/>
      <c r="H10" s="23" t="s">
        <v>9</v>
      </c>
      <c r="I10" s="25" t="s">
        <v>13</v>
      </c>
      <c r="J10" s="22" t="s">
        <v>26</v>
      </c>
      <c r="K10" s="26">
        <v>20</v>
      </c>
      <c r="L10" s="26"/>
      <c r="M10" s="22"/>
      <c r="N10" s="22"/>
      <c r="O10" s="23" t="s">
        <v>88</v>
      </c>
      <c r="P10" s="23" t="s">
        <v>89</v>
      </c>
      <c r="Q10" s="23"/>
      <c r="R10" s="23"/>
      <c r="S10" s="23"/>
      <c r="T10" s="27"/>
    </row>
    <row r="11" spans="1:20">
      <c r="A11" s="22">
        <f t="shared" si="0"/>
        <v>5</v>
      </c>
      <c r="B11" s="22"/>
      <c r="C11" s="23" t="s">
        <v>45</v>
      </c>
      <c r="D11" s="23" t="s">
        <v>46</v>
      </c>
      <c r="E11" s="23" t="s">
        <v>91</v>
      </c>
      <c r="F11" s="26">
        <v>255</v>
      </c>
      <c r="G11" s="22"/>
      <c r="H11" s="23" t="s">
        <v>93</v>
      </c>
      <c r="I11" s="25" t="s">
        <v>13</v>
      </c>
      <c r="J11" s="22" t="s">
        <v>79</v>
      </c>
      <c r="K11" s="26">
        <v>255</v>
      </c>
      <c r="L11" s="26"/>
      <c r="M11" s="22"/>
      <c r="N11" s="22"/>
      <c r="O11" s="23" t="s">
        <v>87</v>
      </c>
      <c r="P11" s="23" t="s">
        <v>86</v>
      </c>
      <c r="Q11" s="23"/>
      <c r="R11" s="23"/>
      <c r="S11" s="23"/>
      <c r="T11" s="27"/>
    </row>
    <row r="12" spans="1:20">
      <c r="A12" s="22">
        <f t="shared" si="0"/>
        <v>6</v>
      </c>
      <c r="B12" s="22"/>
      <c r="C12" s="23" t="s">
        <v>47</v>
      </c>
      <c r="D12" s="23" t="s">
        <v>48</v>
      </c>
      <c r="E12" s="23" t="s">
        <v>90</v>
      </c>
      <c r="F12" s="26">
        <v>6</v>
      </c>
      <c r="G12" s="22" t="s">
        <v>6</v>
      </c>
      <c r="H12" s="23" t="s">
        <v>92</v>
      </c>
      <c r="I12" s="25" t="s">
        <v>78</v>
      </c>
      <c r="J12" s="22"/>
      <c r="K12" s="26">
        <v>6</v>
      </c>
      <c r="L12" s="26"/>
      <c r="M12" s="22" t="s">
        <v>79</v>
      </c>
      <c r="N12" s="22" t="s">
        <v>27</v>
      </c>
      <c r="O12" s="23" t="s">
        <v>49</v>
      </c>
      <c r="P12" s="23" t="s">
        <v>67</v>
      </c>
      <c r="Q12" s="23"/>
      <c r="R12" s="23"/>
      <c r="S12" s="23"/>
      <c r="T12" s="27"/>
    </row>
    <row r="13" spans="1:20">
      <c r="A13" s="28">
        <f t="shared" si="0"/>
        <v>7</v>
      </c>
      <c r="B13" s="28"/>
      <c r="C13" s="29" t="s">
        <v>50</v>
      </c>
      <c r="D13" s="29" t="s">
        <v>51</v>
      </c>
      <c r="E13" s="29" t="s">
        <v>90</v>
      </c>
      <c r="F13" s="30">
        <v>6</v>
      </c>
      <c r="G13" s="28" t="s">
        <v>6</v>
      </c>
      <c r="H13" s="29" t="s">
        <v>92</v>
      </c>
      <c r="I13" s="31" t="s">
        <v>78</v>
      </c>
      <c r="J13" s="28"/>
      <c r="K13" s="30">
        <v>6</v>
      </c>
      <c r="L13" s="30"/>
      <c r="M13" s="28" t="s">
        <v>79</v>
      </c>
      <c r="N13" s="28" t="s">
        <v>27</v>
      </c>
      <c r="O13" s="29" t="s">
        <v>49</v>
      </c>
      <c r="P13" s="29" t="s">
        <v>67</v>
      </c>
      <c r="Q13" s="29"/>
      <c r="R13" s="29"/>
      <c r="S13" s="29"/>
      <c r="T13" s="32"/>
    </row>
  </sheetData>
  <autoFilter ref="A6:T6" xr:uid="{8FA4439A-1A4C-469E-BE0B-D84891F543F4}"/>
  <mergeCells count="15"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  <mergeCell ref="I5:N5"/>
    <mergeCell ref="O5:Q5"/>
    <mergeCell ref="R5:R6"/>
    <mergeCell ref="S5:S6"/>
    <mergeCell ref="T5:T6"/>
  </mergeCells>
  <phoneticPr fontId="1"/>
  <conditionalFormatting sqref="A7:A13">
    <cfRule type="expression" dxfId="10" priority="2" stopIfTrue="1">
      <formula>ISODD(ROW())</formula>
    </cfRule>
  </conditionalFormatting>
  <conditionalFormatting sqref="B7:T13">
    <cfRule type="expression" dxfId="9" priority="1" stopIfTrue="1">
      <formula>ISODD(ROW())</formula>
    </cfRule>
  </conditionalFormatting>
  <dataValidations count="5">
    <dataValidation type="list" allowBlank="1" showInputMessage="1" showErrorMessage="1" sqref="B1" xr:uid="{EFF9019E-9EF9-4C93-9585-F261DB16EDAB}">
      <formula1>"Oracle,PostgreSQL,SQLServer"</formula1>
    </dataValidation>
    <dataValidation type="list" allowBlank="1" showInputMessage="1" showErrorMessage="1" sqref="G7:G13 B7:B13" xr:uid="{0E78A026-9008-45D6-8042-288BFCF2B7F5}">
      <formula1>"Y,N"</formula1>
    </dataValidation>
    <dataValidation type="list" allowBlank="1" showInputMessage="1" showErrorMessage="1" sqref="I7:I13" xr:uid="{3E271582-B829-4666-AA1B-184C513D2A0D}">
      <formula1>"文字列,数値,日時,真偽値,バイナリ,JSON,XML,UUID"</formula1>
    </dataValidation>
    <dataValidation type="list" allowBlank="1" showInputMessage="1" showErrorMessage="1" sqref="M7:M13 J7:J13" xr:uid="{5A4B3E21-FAFA-4A50-A29A-5E7A687D3D58}">
      <formula1>"有,無"</formula1>
    </dataValidation>
    <dataValidation type="list" allowBlank="1" showInputMessage="1" showErrorMessage="1" sqref="N7:N13" xr:uid="{DD50E7DE-8AB7-4966-AA23-DAFED7811C30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1F92-538C-44A9-BCE3-BD90DD245950}">
  <sheetPr codeName="Sheet25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1" t="s">
        <v>14</v>
      </c>
      <c r="C1" s="72"/>
      <c r="D1" s="80" t="s">
        <v>28</v>
      </c>
      <c r="E1" s="81"/>
      <c r="F1" s="88" t="s">
        <v>115</v>
      </c>
      <c r="G1" s="89"/>
      <c r="H1" s="90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3" t="s">
        <v>77</v>
      </c>
      <c r="C2" s="74"/>
      <c r="D2" s="82" t="s">
        <v>133</v>
      </c>
      <c r="E2" s="83"/>
      <c r="F2" s="91"/>
      <c r="G2" s="92"/>
      <c r="H2" s="93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3" t="s">
        <v>95</v>
      </c>
      <c r="C3" s="74"/>
      <c r="D3" s="84"/>
      <c r="E3" s="85"/>
      <c r="F3" s="94"/>
      <c r="G3" s="95"/>
      <c r="H3" s="9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3" t="s">
        <v>96</v>
      </c>
      <c r="C4" s="74"/>
      <c r="D4" s="86"/>
      <c r="E4" s="87"/>
      <c r="F4" s="97"/>
      <c r="G4" s="98"/>
      <c r="H4" s="99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5" t="s">
        <v>7</v>
      </c>
      <c r="B5" s="77" t="s">
        <v>15</v>
      </c>
      <c r="C5" s="78"/>
      <c r="D5" s="78"/>
      <c r="E5" s="78"/>
      <c r="F5" s="78"/>
      <c r="G5" s="78"/>
      <c r="H5" s="79"/>
      <c r="I5" s="61" t="s">
        <v>19</v>
      </c>
      <c r="J5" s="62"/>
      <c r="K5" s="62"/>
      <c r="L5" s="62"/>
      <c r="M5" s="62"/>
      <c r="N5" s="63"/>
      <c r="O5" s="64" t="s">
        <v>12</v>
      </c>
      <c r="P5" s="65"/>
      <c r="Q5" s="66"/>
      <c r="R5" s="67" t="s">
        <v>29</v>
      </c>
      <c r="S5" s="67" t="s">
        <v>8</v>
      </c>
      <c r="T5" s="69" t="s">
        <v>25</v>
      </c>
    </row>
    <row r="6" spans="1:20" ht="26.4">
      <c r="A6" s="76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8"/>
      <c r="S6" s="68"/>
      <c r="T6" s="70"/>
    </row>
    <row r="7" spans="1:20">
      <c r="A7" s="17">
        <f t="shared" ref="A7:A12" si="0">ROW()-6</f>
        <v>1</v>
      </c>
      <c r="B7" s="17" t="s">
        <v>6</v>
      </c>
      <c r="C7" s="18" t="s">
        <v>55</v>
      </c>
      <c r="D7" s="18" t="s">
        <v>56</v>
      </c>
      <c r="E7" s="18" t="s">
        <v>36</v>
      </c>
      <c r="F7" s="19" t="s">
        <v>97</v>
      </c>
      <c r="G7" s="17" t="s">
        <v>6</v>
      </c>
      <c r="H7" s="18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34</v>
      </c>
      <c r="D8" s="23" t="s">
        <v>35</v>
      </c>
      <c r="E8" s="23" t="s">
        <v>36</v>
      </c>
      <c r="F8" s="26" t="s">
        <v>97</v>
      </c>
      <c r="G8" s="22" t="s">
        <v>6</v>
      </c>
      <c r="H8" s="23"/>
      <c r="I8" s="25" t="s">
        <v>80</v>
      </c>
      <c r="J8" s="22"/>
      <c r="K8" s="26">
        <v>10</v>
      </c>
      <c r="L8" s="26">
        <v>0</v>
      </c>
      <c r="M8" s="22"/>
      <c r="N8" s="22"/>
      <c r="O8" s="23" t="s">
        <v>81</v>
      </c>
      <c r="P8" s="23" t="s">
        <v>82</v>
      </c>
      <c r="Q8" s="23" t="s">
        <v>83</v>
      </c>
      <c r="R8" s="23"/>
      <c r="S8" s="23"/>
      <c r="T8" s="27"/>
    </row>
    <row r="9" spans="1:20">
      <c r="A9" s="22">
        <f t="shared" si="0"/>
        <v>3</v>
      </c>
      <c r="B9" s="22"/>
      <c r="C9" s="23" t="s">
        <v>65</v>
      </c>
      <c r="D9" s="23" t="s">
        <v>66</v>
      </c>
      <c r="E9" s="23" t="s">
        <v>67</v>
      </c>
      <c r="F9" s="26"/>
      <c r="G9" s="22" t="s">
        <v>6</v>
      </c>
      <c r="H9" s="23" t="s">
        <v>92</v>
      </c>
      <c r="I9" s="25" t="s">
        <v>78</v>
      </c>
      <c r="J9" s="22"/>
      <c r="K9" s="26">
        <v>0</v>
      </c>
      <c r="L9" s="26"/>
      <c r="M9" s="22" t="s">
        <v>26</v>
      </c>
      <c r="N9" s="22" t="s">
        <v>27</v>
      </c>
      <c r="O9" s="23" t="s">
        <v>67</v>
      </c>
      <c r="P9" s="23" t="s">
        <v>99</v>
      </c>
      <c r="Q9" s="23"/>
      <c r="R9" s="23"/>
      <c r="S9" s="23"/>
      <c r="T9" s="27"/>
    </row>
    <row r="10" spans="1:20">
      <c r="A10" s="22">
        <f t="shared" si="0"/>
        <v>4</v>
      </c>
      <c r="B10" s="22"/>
      <c r="C10" s="23" t="s">
        <v>68</v>
      </c>
      <c r="D10" s="23" t="s">
        <v>69</v>
      </c>
      <c r="E10" s="23" t="s">
        <v>40</v>
      </c>
      <c r="F10" s="26">
        <v>20</v>
      </c>
      <c r="G10" s="22" t="s">
        <v>6</v>
      </c>
      <c r="H10" s="23"/>
      <c r="I10" s="25" t="s">
        <v>13</v>
      </c>
      <c r="J10" s="22" t="s">
        <v>26</v>
      </c>
      <c r="K10" s="26">
        <v>20</v>
      </c>
      <c r="L10" s="26"/>
      <c r="M10" s="22"/>
      <c r="N10" s="22"/>
      <c r="O10" s="23" t="s">
        <v>88</v>
      </c>
      <c r="P10" s="23" t="s">
        <v>89</v>
      </c>
      <c r="Q10" s="23"/>
      <c r="R10" s="23"/>
      <c r="S10" s="23"/>
      <c r="T10" s="27"/>
    </row>
    <row r="11" spans="1:20">
      <c r="A11" s="22">
        <f t="shared" si="0"/>
        <v>5</v>
      </c>
      <c r="B11" s="22"/>
      <c r="C11" s="23" t="s">
        <v>47</v>
      </c>
      <c r="D11" s="23" t="s">
        <v>48</v>
      </c>
      <c r="E11" s="23" t="s">
        <v>98</v>
      </c>
      <c r="F11" s="26">
        <v>6</v>
      </c>
      <c r="G11" s="22" t="s">
        <v>6</v>
      </c>
      <c r="H11" s="23" t="s">
        <v>92</v>
      </c>
      <c r="I11" s="25" t="s">
        <v>78</v>
      </c>
      <c r="J11" s="22"/>
      <c r="K11" s="26">
        <v>6</v>
      </c>
      <c r="L11" s="26"/>
      <c r="M11" s="22" t="s">
        <v>79</v>
      </c>
      <c r="N11" s="22" t="s">
        <v>27</v>
      </c>
      <c r="O11" s="23" t="s">
        <v>49</v>
      </c>
      <c r="P11" s="23" t="s">
        <v>67</v>
      </c>
      <c r="Q11" s="23"/>
      <c r="R11" s="23"/>
      <c r="S11" s="23"/>
      <c r="T11" s="27"/>
    </row>
    <row r="12" spans="1:20">
      <c r="A12" s="28">
        <f t="shared" si="0"/>
        <v>6</v>
      </c>
      <c r="B12" s="28"/>
      <c r="C12" s="29" t="s">
        <v>50</v>
      </c>
      <c r="D12" s="29" t="s">
        <v>51</v>
      </c>
      <c r="E12" s="29" t="s">
        <v>98</v>
      </c>
      <c r="F12" s="30">
        <v>6</v>
      </c>
      <c r="G12" s="28" t="s">
        <v>6</v>
      </c>
      <c r="H12" s="29" t="s">
        <v>92</v>
      </c>
      <c r="I12" s="31" t="s">
        <v>78</v>
      </c>
      <c r="J12" s="28"/>
      <c r="K12" s="30">
        <v>6</v>
      </c>
      <c r="L12" s="30"/>
      <c r="M12" s="28" t="s">
        <v>79</v>
      </c>
      <c r="N12" s="28" t="s">
        <v>27</v>
      </c>
      <c r="O12" s="29" t="s">
        <v>49</v>
      </c>
      <c r="P12" s="29" t="s">
        <v>67</v>
      </c>
      <c r="Q12" s="29"/>
      <c r="R12" s="29"/>
      <c r="S12" s="29"/>
      <c r="T12" s="32"/>
    </row>
  </sheetData>
  <autoFilter ref="A6:T6" xr:uid="{8FA4439A-1A4C-469E-BE0B-D84891F543F4}"/>
  <mergeCells count="15">
    <mergeCell ref="B1:C1"/>
    <mergeCell ref="D1:E1"/>
    <mergeCell ref="F1:H1"/>
    <mergeCell ref="B2:C2"/>
    <mergeCell ref="D2:E4"/>
    <mergeCell ref="F2:H4"/>
    <mergeCell ref="B3:C3"/>
    <mergeCell ref="B4:C4"/>
    <mergeCell ref="T5:T6"/>
    <mergeCell ref="A5:A6"/>
    <mergeCell ref="B5:H5"/>
    <mergeCell ref="I5:N5"/>
    <mergeCell ref="O5:Q5"/>
    <mergeCell ref="R5:R6"/>
    <mergeCell ref="S5:S6"/>
  </mergeCells>
  <phoneticPr fontId="1"/>
  <conditionalFormatting sqref="A7:A12">
    <cfRule type="expression" dxfId="8" priority="4" stopIfTrue="1">
      <formula>ISODD(ROW())</formula>
    </cfRule>
  </conditionalFormatting>
  <conditionalFormatting sqref="B10:T10 B9:G9 B11:G12 I11:T12 I9:T9 B7:T8">
    <cfRule type="expression" dxfId="7" priority="3" stopIfTrue="1">
      <formula>ISODD(ROW())</formula>
    </cfRule>
  </conditionalFormatting>
  <conditionalFormatting sqref="H11:H12">
    <cfRule type="expression" dxfId="6" priority="2" stopIfTrue="1">
      <formula>ISODD(ROW())</formula>
    </cfRule>
  </conditionalFormatting>
  <conditionalFormatting sqref="H9">
    <cfRule type="expression" dxfId="5" priority="1" stopIfTrue="1">
      <formula>ISODD(ROW())</formula>
    </cfRule>
  </conditionalFormatting>
  <dataValidations count="5">
    <dataValidation type="list" allowBlank="1" showInputMessage="1" showErrorMessage="1" sqref="N7:N12" xr:uid="{D5590B12-B7AE-489C-A25E-F451D22682AA}">
      <formula1>"要,否"</formula1>
    </dataValidation>
    <dataValidation type="list" allowBlank="1" showInputMessage="1" showErrorMessage="1" sqref="M7:M12 J7:J12" xr:uid="{C15A911D-CE0D-46DF-AA5A-5AC0F199AD1B}">
      <formula1>"有,無"</formula1>
    </dataValidation>
    <dataValidation type="list" allowBlank="1" showInputMessage="1" showErrorMessage="1" sqref="I7:I12" xr:uid="{C5D2EDB2-477F-44F4-AD2C-1E3C21C77813}">
      <formula1>"文字列,数値,日時,真偽値,バイナリ,JSON,XML,UUID"</formula1>
    </dataValidation>
    <dataValidation type="list" allowBlank="1" showInputMessage="1" showErrorMessage="1" sqref="G7:G12 B7:B12" xr:uid="{E1BCEE97-C021-4673-A424-00967718DFEE}">
      <formula1>"Y,N"</formula1>
    </dataValidation>
    <dataValidation type="list" allowBlank="1" showInputMessage="1" showErrorMessage="1" sqref="B1" xr:uid="{CDD08ADC-6735-4488-A01B-5653334EB060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E0366-A840-4DBD-8479-342AE5FAC285}">
  <sheetPr codeName="Sheet24"/>
  <dimension ref="A1:T11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1" t="s">
        <v>14</v>
      </c>
      <c r="C1" s="72"/>
      <c r="D1" s="80" t="s">
        <v>28</v>
      </c>
      <c r="E1" s="81"/>
      <c r="F1" s="88" t="s">
        <v>115</v>
      </c>
      <c r="G1" s="89"/>
      <c r="H1" s="90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3" t="s">
        <v>77</v>
      </c>
      <c r="C2" s="74"/>
      <c r="D2" s="82" t="s">
        <v>142</v>
      </c>
      <c r="E2" s="83"/>
      <c r="F2" s="91"/>
      <c r="G2" s="92"/>
      <c r="H2" s="93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3" t="s">
        <v>94</v>
      </c>
      <c r="C3" s="74"/>
      <c r="D3" s="84"/>
      <c r="E3" s="85"/>
      <c r="F3" s="94"/>
      <c r="G3" s="95"/>
      <c r="H3" s="9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3" t="s">
        <v>100</v>
      </c>
      <c r="C4" s="74"/>
      <c r="D4" s="86"/>
      <c r="E4" s="87"/>
      <c r="F4" s="97"/>
      <c r="G4" s="98"/>
      <c r="H4" s="99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5" t="s">
        <v>7</v>
      </c>
      <c r="B5" s="77" t="s">
        <v>15</v>
      </c>
      <c r="C5" s="78"/>
      <c r="D5" s="78"/>
      <c r="E5" s="78"/>
      <c r="F5" s="78"/>
      <c r="G5" s="78"/>
      <c r="H5" s="79"/>
      <c r="I5" s="61" t="s">
        <v>19</v>
      </c>
      <c r="J5" s="62"/>
      <c r="K5" s="62"/>
      <c r="L5" s="62"/>
      <c r="M5" s="62"/>
      <c r="N5" s="63"/>
      <c r="O5" s="64" t="s">
        <v>12</v>
      </c>
      <c r="P5" s="65"/>
      <c r="Q5" s="66"/>
      <c r="R5" s="67" t="s">
        <v>29</v>
      </c>
      <c r="S5" s="67" t="s">
        <v>8</v>
      </c>
      <c r="T5" s="69" t="s">
        <v>25</v>
      </c>
    </row>
    <row r="6" spans="1:20" ht="26.4">
      <c r="A6" s="76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8"/>
      <c r="S6" s="68"/>
      <c r="T6" s="70"/>
    </row>
    <row r="7" spans="1:20" ht="14.4">
      <c r="A7" s="17">
        <f t="shared" ref="A7:A11" si="0">ROW()-6</f>
        <v>1</v>
      </c>
      <c r="B7" s="17" t="s">
        <v>140</v>
      </c>
      <c r="C7" s="18" t="s">
        <v>53</v>
      </c>
      <c r="D7" s="18" t="s">
        <v>54</v>
      </c>
      <c r="E7" s="18" t="s">
        <v>36</v>
      </c>
      <c r="F7" s="19" t="s">
        <v>37</v>
      </c>
      <c r="G7" s="17" t="s">
        <v>6</v>
      </c>
      <c r="H7" s="33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55</v>
      </c>
      <c r="D8" s="23" t="s">
        <v>56</v>
      </c>
      <c r="E8" s="23" t="s">
        <v>36</v>
      </c>
      <c r="F8" s="26" t="s">
        <v>37</v>
      </c>
      <c r="G8" s="22" t="s">
        <v>6</v>
      </c>
      <c r="H8" s="23"/>
      <c r="I8" s="25" t="s">
        <v>80</v>
      </c>
      <c r="J8" s="22"/>
      <c r="K8" s="26">
        <v>10</v>
      </c>
      <c r="L8" s="26">
        <v>0</v>
      </c>
      <c r="M8" s="22"/>
      <c r="N8" s="22"/>
      <c r="O8" s="23" t="s">
        <v>81</v>
      </c>
      <c r="P8" s="23" t="s">
        <v>82</v>
      </c>
      <c r="Q8" s="23" t="s">
        <v>83</v>
      </c>
      <c r="R8" s="23"/>
      <c r="S8" s="23"/>
      <c r="T8" s="27"/>
    </row>
    <row r="9" spans="1:20">
      <c r="A9" s="22">
        <f t="shared" si="0"/>
        <v>3</v>
      </c>
      <c r="B9" s="22"/>
      <c r="C9" s="23" t="s">
        <v>57</v>
      </c>
      <c r="D9" s="23" t="s">
        <v>58</v>
      </c>
      <c r="E9" s="23" t="s">
        <v>36</v>
      </c>
      <c r="F9" s="26" t="s">
        <v>37</v>
      </c>
      <c r="G9" s="22" t="s">
        <v>6</v>
      </c>
      <c r="H9" s="23"/>
      <c r="I9" s="25" t="s">
        <v>80</v>
      </c>
      <c r="J9" s="22"/>
      <c r="K9" s="26">
        <v>10</v>
      </c>
      <c r="L9" s="26">
        <v>0</v>
      </c>
      <c r="M9" s="22"/>
      <c r="N9" s="22"/>
      <c r="O9" s="23" t="s">
        <v>81</v>
      </c>
      <c r="P9" s="23" t="s">
        <v>82</v>
      </c>
      <c r="Q9" s="23" t="s">
        <v>83</v>
      </c>
      <c r="R9" s="23"/>
      <c r="S9" s="23"/>
      <c r="T9" s="27"/>
    </row>
    <row r="10" spans="1:20">
      <c r="A10" s="22">
        <f t="shared" si="0"/>
        <v>4</v>
      </c>
      <c r="B10" s="22"/>
      <c r="C10" s="23" t="s">
        <v>59</v>
      </c>
      <c r="D10" s="23" t="s">
        <v>60</v>
      </c>
      <c r="E10" s="23" t="s">
        <v>36</v>
      </c>
      <c r="F10" s="26" t="s">
        <v>37</v>
      </c>
      <c r="G10" s="22" t="s">
        <v>6</v>
      </c>
      <c r="H10" s="23"/>
      <c r="I10" s="25" t="s">
        <v>80</v>
      </c>
      <c r="J10" s="22"/>
      <c r="K10" s="26">
        <v>10</v>
      </c>
      <c r="L10" s="26">
        <v>0</v>
      </c>
      <c r="M10" s="22"/>
      <c r="N10" s="22"/>
      <c r="O10" s="23" t="s">
        <v>81</v>
      </c>
      <c r="P10" s="23" t="s">
        <v>82</v>
      </c>
      <c r="Q10" s="23" t="s">
        <v>83</v>
      </c>
      <c r="R10" s="23"/>
      <c r="S10" s="23"/>
      <c r="T10" s="27"/>
    </row>
    <row r="11" spans="1:20">
      <c r="A11" s="28">
        <f t="shared" si="0"/>
        <v>5</v>
      </c>
      <c r="B11" s="28"/>
      <c r="C11" s="29" t="s">
        <v>61</v>
      </c>
      <c r="D11" s="29" t="s">
        <v>62</v>
      </c>
      <c r="E11" s="29" t="s">
        <v>36</v>
      </c>
      <c r="F11" s="30" t="s">
        <v>102</v>
      </c>
      <c r="G11" s="28" t="s">
        <v>6</v>
      </c>
      <c r="H11" s="29"/>
      <c r="I11" s="31" t="s">
        <v>80</v>
      </c>
      <c r="J11" s="28"/>
      <c r="K11" s="30">
        <v>10</v>
      </c>
      <c r="L11" s="30">
        <v>2</v>
      </c>
      <c r="M11" s="28"/>
      <c r="N11" s="28"/>
      <c r="O11" s="29" t="s">
        <v>101</v>
      </c>
      <c r="P11" s="29" t="s">
        <v>82</v>
      </c>
      <c r="Q11" s="29" t="s">
        <v>83</v>
      </c>
      <c r="R11" s="29"/>
      <c r="S11" s="29"/>
      <c r="T11" s="32"/>
    </row>
  </sheetData>
  <autoFilter ref="A6:T6" xr:uid="{8FA4439A-1A4C-469E-BE0B-D84891F543F4}"/>
  <mergeCells count="15">
    <mergeCell ref="B1:C1"/>
    <mergeCell ref="D1:E1"/>
    <mergeCell ref="F1:H1"/>
    <mergeCell ref="B2:C2"/>
    <mergeCell ref="D2:E4"/>
    <mergeCell ref="F2:H4"/>
    <mergeCell ref="B3:C3"/>
    <mergeCell ref="B4:C4"/>
    <mergeCell ref="T5:T6"/>
    <mergeCell ref="A5:A6"/>
    <mergeCell ref="B5:H5"/>
    <mergeCell ref="I5:N5"/>
    <mergeCell ref="O5:Q5"/>
    <mergeCell ref="R5:R6"/>
    <mergeCell ref="S5:S6"/>
  </mergeCells>
  <phoneticPr fontId="1"/>
  <conditionalFormatting sqref="A7:A11">
    <cfRule type="expression" dxfId="4" priority="2" stopIfTrue="1">
      <formula>ISODD(ROW())</formula>
    </cfRule>
  </conditionalFormatting>
  <conditionalFormatting sqref="B7:T11">
    <cfRule type="expression" dxfId="3" priority="1" stopIfTrue="1">
      <formula>ISODD(ROW())</formula>
    </cfRule>
  </conditionalFormatting>
  <dataValidations count="5">
    <dataValidation type="list" allowBlank="1" showInputMessage="1" showErrorMessage="1" sqref="B1" xr:uid="{03B2FC83-8C4B-40B3-8E9F-F0401B704766}">
      <formula1>"Oracle,PostgreSQL,SQLServer"</formula1>
    </dataValidation>
    <dataValidation type="list" allowBlank="1" showInputMessage="1" showErrorMessage="1" sqref="G7:G11 B7:B11" xr:uid="{B100FACE-685E-44DF-86B3-6E20B8A3CBA9}">
      <formula1>"Y,N"</formula1>
    </dataValidation>
    <dataValidation type="list" allowBlank="1" showInputMessage="1" showErrorMessage="1" sqref="I7:I11" xr:uid="{034B384B-D2A5-445F-8545-1D2BCAAAE6F1}">
      <formula1>"文字列,数値,日時,真偽値,バイナリ,JSON,XML,UUID"</formula1>
    </dataValidation>
    <dataValidation type="list" allowBlank="1" showInputMessage="1" showErrorMessage="1" sqref="M7:M11 J7:J11" xr:uid="{949CDD6F-670B-4B13-87A9-76553B3DB788}">
      <formula1>"有,無"</formula1>
    </dataValidation>
    <dataValidation type="list" allowBlank="1" showInputMessage="1" showErrorMessage="1" sqref="N7:N11" xr:uid="{FD590185-43DA-4CAA-82C7-F047301FF21B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BCCD4-F986-4A1D-899E-BBCE639EE446}">
  <sheetPr codeName="Sheet23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1" t="s">
        <v>14</v>
      </c>
      <c r="C1" s="72"/>
      <c r="D1" s="80" t="s">
        <v>28</v>
      </c>
      <c r="E1" s="81"/>
      <c r="F1" s="88" t="s">
        <v>115</v>
      </c>
      <c r="G1" s="89"/>
      <c r="H1" s="90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3" t="s">
        <v>77</v>
      </c>
      <c r="C2" s="74"/>
      <c r="D2" s="82" t="s">
        <v>135</v>
      </c>
      <c r="E2" s="83"/>
      <c r="F2" s="91"/>
      <c r="G2" s="92"/>
      <c r="H2" s="93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3" t="s">
        <v>103</v>
      </c>
      <c r="C3" s="74"/>
      <c r="D3" s="84"/>
      <c r="E3" s="85"/>
      <c r="F3" s="94"/>
      <c r="G3" s="95"/>
      <c r="H3" s="9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3" t="s">
        <v>104</v>
      </c>
      <c r="C4" s="74"/>
      <c r="D4" s="86"/>
      <c r="E4" s="87"/>
      <c r="F4" s="97"/>
      <c r="G4" s="98"/>
      <c r="H4" s="99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5" t="s">
        <v>7</v>
      </c>
      <c r="B5" s="77" t="s">
        <v>15</v>
      </c>
      <c r="C5" s="78"/>
      <c r="D5" s="78"/>
      <c r="E5" s="78"/>
      <c r="F5" s="78"/>
      <c r="G5" s="78"/>
      <c r="H5" s="79"/>
      <c r="I5" s="61" t="s">
        <v>19</v>
      </c>
      <c r="J5" s="62"/>
      <c r="K5" s="62"/>
      <c r="L5" s="62"/>
      <c r="M5" s="62"/>
      <c r="N5" s="63"/>
      <c r="O5" s="64" t="s">
        <v>12</v>
      </c>
      <c r="P5" s="65"/>
      <c r="Q5" s="66"/>
      <c r="R5" s="67" t="s">
        <v>29</v>
      </c>
      <c r="S5" s="67" t="s">
        <v>8</v>
      </c>
      <c r="T5" s="69" t="s">
        <v>25</v>
      </c>
    </row>
    <row r="6" spans="1:20" ht="26.4">
      <c r="A6" s="76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8"/>
      <c r="S6" s="68"/>
      <c r="T6" s="70"/>
    </row>
    <row r="7" spans="1:20" ht="14.4">
      <c r="A7" s="17">
        <f t="shared" ref="A7:A12" si="0">ROW()-6</f>
        <v>1</v>
      </c>
      <c r="B7" s="17" t="s">
        <v>6</v>
      </c>
      <c r="C7" s="18" t="s">
        <v>57</v>
      </c>
      <c r="D7" s="18" t="s">
        <v>58</v>
      </c>
      <c r="E7" s="18" t="s">
        <v>36</v>
      </c>
      <c r="F7" s="19" t="s">
        <v>37</v>
      </c>
      <c r="G7" s="17" t="s">
        <v>6</v>
      </c>
      <c r="H7" s="33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71</v>
      </c>
      <c r="D8" s="23" t="s">
        <v>72</v>
      </c>
      <c r="E8" s="23" t="s">
        <v>40</v>
      </c>
      <c r="F8" s="26">
        <v>100</v>
      </c>
      <c r="G8" s="22" t="s">
        <v>6</v>
      </c>
      <c r="H8" s="23"/>
      <c r="I8" s="25" t="s">
        <v>13</v>
      </c>
      <c r="J8" s="22" t="s">
        <v>79</v>
      </c>
      <c r="K8" s="26">
        <v>100</v>
      </c>
      <c r="L8" s="26"/>
      <c r="M8" s="22"/>
      <c r="N8" s="22"/>
      <c r="O8" s="23" t="s">
        <v>84</v>
      </c>
      <c r="P8" s="23" t="s">
        <v>85</v>
      </c>
      <c r="Q8" s="23"/>
      <c r="R8" s="23"/>
      <c r="S8" s="23"/>
      <c r="T8" s="27"/>
    </row>
    <row r="9" spans="1:20">
      <c r="A9" s="22">
        <f t="shared" si="0"/>
        <v>3</v>
      </c>
      <c r="B9" s="22"/>
      <c r="C9" s="23" t="s">
        <v>73</v>
      </c>
      <c r="D9" s="23" t="s">
        <v>62</v>
      </c>
      <c r="E9" s="23" t="s">
        <v>36</v>
      </c>
      <c r="F9" s="26" t="s">
        <v>63</v>
      </c>
      <c r="G9" s="22" t="s">
        <v>6</v>
      </c>
      <c r="H9" s="23"/>
      <c r="I9" s="25" t="s">
        <v>80</v>
      </c>
      <c r="J9" s="22"/>
      <c r="K9" s="26">
        <v>10</v>
      </c>
      <c r="L9" s="26">
        <v>2</v>
      </c>
      <c r="M9" s="22"/>
      <c r="N9" s="22"/>
      <c r="O9" s="23" t="s">
        <v>101</v>
      </c>
      <c r="P9" s="23" t="s">
        <v>82</v>
      </c>
      <c r="Q9" s="23" t="s">
        <v>83</v>
      </c>
      <c r="R9" s="23"/>
      <c r="S9" s="23"/>
      <c r="T9" s="27"/>
    </row>
    <row r="10" spans="1:20">
      <c r="A10" s="22">
        <f t="shared" si="0"/>
        <v>4</v>
      </c>
      <c r="B10" s="22"/>
      <c r="C10" s="23" t="s">
        <v>74</v>
      </c>
      <c r="D10" s="23" t="s">
        <v>75</v>
      </c>
      <c r="E10" s="23" t="s">
        <v>36</v>
      </c>
      <c r="F10" s="26" t="s">
        <v>76</v>
      </c>
      <c r="G10" s="22" t="s">
        <v>6</v>
      </c>
      <c r="H10" s="23">
        <v>0</v>
      </c>
      <c r="I10" s="25" t="s">
        <v>80</v>
      </c>
      <c r="J10" s="22"/>
      <c r="K10" s="26">
        <v>8</v>
      </c>
      <c r="L10" s="26">
        <v>0</v>
      </c>
      <c r="M10" s="22"/>
      <c r="N10" s="22"/>
      <c r="O10" s="23" t="s">
        <v>105</v>
      </c>
      <c r="P10" s="23" t="s">
        <v>82</v>
      </c>
      <c r="Q10" s="23" t="s">
        <v>83</v>
      </c>
      <c r="R10" s="23"/>
      <c r="S10" s="23"/>
      <c r="T10" s="27"/>
    </row>
    <row r="11" spans="1:20">
      <c r="A11" s="22">
        <f t="shared" si="0"/>
        <v>5</v>
      </c>
      <c r="B11" s="22"/>
      <c r="C11" s="23" t="s">
        <v>47</v>
      </c>
      <c r="D11" s="23" t="s">
        <v>48</v>
      </c>
      <c r="E11" s="23" t="s">
        <v>98</v>
      </c>
      <c r="F11" s="26">
        <v>6</v>
      </c>
      <c r="G11" s="22" t="s">
        <v>6</v>
      </c>
      <c r="H11" s="23" t="s">
        <v>92</v>
      </c>
      <c r="I11" s="25" t="s">
        <v>78</v>
      </c>
      <c r="J11" s="22"/>
      <c r="K11" s="26">
        <v>6</v>
      </c>
      <c r="L11" s="26"/>
      <c r="M11" s="22" t="s">
        <v>79</v>
      </c>
      <c r="N11" s="22" t="s">
        <v>27</v>
      </c>
      <c r="O11" s="23" t="s">
        <v>49</v>
      </c>
      <c r="P11" s="23" t="s">
        <v>67</v>
      </c>
      <c r="Q11" s="23"/>
      <c r="R11" s="23"/>
      <c r="S11" s="23"/>
      <c r="T11" s="27"/>
    </row>
    <row r="12" spans="1:20">
      <c r="A12" s="28">
        <f t="shared" si="0"/>
        <v>6</v>
      </c>
      <c r="B12" s="28"/>
      <c r="C12" s="29" t="s">
        <v>50</v>
      </c>
      <c r="D12" s="29" t="s">
        <v>51</v>
      </c>
      <c r="E12" s="29" t="s">
        <v>98</v>
      </c>
      <c r="F12" s="30">
        <v>6</v>
      </c>
      <c r="G12" s="28" t="s">
        <v>6</v>
      </c>
      <c r="H12" s="29" t="s">
        <v>92</v>
      </c>
      <c r="I12" s="31" t="s">
        <v>78</v>
      </c>
      <c r="J12" s="28"/>
      <c r="K12" s="30">
        <v>6</v>
      </c>
      <c r="L12" s="30"/>
      <c r="M12" s="28" t="s">
        <v>79</v>
      </c>
      <c r="N12" s="28" t="s">
        <v>27</v>
      </c>
      <c r="O12" s="29" t="s">
        <v>49</v>
      </c>
      <c r="P12" s="29" t="s">
        <v>67</v>
      </c>
      <c r="Q12" s="29"/>
      <c r="R12" s="29"/>
      <c r="S12" s="29"/>
      <c r="T12" s="32"/>
    </row>
  </sheetData>
  <autoFilter ref="A6:T6" xr:uid="{8FA4439A-1A4C-469E-BE0B-D84891F543F4}"/>
  <mergeCells count="15">
    <mergeCell ref="B1:C1"/>
    <mergeCell ref="D1:E1"/>
    <mergeCell ref="F1:H1"/>
    <mergeCell ref="B2:C2"/>
    <mergeCell ref="D2:E4"/>
    <mergeCell ref="F2:H4"/>
    <mergeCell ref="B3:C3"/>
    <mergeCell ref="B4:C4"/>
    <mergeCell ref="T5:T6"/>
    <mergeCell ref="A5:A6"/>
    <mergeCell ref="B5:H5"/>
    <mergeCell ref="I5:N5"/>
    <mergeCell ref="O5:Q5"/>
    <mergeCell ref="R5:R6"/>
    <mergeCell ref="S5:S6"/>
  </mergeCells>
  <phoneticPr fontId="1"/>
  <conditionalFormatting sqref="A7:A12">
    <cfRule type="expression" dxfId="2" priority="3" stopIfTrue="1">
      <formula>ISODD(ROW())</formula>
    </cfRule>
  </conditionalFormatting>
  <conditionalFormatting sqref="B11:G12 B7:T10 I11:T12">
    <cfRule type="expression" dxfId="1" priority="2" stopIfTrue="1">
      <formula>ISODD(ROW())</formula>
    </cfRule>
  </conditionalFormatting>
  <conditionalFormatting sqref="H11:H12">
    <cfRule type="expression" dxfId="0" priority="1" stopIfTrue="1">
      <formula>ISODD(ROW())</formula>
    </cfRule>
  </conditionalFormatting>
  <dataValidations count="5">
    <dataValidation type="list" allowBlank="1" showInputMessage="1" showErrorMessage="1" sqref="N7:N12" xr:uid="{E57812A2-79B9-4D1A-8BEA-99FDF7035446}">
      <formula1>"要,否"</formula1>
    </dataValidation>
    <dataValidation type="list" allowBlank="1" showInputMessage="1" showErrorMessage="1" sqref="M7:M12 J7:J12" xr:uid="{20E793F7-C80D-4069-8B55-216129471604}">
      <formula1>"有,無"</formula1>
    </dataValidation>
    <dataValidation type="list" allowBlank="1" showInputMessage="1" showErrorMessage="1" sqref="I7:I12" xr:uid="{265958FF-23D5-4F78-B7DF-2B1682F48A1B}">
      <formula1>"文字列,数値,日時,真偽値,バイナリ,JSON,XML,UUID"</formula1>
    </dataValidation>
    <dataValidation type="list" allowBlank="1" showInputMessage="1" showErrorMessage="1" sqref="G7:G12 B7:B12" xr:uid="{5347FF86-765E-41D2-A5D1-216225995090}">
      <formula1>"Y,N"</formula1>
    </dataValidation>
    <dataValidation type="list" allowBlank="1" showInputMessage="1" showErrorMessage="1" sqref="B1" xr:uid="{CEB99211-7623-4D4B-A6D9-0D9A8B2B3DD2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57D75-C75B-4EDE-B56C-12454E1C5132}">
  <sheetPr codeName="Sheet15">
    <tabColor rgb="FF808080"/>
  </sheetPr>
  <dimension ref="B2:AB46"/>
  <sheetViews>
    <sheetView showGridLines="0" zoomScale="85" zoomScaleNormal="85" workbookViewId="0"/>
  </sheetViews>
  <sheetFormatPr defaultColWidth="2.69921875" defaultRowHeight="18"/>
  <cols>
    <col min="1" max="16384" width="2.69921875" style="13"/>
  </cols>
  <sheetData>
    <row r="2" spans="2:19">
      <c r="B2" s="13" t="s">
        <v>150</v>
      </c>
    </row>
    <row r="4" spans="2:19">
      <c r="B4" s="13" t="s">
        <v>106</v>
      </c>
      <c r="C4" s="13" t="s">
        <v>144</v>
      </c>
    </row>
    <row r="6" spans="2:19">
      <c r="C6" s="104" t="s">
        <v>0</v>
      </c>
      <c r="D6" s="105"/>
      <c r="E6" s="105"/>
      <c r="F6" s="110" t="s">
        <v>14</v>
      </c>
      <c r="G6" s="110"/>
      <c r="H6" s="110"/>
      <c r="I6" s="110"/>
      <c r="J6" s="111"/>
      <c r="L6" s="13" t="s">
        <v>155</v>
      </c>
    </row>
    <row r="7" spans="2:19">
      <c r="C7" s="106" t="s">
        <v>1</v>
      </c>
      <c r="D7" s="107"/>
      <c r="E7" s="107"/>
      <c r="F7" s="112" t="s">
        <v>77</v>
      </c>
      <c r="G7" s="112"/>
      <c r="H7" s="112"/>
      <c r="I7" s="112"/>
      <c r="J7" s="113"/>
      <c r="L7" s="13" t="s">
        <v>147</v>
      </c>
    </row>
    <row r="8" spans="2:19">
      <c r="C8" s="106" t="s">
        <v>10</v>
      </c>
      <c r="D8" s="107"/>
      <c r="E8" s="107"/>
      <c r="F8" s="112" t="s">
        <v>32</v>
      </c>
      <c r="G8" s="112"/>
      <c r="H8" s="112"/>
      <c r="I8" s="112"/>
      <c r="J8" s="113"/>
      <c r="L8" s="13" t="s">
        <v>148</v>
      </c>
    </row>
    <row r="9" spans="2:19">
      <c r="C9" s="108" t="s">
        <v>166</v>
      </c>
      <c r="D9" s="109"/>
      <c r="E9" s="109"/>
      <c r="F9" s="114" t="s">
        <v>33</v>
      </c>
      <c r="G9" s="114"/>
      <c r="H9" s="114"/>
      <c r="I9" s="114"/>
      <c r="J9" s="115"/>
      <c r="L9" s="13" t="s">
        <v>149</v>
      </c>
    </row>
    <row r="12" spans="2:19">
      <c r="B12" s="13" t="s">
        <v>107</v>
      </c>
      <c r="C12" s="13" t="s">
        <v>158</v>
      </c>
    </row>
    <row r="13" spans="2:19">
      <c r="C13" s="13" t="s">
        <v>151</v>
      </c>
      <c r="E13" s="13" t="s">
        <v>159</v>
      </c>
    </row>
    <row r="15" spans="2:19">
      <c r="E15" s="116" t="s">
        <v>19</v>
      </c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8"/>
    </row>
    <row r="16" spans="2:19" ht="30" customHeight="1">
      <c r="E16" s="119" t="s">
        <v>30</v>
      </c>
      <c r="F16" s="120"/>
      <c r="G16" s="120"/>
      <c r="H16" s="120" t="s">
        <v>20</v>
      </c>
      <c r="I16" s="120"/>
      <c r="J16" s="120"/>
      <c r="K16" s="127" t="s">
        <v>21</v>
      </c>
      <c r="L16" s="127"/>
      <c r="M16" s="120" t="s">
        <v>22</v>
      </c>
      <c r="N16" s="120"/>
      <c r="O16" s="120" t="s">
        <v>23</v>
      </c>
      <c r="P16" s="120"/>
      <c r="Q16" s="120" t="s">
        <v>24</v>
      </c>
      <c r="R16" s="120"/>
      <c r="S16" s="131"/>
    </row>
    <row r="17" spans="2:22">
      <c r="E17" s="121" t="s">
        <v>80</v>
      </c>
      <c r="F17" s="121"/>
      <c r="G17" s="121"/>
      <c r="H17" s="124"/>
      <c r="I17" s="124"/>
      <c r="J17" s="124"/>
      <c r="K17" s="128">
        <v>10</v>
      </c>
      <c r="L17" s="128"/>
      <c r="M17" s="128">
        <v>0</v>
      </c>
      <c r="N17" s="128"/>
      <c r="O17" s="121"/>
      <c r="P17" s="121"/>
      <c r="Q17" s="121"/>
      <c r="R17" s="121"/>
      <c r="S17" s="121"/>
    </row>
    <row r="18" spans="2:22">
      <c r="E18" s="122" t="s">
        <v>13</v>
      </c>
      <c r="F18" s="122"/>
      <c r="G18" s="122"/>
      <c r="H18" s="125" t="s">
        <v>79</v>
      </c>
      <c r="I18" s="125"/>
      <c r="J18" s="125"/>
      <c r="K18" s="129">
        <v>100</v>
      </c>
      <c r="L18" s="129"/>
      <c r="M18" s="129"/>
      <c r="N18" s="129"/>
      <c r="O18" s="122"/>
      <c r="P18" s="122"/>
      <c r="Q18" s="122"/>
      <c r="R18" s="122"/>
      <c r="S18" s="122"/>
    </row>
    <row r="19" spans="2:22">
      <c r="E19" s="123" t="s">
        <v>13</v>
      </c>
      <c r="F19" s="123"/>
      <c r="G19" s="123"/>
      <c r="H19" s="126" t="s">
        <v>26</v>
      </c>
      <c r="I19" s="126"/>
      <c r="J19" s="126"/>
      <c r="K19" s="130">
        <v>255</v>
      </c>
      <c r="L19" s="130"/>
      <c r="M19" s="130"/>
      <c r="N19" s="130"/>
      <c r="O19" s="123"/>
      <c r="P19" s="123"/>
      <c r="Q19" s="123"/>
      <c r="R19" s="123"/>
      <c r="S19" s="123"/>
    </row>
    <row r="20" spans="2:22" ht="18.600000000000001" thickBot="1"/>
    <row r="21" spans="2:22" ht="19.2" thickTop="1" thickBot="1">
      <c r="C21" s="13" t="s">
        <v>152</v>
      </c>
      <c r="E21" s="13" t="s">
        <v>153</v>
      </c>
      <c r="G21" s="132" t="s">
        <v>160</v>
      </c>
      <c r="H21" s="133"/>
      <c r="I21" s="133"/>
      <c r="J21" s="133"/>
      <c r="K21" s="134"/>
      <c r="L21" s="13" t="s">
        <v>143</v>
      </c>
    </row>
    <row r="22" spans="2:22" ht="18.600000000000001" thickTop="1"/>
    <row r="23" spans="2:22">
      <c r="C23" s="13" t="s">
        <v>154</v>
      </c>
      <c r="E23" s="13" t="s">
        <v>146</v>
      </c>
    </row>
    <row r="25" spans="2:22">
      <c r="E25" s="81" t="s">
        <v>12</v>
      </c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80"/>
    </row>
    <row r="26" spans="2:22">
      <c r="E26" s="136">
        <v>1</v>
      </c>
      <c r="F26" s="137"/>
      <c r="G26" s="137"/>
      <c r="H26" s="137"/>
      <c r="I26" s="137"/>
      <c r="J26" s="137"/>
      <c r="K26" s="137">
        <v>2</v>
      </c>
      <c r="L26" s="137"/>
      <c r="M26" s="137"/>
      <c r="N26" s="137"/>
      <c r="O26" s="137"/>
      <c r="P26" s="137"/>
      <c r="Q26" s="137">
        <v>3</v>
      </c>
      <c r="R26" s="137"/>
      <c r="S26" s="137"/>
      <c r="T26" s="137"/>
      <c r="U26" s="137"/>
      <c r="V26" s="138"/>
    </row>
    <row r="27" spans="2:22">
      <c r="E27" s="121" t="s">
        <v>81</v>
      </c>
      <c r="F27" s="121"/>
      <c r="G27" s="121"/>
      <c r="H27" s="121"/>
      <c r="I27" s="121"/>
      <c r="J27" s="121"/>
      <c r="K27" s="121" t="s">
        <v>82</v>
      </c>
      <c r="L27" s="121"/>
      <c r="M27" s="121"/>
      <c r="N27" s="121"/>
      <c r="O27" s="121"/>
      <c r="P27" s="121"/>
      <c r="Q27" s="121" t="s">
        <v>83</v>
      </c>
      <c r="R27" s="121"/>
      <c r="S27" s="121"/>
      <c r="T27" s="121"/>
      <c r="U27" s="121"/>
      <c r="V27" s="121"/>
    </row>
    <row r="28" spans="2:22">
      <c r="E28" s="122" t="s">
        <v>84</v>
      </c>
      <c r="F28" s="122"/>
      <c r="G28" s="122"/>
      <c r="H28" s="122"/>
      <c r="I28" s="122"/>
      <c r="J28" s="122"/>
      <c r="K28" s="122" t="s">
        <v>85</v>
      </c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</row>
    <row r="29" spans="2:22">
      <c r="E29" s="123" t="s">
        <v>86</v>
      </c>
      <c r="F29" s="123"/>
      <c r="G29" s="123"/>
      <c r="H29" s="123"/>
      <c r="I29" s="123"/>
      <c r="J29" s="123"/>
      <c r="K29" s="123" t="s">
        <v>87</v>
      </c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</row>
    <row r="32" spans="2:22">
      <c r="B32" s="13" t="s">
        <v>108</v>
      </c>
      <c r="C32" s="13" t="s">
        <v>161</v>
      </c>
    </row>
    <row r="34" spans="2:28">
      <c r="C34" s="139" t="s">
        <v>7</v>
      </c>
      <c r="D34" s="140"/>
      <c r="E34" s="140" t="s">
        <v>15</v>
      </c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2"/>
    </row>
    <row r="35" spans="2:28">
      <c r="C35" s="75"/>
      <c r="D35" s="141"/>
      <c r="E35" s="141" t="s">
        <v>4</v>
      </c>
      <c r="F35" s="141"/>
      <c r="G35" s="141" t="s">
        <v>2</v>
      </c>
      <c r="H35" s="141"/>
      <c r="I35" s="141"/>
      <c r="J35" s="141"/>
      <c r="K35" s="141"/>
      <c r="L35" s="141" t="s">
        <v>3</v>
      </c>
      <c r="M35" s="141"/>
      <c r="N35" s="141"/>
      <c r="O35" s="141"/>
      <c r="P35" s="141"/>
      <c r="Q35" s="141" t="s">
        <v>16</v>
      </c>
      <c r="R35" s="141"/>
      <c r="S35" s="141"/>
      <c r="T35" s="141"/>
      <c r="U35" s="141" t="s">
        <v>17</v>
      </c>
      <c r="V35" s="141"/>
      <c r="W35" s="141" t="s">
        <v>122</v>
      </c>
      <c r="X35" s="141"/>
      <c r="Y35" s="141"/>
      <c r="Z35" s="141" t="s">
        <v>5</v>
      </c>
      <c r="AA35" s="141"/>
      <c r="AB35" s="146"/>
    </row>
    <row r="36" spans="2:28">
      <c r="C36" s="124">
        <v>1</v>
      </c>
      <c r="D36" s="124"/>
      <c r="E36" s="124" t="s">
        <v>6</v>
      </c>
      <c r="F36" s="124"/>
      <c r="G36" s="121" t="s">
        <v>34</v>
      </c>
      <c r="H36" s="121"/>
      <c r="I36" s="121"/>
      <c r="J36" s="121"/>
      <c r="K36" s="121"/>
      <c r="L36" s="121" t="s">
        <v>35</v>
      </c>
      <c r="M36" s="121"/>
      <c r="N36" s="121"/>
      <c r="O36" s="121"/>
      <c r="P36" s="121"/>
      <c r="Q36" s="121" t="s">
        <v>36</v>
      </c>
      <c r="R36" s="121"/>
      <c r="S36" s="121"/>
      <c r="T36" s="121"/>
      <c r="U36" s="128" t="s">
        <v>37</v>
      </c>
      <c r="V36" s="128"/>
      <c r="W36" s="124" t="s">
        <v>6</v>
      </c>
      <c r="X36" s="124"/>
      <c r="Y36" s="124"/>
      <c r="Z36" s="121"/>
      <c r="AA36" s="121"/>
      <c r="AB36" s="121"/>
    </row>
    <row r="37" spans="2:28">
      <c r="C37" s="125">
        <v>2</v>
      </c>
      <c r="D37" s="125"/>
      <c r="E37" s="125"/>
      <c r="F37" s="125"/>
      <c r="G37" s="122" t="s">
        <v>38</v>
      </c>
      <c r="H37" s="122"/>
      <c r="I37" s="122"/>
      <c r="J37" s="122"/>
      <c r="K37" s="122"/>
      <c r="L37" s="122" t="s">
        <v>39</v>
      </c>
      <c r="M37" s="122"/>
      <c r="N37" s="122"/>
      <c r="O37" s="122"/>
      <c r="P37" s="122"/>
      <c r="Q37" s="122" t="s">
        <v>91</v>
      </c>
      <c r="R37" s="122"/>
      <c r="S37" s="122"/>
      <c r="T37" s="122"/>
      <c r="U37" s="129">
        <v>100</v>
      </c>
      <c r="V37" s="129"/>
      <c r="W37" s="125" t="s">
        <v>6</v>
      </c>
      <c r="X37" s="125"/>
      <c r="Y37" s="125"/>
      <c r="Z37" s="122"/>
      <c r="AA37" s="122"/>
      <c r="AB37" s="122"/>
    </row>
    <row r="38" spans="2:28">
      <c r="C38" s="126">
        <v>3</v>
      </c>
      <c r="D38" s="126"/>
      <c r="E38" s="126"/>
      <c r="F38" s="126"/>
      <c r="G38" s="123" t="s">
        <v>41</v>
      </c>
      <c r="H38" s="123"/>
      <c r="I38" s="123"/>
      <c r="J38" s="123"/>
      <c r="K38" s="123"/>
      <c r="L38" s="123" t="s">
        <v>42</v>
      </c>
      <c r="M38" s="123"/>
      <c r="N38" s="123"/>
      <c r="O38" s="123"/>
      <c r="P38" s="123"/>
      <c r="Q38" s="123" t="s">
        <v>40</v>
      </c>
      <c r="R38" s="123"/>
      <c r="S38" s="123"/>
      <c r="T38" s="123"/>
      <c r="U38" s="130">
        <v>255</v>
      </c>
      <c r="V38" s="130"/>
      <c r="W38" s="126"/>
      <c r="X38" s="126"/>
      <c r="Y38" s="126"/>
      <c r="Z38" s="123" t="s">
        <v>9</v>
      </c>
      <c r="AA38" s="123"/>
      <c r="AB38" s="123"/>
    </row>
    <row r="41" spans="2:28" ht="18.600000000000001" thickBot="1">
      <c r="B41" s="13" t="s">
        <v>109</v>
      </c>
      <c r="C41" s="13" t="s">
        <v>162</v>
      </c>
    </row>
    <row r="42" spans="2:28" ht="19.2" thickTop="1" thickBot="1">
      <c r="C42" s="13" t="s">
        <v>156</v>
      </c>
      <c r="E42" s="13" t="s">
        <v>153</v>
      </c>
      <c r="G42" s="143" t="s">
        <v>163</v>
      </c>
      <c r="H42" s="144"/>
      <c r="I42" s="144"/>
      <c r="J42" s="145"/>
      <c r="K42" s="13" t="s">
        <v>143</v>
      </c>
    </row>
    <row r="43" spans="2:28" ht="18.600000000000001" thickTop="1"/>
    <row r="44" spans="2:28">
      <c r="C44" s="13" t="s">
        <v>157</v>
      </c>
      <c r="E44" s="13" t="s">
        <v>145</v>
      </c>
    </row>
    <row r="45" spans="2:28">
      <c r="F45" s="13" t="s">
        <v>106</v>
      </c>
      <c r="G45" s="13" t="s">
        <v>164</v>
      </c>
    </row>
    <row r="46" spans="2:28">
      <c r="H46" s="13" t="str">
        <f ca="1">"Excelファイル &gt; "&amp;TEXT(TODAY(),"yyyymmdd")&amp;" &gt; [DDL-CUSTOMERS.sql]"</f>
        <v>Excelファイル &gt; 20261001 &gt; [DDL-CUSTOMERS.sql]</v>
      </c>
    </row>
  </sheetData>
  <mergeCells count="81">
    <mergeCell ref="G42:J42"/>
    <mergeCell ref="W36:Y36"/>
    <mergeCell ref="W37:Y37"/>
    <mergeCell ref="W38:Y38"/>
    <mergeCell ref="Z35:AB35"/>
    <mergeCell ref="Z36:AB36"/>
    <mergeCell ref="Z37:AB37"/>
    <mergeCell ref="Z38:AB38"/>
    <mergeCell ref="Q36:T36"/>
    <mergeCell ref="Q37:T37"/>
    <mergeCell ref="Q38:T38"/>
    <mergeCell ref="U35:V35"/>
    <mergeCell ref="U36:V36"/>
    <mergeCell ref="U37:V37"/>
    <mergeCell ref="U38:V38"/>
    <mergeCell ref="G36:K36"/>
    <mergeCell ref="G37:K37"/>
    <mergeCell ref="G38:K38"/>
    <mergeCell ref="L35:P35"/>
    <mergeCell ref="L36:P36"/>
    <mergeCell ref="L37:P37"/>
    <mergeCell ref="L38:P38"/>
    <mergeCell ref="C36:D36"/>
    <mergeCell ref="C37:D37"/>
    <mergeCell ref="C38:D38"/>
    <mergeCell ref="E35:F35"/>
    <mergeCell ref="E36:F36"/>
    <mergeCell ref="E37:F37"/>
    <mergeCell ref="E38:F38"/>
    <mergeCell ref="Q29:V29"/>
    <mergeCell ref="C34:D35"/>
    <mergeCell ref="E34:AB34"/>
    <mergeCell ref="G35:K35"/>
    <mergeCell ref="Q35:T35"/>
    <mergeCell ref="W35:Y35"/>
    <mergeCell ref="E29:J29"/>
    <mergeCell ref="K29:P29"/>
    <mergeCell ref="E25:V25"/>
    <mergeCell ref="E26:J26"/>
    <mergeCell ref="E27:J27"/>
    <mergeCell ref="E28:J28"/>
    <mergeCell ref="K26:P26"/>
    <mergeCell ref="K27:P27"/>
    <mergeCell ref="K28:P28"/>
    <mergeCell ref="Q26:V26"/>
    <mergeCell ref="Q27:V27"/>
    <mergeCell ref="Q28:V28"/>
    <mergeCell ref="Q16:S16"/>
    <mergeCell ref="Q17:S17"/>
    <mergeCell ref="Q18:S18"/>
    <mergeCell ref="Q19:S19"/>
    <mergeCell ref="G21:K21"/>
    <mergeCell ref="M19:N19"/>
    <mergeCell ref="O16:P16"/>
    <mergeCell ref="O17:P17"/>
    <mergeCell ref="O18:P18"/>
    <mergeCell ref="O19:P19"/>
    <mergeCell ref="E15:S15"/>
    <mergeCell ref="E16:G16"/>
    <mergeCell ref="E17:G17"/>
    <mergeCell ref="E18:G18"/>
    <mergeCell ref="E19:G19"/>
    <mergeCell ref="H16:J16"/>
    <mergeCell ref="H17:J17"/>
    <mergeCell ref="H18:J18"/>
    <mergeCell ref="H19:J19"/>
    <mergeCell ref="K16:L16"/>
    <mergeCell ref="K17:L17"/>
    <mergeCell ref="K18:L18"/>
    <mergeCell ref="K19:L19"/>
    <mergeCell ref="M16:N16"/>
    <mergeCell ref="M17:N17"/>
    <mergeCell ref="M18:N18"/>
    <mergeCell ref="C6:E6"/>
    <mergeCell ref="C7:E7"/>
    <mergeCell ref="C8:E8"/>
    <mergeCell ref="C9:E9"/>
    <mergeCell ref="F6:J6"/>
    <mergeCell ref="F7:J7"/>
    <mergeCell ref="F8:J8"/>
    <mergeCell ref="F9:J9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目次</vt:lpstr>
      <vt:lpstr>TBL定義書</vt:lpstr>
      <vt:lpstr>TBL3</vt:lpstr>
      <vt:lpstr>CUSTOMERS</vt:lpstr>
      <vt:lpstr>ORDERS</vt:lpstr>
      <vt:lpstr>ORDER_DETAILS</vt:lpstr>
      <vt:lpstr>PRODUCTS</vt:lpstr>
      <vt:lpstr>使い方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2026-09-26T10:03:24Z</cp:lastPrinted>
  <dcterms:created xsi:type="dcterms:W3CDTF">2026-02-27T05:39:14Z</dcterms:created>
  <dcterms:modified xsi:type="dcterms:W3CDTF">2026-10-01T11:54:42Z</dcterms:modified>
</cp:coreProperties>
</file>