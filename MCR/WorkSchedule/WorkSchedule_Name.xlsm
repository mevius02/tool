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22182207-7057-4908-B502-388B9E2E75E2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2026" sheetId="1033" r:id="rId1"/>
    <sheet name="配色テーマ集" sheetId="853" r:id="rId2"/>
    <sheet name="祝日" sheetId="1016" r:id="rId3"/>
    <sheet name="Sheet1" sheetId="101" r:id="rId4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H10" i="1033" l="1"/>
  <c r="GH11" i="1033"/>
  <c r="GH12" i="1033"/>
  <c r="GH13" i="1033"/>
  <c r="GH14" i="1033"/>
  <c r="GH15" i="1033"/>
  <c r="GH16" i="1033"/>
  <c r="GH17" i="1033"/>
  <c r="GH18" i="1033"/>
  <c r="GH19" i="1033"/>
  <c r="GH20" i="1033"/>
  <c r="GH21" i="1033"/>
  <c r="GH22" i="1033"/>
  <c r="GH23" i="1033"/>
  <c r="GH24" i="1033"/>
  <c r="GH25" i="1033"/>
  <c r="GH26" i="1033"/>
  <c r="GH27" i="1033"/>
  <c r="GH28" i="1033"/>
  <c r="GH29" i="1033"/>
  <c r="GH30" i="1033"/>
  <c r="GH31" i="1033"/>
  <c r="GH32" i="1033"/>
  <c r="GH33" i="1033"/>
  <c r="GH34" i="1033"/>
  <c r="GH35" i="1033"/>
  <c r="GH36" i="1033"/>
  <c r="GH37" i="1033"/>
  <c r="GH38" i="1033"/>
  <c r="GH39" i="1033"/>
  <c r="GH40" i="1033"/>
  <c r="GC10" i="1033"/>
  <c r="GC11" i="1033"/>
  <c r="GC12" i="1033"/>
  <c r="GC13" i="1033"/>
  <c r="GC14" i="1033"/>
  <c r="GC15" i="1033"/>
  <c r="GC16" i="1033"/>
  <c r="GC17" i="1033"/>
  <c r="GC18" i="1033"/>
  <c r="GC19" i="1033"/>
  <c r="GC20" i="1033"/>
  <c r="GC21" i="1033"/>
  <c r="GC22" i="1033"/>
  <c r="GC23" i="1033"/>
  <c r="GC24" i="1033"/>
  <c r="GC25" i="1033"/>
  <c r="GC26" i="1033"/>
  <c r="GC27" i="1033"/>
  <c r="GC28" i="1033"/>
  <c r="GC29" i="1033"/>
  <c r="GC30" i="1033"/>
  <c r="GC31" i="1033"/>
  <c r="GC32" i="1033"/>
  <c r="GC33" i="1033"/>
  <c r="GC34" i="1033"/>
  <c r="GC35" i="1033"/>
  <c r="GC36" i="1033"/>
  <c r="GC37" i="1033"/>
  <c r="GC38" i="1033"/>
  <c r="GC39" i="1033"/>
  <c r="GC40" i="1033"/>
  <c r="FW10" i="1033"/>
  <c r="FV10" i="1033"/>
  <c r="FV11" i="1033" s="1"/>
  <c r="FV12" i="1033" s="1"/>
  <c r="FV13" i="1033" s="1"/>
  <c r="FV14" i="1033" s="1"/>
  <c r="GD5" i="1033"/>
  <c r="GA5" i="1033"/>
  <c r="FY4" i="1033"/>
  <c r="FY3" i="1033"/>
  <c r="FY5" i="1033" s="1"/>
  <c r="FF11" i="1033"/>
  <c r="FG11" i="1033" s="1"/>
  <c r="FF12" i="1033"/>
  <c r="FG12" i="1033" s="1"/>
  <c r="FF13" i="1033"/>
  <c r="FG13" i="1033" s="1"/>
  <c r="FR10" i="1033"/>
  <c r="FR11" i="1033"/>
  <c r="FO5" i="1033" s="1" a="1"/>
  <c r="FO5" i="1033" s="1"/>
  <c r="FR12" i="1033"/>
  <c r="FR13" i="1033"/>
  <c r="FR14" i="1033"/>
  <c r="FR15" i="1033"/>
  <c r="FR16" i="1033"/>
  <c r="FR17" i="1033"/>
  <c r="FR18" i="1033"/>
  <c r="FR19" i="1033"/>
  <c r="FR20" i="1033"/>
  <c r="FR21" i="1033"/>
  <c r="FR22" i="1033"/>
  <c r="FR23" i="1033"/>
  <c r="FR24" i="1033"/>
  <c r="FR25" i="1033"/>
  <c r="FR26" i="1033"/>
  <c r="FR27" i="1033"/>
  <c r="FR28" i="1033"/>
  <c r="FR29" i="1033"/>
  <c r="FR30" i="1033"/>
  <c r="FR31" i="1033"/>
  <c r="FR32" i="1033"/>
  <c r="FR33" i="1033"/>
  <c r="FR34" i="1033"/>
  <c r="FR35" i="1033"/>
  <c r="FR36" i="1033"/>
  <c r="FR37" i="1033"/>
  <c r="FR38" i="1033"/>
  <c r="FR39" i="1033"/>
  <c r="FR40" i="1033"/>
  <c r="FM10" i="1033"/>
  <c r="FM11" i="1033"/>
  <c r="FM12" i="1033"/>
  <c r="FL5" i="1033" s="1" a="1"/>
  <c r="FL5" i="1033" s="1"/>
  <c r="FM13" i="1033"/>
  <c r="FM14" i="1033"/>
  <c r="FM15" i="1033"/>
  <c r="FM16" i="1033"/>
  <c r="FM17" i="1033"/>
  <c r="FM18" i="1033"/>
  <c r="FM19" i="1033"/>
  <c r="FM20" i="1033"/>
  <c r="FM21" i="1033"/>
  <c r="FM22" i="1033"/>
  <c r="FM23" i="1033"/>
  <c r="FM24" i="1033"/>
  <c r="FM25" i="1033"/>
  <c r="FM26" i="1033"/>
  <c r="FM27" i="1033"/>
  <c r="FM28" i="1033"/>
  <c r="FM29" i="1033"/>
  <c r="FM30" i="1033"/>
  <c r="FM31" i="1033"/>
  <c r="FM32" i="1033"/>
  <c r="FM33" i="1033"/>
  <c r="FM34" i="1033"/>
  <c r="FM35" i="1033"/>
  <c r="FM36" i="1033"/>
  <c r="FM37" i="1033"/>
  <c r="FM38" i="1033"/>
  <c r="FM39" i="1033"/>
  <c r="FM40" i="1033"/>
  <c r="FG10" i="1033"/>
  <c r="FF10" i="1033"/>
  <c r="FN5" i="1033"/>
  <c r="FK5" i="1033"/>
  <c r="FI4" i="1033"/>
  <c r="FI3" i="1033"/>
  <c r="FI5" i="1033" s="1"/>
  <c r="EP11" i="1033"/>
  <c r="EP12" i="1033"/>
  <c r="EP13" i="1033" s="1"/>
  <c r="EP14" i="1033" s="1"/>
  <c r="FB10" i="1033"/>
  <c r="FB11" i="1033"/>
  <c r="FB12" i="1033"/>
  <c r="FB13" i="1033"/>
  <c r="FB14" i="1033"/>
  <c r="FB15" i="1033"/>
  <c r="FB16" i="1033"/>
  <c r="FB17" i="1033"/>
  <c r="FB18" i="1033"/>
  <c r="FB19" i="1033"/>
  <c r="FB20" i="1033"/>
  <c r="FB21" i="1033"/>
  <c r="FB22" i="1033"/>
  <c r="FB23" i="1033"/>
  <c r="FB24" i="1033"/>
  <c r="FB25" i="1033"/>
  <c r="FB26" i="1033"/>
  <c r="FB27" i="1033"/>
  <c r="FB28" i="1033"/>
  <c r="FB29" i="1033"/>
  <c r="FB30" i="1033"/>
  <c r="FB31" i="1033"/>
  <c r="FB32" i="1033"/>
  <c r="FB33" i="1033"/>
  <c r="FB34" i="1033"/>
  <c r="FB35" i="1033"/>
  <c r="FB36" i="1033"/>
  <c r="FB37" i="1033"/>
  <c r="FB38" i="1033"/>
  <c r="FB39" i="1033"/>
  <c r="FB40" i="1033"/>
  <c r="EW10" i="1033"/>
  <c r="EW11" i="1033"/>
  <c r="EW12" i="1033"/>
  <c r="EW13" i="1033"/>
  <c r="EW14" i="1033"/>
  <c r="EW15" i="1033"/>
  <c r="EW16" i="1033"/>
  <c r="EW17" i="1033"/>
  <c r="EW18" i="1033"/>
  <c r="EW19" i="1033"/>
  <c r="EW20" i="1033"/>
  <c r="EW21" i="1033"/>
  <c r="EW22" i="1033"/>
  <c r="EW23" i="1033"/>
  <c r="EW24" i="1033"/>
  <c r="EW25" i="1033"/>
  <c r="EW26" i="1033"/>
  <c r="EW27" i="1033"/>
  <c r="EW28" i="1033"/>
  <c r="EW29" i="1033"/>
  <c r="EW30" i="1033"/>
  <c r="EW31" i="1033"/>
  <c r="EW32" i="1033"/>
  <c r="EW33" i="1033"/>
  <c r="EW34" i="1033"/>
  <c r="EW35" i="1033"/>
  <c r="EW36" i="1033"/>
  <c r="EW37" i="1033"/>
  <c r="EW38" i="1033"/>
  <c r="EW39" i="1033"/>
  <c r="EW40" i="1033"/>
  <c r="EQ10" i="1033"/>
  <c r="EQ11" i="1033"/>
  <c r="EQ13" i="1033"/>
  <c r="EP10" i="1033"/>
  <c r="EY5" i="1033" a="1"/>
  <c r="EY5" i="1033" s="1"/>
  <c r="EX5" i="1033"/>
  <c r="EV5" i="1033" a="1"/>
  <c r="EV5" i="1033" s="1"/>
  <c r="EU5" i="1033"/>
  <c r="ES5" i="1033"/>
  <c r="ES4" i="1033"/>
  <c r="ES3" i="1033"/>
  <c r="EL10" i="1033"/>
  <c r="EI5" i="1033" s="1" a="1"/>
  <c r="EL11" i="1033"/>
  <c r="EL12" i="1033"/>
  <c r="EL13" i="1033"/>
  <c r="EL14" i="1033"/>
  <c r="EL15" i="1033"/>
  <c r="EL16" i="1033"/>
  <c r="EL17" i="1033"/>
  <c r="EL18" i="1033"/>
  <c r="EL19" i="1033"/>
  <c r="EL20" i="1033"/>
  <c r="EL21" i="1033"/>
  <c r="EL22" i="1033"/>
  <c r="EL23" i="1033"/>
  <c r="EL24" i="1033"/>
  <c r="EL25" i="1033"/>
  <c r="EL26" i="1033"/>
  <c r="EL27" i="1033"/>
  <c r="EL28" i="1033"/>
  <c r="EL29" i="1033"/>
  <c r="EL30" i="1033"/>
  <c r="EL31" i="1033"/>
  <c r="EL32" i="1033"/>
  <c r="EL33" i="1033"/>
  <c r="EL34" i="1033"/>
  <c r="EL35" i="1033"/>
  <c r="EL36" i="1033"/>
  <c r="EL37" i="1033"/>
  <c r="EL38" i="1033"/>
  <c r="EL39" i="1033"/>
  <c r="EL40" i="1033"/>
  <c r="EG10" i="1033"/>
  <c r="EG11" i="1033"/>
  <c r="EG12" i="1033"/>
  <c r="EG13" i="1033"/>
  <c r="EG14" i="1033"/>
  <c r="EG15" i="1033"/>
  <c r="EG16" i="1033"/>
  <c r="EG17" i="1033"/>
  <c r="EG18" i="1033"/>
  <c r="EG19" i="1033"/>
  <c r="EG20" i="1033"/>
  <c r="EG21" i="1033"/>
  <c r="EG22" i="1033"/>
  <c r="EG23" i="1033"/>
  <c r="EG24" i="1033"/>
  <c r="EG25" i="1033"/>
  <c r="EG26" i="1033"/>
  <c r="EG27" i="1033"/>
  <c r="EG28" i="1033"/>
  <c r="EG29" i="1033"/>
  <c r="EG30" i="1033"/>
  <c r="EG31" i="1033"/>
  <c r="EG32" i="1033"/>
  <c r="EG33" i="1033"/>
  <c r="EG34" i="1033"/>
  <c r="EG35" i="1033"/>
  <c r="EG36" i="1033"/>
  <c r="EG37" i="1033"/>
  <c r="EG38" i="1033"/>
  <c r="EG39" i="1033"/>
  <c r="EG40" i="1033"/>
  <c r="DZ10" i="1033"/>
  <c r="DZ11" i="1033" s="1"/>
  <c r="EI5" i="1033"/>
  <c r="EH5" i="1033"/>
  <c r="EF5" i="1033" a="1"/>
  <c r="EF5" i="1033" s="1"/>
  <c r="EE5" i="1033"/>
  <c r="EC4" i="1033"/>
  <c r="EC5" i="1033" s="1"/>
  <c r="EC3" i="1033"/>
  <c r="DV10" i="1033"/>
  <c r="DV11" i="1033"/>
  <c r="DV12" i="1033"/>
  <c r="DV13" i="1033"/>
  <c r="DV14" i="1033"/>
  <c r="DV15" i="1033"/>
  <c r="DV16" i="1033"/>
  <c r="DV17" i="1033"/>
  <c r="DV18" i="1033"/>
  <c r="DV19" i="1033"/>
  <c r="DV20" i="1033"/>
  <c r="DV21" i="1033"/>
  <c r="DV22" i="1033"/>
  <c r="DV23" i="1033"/>
  <c r="DV24" i="1033"/>
  <c r="DV25" i="1033"/>
  <c r="DV26" i="1033"/>
  <c r="DV27" i="1033"/>
  <c r="DV28" i="1033"/>
  <c r="DV29" i="1033"/>
  <c r="DV30" i="1033"/>
  <c r="DV31" i="1033"/>
  <c r="DV32" i="1033"/>
  <c r="DV33" i="1033"/>
  <c r="DV34" i="1033"/>
  <c r="DV35" i="1033"/>
  <c r="DV36" i="1033"/>
  <c r="DV37" i="1033"/>
  <c r="DV38" i="1033"/>
  <c r="DV39" i="1033"/>
  <c r="DV40" i="1033"/>
  <c r="DQ10" i="1033"/>
  <c r="DQ11" i="1033"/>
  <c r="DQ12" i="1033"/>
  <c r="DQ13" i="1033"/>
  <c r="DQ14" i="1033"/>
  <c r="DQ15" i="1033"/>
  <c r="DQ16" i="1033"/>
  <c r="DQ17" i="1033"/>
  <c r="DQ18" i="1033"/>
  <c r="DQ19" i="1033"/>
  <c r="DQ20" i="1033"/>
  <c r="DQ21" i="1033"/>
  <c r="DQ22" i="1033"/>
  <c r="DQ23" i="1033"/>
  <c r="DQ24" i="1033"/>
  <c r="DQ25" i="1033"/>
  <c r="DQ26" i="1033"/>
  <c r="DQ27" i="1033"/>
  <c r="DQ28" i="1033"/>
  <c r="DQ29" i="1033"/>
  <c r="DQ30" i="1033"/>
  <c r="DQ31" i="1033"/>
  <c r="DQ32" i="1033"/>
  <c r="DQ33" i="1033"/>
  <c r="DQ34" i="1033"/>
  <c r="DQ35" i="1033"/>
  <c r="DQ36" i="1033"/>
  <c r="DQ37" i="1033"/>
  <c r="DQ38" i="1033"/>
  <c r="DQ39" i="1033"/>
  <c r="DQ40" i="1033"/>
  <c r="DJ10" i="1033"/>
  <c r="DR5" i="1033"/>
  <c r="DO5" i="1033"/>
  <c r="DM4" i="1033"/>
  <c r="DM3" i="1033"/>
  <c r="DM5" i="1033" s="1"/>
  <c r="CT11" i="1033"/>
  <c r="CT12" i="1033"/>
  <c r="CT13" i="1033" s="1"/>
  <c r="DF10" i="1033"/>
  <c r="DF11" i="1033"/>
  <c r="DF12" i="1033"/>
  <c r="DF13" i="1033"/>
  <c r="DF14" i="1033"/>
  <c r="DF15" i="1033"/>
  <c r="DF16" i="1033"/>
  <c r="DF17" i="1033"/>
  <c r="DF18" i="1033"/>
  <c r="DF19" i="1033"/>
  <c r="DF20" i="1033"/>
  <c r="DF21" i="1033"/>
  <c r="DF22" i="1033"/>
  <c r="DF23" i="1033"/>
  <c r="DF24" i="1033"/>
  <c r="DF25" i="1033"/>
  <c r="DF26" i="1033"/>
  <c r="DF27" i="1033"/>
  <c r="DF28" i="1033"/>
  <c r="DF29" i="1033"/>
  <c r="DF30" i="1033"/>
  <c r="DF31" i="1033"/>
  <c r="DF32" i="1033"/>
  <c r="DF33" i="1033"/>
  <c r="DF34" i="1033"/>
  <c r="DF35" i="1033"/>
  <c r="DF36" i="1033"/>
  <c r="DF37" i="1033"/>
  <c r="DF38" i="1033"/>
  <c r="DF39" i="1033"/>
  <c r="DF40" i="1033"/>
  <c r="DA10" i="1033"/>
  <c r="DA11" i="1033"/>
  <c r="DA12" i="1033"/>
  <c r="DA13" i="1033"/>
  <c r="DA14" i="1033"/>
  <c r="DA15" i="1033"/>
  <c r="DA16" i="1033"/>
  <c r="DA17" i="1033"/>
  <c r="DA18" i="1033"/>
  <c r="DA19" i="1033"/>
  <c r="DA20" i="1033"/>
  <c r="DA21" i="1033"/>
  <c r="DA22" i="1033"/>
  <c r="DA23" i="1033"/>
  <c r="DA24" i="1033"/>
  <c r="DA25" i="1033"/>
  <c r="DA26" i="1033"/>
  <c r="DA27" i="1033"/>
  <c r="DA28" i="1033"/>
  <c r="DA29" i="1033"/>
  <c r="DA30" i="1033"/>
  <c r="DA31" i="1033"/>
  <c r="DA32" i="1033"/>
  <c r="DA33" i="1033"/>
  <c r="DA34" i="1033"/>
  <c r="DA35" i="1033"/>
  <c r="DA36" i="1033"/>
  <c r="DA37" i="1033"/>
  <c r="DA38" i="1033"/>
  <c r="DA39" i="1033"/>
  <c r="DA40" i="1033"/>
  <c r="CU10" i="1033"/>
  <c r="CU11" i="1033"/>
  <c r="CU12" i="1033"/>
  <c r="CT10" i="1033"/>
  <c r="DB5" i="1033"/>
  <c r="CY5" i="1033"/>
  <c r="CW4" i="1033"/>
  <c r="CW5" i="1033" s="1"/>
  <c r="CW3" i="1033"/>
  <c r="CD11" i="1033"/>
  <c r="CD12" i="1033" s="1"/>
  <c r="CP10" i="1033"/>
  <c r="CM5" i="1033" s="1" a="1"/>
  <c r="CM5" i="1033" s="1"/>
  <c r="CP11" i="1033"/>
  <c r="CP12" i="1033"/>
  <c r="CP13" i="1033"/>
  <c r="CP14" i="1033"/>
  <c r="CP15" i="1033"/>
  <c r="CP16" i="1033"/>
  <c r="CP17" i="1033"/>
  <c r="CP18" i="1033"/>
  <c r="CP19" i="1033"/>
  <c r="CP20" i="1033"/>
  <c r="CP21" i="1033"/>
  <c r="CP22" i="1033"/>
  <c r="CP23" i="1033"/>
  <c r="CP24" i="1033"/>
  <c r="CP25" i="1033"/>
  <c r="CP26" i="1033"/>
  <c r="CP27" i="1033"/>
  <c r="CP28" i="1033"/>
  <c r="CP29" i="1033"/>
  <c r="CP30" i="1033"/>
  <c r="CP31" i="1033"/>
  <c r="CP32" i="1033"/>
  <c r="CP33" i="1033"/>
  <c r="CP34" i="1033"/>
  <c r="CP35" i="1033"/>
  <c r="CP36" i="1033"/>
  <c r="CP37" i="1033"/>
  <c r="CP38" i="1033"/>
  <c r="CP39" i="1033"/>
  <c r="CP40" i="1033"/>
  <c r="CK10" i="1033"/>
  <c r="CK11" i="1033"/>
  <c r="CK12" i="1033"/>
  <c r="CK13" i="1033"/>
  <c r="CK14" i="1033"/>
  <c r="CK15" i="1033"/>
  <c r="CK16" i="1033"/>
  <c r="CK17" i="1033"/>
  <c r="CK18" i="1033"/>
  <c r="CK19" i="1033"/>
  <c r="CK20" i="1033"/>
  <c r="CK21" i="1033"/>
  <c r="CK22" i="1033"/>
  <c r="CK23" i="1033"/>
  <c r="CK24" i="1033"/>
  <c r="CK25" i="1033"/>
  <c r="CK26" i="1033"/>
  <c r="CK27" i="1033"/>
  <c r="CK28" i="1033"/>
  <c r="CK29" i="1033"/>
  <c r="CK30" i="1033"/>
  <c r="CK31" i="1033"/>
  <c r="CK32" i="1033"/>
  <c r="CK33" i="1033"/>
  <c r="CK34" i="1033"/>
  <c r="CK35" i="1033"/>
  <c r="CK36" i="1033"/>
  <c r="CK37" i="1033"/>
  <c r="CK38" i="1033"/>
  <c r="CK39" i="1033"/>
  <c r="CK40" i="1033"/>
  <c r="CE10" i="1033"/>
  <c r="CE11" i="1033"/>
  <c r="CD10" i="1033"/>
  <c r="CL5" i="1033"/>
  <c r="CI5" i="1033"/>
  <c r="CG4" i="1033"/>
  <c r="CG3" i="1033"/>
  <c r="CG5" i="1033" s="1"/>
  <c r="BZ10" i="1033"/>
  <c r="BZ11" i="1033"/>
  <c r="BZ12" i="1033"/>
  <c r="BZ13" i="1033"/>
  <c r="BZ14" i="1033"/>
  <c r="BZ15" i="1033"/>
  <c r="BZ16" i="1033"/>
  <c r="BZ17" i="1033"/>
  <c r="BZ18" i="1033"/>
  <c r="BZ19" i="1033"/>
  <c r="BZ20" i="1033"/>
  <c r="BZ21" i="1033"/>
  <c r="BZ22" i="1033"/>
  <c r="BZ23" i="1033"/>
  <c r="BZ24" i="1033"/>
  <c r="BW5" i="1033" s="1" a="1"/>
  <c r="BW5" i="1033" s="1"/>
  <c r="BZ25" i="1033"/>
  <c r="BZ26" i="1033"/>
  <c r="BZ27" i="1033"/>
  <c r="BZ28" i="1033"/>
  <c r="BZ29" i="1033"/>
  <c r="BZ30" i="1033"/>
  <c r="BZ31" i="1033"/>
  <c r="BZ32" i="1033"/>
  <c r="BZ33" i="1033"/>
  <c r="BZ34" i="1033"/>
  <c r="BZ35" i="1033"/>
  <c r="BZ36" i="1033"/>
  <c r="BZ37" i="1033"/>
  <c r="BZ38" i="1033"/>
  <c r="BZ39" i="1033"/>
  <c r="BZ40" i="1033"/>
  <c r="BU10" i="1033"/>
  <c r="BU11" i="1033"/>
  <c r="BU12" i="1033"/>
  <c r="BU13" i="1033"/>
  <c r="BU14" i="1033"/>
  <c r="BU15" i="1033"/>
  <c r="BU16" i="1033"/>
  <c r="BU17" i="1033"/>
  <c r="BU18" i="1033"/>
  <c r="BU19" i="1033"/>
  <c r="BU20" i="1033"/>
  <c r="BU21" i="1033"/>
  <c r="BU22" i="1033"/>
  <c r="BU23" i="1033"/>
  <c r="BU24" i="1033"/>
  <c r="BU25" i="1033"/>
  <c r="BU26" i="1033"/>
  <c r="BU27" i="1033"/>
  <c r="BU28" i="1033"/>
  <c r="BU29" i="1033"/>
  <c r="BU30" i="1033"/>
  <c r="BU31" i="1033"/>
  <c r="BU32" i="1033"/>
  <c r="BU33" i="1033"/>
  <c r="BU34" i="1033"/>
  <c r="BU35" i="1033"/>
  <c r="BU36" i="1033"/>
  <c r="BU37" i="1033"/>
  <c r="BU38" i="1033"/>
  <c r="BU39" i="1033"/>
  <c r="BU40" i="1033"/>
  <c r="BO10" i="1033"/>
  <c r="BN10" i="1033"/>
  <c r="BN11" i="1033" s="1"/>
  <c r="BV5" i="1033"/>
  <c r="BS5" i="1033"/>
  <c r="BQ4" i="1033"/>
  <c r="BQ3" i="1033"/>
  <c r="AX11" i="1033"/>
  <c r="AY11" i="1033" s="1"/>
  <c r="AX12" i="1033"/>
  <c r="AX13" i="1033" s="1"/>
  <c r="BJ10" i="1033"/>
  <c r="BJ11" i="1033"/>
  <c r="BJ12" i="1033"/>
  <c r="BJ13" i="1033"/>
  <c r="BJ14" i="1033"/>
  <c r="BJ15" i="1033"/>
  <c r="BJ16" i="1033"/>
  <c r="BJ17" i="1033"/>
  <c r="BJ18" i="1033"/>
  <c r="BJ19" i="1033"/>
  <c r="BJ20" i="1033"/>
  <c r="BJ21" i="1033"/>
  <c r="BJ22" i="1033"/>
  <c r="BJ23" i="1033"/>
  <c r="BJ24" i="1033"/>
  <c r="BJ25" i="1033"/>
  <c r="BJ26" i="1033"/>
  <c r="BJ27" i="1033"/>
  <c r="BJ28" i="1033"/>
  <c r="BJ29" i="1033"/>
  <c r="BJ30" i="1033"/>
  <c r="BJ31" i="1033"/>
  <c r="BJ32" i="1033"/>
  <c r="BJ33" i="1033"/>
  <c r="BJ34" i="1033"/>
  <c r="BJ35" i="1033"/>
  <c r="BJ36" i="1033"/>
  <c r="BJ37" i="1033"/>
  <c r="BJ38" i="1033"/>
  <c r="BJ39" i="1033"/>
  <c r="BJ40" i="1033"/>
  <c r="BE10" i="1033"/>
  <c r="BE11" i="1033"/>
  <c r="BE12" i="1033"/>
  <c r="BE13" i="1033"/>
  <c r="BE14" i="1033"/>
  <c r="BE15" i="1033"/>
  <c r="BE16" i="1033"/>
  <c r="BD5" i="1033" s="1" a="1"/>
  <c r="BD5" i="1033" s="1"/>
  <c r="BE17" i="1033"/>
  <c r="BE18" i="1033"/>
  <c r="BE19" i="1033"/>
  <c r="BE20" i="1033"/>
  <c r="BE21" i="1033"/>
  <c r="BE22" i="1033"/>
  <c r="BE23" i="1033"/>
  <c r="BE24" i="1033"/>
  <c r="BE25" i="1033"/>
  <c r="BE26" i="1033"/>
  <c r="BE27" i="1033"/>
  <c r="BE28" i="1033"/>
  <c r="BE29" i="1033"/>
  <c r="BE30" i="1033"/>
  <c r="BE31" i="1033"/>
  <c r="BE32" i="1033"/>
  <c r="BE33" i="1033"/>
  <c r="BE34" i="1033"/>
  <c r="BE35" i="1033"/>
  <c r="BE36" i="1033"/>
  <c r="BE37" i="1033"/>
  <c r="BE38" i="1033"/>
  <c r="BE39" i="1033"/>
  <c r="BE40" i="1033"/>
  <c r="AY10" i="1033"/>
  <c r="AY12" i="1033"/>
  <c r="AX10" i="1033"/>
  <c r="BF5" i="1033"/>
  <c r="BC5" i="1033"/>
  <c r="BA5" i="1033"/>
  <c r="BA4" i="1033"/>
  <c r="BA3" i="1033"/>
  <c r="AH11" i="1033"/>
  <c r="AH12" i="1033" s="1"/>
  <c r="AT10" i="1033"/>
  <c r="AT11" i="1033"/>
  <c r="AT12" i="1033"/>
  <c r="AT13" i="1033"/>
  <c r="AT14" i="1033"/>
  <c r="AT15" i="1033"/>
  <c r="AT16" i="1033"/>
  <c r="AT17" i="1033"/>
  <c r="AT18" i="1033"/>
  <c r="AT19" i="1033"/>
  <c r="AT20" i="1033"/>
  <c r="AT21" i="1033"/>
  <c r="AT22" i="1033"/>
  <c r="AT23" i="1033"/>
  <c r="AT24" i="1033"/>
  <c r="AT25" i="1033"/>
  <c r="AT26" i="1033"/>
  <c r="AT27" i="1033"/>
  <c r="AT28" i="1033"/>
  <c r="AT29" i="1033"/>
  <c r="AT30" i="1033"/>
  <c r="AT31" i="1033"/>
  <c r="AT32" i="1033"/>
  <c r="AT33" i="1033"/>
  <c r="AT34" i="1033"/>
  <c r="AT35" i="1033"/>
  <c r="AT36" i="1033"/>
  <c r="AT37" i="1033"/>
  <c r="AT38" i="1033"/>
  <c r="AT39" i="1033"/>
  <c r="AT40" i="1033"/>
  <c r="AO10" i="1033"/>
  <c r="AO11" i="1033"/>
  <c r="AO12" i="1033"/>
  <c r="AO13" i="1033"/>
  <c r="AO14" i="1033"/>
  <c r="AO15" i="1033"/>
  <c r="AO16" i="1033"/>
  <c r="AO17" i="1033"/>
  <c r="AO18" i="1033"/>
  <c r="AO19" i="1033"/>
  <c r="AO20" i="1033"/>
  <c r="AO21" i="1033"/>
  <c r="AO22" i="1033"/>
  <c r="AO23" i="1033"/>
  <c r="AO24" i="1033"/>
  <c r="AO25" i="1033"/>
  <c r="AO26" i="1033"/>
  <c r="AO27" i="1033"/>
  <c r="AO28" i="1033"/>
  <c r="AO29" i="1033"/>
  <c r="AO30" i="1033"/>
  <c r="AO31" i="1033"/>
  <c r="AO32" i="1033"/>
  <c r="AO33" i="1033"/>
  <c r="AO34" i="1033"/>
  <c r="AO35" i="1033"/>
  <c r="AO36" i="1033"/>
  <c r="AO37" i="1033"/>
  <c r="AO38" i="1033"/>
  <c r="AO39" i="1033"/>
  <c r="AO40" i="1033"/>
  <c r="AI10" i="1033"/>
  <c r="AI11" i="1033"/>
  <c r="AH10" i="1033"/>
  <c r="AP5" i="1033"/>
  <c r="AM5" i="1033"/>
  <c r="AK5" i="1033"/>
  <c r="AK4" i="1033"/>
  <c r="AK3" i="1033"/>
  <c r="AD10" i="1033"/>
  <c r="AD11" i="1033"/>
  <c r="AD12" i="1033"/>
  <c r="AD13" i="1033"/>
  <c r="AD14" i="1033"/>
  <c r="AD15" i="1033"/>
  <c r="AD16" i="1033"/>
  <c r="AD17" i="1033"/>
  <c r="AD18" i="1033"/>
  <c r="AD19" i="1033"/>
  <c r="AD20" i="1033"/>
  <c r="AD21" i="1033"/>
  <c r="AD22" i="1033"/>
  <c r="AD23" i="1033"/>
  <c r="AD24" i="1033"/>
  <c r="AD25" i="1033"/>
  <c r="AD26" i="1033"/>
  <c r="AD27" i="1033"/>
  <c r="AD28" i="1033"/>
  <c r="AD29" i="1033"/>
  <c r="AD30" i="1033"/>
  <c r="AD31" i="1033"/>
  <c r="AD32" i="1033"/>
  <c r="AD33" i="1033"/>
  <c r="AD34" i="1033"/>
  <c r="AD35" i="1033"/>
  <c r="AD36" i="1033"/>
  <c r="AD37" i="1033"/>
  <c r="AD38" i="1033"/>
  <c r="AD39" i="1033"/>
  <c r="AD40" i="1033"/>
  <c r="Y10" i="1033"/>
  <c r="Y11" i="1033"/>
  <c r="Y12" i="1033"/>
  <c r="Y13" i="1033"/>
  <c r="Y14" i="1033"/>
  <c r="Y15" i="1033"/>
  <c r="Y16" i="1033"/>
  <c r="Y17" i="1033"/>
  <c r="Y18" i="1033"/>
  <c r="Y19" i="1033"/>
  <c r="Y20" i="1033"/>
  <c r="Y21" i="1033"/>
  <c r="Y22" i="1033"/>
  <c r="Y23" i="1033"/>
  <c r="Y24" i="1033"/>
  <c r="Y25" i="1033"/>
  <c r="Y26" i="1033"/>
  <c r="Y27" i="1033"/>
  <c r="Y28" i="1033"/>
  <c r="Y29" i="1033"/>
  <c r="Y30" i="1033"/>
  <c r="Y31" i="1033"/>
  <c r="Y32" i="1033"/>
  <c r="Y33" i="1033"/>
  <c r="Y34" i="1033"/>
  <c r="Y35" i="1033"/>
  <c r="Y36" i="1033"/>
  <c r="Y37" i="1033"/>
  <c r="Y38" i="1033"/>
  <c r="Y39" i="1033"/>
  <c r="Y40" i="1033"/>
  <c r="S10" i="1033"/>
  <c r="S11" i="1033"/>
  <c r="R10" i="1033"/>
  <c r="R11" i="1033" s="1"/>
  <c r="R12" i="1033" s="1"/>
  <c r="Z5" i="1033"/>
  <c r="W5" i="1033"/>
  <c r="U4" i="1033"/>
  <c r="U3" i="1033"/>
  <c r="U5" i="1033" s="1"/>
  <c r="B11" i="1033"/>
  <c r="C11" i="1033" s="1"/>
  <c r="B12" i="1033"/>
  <c r="N10" i="1033"/>
  <c r="N11" i="1033"/>
  <c r="N12" i="1033"/>
  <c r="N13" i="1033"/>
  <c r="N14" i="1033"/>
  <c r="N15" i="1033"/>
  <c r="N16" i="1033"/>
  <c r="N17" i="1033"/>
  <c r="N18" i="1033"/>
  <c r="N19" i="1033"/>
  <c r="N20" i="1033"/>
  <c r="N21" i="1033"/>
  <c r="N22" i="1033"/>
  <c r="N23" i="1033"/>
  <c r="N24" i="1033"/>
  <c r="N25" i="1033"/>
  <c r="N26" i="1033"/>
  <c r="N27" i="1033"/>
  <c r="N28" i="1033"/>
  <c r="N29" i="1033"/>
  <c r="N30" i="1033"/>
  <c r="N31" i="1033"/>
  <c r="N32" i="1033"/>
  <c r="N33" i="1033"/>
  <c r="N34" i="1033"/>
  <c r="N35" i="1033"/>
  <c r="N36" i="1033"/>
  <c r="N37" i="1033"/>
  <c r="N38" i="1033"/>
  <c r="N39" i="1033"/>
  <c r="N40" i="1033"/>
  <c r="I10" i="1033"/>
  <c r="I11" i="1033"/>
  <c r="I12" i="1033"/>
  <c r="H5" i="1033" s="1" a="1"/>
  <c r="H5" i="1033" s="1"/>
  <c r="I13" i="1033"/>
  <c r="I14" i="1033"/>
  <c r="I15" i="1033"/>
  <c r="I16" i="1033"/>
  <c r="I17" i="1033"/>
  <c r="I18" i="1033"/>
  <c r="I19" i="1033"/>
  <c r="I20" i="1033"/>
  <c r="I21" i="1033"/>
  <c r="I22" i="1033"/>
  <c r="I23" i="1033"/>
  <c r="I24" i="1033"/>
  <c r="I25" i="1033"/>
  <c r="I26" i="1033"/>
  <c r="I27" i="1033"/>
  <c r="I28" i="1033"/>
  <c r="I29" i="1033"/>
  <c r="I30" i="1033"/>
  <c r="I31" i="1033"/>
  <c r="I32" i="1033"/>
  <c r="I33" i="1033"/>
  <c r="I34" i="1033"/>
  <c r="I35" i="1033"/>
  <c r="I36" i="1033"/>
  <c r="I37" i="1033"/>
  <c r="I38" i="1033"/>
  <c r="I39" i="1033"/>
  <c r="I40" i="1033"/>
  <c r="B10" i="1033"/>
  <c r="C10" i="1033" s="1"/>
  <c r="J5" i="1033"/>
  <c r="G5" i="1033"/>
  <c r="E4" i="1033"/>
  <c r="E5" i="1033" s="1"/>
  <c r="E3" i="1033"/>
  <c r="CT14" i="1033" l="1"/>
  <c r="CU13" i="1033"/>
  <c r="AH13" i="1033"/>
  <c r="AI12" i="1033"/>
  <c r="CD13" i="1033"/>
  <c r="CE12" i="1033"/>
  <c r="EQ14" i="1033"/>
  <c r="EP15" i="1033"/>
  <c r="AN5" i="1033" a="1"/>
  <c r="AN5" i="1033" s="1"/>
  <c r="AQ5" i="1033" a="1"/>
  <c r="AQ5" i="1033" s="1"/>
  <c r="DZ12" i="1033"/>
  <c r="EA11" i="1033"/>
  <c r="AY13" i="1033"/>
  <c r="AX14" i="1033"/>
  <c r="BO11" i="1033"/>
  <c r="BN12" i="1033"/>
  <c r="GE5" i="1033" a="1"/>
  <c r="GE5" i="1033" s="1"/>
  <c r="CZ5" i="1033" a="1"/>
  <c r="CZ5" i="1033" s="1"/>
  <c r="K5" i="1033" a="1"/>
  <c r="K5" i="1033" s="1"/>
  <c r="AA5" i="1033" a="1"/>
  <c r="AA5" i="1033" s="1"/>
  <c r="GB5" i="1033" a="1"/>
  <c r="GB5" i="1033" s="1"/>
  <c r="C12" i="1033"/>
  <c r="B13" i="1033"/>
  <c r="BT5" i="1033" a="1"/>
  <c r="BT5" i="1033" s="1"/>
  <c r="X5" i="1033" a="1"/>
  <c r="X5" i="1033" s="1"/>
  <c r="FF14" i="1033"/>
  <c r="CJ5" i="1033" a="1"/>
  <c r="CJ5" i="1033" s="1"/>
  <c r="DC5" i="1033" a="1"/>
  <c r="DC5" i="1033" s="1"/>
  <c r="EQ12" i="1033"/>
  <c r="DS5" i="1033" a="1"/>
  <c r="DS5" i="1033" s="1"/>
  <c r="EA10" i="1033"/>
  <c r="DP5" i="1033" a="1"/>
  <c r="DP5" i="1033" s="1"/>
  <c r="BG5" i="1033" a="1"/>
  <c r="BG5" i="1033" s="1"/>
  <c r="FW13" i="1033"/>
  <c r="FW14" i="1033"/>
  <c r="FV15" i="1033"/>
  <c r="FW12" i="1033"/>
  <c r="DK10" i="1033"/>
  <c r="DJ11" i="1033"/>
  <c r="S12" i="1033"/>
  <c r="R13" i="1033"/>
  <c r="BQ5" i="1033"/>
  <c r="FW11" i="1033"/>
  <c r="A2" i="1016"/>
  <c r="A3" i="1016"/>
  <c r="A4" i="1016"/>
  <c r="A5" i="1016"/>
  <c r="A6" i="1016"/>
  <c r="A7" i="1016"/>
  <c r="A8" i="1016"/>
  <c r="A9" i="1016"/>
  <c r="A10" i="1016"/>
  <c r="A11" i="1016"/>
  <c r="A12" i="1016"/>
  <c r="A13" i="1016"/>
  <c r="A14" i="1016"/>
  <c r="A15" i="1016"/>
  <c r="A16" i="1016"/>
  <c r="A17" i="1016"/>
  <c r="A18" i="1016"/>
  <c r="A19" i="1016"/>
  <c r="A20" i="1016"/>
  <c r="A21" i="1016"/>
  <c r="A22" i="1016"/>
  <c r="A23" i="1016"/>
  <c r="A24" i="1016"/>
  <c r="A25" i="1016"/>
  <c r="A26" i="1016"/>
  <c r="A27" i="1016"/>
  <c r="A28" i="1016"/>
  <c r="A29" i="1016"/>
  <c r="A30" i="1016"/>
  <c r="A31" i="1016"/>
  <c r="A32" i="1016"/>
  <c r="A33" i="1016"/>
  <c r="A34" i="1016"/>
  <c r="A35" i="1016"/>
  <c r="A36" i="1016"/>
  <c r="A37" i="1016"/>
  <c r="A38" i="1016"/>
  <c r="A39" i="1016"/>
  <c r="A40" i="1016"/>
  <c r="A41" i="1016"/>
  <c r="A42" i="1016"/>
  <c r="A43" i="1016"/>
  <c r="A44" i="1016"/>
  <c r="A45" i="1016"/>
  <c r="A46" i="1016"/>
  <c r="A47" i="1016"/>
  <c r="A48" i="1016"/>
  <c r="A49" i="1016"/>
  <c r="A50" i="1016"/>
  <c r="A51" i="1016"/>
  <c r="A52" i="1016"/>
  <c r="A53" i="1016"/>
  <c r="A54" i="1016"/>
  <c r="A55" i="1016"/>
  <c r="A56" i="1016"/>
  <c r="A57" i="1016"/>
  <c r="A58" i="1016"/>
  <c r="A59" i="1016"/>
  <c r="A60" i="1016"/>
  <c r="A61" i="1016"/>
  <c r="A62" i="1016"/>
  <c r="A63" i="1016"/>
  <c r="A64" i="1016"/>
  <c r="A65" i="1016"/>
  <c r="A66" i="1016"/>
  <c r="A67" i="1016"/>
  <c r="A68" i="1016"/>
  <c r="A69" i="1016"/>
  <c r="A70" i="1016"/>
  <c r="A71" i="1016"/>
  <c r="A72" i="1016"/>
  <c r="A73" i="1016"/>
  <c r="A74" i="1016"/>
  <c r="A75" i="1016"/>
  <c r="A76" i="1016"/>
  <c r="A77" i="1016"/>
  <c r="A78" i="1016"/>
  <c r="A79" i="1016"/>
  <c r="A80" i="1016"/>
  <c r="A81" i="1016"/>
  <c r="A82" i="1016"/>
  <c r="A83" i="1016"/>
  <c r="A84" i="1016"/>
  <c r="A85" i="1016"/>
  <c r="A86" i="1016"/>
  <c r="A87" i="1016"/>
  <c r="A88" i="1016"/>
  <c r="A89" i="1016"/>
  <c r="A90" i="1016"/>
  <c r="A91" i="1016"/>
  <c r="A92" i="1016"/>
  <c r="A93" i="1016"/>
  <c r="A94" i="1016"/>
  <c r="A95" i="1016"/>
  <c r="A96" i="1016"/>
  <c r="A97" i="1016"/>
  <c r="A98" i="1016"/>
  <c r="A99" i="1016"/>
  <c r="A100" i="1016"/>
  <c r="A101" i="1016"/>
  <c r="A102" i="1016"/>
  <c r="A103" i="1016"/>
  <c r="A104" i="1016"/>
  <c r="A105" i="1016"/>
  <c r="A106" i="1016"/>
  <c r="A107" i="1016"/>
  <c r="A108" i="1016"/>
  <c r="A109" i="1016"/>
  <c r="A110" i="1016"/>
  <c r="A111" i="1016"/>
  <c r="A112" i="1016"/>
  <c r="A113" i="1016"/>
  <c r="A114" i="1016"/>
  <c r="A115" i="1016"/>
  <c r="A116" i="1016"/>
  <c r="A117" i="1016"/>
  <c r="A118" i="1016"/>
  <c r="A119" i="1016"/>
  <c r="A120" i="1016"/>
  <c r="A121" i="1016"/>
  <c r="A122" i="1016"/>
  <c r="A123" i="1016"/>
  <c r="A124" i="1016"/>
  <c r="A125" i="1016"/>
  <c r="A126" i="1016"/>
  <c r="A127" i="1016"/>
  <c r="A128" i="1016"/>
  <c r="A129" i="1016"/>
  <c r="A130" i="1016"/>
  <c r="A131" i="1016"/>
  <c r="A132" i="1016"/>
  <c r="A133" i="1016"/>
  <c r="A134" i="1016"/>
  <c r="A135" i="1016"/>
  <c r="A136" i="1016"/>
  <c r="A137" i="1016"/>
  <c r="A138" i="1016"/>
  <c r="A139" i="1016"/>
  <c r="A140" i="1016"/>
  <c r="A141" i="1016"/>
  <c r="A142" i="1016"/>
  <c r="A143" i="1016"/>
  <c r="A144" i="1016"/>
  <c r="A145" i="1016"/>
  <c r="A146" i="1016"/>
  <c r="A147" i="1016"/>
  <c r="A148" i="1016"/>
  <c r="A149" i="1016"/>
  <c r="A150" i="1016"/>
  <c r="A151" i="1016"/>
  <c r="A152" i="1016"/>
  <c r="A153" i="1016"/>
  <c r="A154" i="1016"/>
  <c r="A155" i="1016"/>
  <c r="A156" i="1016"/>
  <c r="A157" i="1016"/>
  <c r="A158" i="1016"/>
  <c r="A159" i="1016"/>
  <c r="A160" i="1016"/>
  <c r="A161" i="1016"/>
  <c r="A162" i="1016"/>
  <c r="A163" i="1016"/>
  <c r="A164" i="1016"/>
  <c r="A165" i="1016"/>
  <c r="A166" i="1016"/>
  <c r="A167" i="1016"/>
  <c r="A168" i="1016"/>
  <c r="A169" i="1016"/>
  <c r="A170" i="1016"/>
  <c r="A171" i="1016"/>
  <c r="A172" i="1016"/>
  <c r="A173" i="1016"/>
  <c r="A174" i="1016"/>
  <c r="A175" i="1016"/>
  <c r="A176" i="1016"/>
  <c r="A177" i="1016"/>
  <c r="A178" i="1016"/>
  <c r="A179" i="1016"/>
  <c r="A180" i="1016"/>
  <c r="A181" i="1016"/>
  <c r="A182" i="1016"/>
  <c r="A183" i="1016"/>
  <c r="A184" i="1016"/>
  <c r="A185" i="1016"/>
  <c r="A186" i="1016"/>
  <c r="A187" i="1016"/>
  <c r="A188" i="1016"/>
  <c r="A189" i="1016"/>
  <c r="A190" i="1016"/>
  <c r="A191" i="1016"/>
  <c r="A192" i="1016"/>
  <c r="A193" i="1016"/>
  <c r="A194" i="1016"/>
  <c r="A195" i="1016"/>
  <c r="A196" i="1016"/>
  <c r="A197" i="1016"/>
  <c r="A198" i="1016"/>
  <c r="A199" i="1016"/>
  <c r="A200" i="1016"/>
  <c r="A201" i="1016"/>
  <c r="A202" i="1016"/>
  <c r="A203" i="1016"/>
  <c r="A204" i="1016"/>
  <c r="A205" i="1016"/>
  <c r="A206" i="1016"/>
  <c r="A207" i="1016"/>
  <c r="A208" i="1016"/>
  <c r="A209" i="1016"/>
  <c r="A210" i="1016"/>
  <c r="A211" i="1016"/>
  <c r="A212" i="1016"/>
  <c r="A213" i="1016"/>
  <c r="A214" i="1016"/>
  <c r="A215" i="1016"/>
  <c r="A216" i="1016"/>
  <c r="BO12" i="1033" l="1"/>
  <c r="BN13" i="1033"/>
  <c r="AX15" i="1033"/>
  <c r="AY14" i="1033"/>
  <c r="DZ13" i="1033"/>
  <c r="EA12" i="1033"/>
  <c r="EP16" i="1033"/>
  <c r="EQ15" i="1033"/>
  <c r="DK11" i="1033"/>
  <c r="DJ12" i="1033"/>
  <c r="B14" i="1033"/>
  <c r="C13" i="1033"/>
  <c r="CD14" i="1033"/>
  <c r="CE13" i="1033"/>
  <c r="FW15" i="1033"/>
  <c r="FV16" i="1033"/>
  <c r="FG14" i="1033"/>
  <c r="FF15" i="1033"/>
  <c r="S13" i="1033"/>
  <c r="R14" i="1033"/>
  <c r="AH14" i="1033"/>
  <c r="AI13" i="1033"/>
  <c r="CT15" i="1033"/>
  <c r="CU14" i="1033"/>
  <c r="AY15" i="1033" l="1"/>
  <c r="AX16" i="1033"/>
  <c r="FF16" i="1033"/>
  <c r="FG15" i="1033"/>
  <c r="FV17" i="1033"/>
  <c r="FW16" i="1033"/>
  <c r="CD15" i="1033"/>
  <c r="CE14" i="1033"/>
  <c r="C14" i="1033"/>
  <c r="B15" i="1033"/>
  <c r="DK12" i="1033"/>
  <c r="DJ13" i="1033"/>
  <c r="CT16" i="1033"/>
  <c r="CU15" i="1033"/>
  <c r="EP17" i="1033"/>
  <c r="EQ16" i="1033"/>
  <c r="AH15" i="1033"/>
  <c r="AI14" i="1033"/>
  <c r="DZ14" i="1033"/>
  <c r="EA13" i="1033"/>
  <c r="S14" i="1033"/>
  <c r="R15" i="1033"/>
  <c r="BO13" i="1033"/>
  <c r="BN14" i="1033"/>
  <c r="EP18" i="1033" l="1"/>
  <c r="EQ17" i="1033"/>
  <c r="CT17" i="1033"/>
  <c r="CU16" i="1033"/>
  <c r="DK13" i="1033"/>
  <c r="DJ14" i="1033"/>
  <c r="C15" i="1033"/>
  <c r="B16" i="1033"/>
  <c r="BO14" i="1033"/>
  <c r="BN15" i="1033"/>
  <c r="CD16" i="1033"/>
  <c r="CE15" i="1033"/>
  <c r="S15" i="1033"/>
  <c r="R16" i="1033"/>
  <c r="FW17" i="1033"/>
  <c r="FV18" i="1033"/>
  <c r="DZ15" i="1033"/>
  <c r="EA14" i="1033"/>
  <c r="FF17" i="1033"/>
  <c r="FG16" i="1033"/>
  <c r="AX17" i="1033"/>
  <c r="AY16" i="1033"/>
  <c r="AH16" i="1033"/>
  <c r="AI15" i="1033"/>
  <c r="FW18" i="1033" l="1"/>
  <c r="FV19" i="1033"/>
  <c r="S16" i="1033"/>
  <c r="R17" i="1033"/>
  <c r="CE16" i="1033"/>
  <c r="CD17" i="1033"/>
  <c r="BO15" i="1033"/>
  <c r="BN16" i="1033"/>
  <c r="B17" i="1033"/>
  <c r="C16" i="1033"/>
  <c r="AH17" i="1033"/>
  <c r="AI16" i="1033"/>
  <c r="DK14" i="1033"/>
  <c r="DJ15" i="1033"/>
  <c r="AY17" i="1033"/>
  <c r="AX18" i="1033"/>
  <c r="FF18" i="1033"/>
  <c r="FG17" i="1033"/>
  <c r="CT18" i="1033"/>
  <c r="CU17" i="1033"/>
  <c r="EA15" i="1033"/>
  <c r="DZ16" i="1033"/>
  <c r="EP19" i="1033"/>
  <c r="EQ18" i="1033"/>
  <c r="DK15" i="1033" l="1"/>
  <c r="DJ16" i="1033"/>
  <c r="AI17" i="1033"/>
  <c r="AH18" i="1033"/>
  <c r="C17" i="1033"/>
  <c r="B18" i="1033"/>
  <c r="CE17" i="1033"/>
  <c r="CD18" i="1033"/>
  <c r="FW19" i="1033"/>
  <c r="FV20" i="1033"/>
  <c r="AX19" i="1033"/>
  <c r="AY18" i="1033"/>
  <c r="BO16" i="1033"/>
  <c r="BN17" i="1033"/>
  <c r="EP20" i="1033"/>
  <c r="EQ19" i="1033"/>
  <c r="EA16" i="1033"/>
  <c r="DZ17" i="1033"/>
  <c r="S17" i="1033"/>
  <c r="R18" i="1033"/>
  <c r="CT19" i="1033"/>
  <c r="CU18" i="1033"/>
  <c r="FG18" i="1033"/>
  <c r="FF19" i="1033"/>
  <c r="EQ20" i="1033" l="1"/>
  <c r="EP21" i="1033"/>
  <c r="BO17" i="1033"/>
  <c r="BN18" i="1033"/>
  <c r="AX20" i="1033"/>
  <c r="AY19" i="1033"/>
  <c r="FW20" i="1033"/>
  <c r="FV21" i="1033"/>
  <c r="FG19" i="1033"/>
  <c r="FF20" i="1033"/>
  <c r="CE18" i="1033"/>
  <c r="CD19" i="1033"/>
  <c r="C18" i="1033"/>
  <c r="B19" i="1033"/>
  <c r="CT20" i="1033"/>
  <c r="CU19" i="1033"/>
  <c r="S18" i="1033"/>
  <c r="R19" i="1033"/>
  <c r="AI18" i="1033"/>
  <c r="AH19" i="1033"/>
  <c r="EA17" i="1033"/>
  <c r="DZ18" i="1033"/>
  <c r="DK16" i="1033"/>
  <c r="DJ17" i="1033"/>
  <c r="EQ21" i="1033" l="1"/>
  <c r="EP22" i="1033"/>
  <c r="CT21" i="1033"/>
  <c r="CU20" i="1033"/>
  <c r="DJ18" i="1033"/>
  <c r="DK17" i="1033"/>
  <c r="AX21" i="1033"/>
  <c r="AY20" i="1033"/>
  <c r="R20" i="1033"/>
  <c r="S19" i="1033"/>
  <c r="B20" i="1033"/>
  <c r="C19" i="1033"/>
  <c r="CE19" i="1033"/>
  <c r="CD20" i="1033"/>
  <c r="FG20" i="1033"/>
  <c r="FF21" i="1033"/>
  <c r="FW21" i="1033"/>
  <c r="FV22" i="1033"/>
  <c r="AI19" i="1033"/>
  <c r="AH20" i="1033"/>
  <c r="BO18" i="1033"/>
  <c r="BN19" i="1033"/>
  <c r="EA18" i="1033"/>
  <c r="DZ19" i="1033"/>
  <c r="FF22" i="1033" l="1"/>
  <c r="FG21" i="1033"/>
  <c r="EA19" i="1033"/>
  <c r="DZ20" i="1033"/>
  <c r="AX22" i="1033"/>
  <c r="AY21" i="1033"/>
  <c r="BO19" i="1033"/>
  <c r="BN20" i="1033"/>
  <c r="DJ19" i="1033"/>
  <c r="DK18" i="1033"/>
  <c r="CE20" i="1033"/>
  <c r="CD21" i="1033"/>
  <c r="AI20" i="1033"/>
  <c r="AH21" i="1033"/>
  <c r="B21" i="1033"/>
  <c r="C20" i="1033"/>
  <c r="R21" i="1033"/>
  <c r="S20" i="1033"/>
  <c r="CU21" i="1033"/>
  <c r="CT22" i="1033"/>
  <c r="FW22" i="1033"/>
  <c r="FV23" i="1033"/>
  <c r="EQ22" i="1033"/>
  <c r="EP23" i="1033"/>
  <c r="AI21" i="1033" l="1"/>
  <c r="AH22" i="1033"/>
  <c r="B22" i="1033"/>
  <c r="C21" i="1033"/>
  <c r="CE21" i="1033"/>
  <c r="CD22" i="1033"/>
  <c r="DK19" i="1033"/>
  <c r="DJ20" i="1033"/>
  <c r="EQ23" i="1033"/>
  <c r="EP24" i="1033"/>
  <c r="BO20" i="1033"/>
  <c r="BN21" i="1033"/>
  <c r="FW23" i="1033"/>
  <c r="FV24" i="1033"/>
  <c r="AY22" i="1033"/>
  <c r="AX23" i="1033"/>
  <c r="CU22" i="1033"/>
  <c r="CT23" i="1033"/>
  <c r="EA20" i="1033"/>
  <c r="DZ21" i="1033"/>
  <c r="R22" i="1033"/>
  <c r="S21" i="1033"/>
  <c r="FF23" i="1033"/>
  <c r="FG22" i="1033"/>
  <c r="EQ24" i="1033" l="1"/>
  <c r="EP25" i="1033"/>
  <c r="DK20" i="1033"/>
  <c r="DJ21" i="1033"/>
  <c r="FF24" i="1033"/>
  <c r="FG23" i="1033"/>
  <c r="CD23" i="1033"/>
  <c r="CE22" i="1033"/>
  <c r="AY23" i="1033"/>
  <c r="AX24" i="1033"/>
  <c r="FV25" i="1033"/>
  <c r="FW24" i="1033"/>
  <c r="BO21" i="1033"/>
  <c r="BN22" i="1033"/>
  <c r="R23" i="1033"/>
  <c r="S22" i="1033"/>
  <c r="DZ22" i="1033"/>
  <c r="EA21" i="1033"/>
  <c r="B23" i="1033"/>
  <c r="C22" i="1033"/>
  <c r="CU23" i="1033"/>
  <c r="CT24" i="1033"/>
  <c r="AI22" i="1033"/>
  <c r="AH23" i="1033"/>
  <c r="BN23" i="1033" l="1"/>
  <c r="BO22" i="1033"/>
  <c r="AI23" i="1033"/>
  <c r="AH24" i="1033"/>
  <c r="DZ23" i="1033"/>
  <c r="EA22" i="1033"/>
  <c r="R24" i="1033"/>
  <c r="S23" i="1033"/>
  <c r="FV26" i="1033"/>
  <c r="FW25" i="1033"/>
  <c r="AY24" i="1033"/>
  <c r="AX25" i="1033"/>
  <c r="CD24" i="1033"/>
  <c r="CE23" i="1033"/>
  <c r="CU24" i="1033"/>
  <c r="CT25" i="1033"/>
  <c r="FF25" i="1033"/>
  <c r="FG24" i="1033"/>
  <c r="DK21" i="1033"/>
  <c r="DJ22" i="1033"/>
  <c r="C23" i="1033"/>
  <c r="B24" i="1033"/>
  <c r="EQ25" i="1033"/>
  <c r="EP26" i="1033"/>
  <c r="BN24" i="1033" l="1"/>
  <c r="BO23" i="1033"/>
  <c r="FG25" i="1033"/>
  <c r="FF26" i="1033"/>
  <c r="CU25" i="1033"/>
  <c r="CT26" i="1033"/>
  <c r="CD25" i="1033"/>
  <c r="CE24" i="1033"/>
  <c r="AY25" i="1033"/>
  <c r="AX26" i="1033"/>
  <c r="FV27" i="1033"/>
  <c r="FW26" i="1033"/>
  <c r="EP27" i="1033"/>
  <c r="EQ26" i="1033"/>
  <c r="R25" i="1033"/>
  <c r="S24" i="1033"/>
  <c r="C24" i="1033"/>
  <c r="B25" i="1033"/>
  <c r="DZ24" i="1033"/>
  <c r="EA23" i="1033"/>
  <c r="DJ23" i="1033"/>
  <c r="DK22" i="1033"/>
  <c r="AH25" i="1033"/>
  <c r="AI24" i="1033"/>
  <c r="R26" i="1033" l="1"/>
  <c r="S25" i="1033"/>
  <c r="EP28" i="1033"/>
  <c r="EQ27" i="1033"/>
  <c r="FV28" i="1033"/>
  <c r="FW27" i="1033"/>
  <c r="AY26" i="1033"/>
  <c r="AX27" i="1033"/>
  <c r="AH26" i="1033"/>
  <c r="AI25" i="1033"/>
  <c r="CD26" i="1033"/>
  <c r="CE25" i="1033"/>
  <c r="CU26" i="1033"/>
  <c r="CT27" i="1033"/>
  <c r="DJ24" i="1033"/>
  <c r="DK23" i="1033"/>
  <c r="FG26" i="1033"/>
  <c r="FF27" i="1033"/>
  <c r="DZ25" i="1033"/>
  <c r="EA24" i="1033"/>
  <c r="C25" i="1033"/>
  <c r="B26" i="1033"/>
  <c r="BN25" i="1033"/>
  <c r="BO24" i="1033"/>
  <c r="DJ25" i="1033" l="1"/>
  <c r="DK24" i="1033"/>
  <c r="CU27" i="1033"/>
  <c r="CT28" i="1033"/>
  <c r="CD27" i="1033"/>
  <c r="CE26" i="1033"/>
  <c r="AH27" i="1033"/>
  <c r="AI26" i="1033"/>
  <c r="AY27" i="1033"/>
  <c r="AX28" i="1033"/>
  <c r="BN26" i="1033"/>
  <c r="BO25" i="1033"/>
  <c r="C26" i="1033"/>
  <c r="B27" i="1033"/>
  <c r="FV29" i="1033"/>
  <c r="FW28" i="1033"/>
  <c r="EA25" i="1033"/>
  <c r="DZ26" i="1033"/>
  <c r="EP29" i="1033"/>
  <c r="EQ28" i="1033"/>
  <c r="FG27" i="1033"/>
  <c r="FF28" i="1033"/>
  <c r="R27" i="1033"/>
  <c r="S26" i="1033"/>
  <c r="AX29" i="1033" l="1"/>
  <c r="AY28" i="1033"/>
  <c r="BN27" i="1033"/>
  <c r="BO26" i="1033"/>
  <c r="CD28" i="1033"/>
  <c r="CE27" i="1033"/>
  <c r="FV30" i="1033"/>
  <c r="FW29" i="1033"/>
  <c r="AH28" i="1033"/>
  <c r="AI27" i="1033"/>
  <c r="C27" i="1033"/>
  <c r="B28" i="1033"/>
  <c r="FG28" i="1033"/>
  <c r="FF29" i="1033"/>
  <c r="R28" i="1033"/>
  <c r="S27" i="1033"/>
  <c r="CT29" i="1033"/>
  <c r="CU28" i="1033"/>
  <c r="EP30" i="1033"/>
  <c r="EQ29" i="1033"/>
  <c r="EA26" i="1033"/>
  <c r="DZ27" i="1033"/>
  <c r="DJ26" i="1033"/>
  <c r="DK25" i="1033"/>
  <c r="DZ28" i="1033" l="1"/>
  <c r="EA27" i="1033"/>
  <c r="CD29" i="1033"/>
  <c r="CE28" i="1033"/>
  <c r="EP31" i="1033"/>
  <c r="EQ30" i="1033"/>
  <c r="BO27" i="1033"/>
  <c r="BN28" i="1033"/>
  <c r="CT30" i="1033"/>
  <c r="CU29" i="1033"/>
  <c r="AX30" i="1033"/>
  <c r="AY29" i="1033"/>
  <c r="S28" i="1033"/>
  <c r="R29" i="1033"/>
  <c r="FG29" i="1033"/>
  <c r="FF30" i="1033"/>
  <c r="C28" i="1033"/>
  <c r="B29" i="1033"/>
  <c r="AI28" i="1033"/>
  <c r="AH29" i="1033"/>
  <c r="DK26" i="1033"/>
  <c r="DJ27" i="1033"/>
  <c r="FW30" i="1033"/>
  <c r="FV31" i="1033"/>
  <c r="FG30" i="1033" l="1"/>
  <c r="FF31" i="1033"/>
  <c r="S29" i="1033"/>
  <c r="R30" i="1033"/>
  <c r="AX31" i="1033"/>
  <c r="AY30" i="1033"/>
  <c r="CT31" i="1033"/>
  <c r="CU30" i="1033"/>
  <c r="FW31" i="1033"/>
  <c r="FV32" i="1033"/>
  <c r="BO28" i="1033"/>
  <c r="BN29" i="1033"/>
  <c r="DK27" i="1033"/>
  <c r="DJ28" i="1033"/>
  <c r="EQ31" i="1033"/>
  <c r="EP32" i="1033"/>
  <c r="AH30" i="1033"/>
  <c r="AI29" i="1033"/>
  <c r="CD30" i="1033"/>
  <c r="CE29" i="1033"/>
  <c r="C29" i="1033"/>
  <c r="B30" i="1033"/>
  <c r="DZ29" i="1033"/>
  <c r="EA28" i="1033"/>
  <c r="DK28" i="1033" l="1"/>
  <c r="DJ29" i="1033"/>
  <c r="S30" i="1033"/>
  <c r="R31" i="1033"/>
  <c r="EP33" i="1033"/>
  <c r="EQ32" i="1033"/>
  <c r="BO29" i="1033"/>
  <c r="BN30" i="1033"/>
  <c r="FW32" i="1033"/>
  <c r="FV33" i="1033"/>
  <c r="DZ30" i="1033"/>
  <c r="EA29" i="1033"/>
  <c r="CU31" i="1033"/>
  <c r="CT32" i="1033"/>
  <c r="B31" i="1033"/>
  <c r="C30" i="1033"/>
  <c r="AX32" i="1033"/>
  <c r="AY31" i="1033"/>
  <c r="CD31" i="1033"/>
  <c r="CE30" i="1033"/>
  <c r="FG31" i="1033"/>
  <c r="FF32" i="1033"/>
  <c r="AH31" i="1033"/>
  <c r="AI30" i="1033"/>
  <c r="CU32" i="1033" l="1"/>
  <c r="CT33" i="1033"/>
  <c r="FG32" i="1033"/>
  <c r="FF33" i="1033"/>
  <c r="EP34" i="1033"/>
  <c r="EQ33" i="1033"/>
  <c r="S31" i="1033"/>
  <c r="R32" i="1033"/>
  <c r="B32" i="1033"/>
  <c r="C31" i="1033"/>
  <c r="AH32" i="1033"/>
  <c r="AI31" i="1033"/>
  <c r="CD32" i="1033"/>
  <c r="CE31" i="1033"/>
  <c r="DK29" i="1033"/>
  <c r="DJ30" i="1033"/>
  <c r="DZ31" i="1033"/>
  <c r="EA30" i="1033"/>
  <c r="FW33" i="1033"/>
  <c r="FV34" i="1033"/>
  <c r="BO30" i="1033"/>
  <c r="BN31" i="1033"/>
  <c r="AY32" i="1033"/>
  <c r="AX33" i="1033"/>
  <c r="EA31" i="1033" l="1"/>
  <c r="DZ32" i="1033"/>
  <c r="DK30" i="1033"/>
  <c r="DJ31" i="1033"/>
  <c r="B33" i="1033"/>
  <c r="C32" i="1033"/>
  <c r="FW34" i="1033"/>
  <c r="FV35" i="1033"/>
  <c r="S32" i="1033"/>
  <c r="R33" i="1033"/>
  <c r="BO31" i="1033"/>
  <c r="BN32" i="1033"/>
  <c r="FG33" i="1033"/>
  <c r="FF34" i="1033"/>
  <c r="CE32" i="1033"/>
  <c r="CD33" i="1033"/>
  <c r="AH33" i="1033"/>
  <c r="AI32" i="1033"/>
  <c r="AY33" i="1033"/>
  <c r="AX34" i="1033"/>
  <c r="EP35" i="1033"/>
  <c r="EQ34" i="1033"/>
  <c r="CT34" i="1033"/>
  <c r="CU33" i="1033"/>
  <c r="FF35" i="1033" l="1"/>
  <c r="FG34" i="1033"/>
  <c r="S33" i="1033"/>
  <c r="R34" i="1033"/>
  <c r="EP36" i="1033"/>
  <c r="EQ35" i="1033"/>
  <c r="EA32" i="1033"/>
  <c r="DZ33" i="1033"/>
  <c r="CE33" i="1033"/>
  <c r="CD34" i="1033"/>
  <c r="BO32" i="1033"/>
  <c r="BN33" i="1033"/>
  <c r="FW35" i="1033"/>
  <c r="FV36" i="1033"/>
  <c r="CT35" i="1033"/>
  <c r="CU34" i="1033"/>
  <c r="C33" i="1033"/>
  <c r="B34" i="1033"/>
  <c r="AX35" i="1033"/>
  <c r="AY34" i="1033"/>
  <c r="DK31" i="1033"/>
  <c r="DJ32" i="1033"/>
  <c r="AI33" i="1033"/>
  <c r="AH34" i="1033"/>
  <c r="EA33" i="1033" l="1"/>
  <c r="DZ34" i="1033"/>
  <c r="EQ36" i="1033"/>
  <c r="EP37" i="1033"/>
  <c r="BO33" i="1033"/>
  <c r="BN34" i="1033"/>
  <c r="FV37" i="1033"/>
  <c r="FW36" i="1033"/>
  <c r="AX36" i="1033"/>
  <c r="AY35" i="1033"/>
  <c r="C34" i="1033"/>
  <c r="B35" i="1033"/>
  <c r="CT36" i="1033"/>
  <c r="CU35" i="1033"/>
  <c r="CE34" i="1033"/>
  <c r="CD35" i="1033"/>
  <c r="AI34" i="1033"/>
  <c r="AH35" i="1033"/>
  <c r="DK32" i="1033"/>
  <c r="DJ33" i="1033"/>
  <c r="R35" i="1033"/>
  <c r="S34" i="1033"/>
  <c r="FF36" i="1033"/>
  <c r="FG35" i="1033"/>
  <c r="AI35" i="1033" l="1"/>
  <c r="AH36" i="1033"/>
  <c r="CE35" i="1033"/>
  <c r="CD36" i="1033"/>
  <c r="R36" i="1033"/>
  <c r="S35" i="1033"/>
  <c r="CT37" i="1033"/>
  <c r="CU36" i="1033"/>
  <c r="B36" i="1033"/>
  <c r="C35" i="1033"/>
  <c r="AX37" i="1033"/>
  <c r="AY36" i="1033"/>
  <c r="FF37" i="1033"/>
  <c r="FG36" i="1033"/>
  <c r="FW37" i="1033"/>
  <c r="FV38" i="1033"/>
  <c r="BO34" i="1033"/>
  <c r="BN35" i="1033"/>
  <c r="DJ34" i="1033"/>
  <c r="DK33" i="1033"/>
  <c r="EP38" i="1033"/>
  <c r="EQ37" i="1033"/>
  <c r="EA34" i="1033"/>
  <c r="DZ35" i="1033"/>
  <c r="EA35" i="1033" l="1"/>
  <c r="DZ36" i="1033"/>
  <c r="R37" i="1033"/>
  <c r="S36" i="1033"/>
  <c r="FW38" i="1033"/>
  <c r="FV39" i="1033"/>
  <c r="FF38" i="1033"/>
  <c r="FG37" i="1033"/>
  <c r="AX38" i="1033"/>
  <c r="AY37" i="1033"/>
  <c r="B37" i="1033"/>
  <c r="C36" i="1033"/>
  <c r="EQ38" i="1033"/>
  <c r="EP39" i="1033"/>
  <c r="CE36" i="1033"/>
  <c r="CD37" i="1033"/>
  <c r="BO35" i="1033"/>
  <c r="BN36" i="1033"/>
  <c r="AI36" i="1033"/>
  <c r="AH37" i="1033"/>
  <c r="CU37" i="1033"/>
  <c r="CT38" i="1033"/>
  <c r="DJ35" i="1033"/>
  <c r="DK34" i="1033"/>
  <c r="B38" i="1033" l="1"/>
  <c r="C37" i="1033"/>
  <c r="AY38" i="1033"/>
  <c r="AX39" i="1033"/>
  <c r="FF39" i="1033"/>
  <c r="FG38" i="1033"/>
  <c r="R38" i="1033"/>
  <c r="S37" i="1033"/>
  <c r="BO36" i="1033"/>
  <c r="BN37" i="1033"/>
  <c r="EA36" i="1033"/>
  <c r="DZ37" i="1033"/>
  <c r="CE37" i="1033"/>
  <c r="CD38" i="1033"/>
  <c r="EQ39" i="1033"/>
  <c r="EP40" i="1033"/>
  <c r="EQ40" i="1033" s="1"/>
  <c r="DK35" i="1033"/>
  <c r="DJ36" i="1033"/>
  <c r="CT39" i="1033"/>
  <c r="CU38" i="1033"/>
  <c r="FV40" i="1033"/>
  <c r="FW40" i="1033" s="1"/>
  <c r="FW39" i="1033"/>
  <c r="AI37" i="1033"/>
  <c r="AH38" i="1033"/>
  <c r="CE38" i="1033" l="1"/>
  <c r="CD39" i="1033"/>
  <c r="BO37" i="1033"/>
  <c r="BN38" i="1033"/>
  <c r="AI38" i="1033"/>
  <c r="AH39" i="1033"/>
  <c r="R39" i="1033"/>
  <c r="S38" i="1033"/>
  <c r="FF40" i="1033"/>
  <c r="FG40" i="1033" s="1"/>
  <c r="FG39" i="1033"/>
  <c r="AY39" i="1033"/>
  <c r="AX40" i="1033"/>
  <c r="AY40" i="1033" s="1"/>
  <c r="CU39" i="1033"/>
  <c r="CT40" i="1033"/>
  <c r="CU40" i="1033" s="1"/>
  <c r="DK36" i="1033"/>
  <c r="DJ37" i="1033"/>
  <c r="DZ38" i="1033"/>
  <c r="EA37" i="1033"/>
  <c r="B39" i="1033"/>
  <c r="C38" i="1033"/>
  <c r="S39" i="1033" l="1"/>
  <c r="R40" i="1033"/>
  <c r="S40" i="1033" s="1"/>
  <c r="CD40" i="1033"/>
  <c r="CE40" i="1033" s="1"/>
  <c r="CE39" i="1033"/>
  <c r="DK37" i="1033"/>
  <c r="DJ38" i="1033"/>
  <c r="AI39" i="1033"/>
  <c r="AH40" i="1033"/>
  <c r="AI40" i="1033" s="1"/>
  <c r="BN39" i="1033"/>
  <c r="BO38" i="1033"/>
  <c r="C39" i="1033"/>
  <c r="B40" i="1033"/>
  <c r="C40" i="1033" s="1"/>
  <c r="DZ39" i="1033"/>
  <c r="EA38" i="1033"/>
  <c r="DZ40" i="1033" l="1"/>
  <c r="EA40" i="1033" s="1"/>
  <c r="EA39" i="1033"/>
  <c r="BN40" i="1033"/>
  <c r="BO40" i="1033" s="1"/>
  <c r="BO39" i="1033"/>
  <c r="DJ39" i="1033"/>
  <c r="DK38" i="1033"/>
  <c r="DJ40" i="1033" l="1"/>
  <c r="DK40" i="1033" s="1"/>
  <c r="DK39" i="103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<sst xmlns="http://schemas.openxmlformats.org/spreadsheetml/2006/main" count="3496" uniqueCount="1018">
  <si>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</si>
  <si>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</si>
  <si>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</si>
  <si>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</si>
  <si>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</si>
  <si>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</si>
  <si>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</si>
  <si>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</si>
  <si>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</si>
  <si>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</si>
  <si>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</si>
  <si>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</si>
  <si>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</si>
  <si>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</si>
  <si>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</si>
  <si>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</si>
  <si>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</si>
  <si>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</si>
  <si>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</si>
  <si>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</si>
  <si>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</si>
  <si>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</si>
  <si>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</si>
  <si>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</si>
  <si>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</si>
  <si>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</si>
  <si>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</si>
  <si>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</si>
  <si>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</si>
  <si>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</si>
  <si>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</si>
  <si>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</si>
  <si>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</si>
  <si>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</si>
  <si>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</si>
  <si>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</si>
  <si>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</si>
  <si>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</si>
  <si>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</si>
  <si>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</si>
  <si>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</si>
  <si>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</si>
  <si>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</si>
  <si>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</si>
  <si>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</si>
  <si>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</si>
  <si>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</si>
  <si>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</si>
  <si>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</si>
  <si>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</si>
  <si>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</si>
  <si>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</si>
  <si>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</si>
  <si>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</si>
  <si>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</si>
  <si>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</si>
  <si>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</si>
  <si>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</si>
  <si>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</si>
  <si>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</si>
  <si>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</si>
  <si>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</si>
  <si>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</si>
  <si>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</si>
  <si>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</si>
  <si>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</si>
  <si>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</si>
  <si>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</si>
  <si>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</si>
  <si>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</si>
  <si>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</si>
  <si>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</si>
  <si>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</si>
  <si>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</si>
  <si>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</si>
  <si>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</si>
  <si>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</si>
  <si>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</si>
  <si>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</si>
  <si>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</si>
  <si>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</si>
  <si>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</si>
  <si>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</si>
  <si>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</si>
  <si>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</si>
  <si>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</si>
  <si>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</si>
  <si>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</si>
  <si>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</si>
  <si>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</si>
  <si>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</si>
  <si>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</si>
  <si>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</si>
  <si>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</si>
  <si>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</si>
  <si>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</si>
  <si>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</si>
  <si>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</si>
  <si>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</si>
  <si>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</si>
  <si>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</si>
  <si>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</si>
  <si>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</si>
  <si>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</si>
  <si>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</si>
  <si>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</si>
  <si>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</si>
  <si>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</si>
  <si>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</si>
  <si>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</si>
  <si>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</si>
  <si>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</si>
  <si>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</si>
  <si>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</si>
  <si>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</si>
  <si>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</si>
  <si>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</si>
  <si>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</si>
  <si>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</si>
  <si>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</si>
  <si>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</si>
  <si>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</si>
  <si>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</si>
  <si>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</si>
  <si>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</si>
  <si>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</si>
  <si>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</si>
  <si>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</si>
  <si>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</si>
  <si>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</si>
  <si>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</si>
  <si>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</si>
  <si>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</si>
  <si>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</si>
  <si>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</si>
  <si>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</si>
  <si>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</si>
  <si>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</si>
  <si>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</si>
  <si>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</si>
  <si>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</si>
  <si>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</si>
  <si>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</si>
  <si>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</si>
  <si>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</si>
  <si>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</si>
  <si>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</si>
  <si>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</si>
  <si>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</si>
  <si>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</si>
  <si>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</si>
  <si>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</si>
  <si>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</si>
  <si>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</si>
  <si>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</si>
  <si>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</si>
  <si>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</si>
  <si>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</si>
  <si>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</si>
  <si>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</si>
  <si>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</si>
  <si>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</si>
  <si>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</si>
  <si>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</si>
  <si>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</si>
  <si>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</si>
  <si>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</si>
  <si>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</si>
  <si>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</si>
  <si>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</si>
  <si>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</si>
  <si>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</si>
  <si>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</si>
  <si>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</si>
  <si>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</si>
  <si>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</si>
  <si>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</si>
  <si>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</si>
  <si>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</si>
  <si>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</si>
  <si>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</si>
  <si>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</si>
  <si>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</si>
  <si>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</si>
  <si>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</si>
  <si>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</si>
  <si>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</si>
  <si>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</si>
  <si>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</si>
  <si>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</si>
  <si>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</si>
  <si>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</si>
  <si>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</si>
  <si>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</si>
  <si>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</si>
  <si>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</si>
  <si>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</si>
  <si>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</si>
  <si>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</si>
  <si>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</si>
  <si>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</si>
  <si>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</si>
  <si>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</si>
  <si>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</si>
  <si>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</si>
  <si>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</si>
  <si>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</si>
  <si>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</si>
  <si>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</si>
  <si>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</si>
  <si>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</si>
  <si>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</si>
  <si>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</si>
  <si>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</si>
  <si>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</si>
  <si>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</si>
  <si>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</si>
  <si>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</si>
  <si>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</si>
  <si>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</si>
  <si>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</si>
  <si>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</si>
  <si>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</si>
  <si>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</si>
  <si>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</si>
  <si>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</si>
  <si>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</si>
  <si>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</si>
  <si>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</si>
  <si>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</si>
  <si>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</si>
  <si>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</si>
  <si>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</si>
  <si>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</si>
  <si>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</si>
  <si>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</si>
  <si>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</si>
  <si>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</si>
  <si>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</si>
  <si>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</si>
  <si>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</si>
  <si>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</si>
  <si>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</si>
  <si>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</si>
  <si>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</si>
  <si>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</si>
  <si>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</si>
  <si>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</si>
  <si>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</si>
  <si>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</si>
  <si>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</si>
  <si>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</si>
  <si>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</si>
  <si>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</si>
  <si>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</si>
  <si>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</si>
  <si>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</si>
  <si>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</si>
  <si>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</si>
  <si>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</si>
  <si>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</si>
  <si>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</si>
  <si>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</si>
  <si>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</si>
  <si>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</si>
  <si>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</si>
  <si>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</si>
  <si>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</si>
  <si>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</si>
  <si>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</si>
  <si>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</si>
  <si>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</si>
  <si>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</si>
  <si>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</si>
  <si>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</si>
  <si>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</si>
  <si>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</si>
  <si>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</si>
  <si>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</si>
  <si>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</si>
  <si>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</si>
  <si>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</si>
  <si>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</si>
  <si>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</si>
  <si>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</si>
  <si>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</si>
  <si>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</si>
  <si>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</si>
  <si>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</si>
  <si>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</si>
  <si>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</si>
  <si>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</si>
  <si>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</si>
  <si>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</si>
  <si>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</si>
  <si>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</si>
  <si>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</si>
  <si>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</si>
  <si>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</si>
  <si>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</si>
  <si>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</si>
  <si>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</si>
  <si>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</si>
  <si>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</si>
  <si>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</si>
  <si>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</si>
  <si>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</si>
  <si>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</si>
  <si>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</si>
  <si>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</si>
  <si>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</si>
  <si>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</si>
  <si>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</si>
  <si>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</si>
  <si>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</si>
  <si>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</si>
  <si>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</si>
  <si>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</si>
  <si>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</si>
  <si>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</si>
  <si>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</si>
  <si>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</si>
  <si>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</si>
  <si>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</si>
  <si>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</si>
  <si>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</si>
  <si>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</si>
  <si>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</si>
  <si>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</si>
  <si>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</si>
  <si>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</si>
  <si>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</si>
  <si>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</si>
  <si>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</si>
  <si>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</si>
  <si>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</si>
  <si>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</si>
  <si>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</si>
  <si>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</si>
  <si>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</si>
  <si>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</si>
  <si>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</si>
  <si>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</si>
  <si>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</si>
  <si>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</si>
  <si>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</si>
  <si>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</si>
  <si>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</si>
  <si>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</si>
  <si>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</si>
  <si>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</si>
  <si>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</si>
  <si>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</si>
  <si>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</si>
  <si>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</si>
  <si>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</si>
  <si>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</si>
  <si>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</si>
  <si>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</si>
  <si>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</si>
  <si>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</si>
  <si>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</si>
  <si>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</si>
  <si>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</si>
  <si>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</si>
  <si>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</si>
  <si>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</si>
  <si>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</si>
  <si>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</si>
  <si>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</si>
  <si>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</si>
  <si>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</si>
  <si>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</si>
  <si>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</si>
  <si>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</si>
  <si>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</si>
  <si>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</si>
  <si>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</si>
  <si>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</si>
  <si>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</si>
  <si>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</si>
  <si>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</si>
  <si>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</si>
  <si>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</si>
  <si>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</si>
  <si>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</si>
  <si>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</si>
  <si>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</si>
  <si>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</si>
  <si>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</si>
  <si>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</si>
  <si>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</si>
  <si>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</si>
  <si>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</si>
  <si>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</si>
  <si>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</si>
  <si>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</si>
  <si>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</si>
  <si>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</si>
  <si>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</si>
  <si>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</si>
  <si>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</si>
  <si>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</si>
  <si>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</si>
  <si>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</si>
  <si>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</si>
  <si>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</si>
  <si>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</si>
  <si>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</si>
  <si>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</si>
  <si>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</si>
  <si>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</si>
  <si>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</si>
  <si>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</si>
  <si>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</si>
  <si>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</si>
  <si>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</si>
  <si>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</si>
  <si>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</si>
  <si>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</si>
  <si>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</si>
  <si>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</si>
  <si>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</si>
  <si>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</si>
  <si>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</si>
  <si>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</si>
  <si>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</si>
  <si>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</si>
  <si>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</si>
  <si>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</si>
  <si>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</si>
  <si>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</si>
  <si>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</si>
  <si>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</si>
  <si>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</si>
  <si>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</si>
  <si>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</si>
  <si>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</si>
  <si>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</si>
  <si>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</si>
  <si>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</si>
  <si>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</si>
  <si>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</si>
  <si>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</si>
  <si>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</si>
  <si>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</si>
  <si>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</si>
  <si>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</si>
  <si>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</si>
  <si>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</si>
  <si>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</si>
  <si>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</si>
  <si>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</si>
  <si>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</si>
  <si>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</si>
  <si>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</si>
  <si>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</si>
  <si>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</si>
  <si>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</si>
  <si>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</si>
  <si>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</si>
  <si>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</si>
  <si>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</si>
  <si>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</si>
  <si>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</si>
  <si>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</si>
  <si>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</si>
  <si>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</si>
  <si>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</si>
  <si>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</si>
  <si>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</si>
  <si>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</si>
  <si>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</si>
  <si>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</si>
  <si>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</si>
  <si>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</si>
  <si>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</si>
  <si>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</si>
  <si>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</si>
  <si>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</si>
  <si>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</si>
  <si>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</si>
  <si>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</si>
  <si>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</si>
  <si>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</si>
  <si>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</si>
  <si>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</si>
  <si>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</si>
  <si>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</si>
  <si>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</si>
  <si>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</si>
  <si>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</si>
  <si>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</si>
  <si>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</si>
  <si>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</si>
  <si>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</si>
  <si>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</si>
  <si>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</si>
  <si>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</si>
  <si>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</si>
  <si>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</si>
  <si>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</si>
  <si>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</si>
  <si>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</si>
  <si>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</si>
  <si>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</si>
  <si>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</si>
  <si>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</si>
  <si>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</si>
  <si>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</si>
  <si>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</si>
  <si>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</si>
  <si>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</si>
  <si>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</si>
  <si>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</si>
  <si>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</si>
  <si>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</si>
  <si>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</si>
  <si>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</si>
  <si>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</si>
  <si>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</si>
  <si>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</si>
  <si>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</si>
  <si>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</si>
  <si>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</si>
  <si>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</si>
  <si>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</si>
  <si>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</si>
  <si>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</si>
  <si>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</si>
  <si>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</si>
  <si>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</si>
  <si>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</si>
  <si>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</si>
  <si>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</si>
  <si>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</si>
  <si>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</si>
  <si>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</si>
  <si>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</si>
  <si>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</si>
  <si>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</si>
  <si>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</si>
  <si>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</si>
  <si>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</si>
  <si>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</si>
  <si>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</si>
  <si>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</si>
  <si>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</si>
  <si>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</si>
  <si>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</si>
  <si>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</si>
  <si>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</si>
  <si>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</si>
  <si>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</si>
  <si>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</si>
  <si>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</si>
  <si>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</si>
  <si>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</si>
  <si>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</si>
  <si>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</si>
  <si>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</si>
  <si>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</si>
  <si>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</si>
  <si>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</si>
  <si>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</si>
  <si>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</si>
  <si>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</si>
  <si>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</si>
  <si>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</si>
  <si>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</si>
  <si>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</si>
  <si>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</si>
  <si>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</si>
  <si>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</si>
  <si>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</si>
  <si>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</si>
  <si>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</si>
  <si>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</si>
  <si>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</si>
  <si>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</si>
  <si>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</si>
  <si>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</si>
  <si>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</si>
  <si>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</si>
  <si>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</si>
  <si>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</si>
  <si>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</si>
  <si>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</si>
  <si>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</si>
  <si>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</si>
  <si>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</si>
  <si>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</si>
  <si>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</si>
  <si>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</si>
  <si>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</si>
  <si>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</si>
  <si>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</si>
  <si>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</si>
  <si>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</si>
  <si>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</si>
  <si>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</si>
  <si>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</si>
  <si>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</si>
  <si>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</si>
  <si>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</si>
  <si>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</si>
  <si>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</si>
  <si>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</si>
  <si>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</si>
  <si>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</si>
  <si>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</si>
  <si>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</si>
  <si>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</si>
  <si>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</si>
  <si>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</si>
  <si>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</si>
  <si>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</si>
  <si>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</si>
  <si>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</si>
  <si>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</si>
  <si>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</si>
  <si>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</si>
  <si>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</si>
  <si>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</si>
  <si>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</si>
  <si>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</si>
  <si>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</si>
  <si>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</si>
  <si>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</si>
  <si>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</si>
  <si>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</si>
  <si>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</si>
  <si>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</si>
  <si>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</si>
  <si>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</si>
  <si>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</si>
  <si>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</si>
  <si>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</si>
  <si>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</si>
  <si>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</si>
  <si>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</si>
  <si>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</si>
  <si>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</si>
  <si>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</si>
  <si>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</si>
  <si>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</si>
  <si>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</si>
  <si>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</si>
  <si>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</si>
  <si>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</si>
  <si>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</si>
  <si>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</si>
  <si>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</si>
  <si>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</si>
  <si>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</si>
  <si>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</si>
  <si>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</si>
  <si>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</si>
  <si>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</si>
  <si>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</si>
  <si>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</si>
  <si>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</si>
  <si>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</si>
  <si>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</si>
  <si>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</si>
  <si>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</si>
  <si>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</si>
  <si>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</si>
  <si>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</si>
  <si>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</si>
  <si>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</si>
  <si>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</si>
  <si>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</si>
  <si>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</si>
  <si>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</si>
  <si>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</si>
  <si>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</si>
  <si>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</si>
  <si>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</si>
  <si>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</si>
  <si>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</si>
  <si>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</si>
  <si>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</si>
  <si>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</si>
  <si>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</si>
  <si>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</si>
  <si>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</si>
  <si>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</si>
  <si>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</si>
  <si>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</si>
  <si>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</si>
  <si>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</si>
  <si>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</si>
  <si>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</si>
  <si>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</si>
  <si>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</si>
  <si>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</si>
  <si>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</si>
  <si>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</si>
  <si>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</si>
  <si>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</si>
  <si>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</si>
  <si>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</si>
  <si>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</si>
  <si>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</si>
  <si>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</si>
  <si>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</si>
  <si>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</si>
  <si>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</si>
  <si>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</si>
  <si>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</si>
  <si>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</si>
  <si>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</si>
  <si>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</si>
  <si>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</si>
  <si>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</si>
  <si>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</si>
  <si>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</si>
  <si>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</si>
  <si>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</si>
  <si>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</si>
  <si>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</si>
  <si>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</si>
  <si>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</si>
  <si>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</si>
  <si>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</si>
  <si>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</si>
  <si>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</si>
  <si>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</si>
  <si>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</si>
  <si>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</si>
  <si>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</si>
  <si>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</si>
  <si>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</si>
  <si>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</si>
  <si>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</si>
  <si>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</si>
  <si>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</si>
  <si>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</si>
  <si>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</si>
  <si>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</si>
  <si>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</si>
  <si>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</si>
  <si>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</si>
  <si>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</si>
  <si>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</si>
  <si>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</si>
  <si>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</si>
  <si>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</si>
  <si>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</si>
  <si>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</si>
  <si>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</si>
  <si>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</si>
  <si>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</si>
  <si>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</si>
  <si>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</si>
  <si>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</si>
  <si>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</si>
  <si>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</si>
  <si>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</si>
  <si>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</si>
  <si>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</si>
  <si>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</si>
  <si>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</si>
  <si>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</si>
  <si>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</si>
  <si>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</si>
  <si>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</si>
  <si>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</si>
  <si>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</si>
  <si>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</si>
  <si>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</si>
  <si>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</si>
  <si>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</si>
  <si>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</si>
  <si>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</si>
  <si>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</si>
  <si>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</si>
  <si>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</si>
  <si>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</si>
  <si>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</si>
  <si>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</si>
  <si>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</si>
  <si>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</si>
  <si>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</si>
  <si>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</si>
  <si>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</si>
  <si>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</si>
  <si>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</si>
  <si>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</si>
  <si>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</si>
  <si>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</si>
  <si>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</si>
  <si>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</si>
  <si>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</si>
  <si>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</si>
  <si>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</si>
  <si>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</si>
  <si>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</si>
  <si>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</si>
  <si>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</si>
  <si>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</si>
  <si>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</si>
  <si>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</si>
  <si>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</si>
  <si>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</si>
  <si>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</si>
  <si>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</si>
  <si>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</si>
  <si>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</si>
  <si>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</si>
  <si>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</si>
  <si>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</si>
  <si>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</si>
  <si>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</si>
  <si>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</si>
  <si>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</si>
  <si>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</si>
  <si>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</si>
  <si>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</si>
  <si>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</si>
  <si>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</si>
  <si>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</si>
  <si>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</si>
  <si>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</si>
  <si>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</si>
  <si>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</si>
  <si>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</si>
  <si>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</si>
  <si>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</si>
  <si>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</si>
  <si>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</si>
  <si>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</si>
  <si>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</si>
  <si>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</si>
  <si>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</si>
  <si>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</si>
  <si>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</si>
  <si>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</si>
  <si>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</si>
  <si>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</si>
  <si>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</si>
  <si>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</si>
  <si>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</si>
  <si>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</si>
  <si>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</si>
  <si>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</si>
  <si>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</si>
  <si>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</si>
  <si>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</si>
  <si>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</si>
  <si>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</si>
  <si>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</si>
  <si>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</si>
  <si>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</si>
  <si>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</si>
  <si>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</si>
  <si>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</si>
  <si>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</si>
  <si>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</si>
  <si>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</si>
  <si>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</si>
  <si>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</si>
  <si>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</si>
  <si>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</si>
  <si>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</si>
  <si>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</si>
  <si>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</si>
  <si>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</si>
  <si>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</si>
  <si>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</si>
  <si>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</si>
  <si>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</si>
  <si>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</si>
  <si>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</si>
  <si>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</si>
  <si>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</si>
  <si>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</si>
  <si>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</si>
  <si>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</si>
  <si>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</si>
  <si>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</si>
  <si>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</si>
  <si>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</si>
  <si>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</si>
  <si>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</si>
  <si>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</si>
  <si>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</si>
  <si>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</si>
  <si>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</si>
  <si>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</si>
  <si>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</si>
  <si>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</si>
  <si>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</si>
  <si>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</si>
  <si>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</si>
  <si>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</si>
  <si>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</si>
  <si>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</si>
  <si>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</si>
  <si>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</si>
  <si>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</si>
  <si>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</si>
  <si>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</si>
  <si>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</si>
  <si>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</si>
  <si>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</si>
  <si>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</si>
  <si>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</si>
  <si>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</si>
  <si>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</si>
  <si>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</si>
  <si>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</si>
  <si>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</si>
  <si>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</si>
  <si>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</si>
  <si>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</si>
  <si>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</si>
  <si>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</si>
  <si>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</si>
  <si>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</si>
  <si>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</si>
  <si>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</si>
  <si>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</si>
  <si>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</si>
  <si>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</si>
  <si>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</si>
  <si>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</si>
  <si>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</si>
  <si>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</si>
  <si>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</si>
  <si>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</si>
  <si>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</si>
  <si>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</si>
  <si>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</si>
  <si>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</si>
  <si>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</si>
  <si>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</si>
  <si>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</si>
  <si>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</si>
  <si>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</si>
  <si>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</si>
  <si>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</si>
  <si>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</si>
  <si>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</si>
  <si>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</si>
  <si>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</si>
  <si>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</si>
  <si>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</si>
  <si>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</si>
  <si>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</si>
  <si>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</si>
  <si>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</si>
  <si>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</si>
  <si>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</si>
  <si>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</si>
  <si>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</si>
  <si>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</si>
  <si>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</si>
  <si>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</si>
  <si>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</si>
  <si>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</si>
  <si>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</si>
  <si>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</si>
  <si>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</si>
  <si>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</si>
  <si>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</si>
  <si>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</si>
  <si>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</si>
  <si>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</si>
  <si>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</si>
  <si>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</si>
  <si>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</si>
  <si>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</si>
  <si>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</si>
  <si>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</si>
  <si>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</si>
  <si>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</si>
  <si>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</si>
  <si>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</si>
  <si>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</si>
  <si>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</si>
  <si>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</si>
  <si>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</si>
  <si>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</si>
  <si>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</si>
  <si>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</si>
  <si>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</si>
  <si>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</si>
  <si>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</si>
  <si>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</si>
  <si>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</si>
  <si>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</si>
  <si>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</si>
  <si>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</si>
  <si>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</si>
  <si>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</si>
  <si>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</si>
  <si>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</si>
  <si>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</si>
  <si>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</si>
  <si>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1月ごとに全テーマサンプル</t>
    <rPh sb="1" eb="2">
      <t>ツキ</t>
    </rPh>
    <rPh sb="5" eb="6">
      <t>ゼン</t>
    </rPh>
    <phoneticPr fontId="1"/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</si>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</sst>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  <numFmt numFmtId="184" formatCode="m&quot; 月&quot;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</fonts>
  <fills count="581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</borders>
  <cellStyleXfs count="1">
    <xf numFmtId="0" fontId="0" fillId="0" borderId="0">
      <alignment vertical="center"/>
    </xf>
  </cellStyleXfs>
  <cellXfs count="66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76" borderId="0" xfId="0" applyFont="1" applyFill="1" applyAlignment="1">
      <alignment horizontal="center" vertical="top"/>
    </xf>
    <xf numFmtId="0" fontId="2" fillId="576" borderId="0" xfId="0" applyFont="1" applyFill="1" applyAlignment="1">
      <alignment horizontal="left" vertical="top"/>
    </xf>
    <xf numFmtId="0" fontId="2" fillId="578" borderId="0" xfId="0" applyFont="1" applyFill="1" applyAlignment="1">
      <alignment horizontal="left" vertical="top"/>
    </xf>
    <xf numFmtId="0" fontId="22" fillId="577" borderId="0" xfId="0" applyFont="1" applyFill="1" applyAlignment="1">
      <alignment horizontal="center" vertical="top"/>
    </xf>
    <xf numFmtId="0" fontId="2" fillId="579" borderId="0" xfId="0" applyFont="1" applyFill="1" applyAlignment="1">
      <alignment horizontal="left" vertical="top"/>
    </xf>
    <xf numFmtId="0" fontId="2" fillId="579" borderId="0" xfId="0" applyFont="1" applyFill="1" applyAlignment="1">
      <alignment horizontal="left" vertical="center"/>
    </xf>
    <xf numFmtId="0" fontId="2" fillId="579" borderId="6" xfId="0" applyFont="1" applyFill="1" applyBorder="1" applyAlignment="1">
      <alignment horizontal="left" vertical="top"/>
    </xf>
    <xf numFmtId="0" fontId="2" fillId="579" borderId="6" xfId="0" applyFont="1" applyFill="1" applyBorder="1" applyAlignment="1">
      <alignment horizontal="left" vertical="center"/>
    </xf>
    <xf numFmtId="0" fontId="2" fillId="579" borderId="7" xfId="0" applyFont="1" applyFill="1" applyBorder="1" applyAlignment="1">
      <alignment horizontal="left" vertical="top"/>
    </xf>
    <xf numFmtId="0" fontId="2" fillId="579" borderId="8" xfId="0" applyFont="1" applyFill="1" applyBorder="1" applyAlignment="1">
      <alignment horizontal="left" vertical="top"/>
    </xf>
    <xf numFmtId="180" fontId="2" fillId="579" borderId="9" xfId="0" applyNumberFormat="1" applyFont="1" applyFill="1" applyBorder="1" applyAlignment="1">
      <alignment horizontal="right" vertical="center"/>
    </xf>
    <xf numFmtId="180" fontId="2" fillId="579" borderId="10" xfId="0" applyNumberFormat="1" applyFont="1" applyFill="1" applyBorder="1" applyAlignment="1">
      <alignment horizontal="right" vertical="center"/>
    </xf>
    <xf numFmtId="181" fontId="2" fillId="579" borderId="11" xfId="0" applyNumberFormat="1" applyFont="1" applyFill="1" applyBorder="1" applyAlignment="1">
      <alignment horizontal="right" vertical="center"/>
    </xf>
    <xf numFmtId="0" fontId="2" fillId="579" borderId="9" xfId="0" applyFont="1" applyFill="1" applyBorder="1" applyAlignment="1">
      <alignment horizontal="center" vertical="center"/>
    </xf>
    <xf numFmtId="180" fontId="2" fillId="579" borderId="11" xfId="0" applyNumberFormat="1" applyFont="1" applyFill="1" applyBorder="1" applyAlignment="1">
      <alignment horizontal="right" vertical="center"/>
    </xf>
    <xf numFmtId="0" fontId="2" fillId="579" borderId="11" xfId="0" applyFont="1" applyFill="1" applyBorder="1" applyAlignment="1">
      <alignment horizontal="right" vertical="center"/>
    </xf>
    <xf numFmtId="0" fontId="2" fillId="576" borderId="9" xfId="0" applyFont="1" applyFill="1" applyBorder="1" applyAlignment="1">
      <alignment horizontal="left" vertical="top"/>
    </xf>
    <xf numFmtId="0" fontId="2" fillId="576" borderId="9" xfId="0" applyFont="1" applyFill="1" applyBorder="1" applyAlignment="1">
      <alignment horizontal="center" vertical="top"/>
    </xf>
    <xf numFmtId="0" fontId="22" fillId="580" borderId="9" xfId="0" applyFont="1" applyFill="1" applyBorder="1" applyAlignment="1">
      <alignment horizontal="center" vertical="top"/>
    </xf>
    <xf numFmtId="0" fontId="22" fillId="577" borderId="9" xfId="0" applyFont="1" applyFill="1" applyBorder="1" applyAlignment="1">
      <alignment horizontal="center" vertical="top"/>
    </xf>
    <xf numFmtId="182" fontId="2" fillId="576" borderId="10" xfId="0" applyNumberFormat="1" applyFont="1" applyFill="1" applyBorder="1" applyAlignment="1">
      <alignment horizontal="center" vertical="top"/>
    </xf>
    <xf numFmtId="0" fontId="2" fillId="576" borderId="10" xfId="0" applyFont="1" applyFill="1" applyBorder="1" applyAlignment="1">
      <alignment horizontal="center" vertical="top"/>
    </xf>
    <xf numFmtId="20" fontId="2" fillId="576" borderId="10" xfId="0" applyNumberFormat="1" applyFont="1" applyFill="1" applyBorder="1" applyAlignment="1">
      <alignment horizontal="right" vertical="top"/>
    </xf>
    <xf numFmtId="20" fontId="22" fillId="580" borderId="10" xfId="0" applyNumberFormat="1" applyFont="1" applyFill="1" applyBorder="1" applyAlignment="1">
      <alignment horizontal="right" vertical="top"/>
    </xf>
    <xf numFmtId="183" fontId="2" fillId="576" borderId="10" xfId="0" applyNumberFormat="1" applyFont="1" applyFill="1" applyBorder="1" applyAlignment="1">
      <alignment horizontal="right" vertical="top"/>
    </xf>
    <xf numFmtId="20" fontId="22" fillId="577" borderId="10" xfId="0" applyNumberFormat="1" applyFont="1" applyFill="1" applyBorder="1" applyAlignment="1">
      <alignment horizontal="right" vertical="top"/>
    </xf>
    <xf numFmtId="183" fontId="22" fillId="577" borderId="10" xfId="0" applyNumberFormat="1" applyFont="1" applyFill="1" applyBorder="1" applyAlignment="1">
      <alignment horizontal="right" vertical="top"/>
    </xf>
    <xf numFmtId="0" fontId="2" fillId="576" borderId="10" xfId="0" applyFont="1" applyFill="1" applyBorder="1" applyAlignment="1">
      <alignment horizontal="left" vertical="top" wrapText="1"/>
    </xf>
    <xf numFmtId="20" fontId="24" fillId="576" borderId="10" xfId="0" applyNumberFormat="1" applyFont="1" applyFill="1" applyBorder="1" applyAlignment="1">
      <alignment horizontal="right" vertical="top"/>
    </xf>
    <xf numFmtId="20" fontId="26" fillId="580" borderId="10" xfId="0" applyNumberFormat="1" applyFont="1" applyFill="1" applyBorder="1" applyAlignment="1">
      <alignment horizontal="right" vertical="top"/>
    </xf>
    <xf numFmtId="20" fontId="26" fillId="577" borderId="10" xfId="0" applyNumberFormat="1" applyFont="1" applyFill="1" applyBorder="1" applyAlignment="1">
      <alignment horizontal="right" vertical="top"/>
    </xf>
    <xf numFmtId="182" fontId="2" fillId="576" borderId="11" xfId="0" applyNumberFormat="1" applyFont="1" applyFill="1" applyBorder="1" applyAlignment="1">
      <alignment horizontal="center" vertical="top"/>
    </xf>
    <xf numFmtId="0" fontId="2" fillId="576" borderId="11" xfId="0" applyFont="1" applyFill="1" applyBorder="1" applyAlignment="1">
      <alignment horizontal="center" vertical="top"/>
    </xf>
    <xf numFmtId="20" fontId="2" fillId="576" borderId="11" xfId="0" applyNumberFormat="1" applyFont="1" applyFill="1" applyBorder="1" applyAlignment="1">
      <alignment horizontal="right" vertical="top"/>
    </xf>
    <xf numFmtId="20" fontId="22" fillId="580" borderId="11" xfId="0" applyNumberFormat="1" applyFont="1" applyFill="1" applyBorder="1" applyAlignment="1">
      <alignment horizontal="right" vertical="top"/>
    </xf>
    <xf numFmtId="183" fontId="2" fillId="576" borderId="11" xfId="0" applyNumberFormat="1" applyFont="1" applyFill="1" applyBorder="1" applyAlignment="1">
      <alignment horizontal="right" vertical="top"/>
    </xf>
    <xf numFmtId="20" fontId="22" fillId="577" borderId="11" xfId="0" applyNumberFormat="1" applyFont="1" applyFill="1" applyBorder="1" applyAlignment="1">
      <alignment horizontal="right" vertical="top"/>
    </xf>
    <xf numFmtId="183" fontId="22" fillId="577" borderId="11" xfId="0" applyNumberFormat="1" applyFont="1" applyFill="1" applyBorder="1" applyAlignment="1">
      <alignment horizontal="right" vertical="top"/>
    </xf>
    <xf numFmtId="0" fontId="2" fillId="576" borderId="11" xfId="0" applyFont="1" applyFill="1" applyBorder="1" applyAlignment="1">
      <alignment horizontal="left" vertical="top" wrapText="1"/>
    </xf>
    <xf numFmtId="0" fontId="2" fillId="578" borderId="0" xfId="0" applyFont="1" applyFill="1" applyAlignment="1">
      <alignment horizontal="center" vertical="top"/>
    </xf>
    <xf numFmtId="20" fontId="24" fillId="576" borderId="11" xfId="0" applyNumberFormat="1" applyFont="1" applyFill="1" applyBorder="1" applyAlignment="1">
      <alignment horizontal="right" vertical="top"/>
    </xf>
    <xf numFmtId="20" fontId="26" fillId="580" borderId="11" xfId="0" applyNumberFormat="1" applyFont="1" applyFill="1" applyBorder="1" applyAlignment="1">
      <alignment horizontal="right" vertical="top"/>
    </xf>
    <xf numFmtId="20" fontId="26" fillId="577" borderId="11" xfId="0" applyNumberFormat="1" applyFont="1" applyFill="1" applyBorder="1" applyAlignment="1">
      <alignment horizontal="right" vertical="top"/>
    </xf>
    <xf numFmtId="179" fontId="25" fillId="578" borderId="0" xfId="0" applyNumberFormat="1" applyFont="1" applyFill="1" applyAlignment="1">
      <alignment horizontal="center" vertical="top" wrapText="1"/>
    </xf>
    <xf numFmtId="14" fontId="25" fillId="578" borderId="0" xfId="0" applyNumberFormat="1" applyFont="1" applyFill="1" applyAlignment="1">
      <alignment horizontal="center" vertical="top" wrapText="1"/>
    </xf>
    <xf numFmtId="0" fontId="2" fillId="576" borderId="0" xfId="0" applyFont="1" applyFill="1" applyAlignment="1">
      <alignment horizontal="center" vertical="top"/>
    </xf>
    <xf numFmtId="0" fontId="22" fillId="580" borderId="0" xfId="0" applyFont="1" applyFill="1" applyAlignment="1">
      <alignment horizontal="center" vertical="top"/>
    </xf>
    <xf numFmtId="0" fontId="22" fillId="577" borderId="0" xfId="0" applyFont="1" applyFill="1" applyAlignment="1">
      <alignment horizontal="center" vertical="top"/>
    </xf>
    <xf numFmtId="184" fontId="23" fillId="578" borderId="0" xfId="0" applyNumberFormat="1" applyFont="1" applyFill="1" applyAlignment="1">
      <alignment horizontal="center" vertical="center"/>
    </xf>
    <xf numFmtId="14" fontId="23" fillId="578" borderId="0" xfId="0" applyNumberFormat="1" applyFont="1" applyFill="1" applyAlignment="1">
      <alignment horizontal="center" vertical="center"/>
    </xf>
    <xf numFmtId="14" fontId="23" fillId="578" borderId="6" xfId="0" applyNumberFormat="1" applyFont="1" applyFill="1" applyBorder="1" applyAlignment="1">
      <alignment horizontal="center" vertical="center"/>
    </xf>
    <xf numFmtId="0" fontId="2" fillId="579" borderId="9" xfId="0" applyFont="1" applyFill="1" applyBorder="1" applyAlignment="1">
      <alignment horizontal="left" vertical="center"/>
    </xf>
    <xf numFmtId="0" fontId="2" fillId="579" borderId="10" xfId="0" applyFont="1" applyFill="1" applyBorder="1" applyAlignment="1">
      <alignment horizontal="left" vertical="center"/>
    </xf>
    <xf numFmtId="0" fontId="2" fillId="579" borderId="11" xfId="0" applyFont="1" applyFill="1" applyBorder="1" applyAlignment="1">
      <alignment horizontal="left" vertical="center"/>
    </xf>
    <xf numFmtId="0" fontId="2" fillId="579" borderId="0" xfId="0" applyFont="1" applyFill="1" applyAlignment="1">
      <alignment horizontal="center" vertical="center"/>
    </xf>
    <xf numFmtId="0" fontId="27" fillId="578" borderId="0" xfId="0" applyFont="1" applyFill="1" applyAlignment="1">
      <alignment horizontal="center" vertical="top" textRotation="255" wrapText="1"/>
    </xf>
    <xf numFmtId="0" fontId="2" fillId="578" borderId="0" xfId="0" applyFont="1" applyFill="1" applyAlignment="1">
      <alignment horizontal="center" vertical="top" textRotation="255" wrapText="1"/>
    </xf>
    <xf numFmtId="178" fontId="23" fillId="578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573" borderId="0" xfId="0" applyFont="1" applyFill="1" applyAlignment="1">
      <alignment horizontal="left" vertical="top"/>
    </xf>
    <xf numFmtId="0" fontId="3" fillId="574" borderId="0" xfId="0" applyFont="1" applyFill="1" applyAlignment="1">
      <alignment horizontal="left" vertical="top"/>
    </xf>
    <xf numFmtId="0" fontId="3" fillId="575" borderId="0" xfId="0" applyFont="1" applyFill="1" applyAlignment="1">
      <alignment horizontal="left" vertical="top"/>
    </xf>
    <xf numFmtId="0" fontId="3" fillId="568" borderId="0" xfId="0" applyFont="1" applyFill="1" applyAlignment="1">
      <alignment horizontal="left" vertical="top"/>
    </xf>
    <xf numFmtId="0" fontId="3" fillId="569" borderId="0" xfId="0" applyFont="1" applyFill="1" applyAlignment="1">
      <alignment horizontal="left" vertical="top"/>
    </xf>
    <xf numFmtId="0" fontId="3" fillId="570" borderId="0" xfId="0" applyFont="1" applyFill="1" applyAlignment="1">
      <alignment horizontal="left" vertical="top"/>
    </xf>
    <xf numFmtId="0" fontId="3" fillId="210" borderId="0" xfId="0" applyFont="1" applyFill="1" applyAlignment="1">
      <alignment horizontal="left" vertical="top"/>
    </xf>
    <xf numFmtId="0" fontId="3" fillId="571" borderId="0" xfId="0" applyFont="1" applyFill="1" applyAlignment="1">
      <alignment horizontal="left" vertical="top"/>
    </xf>
    <xf numFmtId="0" fontId="3" fillId="572" borderId="0" xfId="0" applyFont="1" applyFill="1" applyAlignment="1">
      <alignment horizontal="left" vertical="top"/>
    </xf>
    <xf numFmtId="0" fontId="3" fillId="562" borderId="0" xfId="0" applyFont="1" applyFill="1" applyAlignment="1">
      <alignment horizontal="left" vertical="top"/>
    </xf>
    <xf numFmtId="0" fontId="3" fillId="563" borderId="0" xfId="0" applyFont="1" applyFill="1" applyAlignment="1">
      <alignment horizontal="left" vertical="top"/>
    </xf>
    <xf numFmtId="0" fontId="3" fillId="564" borderId="0" xfId="0" applyFont="1" applyFill="1" applyAlignment="1">
      <alignment horizontal="left" vertical="top"/>
    </xf>
    <xf numFmtId="0" fontId="3" fillId="565" borderId="0" xfId="0" applyFont="1" applyFill="1" applyAlignment="1">
      <alignment horizontal="left" vertical="top"/>
    </xf>
    <xf numFmtId="0" fontId="3" fillId="566" borderId="0" xfId="0" applyFont="1" applyFill="1" applyAlignment="1">
      <alignment horizontal="left" vertical="top"/>
    </xf>
    <xf numFmtId="0" fontId="3" fillId="567" borderId="0" xfId="0" applyFont="1" applyFill="1" applyAlignment="1">
      <alignment horizontal="left" vertical="top"/>
    </xf>
    <xf numFmtId="0" fontId="3" fillId="556" borderId="0" xfId="0" applyFont="1" applyFill="1" applyAlignment="1">
      <alignment horizontal="left" vertical="top"/>
    </xf>
    <xf numFmtId="0" fontId="3" fillId="557" borderId="0" xfId="0" applyFont="1" applyFill="1" applyAlignment="1">
      <alignment horizontal="left" vertical="top"/>
    </xf>
    <xf numFmtId="0" fontId="3" fillId="558" borderId="0" xfId="0" applyFont="1" applyFill="1" applyAlignment="1">
      <alignment horizontal="left" vertical="top"/>
    </xf>
    <xf numFmtId="0" fontId="3" fillId="559" borderId="0" xfId="0" applyFont="1" applyFill="1" applyAlignment="1">
      <alignment horizontal="left" vertical="top"/>
    </xf>
    <xf numFmtId="0" fontId="3" fillId="560" borderId="0" xfId="0" applyFont="1" applyFill="1" applyAlignment="1">
      <alignment horizontal="left" vertical="top"/>
    </xf>
    <xf numFmtId="0" fontId="3" fillId="561" borderId="0" xfId="0" applyFont="1" applyFill="1" applyAlignment="1">
      <alignment horizontal="left" vertical="top"/>
    </xf>
    <xf numFmtId="0" fontId="3" fillId="553" borderId="0" xfId="0" applyFont="1" applyFill="1" applyAlignment="1">
      <alignment horizontal="left" vertical="top"/>
    </xf>
    <xf numFmtId="0" fontId="3" fillId="554" borderId="0" xfId="0" applyFont="1" applyFill="1" applyAlignment="1">
      <alignment horizontal="left" vertical="top"/>
    </xf>
    <xf numFmtId="0" fontId="3" fillId="555" borderId="0" xfId="0" applyFont="1" applyFill="1" applyAlignment="1">
      <alignment horizontal="left" vertical="top"/>
    </xf>
    <xf numFmtId="0" fontId="3" fillId="547" borderId="0" xfId="0" applyFont="1" applyFill="1" applyAlignment="1">
      <alignment horizontal="left" vertical="top"/>
    </xf>
    <xf numFmtId="0" fontId="3" fillId="548" borderId="0" xfId="0" applyFont="1" applyFill="1" applyAlignment="1">
      <alignment horizontal="left" vertical="top"/>
    </xf>
    <xf numFmtId="0" fontId="3" fillId="549" borderId="0" xfId="0" applyFont="1" applyFill="1" applyAlignment="1">
      <alignment horizontal="left" vertical="top"/>
    </xf>
    <xf numFmtId="0" fontId="3" fillId="550" borderId="0" xfId="0" applyFont="1" applyFill="1" applyAlignment="1">
      <alignment horizontal="left" vertical="top"/>
    </xf>
    <xf numFmtId="0" fontId="3" fillId="551" borderId="0" xfId="0" applyFont="1" applyFill="1" applyAlignment="1">
      <alignment horizontal="left" vertical="top"/>
    </xf>
    <xf numFmtId="0" fontId="3" fillId="552" borderId="0" xfId="0" applyFont="1" applyFill="1" applyAlignment="1">
      <alignment horizontal="left" vertical="top"/>
    </xf>
    <xf numFmtId="0" fontId="3" fillId="543" borderId="0" xfId="0" applyFont="1" applyFill="1" applyAlignment="1">
      <alignment horizontal="left" vertical="top"/>
    </xf>
    <xf numFmtId="0" fontId="3" fillId="544" borderId="0" xfId="0" applyFont="1" applyFill="1" applyAlignment="1">
      <alignment horizontal="left" vertical="top"/>
    </xf>
    <xf numFmtId="0" fontId="3" fillId="545" borderId="0" xfId="0" applyFont="1" applyFill="1" applyAlignment="1">
      <alignment horizontal="left" vertical="top"/>
    </xf>
    <xf numFmtId="0" fontId="3" fillId="546" borderId="0" xfId="0" applyFont="1" applyFill="1" applyAlignment="1">
      <alignment horizontal="left" vertical="top"/>
    </xf>
    <xf numFmtId="0" fontId="3" fillId="535" borderId="0" xfId="0" applyFont="1" applyFill="1" applyAlignment="1">
      <alignment horizontal="left" vertical="top"/>
    </xf>
    <xf numFmtId="0" fontId="3" fillId="536" borderId="0" xfId="0" applyFont="1" applyFill="1" applyAlignment="1">
      <alignment horizontal="left" vertical="top"/>
    </xf>
    <xf numFmtId="0" fontId="3" fillId="537" borderId="0" xfId="0" applyFont="1" applyFill="1" applyAlignment="1">
      <alignment horizontal="left" vertical="top"/>
    </xf>
    <xf numFmtId="0" fontId="3" fillId="538" borderId="0" xfId="0" applyFont="1" applyFill="1" applyAlignment="1">
      <alignment horizontal="left" vertical="top"/>
    </xf>
    <xf numFmtId="0" fontId="3" fillId="539" borderId="0" xfId="0" applyFont="1" applyFill="1" applyAlignment="1">
      <alignment horizontal="left" vertical="top"/>
    </xf>
    <xf numFmtId="0" fontId="3" fillId="540" borderId="0" xfId="0" applyFont="1" applyFill="1" applyAlignment="1">
      <alignment horizontal="left" vertical="top"/>
    </xf>
    <xf numFmtId="0" fontId="3" fillId="541" borderId="0" xfId="0" applyFont="1" applyFill="1" applyAlignment="1">
      <alignment horizontal="left" vertical="top"/>
    </xf>
    <xf numFmtId="0" fontId="3" fillId="542" borderId="0" xfId="0" applyFont="1" applyFill="1" applyAlignment="1">
      <alignment horizontal="left" vertical="top"/>
    </xf>
    <xf numFmtId="0" fontId="3" fillId="523" borderId="0" xfId="0" applyFont="1" applyFill="1" applyAlignment="1">
      <alignment horizontal="left" vertical="top"/>
    </xf>
    <xf numFmtId="0" fontId="3" fillId="524" borderId="0" xfId="0" applyFont="1" applyFill="1" applyAlignment="1">
      <alignment horizontal="left" vertical="top"/>
    </xf>
    <xf numFmtId="0" fontId="3" fillId="525" borderId="0" xfId="0" applyFont="1" applyFill="1" applyAlignment="1">
      <alignment horizontal="left" vertical="top"/>
    </xf>
    <xf numFmtId="0" fontId="3" fillId="526" borderId="0" xfId="0" applyFont="1" applyFill="1" applyAlignment="1">
      <alignment horizontal="left" vertical="top"/>
    </xf>
    <xf numFmtId="0" fontId="3" fillId="527" borderId="0" xfId="0" applyFont="1" applyFill="1" applyAlignment="1">
      <alignment horizontal="left" vertical="top"/>
    </xf>
    <xf numFmtId="0" fontId="3" fillId="528" borderId="0" xfId="0" applyFont="1" applyFill="1" applyAlignment="1">
      <alignment horizontal="left" vertical="top"/>
    </xf>
    <xf numFmtId="0" fontId="3" fillId="513" borderId="0" xfId="0" applyFont="1" applyFill="1" applyAlignment="1">
      <alignment horizontal="left" vertical="top"/>
    </xf>
    <xf numFmtId="0" fontId="3" fillId="514" borderId="0" xfId="0" applyFont="1" applyFill="1" applyAlignment="1">
      <alignment horizontal="left" vertical="top"/>
    </xf>
    <xf numFmtId="0" fontId="3" fillId="515" borderId="0" xfId="0" applyFont="1" applyFill="1" applyAlignment="1">
      <alignment horizontal="left" vertical="top"/>
    </xf>
    <xf numFmtId="0" fontId="3" fillId="516" borderId="0" xfId="0" applyFont="1" applyFill="1" applyAlignment="1">
      <alignment horizontal="left" vertical="top"/>
    </xf>
    <xf numFmtId="0" fontId="3" fillId="517" borderId="0" xfId="0" applyFont="1" applyFill="1" applyAlignment="1">
      <alignment horizontal="left" vertical="top"/>
    </xf>
    <xf numFmtId="0" fontId="3" fillId="506" borderId="0" xfId="0" applyFont="1" applyFill="1" applyAlignment="1">
      <alignment horizontal="left" vertical="top"/>
    </xf>
    <xf numFmtId="0" fontId="3" fillId="507" borderId="0" xfId="0" applyFont="1" applyFill="1" applyAlignment="1">
      <alignment horizontal="left" vertical="top"/>
    </xf>
    <xf numFmtId="0" fontId="3" fillId="508" borderId="0" xfId="0" applyFont="1" applyFill="1" applyAlignment="1">
      <alignment horizontal="left" vertical="top"/>
    </xf>
    <xf numFmtId="0" fontId="3" fillId="509" borderId="0" xfId="0" applyFont="1" applyFill="1" applyAlignment="1">
      <alignment horizontal="left" vertical="top"/>
    </xf>
    <xf numFmtId="0" fontId="3" fillId="510" borderId="0" xfId="0" applyFont="1" applyFill="1" applyAlignment="1">
      <alignment horizontal="left" vertical="top"/>
    </xf>
    <xf numFmtId="0" fontId="3" fillId="511" borderId="0" xfId="0" applyFont="1" applyFill="1" applyAlignment="1">
      <alignment horizontal="left" vertical="top"/>
    </xf>
    <xf numFmtId="0" fontId="3" fillId="529" borderId="0" xfId="0" applyFont="1" applyFill="1" applyAlignment="1">
      <alignment horizontal="left" vertical="top"/>
    </xf>
    <xf numFmtId="0" fontId="3" fillId="530" borderId="0" xfId="0" applyFont="1" applyFill="1" applyAlignment="1">
      <alignment horizontal="left" vertical="top"/>
    </xf>
    <xf numFmtId="0" fontId="3" fillId="531" borderId="0" xfId="0" applyFont="1" applyFill="1" applyAlignment="1">
      <alignment horizontal="left" vertical="top"/>
    </xf>
    <xf numFmtId="0" fontId="3" fillId="532" borderId="0" xfId="0" applyFont="1" applyFill="1" applyAlignment="1">
      <alignment horizontal="left" vertical="top"/>
    </xf>
    <xf numFmtId="0" fontId="3" fillId="533" borderId="0" xfId="0" applyFont="1" applyFill="1" applyAlignment="1">
      <alignment horizontal="left" vertical="top"/>
    </xf>
    <xf numFmtId="0" fontId="3" fillId="534" borderId="0" xfId="0" applyFont="1" applyFill="1" applyAlignment="1">
      <alignment horizontal="left" vertical="top"/>
    </xf>
    <xf numFmtId="0" fontId="3" fillId="499" borderId="0" xfId="0" applyFont="1" applyFill="1" applyAlignment="1">
      <alignment horizontal="left" vertical="top"/>
    </xf>
    <xf numFmtId="0" fontId="3" fillId="500" borderId="0" xfId="0" applyFont="1" applyFill="1" applyAlignment="1">
      <alignment horizontal="left" vertical="top"/>
    </xf>
    <xf numFmtId="0" fontId="3" fillId="501" borderId="0" xfId="0" applyFont="1" applyFill="1" applyAlignment="1">
      <alignment horizontal="left" vertical="top"/>
    </xf>
    <xf numFmtId="0" fontId="3" fillId="502" borderId="0" xfId="0" applyFont="1" applyFill="1" applyAlignment="1">
      <alignment horizontal="left" vertical="top"/>
    </xf>
    <xf numFmtId="0" fontId="3" fillId="503" borderId="0" xfId="0" applyFont="1" applyFill="1" applyAlignment="1">
      <alignment horizontal="left" vertical="top"/>
    </xf>
    <xf numFmtId="0" fontId="3" fillId="504" borderId="0" xfId="0" applyFont="1" applyFill="1" applyAlignment="1">
      <alignment horizontal="left" vertical="top"/>
    </xf>
    <xf numFmtId="0" fontId="3" fillId="505" borderId="0" xfId="0" applyFont="1" applyFill="1" applyAlignment="1">
      <alignment horizontal="left" vertical="top"/>
    </xf>
    <xf numFmtId="0" fontId="3" fillId="518" borderId="0" xfId="0" applyFont="1" applyFill="1" applyAlignment="1">
      <alignment horizontal="left" vertical="top"/>
    </xf>
    <xf numFmtId="0" fontId="3" fillId="519" borderId="0" xfId="0" applyFont="1" applyFill="1" applyAlignment="1">
      <alignment horizontal="left" vertical="top"/>
    </xf>
    <xf numFmtId="0" fontId="3" fillId="520" borderId="0" xfId="0" applyFont="1" applyFill="1" applyAlignment="1">
      <alignment horizontal="left" vertical="top"/>
    </xf>
    <xf numFmtId="0" fontId="3" fillId="521" borderId="0" xfId="0" applyFont="1" applyFill="1" applyAlignment="1">
      <alignment horizontal="left" vertical="top"/>
    </xf>
    <xf numFmtId="0" fontId="3" fillId="522" borderId="0" xfId="0" applyFont="1" applyFill="1" applyAlignment="1">
      <alignment horizontal="left" vertical="top"/>
    </xf>
    <xf numFmtId="0" fontId="3" fillId="512" borderId="0" xfId="0" applyFont="1" applyFill="1" applyAlignment="1">
      <alignment horizontal="left" vertical="top"/>
    </xf>
    <xf numFmtId="0" fontId="3" fillId="498" borderId="0" xfId="0" applyFont="1" applyFill="1" applyAlignment="1">
      <alignment horizontal="left" vertical="top"/>
    </xf>
    <xf numFmtId="0" fontId="3" fillId="489" borderId="0" xfId="0" applyFont="1" applyFill="1" applyAlignment="1">
      <alignment horizontal="left" vertical="top"/>
    </xf>
    <xf numFmtId="0" fontId="3" fillId="490" borderId="0" xfId="0" applyFont="1" applyFill="1" applyAlignment="1">
      <alignment horizontal="left" vertical="top"/>
    </xf>
    <xf numFmtId="0" fontId="3" fillId="491" borderId="0" xfId="0" applyFont="1" applyFill="1" applyAlignment="1">
      <alignment horizontal="left" vertical="top"/>
    </xf>
    <xf numFmtId="0" fontId="3" fillId="492" borderId="0" xfId="0" applyFont="1" applyFill="1" applyAlignment="1">
      <alignment horizontal="left" vertical="top"/>
    </xf>
    <xf numFmtId="0" fontId="3" fillId="493" borderId="0" xfId="0" applyFont="1" applyFill="1" applyAlignment="1">
      <alignment horizontal="left" vertical="top"/>
    </xf>
    <xf numFmtId="0" fontId="3" fillId="494" borderId="0" xfId="0" applyFont="1" applyFill="1" applyAlignment="1">
      <alignment horizontal="left" vertical="top"/>
    </xf>
    <xf numFmtId="0" fontId="3" fillId="483" borderId="0" xfId="0" applyFont="1" applyFill="1" applyAlignment="1">
      <alignment horizontal="left" vertical="top"/>
    </xf>
    <xf numFmtId="0" fontId="3" fillId="484" borderId="0" xfId="0" applyFont="1" applyFill="1" applyAlignment="1">
      <alignment horizontal="left" vertical="top"/>
    </xf>
    <xf numFmtId="0" fontId="3" fillId="485" borderId="0" xfId="0" applyFont="1" applyFill="1" applyAlignment="1">
      <alignment horizontal="left" vertical="top"/>
    </xf>
    <xf numFmtId="0" fontId="3" fillId="486" borderId="0" xfId="0" applyFont="1" applyFill="1" applyAlignment="1">
      <alignment horizontal="left" vertical="top"/>
    </xf>
    <xf numFmtId="0" fontId="3" fillId="487" borderId="0" xfId="0" applyFont="1" applyFill="1" applyAlignment="1">
      <alignment horizontal="left" vertical="top"/>
    </xf>
    <xf numFmtId="0" fontId="3" fillId="488" borderId="0" xfId="0" applyFont="1" applyFill="1" applyAlignment="1">
      <alignment horizontal="left" vertical="top"/>
    </xf>
    <xf numFmtId="0" fontId="3" fillId="477" borderId="0" xfId="0" applyFont="1" applyFill="1" applyAlignment="1">
      <alignment horizontal="left" vertical="top"/>
    </xf>
    <xf numFmtId="0" fontId="3" fillId="478" borderId="0" xfId="0" applyFont="1" applyFill="1" applyAlignment="1">
      <alignment horizontal="left" vertical="top"/>
    </xf>
    <xf numFmtId="0" fontId="3" fillId="479" borderId="0" xfId="0" applyFont="1" applyFill="1" applyAlignment="1">
      <alignment horizontal="left" vertical="top"/>
    </xf>
    <xf numFmtId="0" fontId="3" fillId="480" borderId="0" xfId="0" applyFont="1" applyFill="1" applyAlignment="1">
      <alignment horizontal="left" vertical="top"/>
    </xf>
    <xf numFmtId="0" fontId="3" fillId="481" borderId="0" xfId="0" applyFont="1" applyFill="1" applyAlignment="1">
      <alignment horizontal="left" vertical="top"/>
    </xf>
    <xf numFmtId="0" fontId="3" fillId="482" borderId="0" xfId="0" applyFont="1" applyFill="1" applyAlignment="1">
      <alignment horizontal="left" vertical="top"/>
    </xf>
    <xf numFmtId="0" fontId="3" fillId="472" borderId="0" xfId="0" applyFont="1" applyFill="1" applyAlignment="1">
      <alignment horizontal="left" vertical="top"/>
    </xf>
    <xf numFmtId="0" fontId="3" fillId="473" borderId="0" xfId="0" applyFont="1" applyFill="1" applyAlignment="1">
      <alignment horizontal="left" vertical="top"/>
    </xf>
    <xf numFmtId="0" fontId="3" fillId="474" borderId="0" xfId="0" applyFont="1" applyFill="1" applyAlignment="1">
      <alignment horizontal="left" vertical="top"/>
    </xf>
    <xf numFmtId="0" fontId="3" fillId="475" borderId="0" xfId="0" applyFont="1" applyFill="1" applyAlignment="1">
      <alignment horizontal="left" vertical="top"/>
    </xf>
    <xf numFmtId="0" fontId="3" fillId="476" borderId="0" xfId="0" applyFont="1" applyFill="1" applyAlignment="1">
      <alignment horizontal="left" vertical="top"/>
    </xf>
    <xf numFmtId="0" fontId="3" fillId="495" borderId="0" xfId="0" applyFont="1" applyFill="1" applyAlignment="1">
      <alignment horizontal="left" vertical="top"/>
    </xf>
    <xf numFmtId="0" fontId="3" fillId="496" borderId="0" xfId="0" applyFont="1" applyFill="1" applyAlignment="1">
      <alignment horizontal="left" vertical="top"/>
    </xf>
    <xf numFmtId="0" fontId="3" fillId="497" borderId="0" xfId="0" applyFont="1" applyFill="1" applyAlignment="1">
      <alignment horizontal="left" vertical="top"/>
    </xf>
    <xf numFmtId="0" fontId="3" fillId="466" borderId="0" xfId="0" applyFont="1" applyFill="1" applyAlignment="1">
      <alignment horizontal="left" vertical="top"/>
    </xf>
    <xf numFmtId="0" fontId="3" fillId="467" borderId="0" xfId="0" applyFont="1" applyFill="1" applyAlignment="1">
      <alignment horizontal="left" vertical="top"/>
    </xf>
    <xf numFmtId="0" fontId="3" fillId="468" borderId="0" xfId="0" applyFont="1" applyFill="1" applyAlignment="1">
      <alignment horizontal="left" vertical="top"/>
    </xf>
    <xf numFmtId="0" fontId="3" fillId="469" borderId="0" xfId="0" applyFont="1" applyFill="1" applyAlignment="1">
      <alignment horizontal="left" vertical="top"/>
    </xf>
    <xf numFmtId="0" fontId="3" fillId="470" borderId="0" xfId="0" applyFont="1" applyFill="1" applyAlignment="1">
      <alignment horizontal="left" vertical="top"/>
    </xf>
    <xf numFmtId="0" fontId="3" fillId="471" borderId="0" xfId="0" applyFont="1" applyFill="1" applyAlignment="1">
      <alignment horizontal="left" vertical="top"/>
    </xf>
    <xf numFmtId="0" fontId="3" fillId="460" borderId="0" xfId="0" applyFont="1" applyFill="1" applyAlignment="1">
      <alignment horizontal="left" vertical="top"/>
    </xf>
    <xf numFmtId="0" fontId="3" fillId="461" borderId="0" xfId="0" applyFont="1" applyFill="1" applyAlignment="1">
      <alignment horizontal="left" vertical="top"/>
    </xf>
    <xf numFmtId="0" fontId="3" fillId="462" borderId="0" xfId="0" applyFont="1" applyFill="1" applyAlignment="1">
      <alignment horizontal="left" vertical="top"/>
    </xf>
    <xf numFmtId="0" fontId="3" fillId="463" borderId="0" xfId="0" applyFont="1" applyFill="1" applyAlignment="1">
      <alignment horizontal="left" vertical="top"/>
    </xf>
    <xf numFmtId="0" fontId="3" fillId="464" borderId="0" xfId="0" applyFont="1" applyFill="1" applyAlignment="1">
      <alignment horizontal="left" vertical="top"/>
    </xf>
    <xf numFmtId="0" fontId="3" fillId="465" borderId="0" xfId="0" applyFont="1" applyFill="1" applyAlignment="1">
      <alignment horizontal="left" vertical="top"/>
    </xf>
    <xf numFmtId="0" fontId="3" fillId="454" borderId="0" xfId="0" applyFont="1" applyFill="1" applyAlignment="1">
      <alignment horizontal="left" vertical="top"/>
    </xf>
    <xf numFmtId="0" fontId="3" fillId="455" borderId="0" xfId="0" applyFont="1" applyFill="1" applyAlignment="1">
      <alignment horizontal="left" vertical="top"/>
    </xf>
    <xf numFmtId="0" fontId="3" fillId="456" borderId="0" xfId="0" applyFont="1" applyFill="1" applyAlignment="1">
      <alignment horizontal="left" vertical="top"/>
    </xf>
    <xf numFmtId="0" fontId="3" fillId="457" borderId="0" xfId="0" applyFont="1" applyFill="1" applyAlignment="1">
      <alignment horizontal="left" vertical="top"/>
    </xf>
    <xf numFmtId="0" fontId="3" fillId="458" borderId="0" xfId="0" applyFont="1" applyFill="1" applyAlignment="1">
      <alignment horizontal="left" vertical="top"/>
    </xf>
    <xf numFmtId="0" fontId="3" fillId="459" borderId="0" xfId="0" applyFont="1" applyFill="1" applyAlignment="1">
      <alignment horizontal="left" vertical="top"/>
    </xf>
    <xf numFmtId="0" fontId="3" fillId="448" borderId="0" xfId="0" applyFont="1" applyFill="1" applyAlignment="1">
      <alignment horizontal="left" vertical="top"/>
    </xf>
    <xf numFmtId="0" fontId="3" fillId="449" borderId="0" xfId="0" applyFont="1" applyFill="1" applyAlignment="1">
      <alignment horizontal="left" vertical="top"/>
    </xf>
    <xf numFmtId="0" fontId="3" fillId="450" borderId="0" xfId="0" applyFont="1" applyFill="1" applyAlignment="1">
      <alignment horizontal="left" vertical="top"/>
    </xf>
    <xf numFmtId="0" fontId="3" fillId="451" borderId="0" xfId="0" applyFont="1" applyFill="1" applyAlignment="1">
      <alignment horizontal="left" vertical="top"/>
    </xf>
    <xf numFmtId="0" fontId="3" fillId="452" borderId="0" xfId="0" applyFont="1" applyFill="1" applyAlignment="1">
      <alignment horizontal="left" vertical="top"/>
    </xf>
    <xf numFmtId="0" fontId="3" fillId="453" borderId="0" xfId="0" applyFont="1" applyFill="1" applyAlignment="1">
      <alignment horizontal="left" vertical="top"/>
    </xf>
    <xf numFmtId="0" fontId="3" fillId="440" borderId="0" xfId="0" applyFont="1" applyFill="1" applyAlignment="1">
      <alignment horizontal="left" vertical="top"/>
    </xf>
    <xf numFmtId="0" fontId="3" fillId="441" borderId="0" xfId="0" applyFont="1" applyFill="1" applyAlignment="1">
      <alignment horizontal="left" vertical="top"/>
    </xf>
    <xf numFmtId="0" fontId="3" fillId="442" borderId="0" xfId="0" applyFont="1" applyFill="1" applyAlignment="1">
      <alignment horizontal="left" vertical="top"/>
    </xf>
    <xf numFmtId="0" fontId="3" fillId="443" borderId="0" xfId="0" applyFont="1" applyFill="1" applyAlignment="1">
      <alignment horizontal="left" vertical="top"/>
    </xf>
    <xf numFmtId="0" fontId="3" fillId="444" borderId="0" xfId="0" applyFont="1" applyFill="1" applyAlignment="1">
      <alignment horizontal="left" vertical="top"/>
    </xf>
    <xf numFmtId="0" fontId="3" fillId="147" borderId="0" xfId="0" applyFont="1" applyFill="1" applyAlignment="1">
      <alignment horizontal="left" vertical="top"/>
    </xf>
    <xf numFmtId="0" fontId="3" fillId="445" borderId="0" xfId="0" applyFont="1" applyFill="1" applyAlignment="1">
      <alignment horizontal="left" vertical="top"/>
    </xf>
    <xf numFmtId="0" fontId="3" fillId="446" borderId="0" xfId="0" applyFont="1" applyFill="1" applyAlignment="1">
      <alignment horizontal="left" vertical="top"/>
    </xf>
    <xf numFmtId="0" fontId="3" fillId="447" borderId="0" xfId="0" applyFont="1" applyFill="1" applyAlignment="1">
      <alignment horizontal="left" vertical="top"/>
    </xf>
    <xf numFmtId="0" fontId="3" fillId="438" borderId="0" xfId="0" applyFont="1" applyFill="1" applyAlignment="1">
      <alignment horizontal="left" vertical="top"/>
    </xf>
    <xf numFmtId="0" fontId="3" fillId="439" borderId="0" xfId="0" applyFont="1" applyFill="1" applyAlignment="1">
      <alignment horizontal="left" vertical="top"/>
    </xf>
    <xf numFmtId="0" fontId="3" fillId="432" borderId="0" xfId="0" applyFont="1" applyFill="1" applyAlignment="1">
      <alignment horizontal="left" vertical="top"/>
    </xf>
    <xf numFmtId="0" fontId="3" fillId="433" borderId="0" xfId="0" applyFont="1" applyFill="1" applyAlignment="1">
      <alignment horizontal="left" vertical="top"/>
    </xf>
    <xf numFmtId="0" fontId="3" fillId="434" borderId="0" xfId="0" applyFont="1" applyFill="1" applyAlignment="1">
      <alignment horizontal="left" vertical="top"/>
    </xf>
    <xf numFmtId="0" fontId="3" fillId="435" borderId="0" xfId="0" applyFont="1" applyFill="1" applyAlignment="1">
      <alignment horizontal="left" vertical="top"/>
    </xf>
    <xf numFmtId="0" fontId="3" fillId="436" borderId="0" xfId="0" applyFont="1" applyFill="1" applyAlignment="1">
      <alignment horizontal="left" vertical="top"/>
    </xf>
    <xf numFmtId="0" fontId="3" fillId="437" borderId="0" xfId="0" applyFont="1" applyFill="1" applyAlignment="1">
      <alignment horizontal="left" vertical="top"/>
    </xf>
    <xf numFmtId="0" fontId="3" fillId="426" borderId="0" xfId="0" applyFont="1" applyFill="1" applyAlignment="1">
      <alignment horizontal="left" vertical="top"/>
    </xf>
    <xf numFmtId="0" fontId="3" fillId="427" borderId="0" xfId="0" applyFont="1" applyFill="1" applyAlignment="1">
      <alignment horizontal="left" vertical="top"/>
    </xf>
    <xf numFmtId="0" fontId="3" fillId="428" borderId="0" xfId="0" applyFont="1" applyFill="1" applyAlignment="1">
      <alignment horizontal="left" vertical="top"/>
    </xf>
    <xf numFmtId="0" fontId="3" fillId="429" borderId="0" xfId="0" applyFont="1" applyFill="1" applyAlignment="1">
      <alignment horizontal="left" vertical="top"/>
    </xf>
    <xf numFmtId="0" fontId="3" fillId="430" borderId="0" xfId="0" applyFont="1" applyFill="1" applyAlignment="1">
      <alignment horizontal="left" vertical="top"/>
    </xf>
    <xf numFmtId="0" fontId="3" fillId="431" borderId="0" xfId="0" applyFont="1" applyFill="1" applyAlignment="1">
      <alignment horizontal="left" vertical="top"/>
    </xf>
    <xf numFmtId="0" fontId="3" fillId="420" borderId="0" xfId="0" applyFont="1" applyFill="1" applyAlignment="1">
      <alignment horizontal="left" vertical="top"/>
    </xf>
    <xf numFmtId="0" fontId="3" fillId="421" borderId="0" xfId="0" applyFont="1" applyFill="1" applyAlignment="1">
      <alignment horizontal="left" vertical="top"/>
    </xf>
    <xf numFmtId="0" fontId="3" fillId="417" borderId="0" xfId="0" applyFont="1" applyFill="1" applyAlignment="1">
      <alignment horizontal="left" vertical="top"/>
    </xf>
    <xf numFmtId="0" fontId="3" fillId="418" borderId="0" xfId="0" applyFont="1" applyFill="1" applyAlignment="1">
      <alignment horizontal="left" vertical="top"/>
    </xf>
    <xf numFmtId="0" fontId="3" fillId="412" borderId="0" xfId="0" applyFont="1" applyFill="1" applyAlignment="1">
      <alignment horizontal="left" vertical="top"/>
    </xf>
    <xf numFmtId="0" fontId="3" fillId="230" borderId="0" xfId="0" applyFont="1" applyFill="1" applyAlignment="1">
      <alignment horizontal="left" vertical="top"/>
    </xf>
    <xf numFmtId="0" fontId="3" fillId="413" borderId="0" xfId="0" applyFont="1" applyFill="1" applyAlignment="1">
      <alignment horizontal="left" vertical="top"/>
    </xf>
    <xf numFmtId="0" fontId="3" fillId="403" borderId="0" xfId="0" applyFont="1" applyFill="1" applyAlignment="1">
      <alignment horizontal="left" vertical="top"/>
    </xf>
    <xf numFmtId="0" fontId="3" fillId="404" borderId="0" xfId="0" applyFont="1" applyFill="1" applyAlignment="1">
      <alignment horizontal="left" vertical="top"/>
    </xf>
    <xf numFmtId="0" fontId="3" fillId="56" borderId="0" xfId="0" applyFont="1" applyFill="1" applyAlignment="1">
      <alignment horizontal="left" vertical="top"/>
    </xf>
    <xf numFmtId="0" fontId="3" fillId="405" borderId="0" xfId="0" applyFont="1" applyFill="1" applyAlignment="1">
      <alignment horizontal="left" vertical="top"/>
    </xf>
    <xf numFmtId="0" fontId="3" fillId="406" borderId="0" xfId="0" applyFont="1" applyFill="1" applyAlignment="1">
      <alignment horizontal="left" vertical="top"/>
    </xf>
    <xf numFmtId="0" fontId="3" fillId="407" borderId="0" xfId="0" applyFont="1" applyFill="1" applyAlignment="1">
      <alignment horizontal="left" vertical="top"/>
    </xf>
    <xf numFmtId="0" fontId="3" fillId="408" borderId="0" xfId="0" applyFont="1" applyFill="1" applyAlignment="1">
      <alignment horizontal="left" vertical="top"/>
    </xf>
    <xf numFmtId="0" fontId="3" fillId="422" borderId="0" xfId="0" applyFont="1" applyFill="1" applyAlignment="1">
      <alignment horizontal="left" vertical="top"/>
    </xf>
    <xf numFmtId="0" fontId="3" fillId="423" borderId="0" xfId="0" applyFont="1" applyFill="1" applyAlignment="1">
      <alignment horizontal="left" vertical="top"/>
    </xf>
    <xf numFmtId="0" fontId="3" fillId="424" borderId="0" xfId="0" applyFont="1" applyFill="1" applyAlignment="1">
      <alignment horizontal="left" vertical="top"/>
    </xf>
    <xf numFmtId="0" fontId="3" fillId="425" borderId="0" xfId="0" applyFont="1" applyFill="1" applyAlignment="1">
      <alignment horizontal="left" vertical="top"/>
    </xf>
    <xf numFmtId="0" fontId="3" fillId="414" borderId="0" xfId="0" applyFont="1" applyFill="1" applyAlignment="1">
      <alignment horizontal="left" vertical="top"/>
    </xf>
    <xf numFmtId="0" fontId="3" fillId="415" borderId="0" xfId="0" applyFont="1" applyFill="1" applyAlignment="1">
      <alignment horizontal="left" vertical="top"/>
    </xf>
    <xf numFmtId="0" fontId="3" fillId="416" borderId="0" xfId="0" applyFont="1" applyFill="1" applyAlignment="1">
      <alignment horizontal="left" vertical="top"/>
    </xf>
    <xf numFmtId="0" fontId="3" fillId="419" borderId="0" xfId="0" applyFont="1" applyFill="1" applyAlignment="1">
      <alignment horizontal="left" vertical="top"/>
    </xf>
    <xf numFmtId="0" fontId="3" fillId="409" borderId="0" xfId="0" applyFont="1" applyFill="1" applyAlignment="1">
      <alignment horizontal="left" vertical="top"/>
    </xf>
    <xf numFmtId="0" fontId="3" fillId="410" borderId="0" xfId="0" applyFont="1" applyFill="1" applyAlignment="1">
      <alignment horizontal="left" vertical="top"/>
    </xf>
    <xf numFmtId="0" fontId="3" fillId="411" borderId="0" xfId="0" applyFont="1" applyFill="1" applyAlignment="1">
      <alignment horizontal="left" vertical="top"/>
    </xf>
    <xf numFmtId="0" fontId="3" fillId="400" borderId="0" xfId="0" applyFont="1" applyFill="1" applyAlignment="1">
      <alignment horizontal="left" vertical="top"/>
    </xf>
    <xf numFmtId="0" fontId="3" fillId="401" borderId="0" xfId="0" applyFont="1" applyFill="1" applyAlignment="1">
      <alignment horizontal="left" vertical="top"/>
    </xf>
    <xf numFmtId="0" fontId="3" fillId="402" borderId="0" xfId="0" applyFont="1" applyFill="1" applyAlignment="1">
      <alignment horizontal="left" vertical="top"/>
    </xf>
    <xf numFmtId="0" fontId="3" fillId="371" borderId="0" xfId="0" applyFont="1" applyFill="1" applyAlignment="1">
      <alignment horizontal="left" vertical="top"/>
    </xf>
    <xf numFmtId="0" fontId="3" fillId="372" borderId="0" xfId="0" applyFont="1" applyFill="1" applyAlignment="1">
      <alignment horizontal="left" vertical="top"/>
    </xf>
    <xf numFmtId="0" fontId="3" fillId="373" borderId="0" xfId="0" applyFont="1" applyFill="1" applyAlignment="1">
      <alignment horizontal="left" vertical="top"/>
    </xf>
    <xf numFmtId="0" fontId="3" fillId="374" borderId="0" xfId="0" applyFont="1" applyFill="1" applyAlignment="1">
      <alignment horizontal="left" vertical="top"/>
    </xf>
    <xf numFmtId="0" fontId="3" fillId="375" borderId="0" xfId="0" applyFont="1" applyFill="1" applyAlignment="1">
      <alignment horizontal="left" vertical="top"/>
    </xf>
    <xf numFmtId="0" fontId="3" fillId="364" borderId="0" xfId="0" applyFont="1" applyFill="1" applyAlignment="1">
      <alignment horizontal="left" vertical="top"/>
    </xf>
    <xf numFmtId="0" fontId="3" fillId="365" borderId="0" xfId="0" applyFont="1" applyFill="1" applyAlignment="1">
      <alignment horizontal="left" vertical="top"/>
    </xf>
    <xf numFmtId="0" fontId="3" fillId="366" borderId="0" xfId="0" applyFont="1" applyFill="1" applyAlignment="1">
      <alignment horizontal="left" vertical="top"/>
    </xf>
    <xf numFmtId="0" fontId="3" fillId="367" borderId="0" xfId="0" applyFont="1" applyFill="1" applyAlignment="1">
      <alignment horizontal="left" vertical="top"/>
    </xf>
    <xf numFmtId="0" fontId="3" fillId="368" borderId="0" xfId="0" applyFont="1" applyFill="1" applyAlignment="1">
      <alignment horizontal="left" vertical="top"/>
    </xf>
    <xf numFmtId="0" fontId="3" fillId="369" borderId="0" xfId="0" applyFont="1" applyFill="1" applyAlignment="1">
      <alignment horizontal="left" vertical="top"/>
    </xf>
    <xf numFmtId="0" fontId="3" fillId="394" borderId="0" xfId="0" applyFont="1" applyFill="1" applyAlignment="1">
      <alignment horizontal="left" vertical="top"/>
    </xf>
    <xf numFmtId="0" fontId="3" fillId="395" borderId="0" xfId="0" applyFont="1" applyFill="1" applyAlignment="1">
      <alignment horizontal="left" vertical="top"/>
    </xf>
    <xf numFmtId="0" fontId="3" fillId="396" borderId="0" xfId="0" applyFont="1" applyFill="1" applyAlignment="1">
      <alignment horizontal="left" vertical="top"/>
    </xf>
    <xf numFmtId="0" fontId="3" fillId="397" borderId="0" xfId="0" applyFont="1" applyFill="1" applyAlignment="1">
      <alignment horizontal="left" vertical="top"/>
    </xf>
    <xf numFmtId="0" fontId="3" fillId="398" borderId="0" xfId="0" applyFont="1" applyFill="1" applyAlignment="1">
      <alignment horizontal="left" vertical="top"/>
    </xf>
    <xf numFmtId="0" fontId="3" fillId="399" borderId="0" xfId="0" applyFont="1" applyFill="1" applyAlignment="1">
      <alignment horizontal="left" vertical="top"/>
    </xf>
    <xf numFmtId="0" fontId="3" fillId="388" borderId="0" xfId="0" applyFont="1" applyFill="1" applyAlignment="1">
      <alignment horizontal="left" vertical="top"/>
    </xf>
    <xf numFmtId="0" fontId="3" fillId="389" borderId="0" xfId="0" applyFont="1" applyFill="1" applyAlignment="1">
      <alignment horizontal="left" vertical="top"/>
    </xf>
    <xf numFmtId="0" fontId="3" fillId="390" borderId="0" xfId="0" applyFont="1" applyFill="1" applyAlignment="1">
      <alignment horizontal="left" vertical="top"/>
    </xf>
    <xf numFmtId="0" fontId="3" fillId="391" borderId="0" xfId="0" applyFont="1" applyFill="1" applyAlignment="1">
      <alignment horizontal="left" vertical="top"/>
    </xf>
    <xf numFmtId="0" fontId="3" fillId="392" borderId="0" xfId="0" applyFont="1" applyFill="1" applyAlignment="1">
      <alignment horizontal="left" vertical="top"/>
    </xf>
    <xf numFmtId="0" fontId="3" fillId="393" borderId="0" xfId="0" applyFont="1" applyFill="1" applyAlignment="1">
      <alignment horizontal="left" vertical="top"/>
    </xf>
    <xf numFmtId="0" fontId="3" fillId="382" borderId="0" xfId="0" applyFont="1" applyFill="1" applyAlignment="1">
      <alignment horizontal="left" vertical="top"/>
    </xf>
    <xf numFmtId="0" fontId="3" fillId="383" borderId="0" xfId="0" applyFont="1" applyFill="1" applyAlignment="1">
      <alignment horizontal="left" vertical="top"/>
    </xf>
    <xf numFmtId="0" fontId="3" fillId="384" borderId="0" xfId="0" applyFont="1" applyFill="1" applyAlignment="1">
      <alignment horizontal="left" vertical="top"/>
    </xf>
    <xf numFmtId="0" fontId="3" fillId="385" borderId="0" xfId="0" applyFont="1" applyFill="1" applyAlignment="1">
      <alignment horizontal="left" vertical="top"/>
    </xf>
    <xf numFmtId="0" fontId="3" fillId="386" borderId="0" xfId="0" applyFont="1" applyFill="1" applyAlignment="1">
      <alignment horizontal="left" vertical="top"/>
    </xf>
    <xf numFmtId="0" fontId="3" fillId="387" borderId="0" xfId="0" applyFont="1" applyFill="1" applyAlignment="1">
      <alignment horizontal="left" vertical="top"/>
    </xf>
    <xf numFmtId="0" fontId="3" fillId="376" borderId="0" xfId="0" applyFont="1" applyFill="1" applyAlignment="1">
      <alignment horizontal="left" vertical="top"/>
    </xf>
    <xf numFmtId="0" fontId="3" fillId="377" borderId="0" xfId="0" applyFont="1" applyFill="1" applyAlignment="1">
      <alignment horizontal="left" vertical="top"/>
    </xf>
    <xf numFmtId="0" fontId="3" fillId="378" borderId="0" xfId="0" applyFont="1" applyFill="1" applyAlignment="1">
      <alignment horizontal="left" vertical="top"/>
    </xf>
    <xf numFmtId="0" fontId="3" fillId="379" borderId="0" xfId="0" applyFont="1" applyFill="1" applyAlignment="1">
      <alignment horizontal="left" vertical="top"/>
    </xf>
    <xf numFmtId="0" fontId="3" fillId="380" borderId="0" xfId="0" applyFont="1" applyFill="1" applyAlignment="1">
      <alignment horizontal="left" vertical="top"/>
    </xf>
    <xf numFmtId="0" fontId="3" fillId="381" borderId="0" xfId="0" applyFont="1" applyFill="1" applyAlignment="1">
      <alignment horizontal="left" vertical="top"/>
    </xf>
    <xf numFmtId="0" fontId="3" fillId="370" borderId="0" xfId="0" applyFont="1" applyFill="1" applyAlignment="1">
      <alignment horizontal="left" vertical="top"/>
    </xf>
    <xf numFmtId="0" fontId="3" fillId="355" borderId="0" xfId="0" applyFont="1" applyFill="1" applyAlignment="1">
      <alignment horizontal="left" vertical="top"/>
    </xf>
    <xf numFmtId="0" fontId="3" fillId="356" borderId="0" xfId="0" applyFont="1" applyFill="1" applyAlignment="1">
      <alignment horizontal="left" vertical="top"/>
    </xf>
    <xf numFmtId="0" fontId="3" fillId="357" borderId="0" xfId="0" applyFont="1" applyFill="1" applyAlignment="1">
      <alignment horizontal="left" vertical="top"/>
    </xf>
    <xf numFmtId="0" fontId="3" fillId="358" borderId="0" xfId="0" applyFont="1" applyFill="1" applyAlignment="1">
      <alignment horizontal="left" vertical="top"/>
    </xf>
    <xf numFmtId="0" fontId="3" fillId="359" borderId="0" xfId="0" applyFont="1" applyFill="1" applyAlignment="1">
      <alignment horizontal="left" vertical="top"/>
    </xf>
    <xf numFmtId="0" fontId="3" fillId="360" borderId="0" xfId="0" applyFont="1" applyFill="1" applyAlignment="1">
      <alignment horizontal="left" vertical="top"/>
    </xf>
    <xf numFmtId="0" fontId="3" fillId="361" borderId="0" xfId="0" applyFont="1" applyFill="1" applyAlignment="1">
      <alignment horizontal="left" vertical="top"/>
    </xf>
    <xf numFmtId="0" fontId="3" fillId="362" borderId="0" xfId="0" applyFont="1" applyFill="1" applyAlignment="1">
      <alignment horizontal="left" vertical="top"/>
    </xf>
    <xf numFmtId="0" fontId="3" fillId="363" borderId="0" xfId="0" applyFont="1" applyFill="1" applyAlignment="1">
      <alignment horizontal="left" vertical="top"/>
    </xf>
    <xf numFmtId="0" fontId="3" fillId="354" borderId="0" xfId="0" applyFont="1" applyFill="1" applyAlignment="1">
      <alignment horizontal="left" vertical="top"/>
    </xf>
    <xf numFmtId="0" fontId="3" fillId="335" borderId="0" xfId="0" applyFont="1" applyFill="1" applyAlignment="1">
      <alignment horizontal="left" vertical="top"/>
    </xf>
    <xf numFmtId="0" fontId="3" fillId="324" borderId="0" xfId="0" applyFont="1" applyFill="1" applyAlignment="1">
      <alignment horizontal="left" vertical="top"/>
    </xf>
    <xf numFmtId="0" fontId="3" fillId="325" borderId="0" xfId="0" applyFont="1" applyFill="1" applyAlignment="1">
      <alignment horizontal="left" vertical="top"/>
    </xf>
    <xf numFmtId="0" fontId="3" fillId="326" borderId="0" xfId="0" applyFont="1" applyFill="1" applyAlignment="1">
      <alignment horizontal="left" vertical="top"/>
    </xf>
    <xf numFmtId="0" fontId="3" fillId="327" borderId="0" xfId="0" applyFont="1" applyFill="1" applyAlignment="1">
      <alignment horizontal="left" vertical="top"/>
    </xf>
    <xf numFmtId="0" fontId="3" fillId="328" borderId="0" xfId="0" applyFont="1" applyFill="1" applyAlignment="1">
      <alignment horizontal="left" vertical="top"/>
    </xf>
    <xf numFmtId="0" fontId="3" fillId="329" borderId="0" xfId="0" applyFont="1" applyFill="1" applyAlignment="1">
      <alignment horizontal="left" vertical="top"/>
    </xf>
    <xf numFmtId="0" fontId="3" fillId="318" borderId="0" xfId="0" applyFont="1" applyFill="1" applyAlignment="1">
      <alignment horizontal="left" vertical="top"/>
    </xf>
    <xf numFmtId="0" fontId="3" fillId="319" borderId="0" xfId="0" applyFont="1" applyFill="1" applyAlignment="1">
      <alignment horizontal="left" vertical="top"/>
    </xf>
    <xf numFmtId="0" fontId="3" fillId="320" borderId="0" xfId="0" applyFont="1" applyFill="1" applyAlignment="1">
      <alignment horizontal="left" vertical="top"/>
    </xf>
    <xf numFmtId="0" fontId="3" fillId="321" borderId="0" xfId="0" applyFont="1" applyFill="1" applyAlignment="1">
      <alignment horizontal="left" vertical="top"/>
    </xf>
    <xf numFmtId="0" fontId="3" fillId="322" borderId="0" xfId="0" applyFont="1" applyFill="1" applyAlignment="1">
      <alignment horizontal="left" vertical="top"/>
    </xf>
    <xf numFmtId="0" fontId="3" fillId="323" borderId="0" xfId="0" applyFont="1" applyFill="1" applyAlignment="1">
      <alignment horizontal="left" vertical="top"/>
    </xf>
    <xf numFmtId="0" fontId="3" fillId="348" borderId="0" xfId="0" applyFont="1" applyFill="1" applyAlignment="1">
      <alignment horizontal="left" vertical="top"/>
    </xf>
    <xf numFmtId="0" fontId="3" fillId="349" borderId="0" xfId="0" applyFont="1" applyFill="1" applyAlignment="1">
      <alignment horizontal="left" vertical="top"/>
    </xf>
    <xf numFmtId="0" fontId="3" fillId="350" borderId="0" xfId="0" applyFont="1" applyFill="1" applyAlignment="1">
      <alignment horizontal="left" vertical="top"/>
    </xf>
    <xf numFmtId="0" fontId="3" fillId="351" borderId="0" xfId="0" applyFont="1" applyFill="1" applyAlignment="1">
      <alignment horizontal="left" vertical="top"/>
    </xf>
    <xf numFmtId="0" fontId="3" fillId="352" borderId="0" xfId="0" applyFont="1" applyFill="1" applyAlignment="1">
      <alignment horizontal="left" vertical="top"/>
    </xf>
    <xf numFmtId="0" fontId="3" fillId="353" borderId="0" xfId="0" applyFont="1" applyFill="1" applyAlignment="1">
      <alignment horizontal="left" vertical="top"/>
    </xf>
    <xf numFmtId="0" fontId="3" fillId="342" borderId="0" xfId="0" applyFont="1" applyFill="1" applyAlignment="1">
      <alignment horizontal="left" vertical="top"/>
    </xf>
    <xf numFmtId="0" fontId="3" fillId="343" borderId="0" xfId="0" applyFont="1" applyFill="1" applyAlignment="1">
      <alignment horizontal="left" vertical="top"/>
    </xf>
    <xf numFmtId="0" fontId="3" fillId="344" borderId="0" xfId="0" applyFont="1" applyFill="1" applyAlignment="1">
      <alignment horizontal="left" vertical="top"/>
    </xf>
    <xf numFmtId="0" fontId="3" fillId="345" borderId="0" xfId="0" applyFont="1" applyFill="1" applyAlignment="1">
      <alignment horizontal="left" vertical="top"/>
    </xf>
    <xf numFmtId="0" fontId="3" fillId="346" borderId="0" xfId="0" applyFont="1" applyFill="1" applyAlignment="1">
      <alignment horizontal="left" vertical="top"/>
    </xf>
    <xf numFmtId="0" fontId="3" fillId="347" borderId="0" xfId="0" applyFont="1" applyFill="1" applyAlignment="1">
      <alignment horizontal="left" vertical="top"/>
    </xf>
    <xf numFmtId="0" fontId="3" fillId="336" borderId="0" xfId="0" applyFont="1" applyFill="1" applyAlignment="1">
      <alignment horizontal="left" vertical="top"/>
    </xf>
    <xf numFmtId="0" fontId="3" fillId="337" borderId="0" xfId="0" applyFont="1" applyFill="1" applyAlignment="1">
      <alignment horizontal="left" vertical="top"/>
    </xf>
    <xf numFmtId="0" fontId="3" fillId="338" borderId="0" xfId="0" applyFont="1" applyFill="1" applyAlignment="1">
      <alignment horizontal="left" vertical="top"/>
    </xf>
    <xf numFmtId="0" fontId="3" fillId="339" borderId="0" xfId="0" applyFont="1" applyFill="1" applyAlignment="1">
      <alignment horizontal="left" vertical="top"/>
    </xf>
    <xf numFmtId="0" fontId="3" fillId="340" borderId="0" xfId="0" applyFont="1" applyFill="1" applyAlignment="1">
      <alignment horizontal="left" vertical="top"/>
    </xf>
    <xf numFmtId="0" fontId="3" fillId="341" borderId="0" xfId="0" applyFont="1" applyFill="1" applyAlignment="1">
      <alignment horizontal="left" vertical="top"/>
    </xf>
    <xf numFmtId="0" fontId="3" fillId="330" borderId="0" xfId="0" applyFont="1" applyFill="1" applyAlignment="1">
      <alignment horizontal="left" vertical="top"/>
    </xf>
    <xf numFmtId="0" fontId="3" fillId="331" borderId="0" xfId="0" applyFont="1" applyFill="1" applyAlignment="1">
      <alignment horizontal="left" vertical="top"/>
    </xf>
    <xf numFmtId="0" fontId="3" fillId="332" borderId="0" xfId="0" applyFont="1" applyFill="1" applyAlignment="1">
      <alignment horizontal="left" vertical="top"/>
    </xf>
    <xf numFmtId="0" fontId="3" fillId="333" borderId="0" xfId="0" applyFont="1" applyFill="1" applyAlignment="1">
      <alignment horizontal="left" vertical="top"/>
    </xf>
    <xf numFmtId="0" fontId="3" fillId="334" borderId="0" xfId="0" applyFont="1" applyFill="1" applyAlignment="1">
      <alignment horizontal="left" vertical="top"/>
    </xf>
    <xf numFmtId="0" fontId="3" fillId="312" borderId="0" xfId="0" applyFont="1" applyFill="1" applyAlignment="1">
      <alignment horizontal="left" vertical="top"/>
    </xf>
    <xf numFmtId="0" fontId="3" fillId="313" borderId="0" xfId="0" applyFont="1" applyFill="1" applyAlignment="1">
      <alignment horizontal="left" vertical="top"/>
    </xf>
    <xf numFmtId="0" fontId="3" fillId="314" borderId="0" xfId="0" applyFont="1" applyFill="1" applyAlignment="1">
      <alignment horizontal="left" vertical="top"/>
    </xf>
    <xf numFmtId="0" fontId="3" fillId="315" borderId="0" xfId="0" applyFont="1" applyFill="1" applyAlignment="1">
      <alignment horizontal="left" vertical="top"/>
    </xf>
    <xf numFmtId="0" fontId="3" fillId="316" borderId="0" xfId="0" applyFont="1" applyFill="1" applyAlignment="1">
      <alignment horizontal="left" vertical="top"/>
    </xf>
    <xf numFmtId="0" fontId="3" fillId="317" borderId="0" xfId="0" applyFont="1" applyFill="1" applyAlignment="1">
      <alignment horizontal="left" vertical="top"/>
    </xf>
    <xf numFmtId="0" fontId="3" fillId="307" borderId="0" xfId="0" applyFont="1" applyFill="1" applyAlignment="1">
      <alignment horizontal="left" vertical="top"/>
    </xf>
    <xf numFmtId="0" fontId="3" fillId="308" borderId="0" xfId="0" applyFont="1" applyFill="1" applyAlignment="1">
      <alignment horizontal="left" vertical="top"/>
    </xf>
    <xf numFmtId="0" fontId="3" fillId="309" borderId="0" xfId="0" applyFont="1" applyFill="1" applyAlignment="1">
      <alignment horizontal="left" vertical="top"/>
    </xf>
    <xf numFmtId="0" fontId="3" fillId="310" borderId="0" xfId="0" applyFont="1" applyFill="1" applyAlignment="1">
      <alignment horizontal="left" vertical="top"/>
    </xf>
    <xf numFmtId="0" fontId="3" fillId="311" borderId="0" xfId="0" applyFont="1" applyFill="1" applyAlignment="1">
      <alignment horizontal="left" vertical="top"/>
    </xf>
    <xf numFmtId="0" fontId="3" fillId="305" borderId="0" xfId="0" applyFont="1" applyFill="1" applyAlignment="1">
      <alignment horizontal="left" vertical="top"/>
    </xf>
    <xf numFmtId="0" fontId="3" fillId="306" borderId="0" xfId="0" applyFont="1" applyFill="1" applyAlignment="1">
      <alignment horizontal="left" vertical="top"/>
    </xf>
    <xf numFmtId="0" fontId="3" fillId="299" borderId="0" xfId="0" applyFont="1" applyFill="1" applyAlignment="1">
      <alignment horizontal="left" vertical="top"/>
    </xf>
    <xf numFmtId="0" fontId="3" fillId="300" borderId="0" xfId="0" applyFont="1" applyFill="1" applyAlignment="1">
      <alignment horizontal="left" vertical="top"/>
    </xf>
    <xf numFmtId="0" fontId="3" fillId="301" borderId="0" xfId="0" applyFont="1" applyFill="1" applyAlignment="1">
      <alignment horizontal="left" vertical="top"/>
    </xf>
    <xf numFmtId="0" fontId="3" fillId="302" borderId="0" xfId="0" applyFont="1" applyFill="1" applyAlignment="1">
      <alignment horizontal="left" vertical="top"/>
    </xf>
    <xf numFmtId="0" fontId="3" fillId="303" borderId="0" xfId="0" applyFont="1" applyFill="1" applyAlignment="1">
      <alignment horizontal="left" vertical="top"/>
    </xf>
    <xf numFmtId="0" fontId="3" fillId="304" borderId="0" xfId="0" applyFont="1" applyFill="1" applyAlignment="1">
      <alignment horizontal="left" vertical="top"/>
    </xf>
    <xf numFmtId="0" fontId="3" fillId="293" borderId="0" xfId="0" applyFont="1" applyFill="1" applyAlignment="1">
      <alignment horizontal="left" vertical="top"/>
    </xf>
    <xf numFmtId="0" fontId="3" fillId="294" borderId="0" xfId="0" applyFont="1" applyFill="1" applyAlignment="1">
      <alignment horizontal="left" vertical="top"/>
    </xf>
    <xf numFmtId="0" fontId="3" fillId="295" borderId="0" xfId="0" applyFont="1" applyFill="1" applyAlignment="1">
      <alignment horizontal="left" vertical="top"/>
    </xf>
    <xf numFmtId="0" fontId="3" fillId="296" borderId="0" xfId="0" applyFont="1" applyFill="1" applyAlignment="1">
      <alignment horizontal="left" vertical="top"/>
    </xf>
    <xf numFmtId="0" fontId="3" fillId="297" borderId="0" xfId="0" applyFont="1" applyFill="1" applyAlignment="1">
      <alignment horizontal="left" vertical="top"/>
    </xf>
    <xf numFmtId="0" fontId="3" fillId="298" borderId="0" xfId="0" applyFont="1" applyFill="1" applyAlignment="1">
      <alignment horizontal="left" vertical="top"/>
    </xf>
    <xf numFmtId="0" fontId="3" fillId="287" borderId="0" xfId="0" applyFont="1" applyFill="1" applyAlignment="1">
      <alignment horizontal="left" vertical="top"/>
    </xf>
    <xf numFmtId="0" fontId="3" fillId="288" borderId="0" xfId="0" applyFont="1" applyFill="1" applyAlignment="1">
      <alignment horizontal="left" vertical="top"/>
    </xf>
    <xf numFmtId="0" fontId="3" fillId="289" borderId="0" xfId="0" applyFont="1" applyFill="1" applyAlignment="1">
      <alignment horizontal="left" vertical="top"/>
    </xf>
    <xf numFmtId="0" fontId="3" fillId="290" borderId="0" xfId="0" applyFont="1" applyFill="1" applyAlignment="1">
      <alignment horizontal="left" vertical="top"/>
    </xf>
    <xf numFmtId="0" fontId="3" fillId="291" borderId="0" xfId="0" applyFont="1" applyFill="1" applyAlignment="1">
      <alignment horizontal="left" vertical="top"/>
    </xf>
    <xf numFmtId="0" fontId="3" fillId="292" borderId="0" xfId="0" applyFont="1" applyFill="1" applyAlignment="1">
      <alignment horizontal="left" vertical="top"/>
    </xf>
    <xf numFmtId="0" fontId="3" fillId="281" borderId="0" xfId="0" applyFont="1" applyFill="1" applyAlignment="1">
      <alignment horizontal="left" vertical="top"/>
    </xf>
    <xf numFmtId="0" fontId="3" fillId="282" borderId="0" xfId="0" applyFont="1" applyFill="1" applyAlignment="1">
      <alignment horizontal="left" vertical="top"/>
    </xf>
    <xf numFmtId="0" fontId="3" fillId="283" borderId="0" xfId="0" applyFont="1" applyFill="1" applyAlignment="1">
      <alignment horizontal="left" vertical="top"/>
    </xf>
    <xf numFmtId="0" fontId="3" fillId="284" borderId="0" xfId="0" applyFont="1" applyFill="1" applyAlignment="1">
      <alignment horizontal="left" vertical="top"/>
    </xf>
    <xf numFmtId="0" fontId="3" fillId="285" borderId="0" xfId="0" applyFont="1" applyFill="1" applyAlignment="1">
      <alignment horizontal="left" vertical="top"/>
    </xf>
    <xf numFmtId="0" fontId="3" fillId="286" borderId="0" xfId="0" applyFont="1" applyFill="1" applyAlignment="1">
      <alignment horizontal="left" vertical="top"/>
    </xf>
    <xf numFmtId="0" fontId="3" fillId="275" borderId="0" xfId="0" applyFont="1" applyFill="1" applyAlignment="1">
      <alignment horizontal="left" vertical="top"/>
    </xf>
    <xf numFmtId="0" fontId="3" fillId="276" borderId="0" xfId="0" applyFont="1" applyFill="1" applyAlignment="1">
      <alignment horizontal="left" vertical="top"/>
    </xf>
    <xf numFmtId="0" fontId="3" fillId="277" borderId="0" xfId="0" applyFont="1" applyFill="1" applyAlignment="1">
      <alignment horizontal="left" vertical="top"/>
    </xf>
    <xf numFmtId="0" fontId="3" fillId="278" borderId="0" xfId="0" applyFont="1" applyFill="1" applyAlignment="1">
      <alignment horizontal="left" vertical="top"/>
    </xf>
    <xf numFmtId="0" fontId="3" fillId="279" borderId="0" xfId="0" applyFont="1" applyFill="1" applyAlignment="1">
      <alignment horizontal="left" vertical="top"/>
    </xf>
    <xf numFmtId="0" fontId="3" fillId="280" borderId="0" xfId="0" applyFont="1" applyFill="1" applyAlignment="1">
      <alignment horizontal="left" vertical="top"/>
    </xf>
    <xf numFmtId="0" fontId="3" fillId="269" borderId="0" xfId="0" applyFont="1" applyFill="1" applyAlignment="1">
      <alignment horizontal="left" vertical="top"/>
    </xf>
    <xf numFmtId="0" fontId="3" fillId="270" borderId="0" xfId="0" applyFont="1" applyFill="1" applyAlignment="1">
      <alignment horizontal="left" vertical="top"/>
    </xf>
    <xf numFmtId="0" fontId="3" fillId="271" borderId="0" xfId="0" applyFont="1" applyFill="1" applyAlignment="1">
      <alignment horizontal="left" vertical="top"/>
    </xf>
    <xf numFmtId="0" fontId="3" fillId="272" borderId="0" xfId="0" applyFont="1" applyFill="1" applyAlignment="1">
      <alignment horizontal="left" vertical="top"/>
    </xf>
    <xf numFmtId="0" fontId="3" fillId="273" borderId="0" xfId="0" applyFont="1" applyFill="1" applyAlignment="1">
      <alignment horizontal="left" vertical="top"/>
    </xf>
    <xf numFmtId="0" fontId="3" fillId="274" borderId="0" xfId="0" applyFont="1" applyFill="1" applyAlignment="1">
      <alignment horizontal="left" vertical="top"/>
    </xf>
    <xf numFmtId="0" fontId="3" fillId="263" borderId="0" xfId="0" applyFont="1" applyFill="1" applyAlignment="1">
      <alignment horizontal="left" vertical="top"/>
    </xf>
    <xf numFmtId="0" fontId="3" fillId="264" borderId="0" xfId="0" applyFont="1" applyFill="1" applyAlignment="1">
      <alignment horizontal="left" vertical="top"/>
    </xf>
    <xf numFmtId="0" fontId="3" fillId="265" borderId="0" xfId="0" applyFont="1" applyFill="1" applyAlignment="1">
      <alignment horizontal="left" vertical="top"/>
    </xf>
    <xf numFmtId="0" fontId="3" fillId="266" borderId="0" xfId="0" applyFont="1" applyFill="1" applyAlignment="1">
      <alignment horizontal="left" vertical="top"/>
    </xf>
    <xf numFmtId="0" fontId="3" fillId="267" borderId="0" xfId="0" applyFont="1" applyFill="1" applyAlignment="1">
      <alignment horizontal="left" vertical="top"/>
    </xf>
    <xf numFmtId="0" fontId="3" fillId="268" borderId="0" xfId="0" applyFont="1" applyFill="1" applyAlignment="1">
      <alignment horizontal="left" vertical="top"/>
    </xf>
    <xf numFmtId="0" fontId="3" fillId="256" borderId="0" xfId="0" applyFont="1" applyFill="1" applyAlignment="1">
      <alignment horizontal="left" vertical="top"/>
    </xf>
    <xf numFmtId="0" fontId="3" fillId="257" borderId="0" xfId="0" applyFont="1" applyFill="1" applyAlignment="1">
      <alignment horizontal="left" vertical="top"/>
    </xf>
    <xf numFmtId="0" fontId="3" fillId="258" borderId="0" xfId="0" applyFont="1" applyFill="1" applyAlignment="1">
      <alignment horizontal="left" vertical="top"/>
    </xf>
    <xf numFmtId="0" fontId="3" fillId="259" borderId="0" xfId="0" applyFont="1" applyFill="1" applyAlignment="1">
      <alignment horizontal="left" vertical="top"/>
    </xf>
    <xf numFmtId="0" fontId="3" fillId="260" borderId="0" xfId="0" applyFont="1" applyFill="1" applyAlignment="1">
      <alignment horizontal="left" vertical="top"/>
    </xf>
    <xf numFmtId="0" fontId="3" fillId="261" borderId="0" xfId="0" applyFont="1" applyFill="1" applyAlignment="1">
      <alignment horizontal="left" vertical="top"/>
    </xf>
    <xf numFmtId="0" fontId="3" fillId="262" borderId="0" xfId="0" applyFont="1" applyFill="1" applyAlignment="1">
      <alignment horizontal="left" vertical="top"/>
    </xf>
    <xf numFmtId="0" fontId="3" fillId="250" borderId="0" xfId="0" applyFont="1" applyFill="1" applyAlignment="1">
      <alignment horizontal="left" vertical="top"/>
    </xf>
    <xf numFmtId="0" fontId="3" fillId="251" borderId="0" xfId="0" applyFont="1" applyFill="1" applyAlignment="1">
      <alignment horizontal="left" vertical="top"/>
    </xf>
    <xf numFmtId="0" fontId="3" fillId="252" borderId="0" xfId="0" applyFont="1" applyFill="1" applyAlignment="1">
      <alignment horizontal="left" vertical="top"/>
    </xf>
    <xf numFmtId="0" fontId="3" fillId="253" borderId="0" xfId="0" applyFont="1" applyFill="1" applyAlignment="1">
      <alignment horizontal="left" vertical="top"/>
    </xf>
    <xf numFmtId="0" fontId="3" fillId="254" borderId="0" xfId="0" applyFont="1" applyFill="1" applyAlignment="1">
      <alignment horizontal="left" vertical="top"/>
    </xf>
    <xf numFmtId="0" fontId="3" fillId="255" borderId="0" xfId="0" applyFont="1" applyFill="1" applyAlignment="1">
      <alignment horizontal="left" vertical="top"/>
    </xf>
    <xf numFmtId="0" fontId="3" fillId="244" borderId="0" xfId="0" applyFont="1" applyFill="1" applyAlignment="1">
      <alignment horizontal="left" vertical="top"/>
    </xf>
    <xf numFmtId="0" fontId="3" fillId="245" borderId="0" xfId="0" applyFont="1" applyFill="1" applyAlignment="1">
      <alignment horizontal="left" vertical="top"/>
    </xf>
    <xf numFmtId="0" fontId="3" fillId="246" borderId="0" xfId="0" applyFont="1" applyFill="1" applyAlignment="1">
      <alignment horizontal="left" vertical="top"/>
    </xf>
    <xf numFmtId="0" fontId="3" fillId="247" borderId="0" xfId="0" applyFont="1" applyFill="1" applyAlignment="1">
      <alignment horizontal="left" vertical="top"/>
    </xf>
    <xf numFmtId="0" fontId="3" fillId="248" borderId="0" xfId="0" applyFont="1" applyFill="1" applyAlignment="1">
      <alignment horizontal="left" vertical="top"/>
    </xf>
    <xf numFmtId="0" fontId="3" fillId="249" borderId="0" xfId="0" applyFont="1" applyFill="1" applyAlignment="1">
      <alignment horizontal="left" vertical="top"/>
    </xf>
    <xf numFmtId="0" fontId="3" fillId="238" borderId="0" xfId="0" applyFont="1" applyFill="1" applyAlignment="1">
      <alignment horizontal="left" vertical="top"/>
    </xf>
    <xf numFmtId="0" fontId="3" fillId="239" borderId="0" xfId="0" applyFont="1" applyFill="1" applyAlignment="1">
      <alignment horizontal="left" vertical="top"/>
    </xf>
    <xf numFmtId="0" fontId="3" fillId="240" borderId="0" xfId="0" applyFont="1" applyFill="1" applyAlignment="1">
      <alignment horizontal="left" vertical="top"/>
    </xf>
    <xf numFmtId="0" fontId="3" fillId="241" borderId="0" xfId="0" applyFont="1" applyFill="1" applyAlignment="1">
      <alignment horizontal="left" vertical="top"/>
    </xf>
    <xf numFmtId="0" fontId="3" fillId="242" borderId="0" xfId="0" applyFont="1" applyFill="1" applyAlignment="1">
      <alignment horizontal="left" vertical="top"/>
    </xf>
    <xf numFmtId="0" fontId="3" fillId="243" borderId="0" xfId="0" applyFont="1" applyFill="1" applyAlignment="1">
      <alignment horizontal="left" vertical="top"/>
    </xf>
    <xf numFmtId="0" fontId="3" fillId="232" borderId="0" xfId="0" applyFont="1" applyFill="1" applyAlignment="1">
      <alignment horizontal="left" vertical="top"/>
    </xf>
    <xf numFmtId="0" fontId="3" fillId="233" borderId="0" xfId="0" applyFont="1" applyFill="1" applyAlignment="1">
      <alignment horizontal="left" vertical="top"/>
    </xf>
    <xf numFmtId="0" fontId="3" fillId="234" borderId="0" xfId="0" applyFont="1" applyFill="1" applyAlignment="1">
      <alignment horizontal="left" vertical="top"/>
    </xf>
    <xf numFmtId="0" fontId="3" fillId="235" borderId="0" xfId="0" applyFont="1" applyFill="1" applyAlignment="1">
      <alignment horizontal="left" vertical="top"/>
    </xf>
    <xf numFmtId="0" fontId="3" fillId="236" borderId="0" xfId="0" applyFont="1" applyFill="1" applyAlignment="1">
      <alignment horizontal="left" vertical="top"/>
    </xf>
    <xf numFmtId="0" fontId="3" fillId="237" borderId="0" xfId="0" applyFont="1" applyFill="1" applyAlignment="1">
      <alignment horizontal="left" vertical="top"/>
    </xf>
    <xf numFmtId="0" fontId="3" fillId="226" borderId="0" xfId="0" applyFont="1" applyFill="1" applyAlignment="1">
      <alignment horizontal="left" vertical="top"/>
    </xf>
    <xf numFmtId="0" fontId="3" fillId="227" borderId="0" xfId="0" applyFont="1" applyFill="1" applyAlignment="1">
      <alignment horizontal="left" vertical="top"/>
    </xf>
    <xf numFmtId="0" fontId="3" fillId="228" borderId="0" xfId="0" applyFont="1" applyFill="1" applyAlignment="1">
      <alignment horizontal="left" vertical="top"/>
    </xf>
    <xf numFmtId="0" fontId="3" fillId="229" borderId="0" xfId="0" applyFont="1" applyFill="1" applyAlignment="1">
      <alignment horizontal="left" vertical="top"/>
    </xf>
    <xf numFmtId="0" fontId="3" fillId="231" borderId="0" xfId="0" applyFont="1" applyFill="1" applyAlignment="1">
      <alignment horizontal="left" vertical="top"/>
    </xf>
    <xf numFmtId="0" fontId="3" fillId="220" borderId="0" xfId="0" applyFont="1" applyFill="1" applyAlignment="1">
      <alignment horizontal="left" vertical="top"/>
    </xf>
    <xf numFmtId="0" fontId="3" fillId="221" borderId="0" xfId="0" applyFont="1" applyFill="1" applyAlignment="1">
      <alignment horizontal="left" vertical="top"/>
    </xf>
    <xf numFmtId="0" fontId="3" fillId="222" borderId="0" xfId="0" applyFont="1" applyFill="1" applyAlignment="1">
      <alignment horizontal="left" vertical="top"/>
    </xf>
    <xf numFmtId="0" fontId="3" fillId="223" borderId="0" xfId="0" applyFont="1" applyFill="1" applyAlignment="1">
      <alignment horizontal="left" vertical="top"/>
    </xf>
    <xf numFmtId="0" fontId="3" fillId="224" borderId="0" xfId="0" applyFont="1" applyFill="1" applyAlignment="1">
      <alignment horizontal="left" vertical="top"/>
    </xf>
    <xf numFmtId="0" fontId="3" fillId="225" borderId="0" xfId="0" applyFont="1" applyFill="1" applyAlignment="1">
      <alignment horizontal="left" vertical="top"/>
    </xf>
    <xf numFmtId="0" fontId="3" fillId="214" borderId="0" xfId="0" applyFont="1" applyFill="1" applyAlignment="1">
      <alignment horizontal="left" vertical="top"/>
    </xf>
    <xf numFmtId="0" fontId="3" fillId="215" borderId="0" xfId="0" applyFont="1" applyFill="1" applyAlignment="1">
      <alignment horizontal="left" vertical="top"/>
    </xf>
    <xf numFmtId="0" fontId="3" fillId="216" borderId="0" xfId="0" applyFont="1" applyFill="1" applyAlignment="1">
      <alignment horizontal="left" vertical="top"/>
    </xf>
    <xf numFmtId="0" fontId="3" fillId="217" borderId="0" xfId="0" applyFont="1" applyFill="1" applyAlignment="1">
      <alignment horizontal="left" vertical="top"/>
    </xf>
    <xf numFmtId="0" fontId="3" fillId="218" borderId="0" xfId="0" applyFont="1" applyFill="1" applyAlignment="1">
      <alignment horizontal="left" vertical="top"/>
    </xf>
    <xf numFmtId="0" fontId="3" fillId="219" borderId="0" xfId="0" applyFont="1" applyFill="1" applyAlignment="1">
      <alignment horizontal="left" vertical="top"/>
    </xf>
    <xf numFmtId="0" fontId="3" fillId="206" borderId="0" xfId="0" applyFont="1" applyFill="1" applyAlignment="1">
      <alignment horizontal="left" vertical="top"/>
    </xf>
    <xf numFmtId="0" fontId="3" fillId="207" borderId="0" xfId="0" applyFont="1" applyFill="1" applyAlignment="1">
      <alignment horizontal="left" vertical="top"/>
    </xf>
    <xf numFmtId="0" fontId="3" fillId="208" borderId="0" xfId="0" applyFont="1" applyFill="1" applyAlignment="1">
      <alignment horizontal="left" vertical="top"/>
    </xf>
    <xf numFmtId="0" fontId="3" fillId="209" borderId="0" xfId="0" applyFont="1" applyFill="1" applyAlignment="1">
      <alignment horizontal="left" vertical="top"/>
    </xf>
    <xf numFmtId="0" fontId="3" fillId="211" borderId="0" xfId="0" applyFont="1" applyFill="1" applyAlignment="1">
      <alignment horizontal="left" vertical="top"/>
    </xf>
    <xf numFmtId="0" fontId="3" fillId="212" borderId="0" xfId="0" applyFont="1" applyFill="1" applyAlignment="1">
      <alignment horizontal="left" vertical="top"/>
    </xf>
    <xf numFmtId="0" fontId="3" fillId="213" borderId="0" xfId="0" applyFont="1" applyFill="1" applyAlignment="1">
      <alignment horizontal="left" vertical="top"/>
    </xf>
    <xf numFmtId="0" fontId="3" fillId="204" borderId="0" xfId="0" applyFont="1" applyFill="1" applyAlignment="1">
      <alignment horizontal="left" vertical="top"/>
    </xf>
    <xf numFmtId="0" fontId="3" fillId="205" borderId="0" xfId="0" applyFont="1" applyFill="1" applyAlignment="1">
      <alignment horizontal="left" vertical="top"/>
    </xf>
    <xf numFmtId="0" fontId="3" fillId="198" borderId="0" xfId="0" applyFont="1" applyFill="1" applyAlignment="1">
      <alignment horizontal="left" vertical="top"/>
    </xf>
    <xf numFmtId="0" fontId="3" fillId="199" borderId="0" xfId="0" applyFont="1" applyFill="1" applyAlignment="1">
      <alignment horizontal="left" vertical="top"/>
    </xf>
    <xf numFmtId="0" fontId="3" fillId="200" borderId="0" xfId="0" applyFont="1" applyFill="1" applyAlignment="1">
      <alignment horizontal="left" vertical="top"/>
    </xf>
    <xf numFmtId="0" fontId="3" fillId="201" borderId="0" xfId="0" applyFont="1" applyFill="1" applyAlignment="1">
      <alignment horizontal="left" vertical="top"/>
    </xf>
    <xf numFmtId="0" fontId="3" fillId="202" borderId="0" xfId="0" applyFont="1" applyFill="1" applyAlignment="1">
      <alignment horizontal="left" vertical="top"/>
    </xf>
    <xf numFmtId="0" fontId="3" fillId="203" borderId="0" xfId="0" applyFont="1" applyFill="1" applyAlignment="1">
      <alignment horizontal="left" vertical="top"/>
    </xf>
    <xf numFmtId="0" fontId="3" fillId="192" borderId="0" xfId="0" applyFont="1" applyFill="1" applyAlignment="1">
      <alignment horizontal="left" vertical="top"/>
    </xf>
    <xf numFmtId="0" fontId="3" fillId="193" borderId="0" xfId="0" applyFont="1" applyFill="1" applyAlignment="1">
      <alignment horizontal="left" vertical="top"/>
    </xf>
    <xf numFmtId="0" fontId="3" fillId="194" borderId="0" xfId="0" applyFont="1" applyFill="1" applyAlignment="1">
      <alignment horizontal="left" vertical="top"/>
    </xf>
    <xf numFmtId="0" fontId="3" fillId="195" borderId="0" xfId="0" applyFont="1" applyFill="1" applyAlignment="1">
      <alignment horizontal="left" vertical="top"/>
    </xf>
    <xf numFmtId="0" fontId="3" fillId="196" borderId="0" xfId="0" applyFont="1" applyFill="1" applyAlignment="1">
      <alignment horizontal="left" vertical="top"/>
    </xf>
    <xf numFmtId="0" fontId="3" fillId="197" borderId="0" xfId="0" applyFont="1" applyFill="1" applyAlignment="1">
      <alignment horizontal="left" vertical="top"/>
    </xf>
    <xf numFmtId="0" fontId="3" fillId="186" borderId="0" xfId="0" applyFont="1" applyFill="1" applyAlignment="1">
      <alignment horizontal="left" vertical="top"/>
    </xf>
    <xf numFmtId="0" fontId="3" fillId="187" borderId="0" xfId="0" applyFont="1" applyFill="1" applyAlignment="1">
      <alignment horizontal="left" vertical="top"/>
    </xf>
    <xf numFmtId="0" fontId="3" fillId="188" borderId="0" xfId="0" applyFont="1" applyFill="1" applyAlignment="1">
      <alignment horizontal="left" vertical="top"/>
    </xf>
    <xf numFmtId="0" fontId="3" fillId="189" borderId="0" xfId="0" applyFont="1" applyFill="1" applyAlignment="1">
      <alignment horizontal="left" vertical="top"/>
    </xf>
    <xf numFmtId="0" fontId="3" fillId="190" borderId="0" xfId="0" applyFont="1" applyFill="1" applyAlignment="1">
      <alignment horizontal="left" vertical="top"/>
    </xf>
    <xf numFmtId="0" fontId="3" fillId="191" borderId="0" xfId="0" applyFont="1" applyFill="1" applyAlignment="1">
      <alignment horizontal="left" vertical="top"/>
    </xf>
    <xf numFmtId="0" fontId="3" fillId="180" borderId="0" xfId="0" applyFont="1" applyFill="1" applyAlignment="1">
      <alignment horizontal="left" vertical="top"/>
    </xf>
    <xf numFmtId="0" fontId="3" fillId="181" borderId="0" xfId="0" applyFont="1" applyFill="1" applyAlignment="1">
      <alignment horizontal="left" vertical="top"/>
    </xf>
    <xf numFmtId="0" fontId="3" fillId="182" borderId="0" xfId="0" applyFont="1" applyFill="1" applyAlignment="1">
      <alignment horizontal="left" vertical="top"/>
    </xf>
    <xf numFmtId="0" fontId="3" fillId="183" borderId="0" xfId="0" applyFont="1" applyFill="1" applyAlignment="1">
      <alignment horizontal="left" vertical="top"/>
    </xf>
    <xf numFmtId="0" fontId="3" fillId="184" borderId="0" xfId="0" applyFont="1" applyFill="1" applyAlignment="1">
      <alignment horizontal="left" vertical="top"/>
    </xf>
    <xf numFmtId="0" fontId="3" fillId="185" borderId="0" xfId="0" applyFont="1" applyFill="1" applyAlignment="1">
      <alignment horizontal="left" vertical="top"/>
    </xf>
    <xf numFmtId="0" fontId="3" fillId="174" borderId="0" xfId="0" applyFont="1" applyFill="1" applyAlignment="1">
      <alignment horizontal="left" vertical="top"/>
    </xf>
    <xf numFmtId="0" fontId="3" fillId="175" borderId="0" xfId="0" applyFont="1" applyFill="1" applyAlignment="1">
      <alignment horizontal="left" vertical="top"/>
    </xf>
    <xf numFmtId="0" fontId="3" fillId="176" borderId="0" xfId="0" applyFont="1" applyFill="1" applyAlignment="1">
      <alignment horizontal="left" vertical="top"/>
    </xf>
    <xf numFmtId="0" fontId="3" fillId="177" borderId="0" xfId="0" applyFont="1" applyFill="1" applyAlignment="1">
      <alignment horizontal="left" vertical="top"/>
    </xf>
    <xf numFmtId="0" fontId="3" fillId="178" borderId="0" xfId="0" applyFont="1" applyFill="1" applyAlignment="1">
      <alignment horizontal="left" vertical="top"/>
    </xf>
    <xf numFmtId="0" fontId="3" fillId="179" borderId="0" xfId="0" applyFont="1" applyFill="1" applyAlignment="1">
      <alignment horizontal="left" vertical="top"/>
    </xf>
    <xf numFmtId="0" fontId="3" fillId="168" borderId="0" xfId="0" applyFont="1" applyFill="1" applyAlignment="1">
      <alignment horizontal="left" vertical="top"/>
    </xf>
    <xf numFmtId="0" fontId="3" fillId="169" borderId="0" xfId="0" applyFont="1" applyFill="1" applyAlignment="1">
      <alignment horizontal="left" vertical="top"/>
    </xf>
    <xf numFmtId="0" fontId="3" fillId="170" borderId="0" xfId="0" applyFont="1" applyFill="1" applyAlignment="1">
      <alignment horizontal="left" vertical="top"/>
    </xf>
    <xf numFmtId="0" fontId="3" fillId="171" borderId="0" xfId="0" applyFont="1" applyFill="1" applyAlignment="1">
      <alignment horizontal="left" vertical="top"/>
    </xf>
    <xf numFmtId="0" fontId="3" fillId="172" borderId="0" xfId="0" applyFont="1" applyFill="1" applyAlignment="1">
      <alignment horizontal="left" vertical="top"/>
    </xf>
    <xf numFmtId="0" fontId="3" fillId="173" borderId="0" xfId="0" applyFont="1" applyFill="1" applyAlignment="1">
      <alignment horizontal="left" vertical="top"/>
    </xf>
    <xf numFmtId="0" fontId="3" fillId="162" borderId="0" xfId="0" applyFont="1" applyFill="1" applyAlignment="1">
      <alignment horizontal="left" vertical="top"/>
    </xf>
    <xf numFmtId="0" fontId="3" fillId="163" borderId="0" xfId="0" applyFont="1" applyFill="1" applyAlignment="1">
      <alignment horizontal="left" vertical="top"/>
    </xf>
    <xf numFmtId="0" fontId="3" fillId="164" borderId="0" xfId="0" applyFont="1" applyFill="1" applyAlignment="1">
      <alignment horizontal="left" vertical="top"/>
    </xf>
    <xf numFmtId="0" fontId="3" fillId="165" borderId="0" xfId="0" applyFont="1" applyFill="1" applyAlignment="1">
      <alignment horizontal="left" vertical="top"/>
    </xf>
    <xf numFmtId="0" fontId="3" fillId="166" borderId="0" xfId="0" applyFont="1" applyFill="1" applyAlignment="1">
      <alignment horizontal="left" vertical="top"/>
    </xf>
    <xf numFmtId="0" fontId="3" fillId="167" borderId="0" xfId="0" applyFont="1" applyFill="1" applyAlignment="1">
      <alignment horizontal="left" vertical="top"/>
    </xf>
    <xf numFmtId="0" fontId="3" fillId="156" borderId="0" xfId="0" applyFont="1" applyFill="1" applyAlignment="1">
      <alignment horizontal="left" vertical="top"/>
    </xf>
    <xf numFmtId="0" fontId="3" fillId="157" borderId="0" xfId="0" applyFont="1" applyFill="1" applyAlignment="1">
      <alignment horizontal="left" vertical="top"/>
    </xf>
    <xf numFmtId="0" fontId="3" fillId="158" borderId="0" xfId="0" applyFont="1" applyFill="1" applyAlignment="1">
      <alignment horizontal="left" vertical="top"/>
    </xf>
    <xf numFmtId="0" fontId="3" fillId="159" borderId="0" xfId="0" applyFont="1" applyFill="1" applyAlignment="1">
      <alignment horizontal="left" vertical="top"/>
    </xf>
    <xf numFmtId="0" fontId="3" fillId="160" borderId="0" xfId="0" applyFont="1" applyFill="1" applyAlignment="1">
      <alignment horizontal="left" vertical="top"/>
    </xf>
    <xf numFmtId="0" fontId="3" fillId="161" borderId="0" xfId="0" applyFont="1" applyFill="1" applyAlignment="1">
      <alignment horizontal="left" vertical="top"/>
    </xf>
    <xf numFmtId="0" fontId="3" fillId="150" borderId="0" xfId="0" applyFont="1" applyFill="1" applyAlignment="1">
      <alignment horizontal="left" vertical="top"/>
    </xf>
    <xf numFmtId="0" fontId="3" fillId="151" borderId="0" xfId="0" applyFont="1" applyFill="1" applyAlignment="1">
      <alignment horizontal="left" vertical="top"/>
    </xf>
    <xf numFmtId="0" fontId="3" fillId="152" borderId="0" xfId="0" applyFont="1" applyFill="1" applyAlignment="1">
      <alignment horizontal="left" vertical="top"/>
    </xf>
    <xf numFmtId="0" fontId="3" fillId="153" borderId="0" xfId="0" applyFont="1" applyFill="1" applyAlignment="1">
      <alignment horizontal="left" vertical="top"/>
    </xf>
    <xf numFmtId="0" fontId="3" fillId="154" borderId="0" xfId="0" applyFont="1" applyFill="1" applyAlignment="1">
      <alignment horizontal="left" vertical="top"/>
    </xf>
    <xf numFmtId="0" fontId="3" fillId="155" borderId="0" xfId="0" applyFont="1" applyFill="1" applyAlignment="1">
      <alignment horizontal="left" vertical="top"/>
    </xf>
    <xf numFmtId="0" fontId="3" fillId="144" borderId="0" xfId="0" applyFont="1" applyFill="1" applyAlignment="1">
      <alignment horizontal="left" vertical="top"/>
    </xf>
    <xf numFmtId="0" fontId="3" fillId="145" borderId="0" xfId="0" applyFont="1" applyFill="1" applyAlignment="1">
      <alignment horizontal="left" vertical="top"/>
    </xf>
    <xf numFmtId="0" fontId="3" fillId="146" borderId="0" xfId="0" applyFont="1" applyFill="1" applyAlignment="1">
      <alignment horizontal="left" vertical="top"/>
    </xf>
    <xf numFmtId="0" fontId="3" fillId="148" borderId="0" xfId="0" applyFont="1" applyFill="1" applyAlignment="1">
      <alignment horizontal="left" vertical="top"/>
    </xf>
    <xf numFmtId="0" fontId="3" fillId="149" borderId="0" xfId="0" applyFont="1" applyFill="1" applyAlignment="1">
      <alignment horizontal="left" vertical="top"/>
    </xf>
    <xf numFmtId="0" fontId="3" fillId="138" borderId="0" xfId="0" applyFont="1" applyFill="1" applyAlignment="1">
      <alignment horizontal="left" vertical="top"/>
    </xf>
    <xf numFmtId="0" fontId="3" fillId="139" borderId="0" xfId="0" applyFont="1" applyFill="1" applyAlignment="1">
      <alignment horizontal="left" vertical="top"/>
    </xf>
    <xf numFmtId="0" fontId="3" fillId="140" borderId="0" xfId="0" applyFont="1" applyFill="1" applyAlignment="1">
      <alignment horizontal="left" vertical="top"/>
    </xf>
    <xf numFmtId="0" fontId="3" fillId="141" borderId="0" xfId="0" applyFont="1" applyFill="1" applyAlignment="1">
      <alignment horizontal="left" vertical="top"/>
    </xf>
    <xf numFmtId="0" fontId="3" fillId="142" borderId="0" xfId="0" applyFont="1" applyFill="1" applyAlignment="1">
      <alignment horizontal="left" vertical="top"/>
    </xf>
    <xf numFmtId="0" fontId="3" fillId="143" borderId="0" xfId="0" applyFont="1" applyFill="1" applyAlignment="1">
      <alignment horizontal="left" vertical="top"/>
    </xf>
    <xf numFmtId="0" fontId="3" fillId="132" borderId="0" xfId="0" applyFont="1" applyFill="1" applyAlignment="1">
      <alignment horizontal="left" vertical="top"/>
    </xf>
    <xf numFmtId="0" fontId="3" fillId="133" borderId="0" xfId="0" applyFont="1" applyFill="1" applyAlignment="1">
      <alignment horizontal="left" vertical="top"/>
    </xf>
    <xf numFmtId="0" fontId="3" fillId="134" borderId="0" xfId="0" applyFont="1" applyFill="1" applyAlignment="1">
      <alignment horizontal="left" vertical="top"/>
    </xf>
    <xf numFmtId="0" fontId="3" fillId="135" borderId="0" xfId="0" applyFont="1" applyFill="1" applyAlignment="1">
      <alignment horizontal="left" vertical="top"/>
    </xf>
    <xf numFmtId="0" fontId="3" fillId="136" borderId="0" xfId="0" applyFont="1" applyFill="1" applyAlignment="1">
      <alignment horizontal="left" vertical="top"/>
    </xf>
    <xf numFmtId="0" fontId="3" fillId="137" borderId="0" xfId="0" applyFont="1" applyFill="1" applyAlignment="1">
      <alignment horizontal="left" vertical="top"/>
    </xf>
    <xf numFmtId="0" fontId="3" fillId="126" borderId="0" xfId="0" applyFont="1" applyFill="1" applyAlignment="1">
      <alignment horizontal="left" vertical="top"/>
    </xf>
    <xf numFmtId="0" fontId="3" fillId="127" borderId="0" xfId="0" applyFont="1" applyFill="1" applyAlignment="1">
      <alignment horizontal="left" vertical="top"/>
    </xf>
    <xf numFmtId="0" fontId="3" fillId="128" borderId="0" xfId="0" applyFont="1" applyFill="1" applyAlignment="1">
      <alignment horizontal="left" vertical="top"/>
    </xf>
    <xf numFmtId="0" fontId="3" fillId="129" borderId="0" xfId="0" applyFont="1" applyFill="1" applyAlignment="1">
      <alignment horizontal="left" vertical="top"/>
    </xf>
    <xf numFmtId="0" fontId="3" fillId="130" borderId="0" xfId="0" applyFont="1" applyFill="1" applyAlignment="1">
      <alignment horizontal="left" vertical="top"/>
    </xf>
    <xf numFmtId="0" fontId="3" fillId="131" borderId="0" xfId="0" applyFont="1" applyFill="1" applyAlignment="1">
      <alignment horizontal="left" vertical="top"/>
    </xf>
    <xf numFmtId="0" fontId="3" fillId="120" borderId="0" xfId="0" applyFont="1" applyFill="1" applyAlignment="1">
      <alignment horizontal="left" vertical="top"/>
    </xf>
    <xf numFmtId="0" fontId="3" fillId="121" borderId="0" xfId="0" applyFont="1" applyFill="1" applyAlignment="1">
      <alignment horizontal="left" vertical="top"/>
    </xf>
    <xf numFmtId="0" fontId="3" fillId="122" borderId="0" xfId="0" applyFont="1" applyFill="1" applyAlignment="1">
      <alignment horizontal="left" vertical="top"/>
    </xf>
    <xf numFmtId="0" fontId="3" fillId="123" borderId="0" xfId="0" applyFont="1" applyFill="1" applyAlignment="1">
      <alignment horizontal="left" vertical="top"/>
    </xf>
    <xf numFmtId="0" fontId="3" fillId="124" borderId="0" xfId="0" applyFont="1" applyFill="1" applyAlignment="1">
      <alignment horizontal="left" vertical="top"/>
    </xf>
    <xf numFmtId="0" fontId="3" fillId="125" borderId="0" xfId="0" applyFont="1" applyFill="1" applyAlignment="1">
      <alignment horizontal="left" vertical="top"/>
    </xf>
    <xf numFmtId="0" fontId="3" fillId="114" borderId="0" xfId="0" applyFont="1" applyFill="1" applyAlignment="1">
      <alignment horizontal="left" vertical="top"/>
    </xf>
    <xf numFmtId="0" fontId="3" fillId="115" borderId="0" xfId="0" applyFont="1" applyFill="1" applyAlignment="1">
      <alignment horizontal="left" vertical="top"/>
    </xf>
    <xf numFmtId="0" fontId="3" fillId="116" borderId="0" xfId="0" applyFont="1" applyFill="1" applyAlignment="1">
      <alignment horizontal="left" vertical="top"/>
    </xf>
    <xf numFmtId="0" fontId="3" fillId="117" borderId="0" xfId="0" applyFont="1" applyFill="1" applyAlignment="1">
      <alignment horizontal="left" vertical="top"/>
    </xf>
    <xf numFmtId="0" fontId="3" fillId="118" borderId="0" xfId="0" applyFont="1" applyFill="1" applyAlignment="1">
      <alignment horizontal="left" vertical="top"/>
    </xf>
    <xf numFmtId="0" fontId="3" fillId="119" borderId="0" xfId="0" applyFont="1" applyFill="1" applyAlignment="1">
      <alignment horizontal="left" vertical="top"/>
    </xf>
    <xf numFmtId="0" fontId="3" fillId="105" borderId="0" xfId="0" applyFont="1" applyFill="1" applyAlignment="1">
      <alignment horizontal="left" vertical="top"/>
    </xf>
    <xf numFmtId="0" fontId="3" fillId="106" borderId="0" xfId="0" applyFont="1" applyFill="1" applyAlignment="1">
      <alignment horizontal="left" vertical="top"/>
    </xf>
    <xf numFmtId="0" fontId="3" fillId="107" borderId="0" xfId="0" applyFont="1" applyFill="1" applyAlignment="1">
      <alignment horizontal="left" vertical="top"/>
    </xf>
    <xf numFmtId="0" fontId="3" fillId="108" borderId="0" xfId="0" applyFont="1" applyFill="1" applyAlignment="1">
      <alignment horizontal="left" vertical="top"/>
    </xf>
    <xf numFmtId="0" fontId="3" fillId="109" borderId="0" xfId="0" applyFont="1" applyFill="1" applyAlignment="1">
      <alignment horizontal="left" vertical="top"/>
    </xf>
    <xf numFmtId="0" fontId="3" fillId="110" borderId="0" xfId="0" applyFont="1" applyFill="1" applyAlignment="1">
      <alignment horizontal="left" vertical="top"/>
    </xf>
    <xf numFmtId="0" fontId="3" fillId="111" borderId="0" xfId="0" applyFont="1" applyFill="1" applyAlignment="1">
      <alignment horizontal="left" vertical="top"/>
    </xf>
    <xf numFmtId="0" fontId="3" fillId="112" borderId="0" xfId="0" applyFont="1" applyFill="1" applyAlignment="1">
      <alignment horizontal="left" vertical="top"/>
    </xf>
    <xf numFmtId="0" fontId="3" fillId="113" borderId="0" xfId="0" applyFont="1" applyFill="1" applyAlignment="1">
      <alignment horizontal="left" vertical="top"/>
    </xf>
    <xf numFmtId="0" fontId="3" fillId="103" borderId="0" xfId="0" applyFont="1" applyFill="1" applyAlignment="1">
      <alignment horizontal="left" vertical="top"/>
    </xf>
    <xf numFmtId="0" fontId="3" fillId="104" borderId="0" xfId="0" applyFont="1" applyFill="1" applyAlignment="1">
      <alignment horizontal="left" vertical="top"/>
    </xf>
    <xf numFmtId="0" fontId="3" fillId="97" borderId="0" xfId="0" applyFont="1" applyFill="1" applyAlignment="1">
      <alignment horizontal="left" vertical="top"/>
    </xf>
    <xf numFmtId="0" fontId="3" fillId="98" borderId="0" xfId="0" applyFont="1" applyFill="1" applyAlignment="1">
      <alignment horizontal="left" vertical="top"/>
    </xf>
    <xf numFmtId="0" fontId="3" fillId="99" borderId="0" xfId="0" applyFont="1" applyFill="1" applyAlignment="1">
      <alignment horizontal="left" vertical="top"/>
    </xf>
    <xf numFmtId="0" fontId="3" fillId="100" borderId="0" xfId="0" applyFont="1" applyFill="1" applyAlignment="1">
      <alignment horizontal="left" vertical="top"/>
    </xf>
    <xf numFmtId="0" fontId="3" fillId="101" borderId="0" xfId="0" applyFont="1" applyFill="1" applyAlignment="1">
      <alignment horizontal="left" vertical="top"/>
    </xf>
    <xf numFmtId="0" fontId="3" fillId="102" borderId="0" xfId="0" applyFont="1" applyFill="1" applyAlignment="1">
      <alignment horizontal="left" vertical="top"/>
    </xf>
    <xf numFmtId="0" fontId="3" fillId="91" borderId="0" xfId="0" applyFont="1" applyFill="1" applyAlignment="1">
      <alignment horizontal="left" vertical="top"/>
    </xf>
    <xf numFmtId="0" fontId="3" fillId="92" borderId="0" xfId="0" applyFont="1" applyFill="1" applyAlignment="1">
      <alignment horizontal="left" vertical="top"/>
    </xf>
    <xf numFmtId="0" fontId="3" fillId="93" borderId="0" xfId="0" applyFont="1" applyFill="1" applyAlignment="1">
      <alignment horizontal="left" vertical="top"/>
    </xf>
    <xf numFmtId="0" fontId="3" fillId="94" borderId="0" xfId="0" applyFont="1" applyFill="1" applyAlignment="1">
      <alignment horizontal="left" vertical="top"/>
    </xf>
    <xf numFmtId="0" fontId="3" fillId="95" borderId="0" xfId="0" applyFont="1" applyFill="1" applyAlignment="1">
      <alignment horizontal="left" vertical="top"/>
    </xf>
    <xf numFmtId="0" fontId="3" fillId="96" borderId="0" xfId="0" applyFont="1" applyFill="1" applyAlignment="1">
      <alignment horizontal="left" vertical="top"/>
    </xf>
    <xf numFmtId="0" fontId="3" fillId="85" borderId="0" xfId="0" applyFont="1" applyFill="1" applyAlignment="1">
      <alignment horizontal="left" vertical="top"/>
    </xf>
    <xf numFmtId="0" fontId="3" fillId="86" borderId="0" xfId="0" applyFont="1" applyFill="1" applyAlignment="1">
      <alignment horizontal="left" vertical="top"/>
    </xf>
    <xf numFmtId="0" fontId="3" fillId="87" borderId="0" xfId="0" applyFont="1" applyFill="1" applyAlignment="1">
      <alignment horizontal="left" vertical="top"/>
    </xf>
    <xf numFmtId="0" fontId="3" fillId="88" borderId="0" xfId="0" applyFont="1" applyFill="1" applyAlignment="1">
      <alignment horizontal="left" vertical="top"/>
    </xf>
    <xf numFmtId="0" fontId="3" fillId="89" borderId="0" xfId="0" applyFont="1" applyFill="1" applyAlignment="1">
      <alignment horizontal="left" vertical="top"/>
    </xf>
    <xf numFmtId="0" fontId="3" fillId="90" borderId="0" xfId="0" applyFont="1" applyFill="1" applyAlignment="1">
      <alignment horizontal="left" vertical="top"/>
    </xf>
    <xf numFmtId="0" fontId="3" fillId="79" borderId="0" xfId="0" applyFont="1" applyFill="1" applyAlignment="1">
      <alignment horizontal="left" vertical="top"/>
    </xf>
    <xf numFmtId="0" fontId="3" fillId="80" borderId="0" xfId="0" applyFont="1" applyFill="1" applyAlignment="1">
      <alignment horizontal="left" vertical="top"/>
    </xf>
    <xf numFmtId="0" fontId="3" fillId="81" borderId="0" xfId="0" applyFont="1" applyFill="1" applyAlignment="1">
      <alignment horizontal="left" vertical="top"/>
    </xf>
    <xf numFmtId="0" fontId="3" fillId="82" borderId="0" xfId="0" applyFont="1" applyFill="1" applyAlignment="1">
      <alignment horizontal="left" vertical="top"/>
    </xf>
    <xf numFmtId="0" fontId="3" fillId="83" borderId="0" xfId="0" applyFont="1" applyFill="1" applyAlignment="1">
      <alignment horizontal="left" vertical="top"/>
    </xf>
    <xf numFmtId="0" fontId="3" fillId="84" borderId="0" xfId="0" applyFont="1" applyFill="1" applyAlignment="1">
      <alignment horizontal="left" vertical="top"/>
    </xf>
    <xf numFmtId="0" fontId="3" fillId="73" borderId="0" xfId="0" applyFont="1" applyFill="1" applyAlignment="1">
      <alignment horizontal="left" vertical="top"/>
    </xf>
    <xf numFmtId="0" fontId="3" fillId="74" borderId="0" xfId="0" applyFont="1" applyFill="1" applyAlignment="1">
      <alignment horizontal="left" vertical="top"/>
    </xf>
    <xf numFmtId="0" fontId="3" fillId="75" borderId="0" xfId="0" applyFont="1" applyFill="1" applyAlignment="1">
      <alignment horizontal="left" vertical="top"/>
    </xf>
    <xf numFmtId="0" fontId="3" fillId="76" borderId="0" xfId="0" applyFont="1" applyFill="1" applyAlignment="1">
      <alignment horizontal="left" vertical="top"/>
    </xf>
    <xf numFmtId="0" fontId="3" fillId="77" borderId="0" xfId="0" applyFont="1" applyFill="1" applyAlignment="1">
      <alignment horizontal="left" vertical="top"/>
    </xf>
    <xf numFmtId="0" fontId="3" fillId="78" borderId="0" xfId="0" applyFont="1" applyFill="1" applyAlignment="1">
      <alignment horizontal="left" vertical="top"/>
    </xf>
    <xf numFmtId="0" fontId="3" fillId="67" borderId="0" xfId="0" applyFont="1" applyFill="1" applyAlignment="1">
      <alignment horizontal="left" vertical="top"/>
    </xf>
    <xf numFmtId="0" fontId="3" fillId="68" borderId="0" xfId="0" applyFont="1" applyFill="1" applyAlignment="1">
      <alignment horizontal="left" vertical="top"/>
    </xf>
    <xf numFmtId="0" fontId="3" fillId="69" borderId="0" xfId="0" applyFont="1" applyFill="1" applyAlignment="1">
      <alignment horizontal="left" vertical="top"/>
    </xf>
    <xf numFmtId="0" fontId="3" fillId="70" borderId="0" xfId="0" applyFont="1" applyFill="1" applyAlignment="1">
      <alignment horizontal="left" vertical="top"/>
    </xf>
    <xf numFmtId="0" fontId="3" fillId="71" borderId="0" xfId="0" applyFont="1" applyFill="1" applyAlignment="1">
      <alignment horizontal="left" vertical="top"/>
    </xf>
    <xf numFmtId="0" fontId="3" fillId="72" borderId="0" xfId="0" applyFont="1" applyFill="1" applyAlignment="1">
      <alignment horizontal="left" vertical="top"/>
    </xf>
    <xf numFmtId="0" fontId="3" fillId="61" borderId="0" xfId="0" applyFont="1" applyFill="1" applyAlignment="1">
      <alignment horizontal="left" vertical="top"/>
    </xf>
    <xf numFmtId="0" fontId="3" fillId="62" borderId="0" xfId="0" applyFont="1" applyFill="1" applyAlignment="1">
      <alignment horizontal="left" vertical="top"/>
    </xf>
    <xf numFmtId="0" fontId="3" fillId="63" borderId="0" xfId="0" applyFont="1" applyFill="1" applyAlignment="1">
      <alignment horizontal="left" vertical="top"/>
    </xf>
    <xf numFmtId="0" fontId="3" fillId="64" borderId="0" xfId="0" applyFont="1" applyFill="1" applyAlignment="1">
      <alignment horizontal="left" vertical="top"/>
    </xf>
    <xf numFmtId="0" fontId="3" fillId="65" borderId="0" xfId="0" applyFont="1" applyFill="1" applyAlignment="1">
      <alignment horizontal="left" vertical="top"/>
    </xf>
    <xf numFmtId="0" fontId="3" fillId="66" borderId="0" xfId="0" applyFont="1" applyFill="1" applyAlignment="1">
      <alignment horizontal="left" vertical="top"/>
    </xf>
    <xf numFmtId="0" fontId="3" fillId="54" borderId="0" xfId="0" applyFont="1" applyFill="1" applyAlignment="1">
      <alignment horizontal="left" vertical="top"/>
    </xf>
    <xf numFmtId="0" fontId="3" fillId="55" borderId="0" xfId="0" applyFont="1" applyFill="1" applyAlignment="1">
      <alignment horizontal="left" vertical="top"/>
    </xf>
    <xf numFmtId="0" fontId="3" fillId="57" borderId="0" xfId="0" applyFont="1" applyFill="1" applyAlignment="1">
      <alignment horizontal="left" vertical="top"/>
    </xf>
    <xf numFmtId="0" fontId="3" fillId="58" borderId="0" xfId="0" applyFont="1" applyFill="1" applyAlignment="1">
      <alignment horizontal="left" vertical="top"/>
    </xf>
    <xf numFmtId="0" fontId="3" fillId="59" borderId="0" xfId="0" applyFont="1" applyFill="1" applyAlignment="1">
      <alignment horizontal="left" vertical="top"/>
    </xf>
    <xf numFmtId="0" fontId="3" fillId="60" borderId="0" xfId="0" applyFont="1" applyFill="1" applyAlignment="1">
      <alignment horizontal="left" vertical="top"/>
    </xf>
    <xf numFmtId="0" fontId="3" fillId="52" borderId="0" xfId="0" applyFont="1" applyFill="1" applyAlignment="1">
      <alignment horizontal="left" vertical="top"/>
    </xf>
    <xf numFmtId="0" fontId="3" fillId="53" borderId="0" xfId="0" applyFont="1" applyFill="1" applyAlignment="1">
      <alignment horizontal="left" vertical="top"/>
    </xf>
    <xf numFmtId="0" fontId="3" fillId="44" borderId="0" xfId="0" applyFont="1" applyFill="1" applyAlignment="1">
      <alignment horizontal="left" vertical="top"/>
    </xf>
    <xf numFmtId="0" fontId="3" fillId="45" borderId="0" xfId="0" applyFont="1" applyFill="1" applyAlignment="1">
      <alignment horizontal="left" vertical="top"/>
    </xf>
    <xf numFmtId="0" fontId="3" fillId="46" borderId="0" xfId="0" applyFont="1" applyFill="1" applyAlignment="1">
      <alignment horizontal="left" vertical="top"/>
    </xf>
    <xf numFmtId="0" fontId="3" fillId="47" borderId="0" xfId="0" applyFont="1" applyFill="1" applyAlignment="1">
      <alignment horizontal="left" vertical="top"/>
    </xf>
    <xf numFmtId="0" fontId="3" fillId="48" borderId="0" xfId="0" applyFont="1" applyFill="1" applyAlignment="1">
      <alignment horizontal="left" vertical="top"/>
    </xf>
    <xf numFmtId="0" fontId="3" fillId="49" borderId="0" xfId="0" applyFont="1" applyFill="1" applyAlignment="1">
      <alignment horizontal="left" vertical="top"/>
    </xf>
    <xf numFmtId="0" fontId="3" fillId="38" borderId="0" xfId="0" applyFont="1" applyFill="1" applyAlignment="1">
      <alignment horizontal="left" vertical="top"/>
    </xf>
    <xf numFmtId="0" fontId="3" fillId="39" borderId="0" xfId="0" applyFont="1" applyFill="1" applyAlignment="1">
      <alignment horizontal="left" vertical="top"/>
    </xf>
    <xf numFmtId="0" fontId="3" fillId="40" borderId="0" xfId="0" applyFont="1" applyFill="1" applyAlignment="1">
      <alignment horizontal="left" vertical="top"/>
    </xf>
    <xf numFmtId="0" fontId="3" fillId="41" borderId="0" xfId="0" applyFont="1" applyFill="1" applyAlignment="1">
      <alignment horizontal="left" vertical="top"/>
    </xf>
    <xf numFmtId="0" fontId="3" fillId="42" borderId="0" xfId="0" applyFont="1" applyFill="1" applyAlignment="1">
      <alignment horizontal="left" vertical="top"/>
    </xf>
    <xf numFmtId="0" fontId="3" fillId="43" borderId="0" xfId="0" applyFont="1" applyFill="1" applyAlignment="1">
      <alignment horizontal="left" vertical="top"/>
    </xf>
    <xf numFmtId="0" fontId="3" fillId="32" borderId="0" xfId="0" applyFont="1" applyFill="1" applyAlignment="1">
      <alignment horizontal="left" vertical="top"/>
    </xf>
    <xf numFmtId="0" fontId="3" fillId="33" borderId="0" xfId="0" applyFont="1" applyFill="1" applyAlignment="1">
      <alignment horizontal="left" vertical="top"/>
    </xf>
    <xf numFmtId="0" fontId="3" fillId="34" borderId="0" xfId="0" applyFont="1" applyFill="1" applyAlignment="1">
      <alignment horizontal="left" vertical="top"/>
    </xf>
    <xf numFmtId="0" fontId="3" fillId="35" borderId="0" xfId="0" applyFont="1" applyFill="1" applyAlignment="1">
      <alignment horizontal="left" vertical="top"/>
    </xf>
    <xf numFmtId="0" fontId="3" fillId="36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 vertical="top"/>
    </xf>
    <xf numFmtId="0" fontId="3" fillId="26" borderId="0" xfId="0" applyFont="1" applyFill="1" applyAlignment="1">
      <alignment horizontal="left" vertical="top"/>
    </xf>
    <xf numFmtId="0" fontId="3" fillId="27" borderId="0" xfId="0" applyFont="1" applyFill="1" applyAlignment="1">
      <alignment horizontal="left" vertical="top"/>
    </xf>
    <xf numFmtId="0" fontId="3" fillId="28" borderId="0" xfId="0" applyFont="1" applyFill="1" applyAlignment="1">
      <alignment horizontal="left" vertical="top"/>
    </xf>
    <xf numFmtId="0" fontId="3" fillId="29" borderId="0" xfId="0" applyFont="1" applyFill="1" applyAlignment="1">
      <alignment horizontal="left" vertical="top"/>
    </xf>
    <xf numFmtId="0" fontId="3" fillId="23" borderId="0" xfId="0" applyFont="1" applyFill="1" applyAlignment="1">
      <alignment horizontal="left" vertical="top"/>
    </xf>
    <xf numFmtId="0" fontId="3" fillId="24" borderId="0" xfId="0" applyFont="1" applyFill="1" applyAlignment="1">
      <alignment horizontal="left" vertical="top"/>
    </xf>
    <xf numFmtId="0" fontId="3" fillId="25" borderId="0" xfId="0" applyFont="1" applyFill="1" applyAlignment="1">
      <alignment horizontal="left" vertical="top"/>
    </xf>
    <xf numFmtId="0" fontId="3" fillId="14" borderId="0" xfId="0" applyFont="1" applyFill="1" applyAlignment="1">
      <alignment horizontal="left" vertical="top"/>
    </xf>
    <xf numFmtId="0" fontId="3" fillId="15" borderId="0" xfId="0" applyFont="1" applyFill="1" applyAlignment="1">
      <alignment horizontal="left" vertical="top"/>
    </xf>
    <xf numFmtId="0" fontId="3" fillId="16" borderId="0" xfId="0" applyFont="1" applyFill="1" applyAlignment="1">
      <alignment horizontal="left" vertical="top"/>
    </xf>
    <xf numFmtId="0" fontId="3" fillId="17" borderId="0" xfId="0" applyFont="1" applyFill="1" applyAlignment="1">
      <alignment horizontal="left" vertical="top"/>
    </xf>
    <xf numFmtId="0" fontId="3" fillId="18" borderId="0" xfId="0" applyFont="1" applyFill="1" applyAlignment="1">
      <alignment horizontal="left" vertical="top"/>
    </xf>
    <xf numFmtId="0" fontId="3" fillId="19" borderId="0" xfId="0" applyFont="1" applyFill="1" applyAlignment="1">
      <alignment horizontal="left" vertical="top"/>
    </xf>
    <xf numFmtId="0" fontId="3" fillId="8" borderId="0" xfId="0" applyFont="1" applyFill="1" applyAlignment="1">
      <alignment horizontal="left" vertical="top"/>
    </xf>
    <xf numFmtId="0" fontId="3" fillId="9" borderId="0" xfId="0" applyFont="1" applyFill="1" applyAlignment="1">
      <alignment horizontal="left" vertical="top"/>
    </xf>
    <xf numFmtId="0" fontId="3" fillId="10" borderId="0" xfId="0" applyFont="1" applyFill="1" applyAlignment="1">
      <alignment horizontal="left" vertical="top"/>
    </xf>
    <xf numFmtId="0" fontId="3" fillId="11" borderId="0" xfId="0" applyFont="1" applyFill="1" applyAlignment="1">
      <alignment horizontal="left" vertical="top"/>
    </xf>
    <xf numFmtId="0" fontId="3" fillId="12" borderId="0" xfId="0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3" fillId="50" borderId="0" xfId="0" applyFont="1" applyFill="1" applyAlignment="1">
      <alignment horizontal="left" vertical="top"/>
    </xf>
    <xf numFmtId="0" fontId="3" fillId="51" borderId="0" xfId="0" applyFont="1" applyFill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3" fillId="30" borderId="0" xfId="0" applyFont="1" applyFill="1" applyAlignment="1">
      <alignment horizontal="left" vertical="top"/>
    </xf>
    <xf numFmtId="0" fontId="3" fillId="31" borderId="0" xfId="0" applyFont="1" applyFill="1" applyAlignment="1">
      <alignment horizontal="left" vertical="top"/>
    </xf>
    <xf numFmtId="0" fontId="3" fillId="20" borderId="0" xfId="0" applyFont="1" applyFill="1" applyAlignment="1">
      <alignment horizontal="left" vertical="top"/>
    </xf>
    <xf numFmtId="0" fontId="3" fillId="21" borderId="0" xfId="0" applyFont="1" applyFill="1" applyAlignment="1">
      <alignment horizontal="left" vertical="top"/>
    </xf>
    <xf numFmtId="0" fontId="3" fillId="2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</cellXfs>
  <cellStyles count="1">
    <cellStyle name="標準" xfId="0" builtinId="0"/>
  </cellStyles>
  <dxfs count="57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808080"/>
      <color rgb="FF475950"/>
      <color rgb="FF005243"/>
      <color rgb="FF5F6E11"/>
      <color rgb="FFCD8C5C"/>
      <color rgb="FF965042"/>
      <color rgb="FFD7CF3A"/>
      <color rgb="FFDCCB18"/>
      <color rgb="FFE4DC8A"/>
      <color rgb="FFEBD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5F9B638C-39C0-670E-DF05-89CAD44A7F01}"/>
            </a:ext>
          </a:extLst>
        </xdr:cNvPr>
        <xdr:cNvSpPr/>
      </xdr:nvSpPr>
      <xdr:spPr>
        <a:xfrm>
          <a:off x="712216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3AD6BD9B-A8F6-88C8-205E-B38F3312442F}"/>
            </a:ext>
          </a:extLst>
        </xdr:cNvPr>
        <xdr:cNvSpPr/>
      </xdr:nvSpPr>
      <xdr:spPr>
        <a:xfrm>
          <a:off x="152146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DF83A518-A365-A41F-1AB2-BD68B251B8C7}"/>
            </a:ext>
          </a:extLst>
        </xdr:cNvPr>
        <xdr:cNvSpPr/>
      </xdr:nvSpPr>
      <xdr:spPr>
        <a:xfrm>
          <a:off x="2330703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6F1C8160-966E-0570-75D2-18738886125E}"/>
            </a:ext>
          </a:extLst>
        </xdr:cNvPr>
        <xdr:cNvSpPr/>
      </xdr:nvSpPr>
      <xdr:spPr>
        <a:xfrm>
          <a:off x="313994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FC7BE652-EC66-203B-C7FC-DB6B94F41A54}"/>
            </a:ext>
          </a:extLst>
        </xdr:cNvPr>
        <xdr:cNvSpPr/>
      </xdr:nvSpPr>
      <xdr:spPr>
        <a:xfrm>
          <a:off x="394919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4AFF6AF2-11DE-C4FB-DC43-A56FA5FDCBB2}"/>
            </a:ext>
          </a:extLst>
        </xdr:cNvPr>
        <xdr:cNvSpPr/>
      </xdr:nvSpPr>
      <xdr:spPr>
        <a:xfrm>
          <a:off x="4758436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7F53B20-D0C9-87ED-5635-36FF60FEA6A3}"/>
            </a:ext>
          </a:extLst>
        </xdr:cNvPr>
        <xdr:cNvSpPr/>
      </xdr:nvSpPr>
      <xdr:spPr>
        <a:xfrm>
          <a:off x="556768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2FB113C3-02F5-6356-EAC1-7F25A3E26DBF}"/>
            </a:ext>
          </a:extLst>
        </xdr:cNvPr>
        <xdr:cNvSpPr/>
      </xdr:nvSpPr>
      <xdr:spPr>
        <a:xfrm>
          <a:off x="63769242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DB7A15FF-4016-26D1-413E-0551E98849A1}"/>
            </a:ext>
          </a:extLst>
        </xdr:cNvPr>
        <xdr:cNvSpPr/>
      </xdr:nvSpPr>
      <xdr:spPr>
        <a:xfrm>
          <a:off x="718616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39EC2558-7228-C833-A4A6-63B974D90B54}"/>
            </a:ext>
          </a:extLst>
        </xdr:cNvPr>
        <xdr:cNvSpPr/>
      </xdr:nvSpPr>
      <xdr:spPr>
        <a:xfrm>
          <a:off x="799541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6DE579E4-CAF2-6EA3-4AB0-4ED3C5D54FA1}"/>
            </a:ext>
          </a:extLst>
        </xdr:cNvPr>
        <xdr:cNvSpPr/>
      </xdr:nvSpPr>
      <xdr:spPr>
        <a:xfrm>
          <a:off x="88046558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4E7F535F-F940-FF46-FCEF-AB5F73E40473}"/>
            </a:ext>
          </a:extLst>
        </xdr:cNvPr>
        <xdr:cNvSpPr/>
      </xdr:nvSpPr>
      <xdr:spPr>
        <a:xfrm>
          <a:off x="961390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99466219-054D-A90A-59A0-0EFBA08A0A9A}"/>
            </a:ext>
          </a:extLst>
        </xdr:cNvPr>
        <xdr:cNvSpPr/>
      </xdr:nvSpPr>
      <xdr:spPr>
        <a:xfrm>
          <a:off x="712216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013EA8E5-2E1B-1384-2F47-748E2042A667}"/>
            </a:ext>
          </a:extLst>
        </xdr:cNvPr>
        <xdr:cNvSpPr/>
      </xdr:nvSpPr>
      <xdr:spPr>
        <a:xfrm>
          <a:off x="152146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7D628801-2E23-9305-3D00-7B79F2FCB2C1}"/>
            </a:ext>
          </a:extLst>
        </xdr:cNvPr>
        <xdr:cNvSpPr/>
      </xdr:nvSpPr>
      <xdr:spPr>
        <a:xfrm>
          <a:off x="2330703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11A04EDA-3535-A0EB-676D-3B7648468111}"/>
            </a:ext>
          </a:extLst>
        </xdr:cNvPr>
        <xdr:cNvSpPr/>
      </xdr:nvSpPr>
      <xdr:spPr>
        <a:xfrm>
          <a:off x="313994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845F640D-0F80-7BF8-0DF0-A7BB6CDC69A7}"/>
            </a:ext>
          </a:extLst>
        </xdr:cNvPr>
        <xdr:cNvSpPr/>
      </xdr:nvSpPr>
      <xdr:spPr>
        <a:xfrm>
          <a:off x="394919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20EC5FE0-B554-3B7C-6DC4-1BCCA883AE1A}"/>
            </a:ext>
          </a:extLst>
        </xdr:cNvPr>
        <xdr:cNvSpPr/>
      </xdr:nvSpPr>
      <xdr:spPr>
        <a:xfrm>
          <a:off x="4758436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203060C7-4B53-2B9C-F122-40F78680EA11}"/>
            </a:ext>
          </a:extLst>
        </xdr:cNvPr>
        <xdr:cNvSpPr/>
      </xdr:nvSpPr>
      <xdr:spPr>
        <a:xfrm>
          <a:off x="556768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A75C2524-1F9E-33A5-81A2-2E5C345C6FA6}"/>
            </a:ext>
          </a:extLst>
        </xdr:cNvPr>
        <xdr:cNvSpPr/>
      </xdr:nvSpPr>
      <xdr:spPr>
        <a:xfrm>
          <a:off x="63769242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42C7DF36-1267-1433-AA9C-DF4F41A5861E}"/>
            </a:ext>
          </a:extLst>
        </xdr:cNvPr>
        <xdr:cNvSpPr/>
      </xdr:nvSpPr>
      <xdr:spPr>
        <a:xfrm>
          <a:off x="718616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6D7B2ED1-0BCD-6035-6DE4-00C7453C0B32}"/>
            </a:ext>
          </a:extLst>
        </xdr:cNvPr>
        <xdr:cNvSpPr/>
      </xdr:nvSpPr>
      <xdr:spPr>
        <a:xfrm>
          <a:off x="799541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451DEAC2-A42F-C147-901D-81AB21F138EE}"/>
            </a:ext>
          </a:extLst>
        </xdr:cNvPr>
        <xdr:cNvSpPr/>
      </xdr:nvSpPr>
      <xdr:spPr>
        <a:xfrm>
          <a:off x="88046558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4FAF652F-36CC-AB65-581F-90D94F090603}"/>
            </a:ext>
          </a:extLst>
        </xdr:cNvPr>
        <xdr:cNvSpPr/>
      </xdr:nvSpPr>
      <xdr:spPr>
        <a:xfrm>
          <a:off x="961390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012D5-80B0-4A3B-B145-6C4A39AFA9D1}" name="テーブル2" displayName="テーブル2" ref="A1:D216" totalsRowShown="0" headerRowDxfId="8" dataDxfId="6" headerRowBorderDxfId="7" tableBorderDxfId="5" totalsRowBorderDxfId="4">
  <autoFilter ref="A1:D216" xr:uid="{260012D5-80B0-4A3B-B145-6C4A39AFA9D1}"/>
  <tableColumns count="4">
    <tableColumn id="1" xr3:uid="{3AD4B909-98EC-4375-87C4-C639A7678297}" name="年" dataDxfId="3">
      <calculatedColumnFormula>B2</calculatedColumnFormula>
    </tableColumn>
    <tableColumn id="2" xr3:uid="{07F26359-4002-419F-B203-E460F3B3E8EF}" name="月日" dataDxfId="2"/>
    <tableColumn id="3" xr3:uid="{18FEC068-8F2B-4D94-AF48-8BC2626018D2}" name="祝日名" dataDxfId="1"/>
    <tableColumn id="4" xr3:uid="{F974FE7A-CD4A-4D10-8175-CDA8EB992D93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2D171-A64B-4240-A351-C111DBD015BE}">
  <sheetPr codeName="Sheet20">
    <outlinePr summaryRight="0"/>
  </sheetPr>
  <dimension ref="A1:GJ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1" customWidth="1"/>
    <col min="2" max="4" width="3.69921875" style="21" customWidth="1" outlineLevel="1"/>
    <col min="5" max="14" width="6.69921875" style="21" customWidth="1" outlineLevel="1"/>
    <col min="15" max="15" width="20.69921875" style="21" customWidth="1" outlineLevel="1"/>
    <col min="16" max="16" width="2.69921875" style="21" customWidth="1" outlineLevel="1"/>
    <col min="17" max="17" width="4.69921875" style="21" customWidth="1"/>
    <col min="18" max="20" width="3.69921875" style="21" customWidth="1" outlineLevel="1"/>
    <col min="21" max="30" width="6.69921875" style="21" customWidth="1" outlineLevel="1"/>
    <col min="31" max="31" width="20.69921875" style="21" customWidth="1" outlineLevel="1"/>
    <col min="32" max="32" width="2.69921875" style="21" customWidth="1" outlineLevel="1"/>
    <col min="33" max="33" width="4.69921875" style="21" customWidth="1"/>
    <col min="34" max="36" width="3.69921875" style="21" customWidth="1" outlineLevel="1"/>
    <col min="37" max="46" width="6.69921875" style="21" customWidth="1" outlineLevel="1"/>
    <col min="47" max="47" width="20.69921875" style="21" customWidth="1" outlineLevel="1"/>
    <col min="48" max="48" width="2.69921875" style="21" customWidth="1" outlineLevel="1"/>
    <col min="49" max="49" width="4.69921875" style="21" customWidth="1"/>
    <col min="50" max="52" width="3.69921875" style="21" customWidth="1" outlineLevel="1"/>
    <col min="53" max="62" width="6.69921875" style="21" customWidth="1" outlineLevel="1"/>
    <col min="63" max="63" width="20.69921875" style="21" customWidth="1" outlineLevel="1"/>
    <col min="64" max="64" width="2.69921875" style="21" customWidth="1" outlineLevel="1"/>
    <col min="65" max="65" width="4.69921875" style="21" customWidth="1"/>
    <col min="66" max="68" width="3.69921875" style="21" customWidth="1" outlineLevel="1"/>
    <col min="69" max="78" width="6.69921875" style="21" customWidth="1" outlineLevel="1"/>
    <col min="79" max="79" width="20.69921875" style="21" customWidth="1" outlineLevel="1"/>
    <col min="80" max="80" width="2.69921875" style="21" customWidth="1" outlineLevel="1"/>
    <col min="81" max="81" width="4.69921875" style="21" customWidth="1"/>
    <col min="82" max="84" width="3.69921875" style="21" customWidth="1" outlineLevel="1"/>
    <col min="85" max="94" width="6.69921875" style="21" customWidth="1" outlineLevel="1"/>
    <col min="95" max="95" width="20.69921875" style="21" customWidth="1" outlineLevel="1"/>
    <col min="96" max="96" width="2.69921875" style="21" customWidth="1" outlineLevel="1"/>
    <col min="97" max="97" width="4.69921875" style="21" customWidth="1"/>
    <col min="98" max="100" width="3.69921875" style="21" customWidth="1" outlineLevel="1"/>
    <col min="101" max="110" width="6.69921875" style="21" customWidth="1" outlineLevel="1"/>
    <col min="111" max="111" width="20.69921875" style="21" customWidth="1" outlineLevel="1"/>
    <col min="112" max="112" width="2.69921875" style="21" customWidth="1" outlineLevel="1"/>
    <col min="113" max="113" width="4.69921875" style="21" customWidth="1"/>
    <col min="114" max="116" width="3.69921875" style="21" customWidth="1" outlineLevel="1"/>
    <col min="117" max="126" width="6.69921875" style="21" customWidth="1" outlineLevel="1"/>
    <col min="127" max="127" width="20.69921875" style="21" customWidth="1" outlineLevel="1"/>
    <col min="128" max="128" width="2.69921875" style="21" customWidth="1" outlineLevel="1"/>
    <col min="129" max="129" width="4.69921875" style="21" customWidth="1"/>
    <col min="130" max="132" width="3.69921875" style="21" customWidth="1" outlineLevel="1"/>
    <col min="133" max="142" width="6.69921875" style="21" customWidth="1" outlineLevel="1"/>
    <col min="143" max="143" width="20.69921875" style="21" customWidth="1" outlineLevel="1"/>
    <col min="144" max="144" width="2.69921875" style="21" customWidth="1" outlineLevel="1"/>
    <col min="145" max="145" width="4.69921875" style="21" customWidth="1"/>
    <col min="146" max="148" width="3.69921875" style="21" customWidth="1" outlineLevel="1"/>
    <col min="149" max="158" width="6.69921875" style="21" customWidth="1" outlineLevel="1"/>
    <col min="159" max="159" width="20.69921875" style="21" customWidth="1" outlineLevel="1"/>
    <col min="160" max="160" width="2.69921875" style="21" customWidth="1" outlineLevel="1"/>
    <col min="161" max="161" width="4.69921875" style="21" customWidth="1"/>
    <col min="162" max="164" width="3.69921875" style="21" customWidth="1" outlineLevel="1"/>
    <col min="165" max="174" width="6.69921875" style="21" customWidth="1" outlineLevel="1"/>
    <col min="175" max="175" width="20.69921875" style="21" customWidth="1" outlineLevel="1"/>
    <col min="176" max="176" width="2.69921875" style="21" customWidth="1" outlineLevel="1"/>
    <col min="177" max="177" width="4.69921875" style="21" customWidth="1"/>
    <col min="178" max="180" width="3.69921875" style="21" customWidth="1" outlineLevel="1"/>
    <col min="181" max="190" width="6.69921875" style="21" customWidth="1" outlineLevel="1"/>
    <col min="191" max="191" width="20.69921875" style="21" customWidth="1" outlineLevel="1"/>
    <col min="192" max="192" width="2.69921875" style="21" customWidth="1" outlineLevel="1"/>
    <col min="193" max="16384" width="8.796875" style="21"/>
  </cols>
  <sheetData>
    <row r="1" spans="1:191" ht="18" customHeight="1" x14ac:dyDescent="0.45">
      <c r="A1" s="22"/>
      <c r="B1" s="77">
        <v>46023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70"/>
      <c r="Q1" s="22"/>
      <c r="R1" s="68">
        <v>46054</v>
      </c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70"/>
      <c r="AG1" s="22"/>
      <c r="AH1" s="68">
        <v>46082</v>
      </c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70"/>
      <c r="AW1" s="22"/>
      <c r="AX1" s="68">
        <v>46113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70"/>
      <c r="BM1" s="22"/>
      <c r="BN1" s="68">
        <v>46143</v>
      </c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70"/>
      <c r="CC1" s="22"/>
      <c r="CD1" s="68">
        <v>46174</v>
      </c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70"/>
      <c r="CS1" s="22"/>
      <c r="CT1" s="68">
        <v>46204</v>
      </c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70"/>
      <c r="DI1" s="22"/>
      <c r="DJ1" s="68">
        <v>46235</v>
      </c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70"/>
      <c r="DY1" s="22"/>
      <c r="DZ1" s="68">
        <v>46266</v>
      </c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69"/>
      <c r="EM1" s="70"/>
      <c r="EO1" s="22"/>
      <c r="EP1" s="68">
        <v>46296</v>
      </c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70"/>
      <c r="FE1" s="22"/>
      <c r="FF1" s="68">
        <v>46327</v>
      </c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70"/>
      <c r="FU1" s="22"/>
      <c r="FV1" s="68">
        <v>46357</v>
      </c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70"/>
    </row>
    <row r="2" spans="1:191" ht="6" customHeight="1" outlineLevel="1" x14ac:dyDescent="0.45">
      <c r="A2" s="22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6"/>
      <c r="Q2" s="22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6"/>
      <c r="AG2" s="22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6"/>
      <c r="AW2" s="22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6"/>
      <c r="BM2" s="22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6"/>
      <c r="CC2" s="22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6"/>
      <c r="CS2" s="22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6"/>
      <c r="DI2" s="22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6"/>
      <c r="DY2" s="22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6"/>
      <c r="EO2" s="22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6"/>
      <c r="FE2" s="22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6"/>
      <c r="FU2" s="22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6"/>
    </row>
    <row r="3" spans="1:191" ht="18" customHeight="1" outlineLevel="1" x14ac:dyDescent="0.45">
      <c r="A3" s="22"/>
      <c r="B3" s="71" t="s">
        <v>1002</v>
      </c>
      <c r="C3" s="71"/>
      <c r="D3" s="71"/>
      <c r="E3" s="30">
        <f>COUNTIF(D10:D40,"出")</f>
        <v>0</v>
      </c>
      <c r="F3" s="25"/>
      <c r="G3" s="74" t="s">
        <v>1003</v>
      </c>
      <c r="H3" s="74"/>
      <c r="I3" s="25"/>
      <c r="J3" s="74" t="s">
        <v>1004</v>
      </c>
      <c r="K3" s="74"/>
      <c r="L3" s="25"/>
      <c r="M3" s="25"/>
      <c r="N3" s="25"/>
      <c r="O3" s="27"/>
      <c r="Q3" s="22"/>
      <c r="R3" s="71" t="s">
        <v>1002</v>
      </c>
      <c r="S3" s="71"/>
      <c r="T3" s="71"/>
      <c r="U3" s="30">
        <f>COUNTIF(T10:T40,"出")</f>
        <v>0</v>
      </c>
      <c r="V3" s="25"/>
      <c r="W3" s="74" t="s">
        <v>1003</v>
      </c>
      <c r="X3" s="74"/>
      <c r="Y3" s="25"/>
      <c r="Z3" s="74" t="s">
        <v>1004</v>
      </c>
      <c r="AA3" s="74"/>
      <c r="AB3" s="25"/>
      <c r="AC3" s="25"/>
      <c r="AD3" s="25"/>
      <c r="AE3" s="27"/>
      <c r="AG3" s="22"/>
      <c r="AH3" s="71" t="s">
        <v>1002</v>
      </c>
      <c r="AI3" s="71"/>
      <c r="AJ3" s="71"/>
      <c r="AK3" s="30">
        <f>COUNTIF(AJ10:AJ40,"出")</f>
        <v>0</v>
      </c>
      <c r="AL3" s="25"/>
      <c r="AM3" s="74" t="s">
        <v>1003</v>
      </c>
      <c r="AN3" s="74"/>
      <c r="AO3" s="25"/>
      <c r="AP3" s="74" t="s">
        <v>1004</v>
      </c>
      <c r="AQ3" s="74"/>
      <c r="AR3" s="25"/>
      <c r="AS3" s="25"/>
      <c r="AT3" s="25"/>
      <c r="AU3" s="27"/>
      <c r="AW3" s="22"/>
      <c r="AX3" s="71" t="s">
        <v>1002</v>
      </c>
      <c r="AY3" s="71"/>
      <c r="AZ3" s="71"/>
      <c r="BA3" s="30">
        <f>COUNTIF(AZ10:AZ40,"出")</f>
        <v>0</v>
      </c>
      <c r="BB3" s="25"/>
      <c r="BC3" s="74" t="s">
        <v>1003</v>
      </c>
      <c r="BD3" s="74"/>
      <c r="BE3" s="25"/>
      <c r="BF3" s="74" t="s">
        <v>1004</v>
      </c>
      <c r="BG3" s="74"/>
      <c r="BH3" s="25"/>
      <c r="BI3" s="25"/>
      <c r="BJ3" s="25"/>
      <c r="BK3" s="27"/>
      <c r="BM3" s="22"/>
      <c r="BN3" s="71" t="s">
        <v>1002</v>
      </c>
      <c r="BO3" s="71"/>
      <c r="BP3" s="71"/>
      <c r="BQ3" s="30">
        <f>COUNTIF(BP10:BP40,"出")</f>
        <v>0</v>
      </c>
      <c r="BR3" s="25"/>
      <c r="BS3" s="74" t="s">
        <v>1003</v>
      </c>
      <c r="BT3" s="74"/>
      <c r="BU3" s="25"/>
      <c r="BV3" s="74" t="s">
        <v>1004</v>
      </c>
      <c r="BW3" s="74"/>
      <c r="BX3" s="25"/>
      <c r="BY3" s="25"/>
      <c r="BZ3" s="25"/>
      <c r="CA3" s="27"/>
      <c r="CC3" s="22"/>
      <c r="CD3" s="71" t="s">
        <v>1002</v>
      </c>
      <c r="CE3" s="71"/>
      <c r="CF3" s="71"/>
      <c r="CG3" s="30">
        <f>COUNTIF(CF10:CF40,"出")</f>
        <v>0</v>
      </c>
      <c r="CH3" s="25"/>
      <c r="CI3" s="74" t="s">
        <v>1003</v>
      </c>
      <c r="CJ3" s="74"/>
      <c r="CK3" s="25"/>
      <c r="CL3" s="74" t="s">
        <v>1004</v>
      </c>
      <c r="CM3" s="74"/>
      <c r="CN3" s="25"/>
      <c r="CO3" s="25"/>
      <c r="CP3" s="25"/>
      <c r="CQ3" s="27"/>
      <c r="CS3" s="22"/>
      <c r="CT3" s="71" t="s">
        <v>1002</v>
      </c>
      <c r="CU3" s="71"/>
      <c r="CV3" s="71"/>
      <c r="CW3" s="30">
        <f>COUNTIF(CV10:CV40,"出")</f>
        <v>0</v>
      </c>
      <c r="CX3" s="25"/>
      <c r="CY3" s="74" t="s">
        <v>1003</v>
      </c>
      <c r="CZ3" s="74"/>
      <c r="DA3" s="25"/>
      <c r="DB3" s="74" t="s">
        <v>1004</v>
      </c>
      <c r="DC3" s="74"/>
      <c r="DD3" s="25"/>
      <c r="DE3" s="25"/>
      <c r="DF3" s="25"/>
      <c r="DG3" s="27"/>
      <c r="DI3" s="22"/>
      <c r="DJ3" s="71" t="s">
        <v>1002</v>
      </c>
      <c r="DK3" s="71"/>
      <c r="DL3" s="71"/>
      <c r="DM3" s="30">
        <f>COUNTIF(DL10:DL40,"出")</f>
        <v>0</v>
      </c>
      <c r="DN3" s="25"/>
      <c r="DO3" s="74" t="s">
        <v>1003</v>
      </c>
      <c r="DP3" s="74"/>
      <c r="DQ3" s="25"/>
      <c r="DR3" s="74" t="s">
        <v>1004</v>
      </c>
      <c r="DS3" s="74"/>
      <c r="DT3" s="25"/>
      <c r="DU3" s="25"/>
      <c r="DV3" s="25"/>
      <c r="DW3" s="27"/>
      <c r="DY3" s="22"/>
      <c r="DZ3" s="71" t="s">
        <v>1002</v>
      </c>
      <c r="EA3" s="71"/>
      <c r="EB3" s="71"/>
      <c r="EC3" s="30">
        <f>COUNTIF(EB10:EB40,"出")</f>
        <v>0</v>
      </c>
      <c r="ED3" s="25"/>
      <c r="EE3" s="74" t="s">
        <v>1003</v>
      </c>
      <c r="EF3" s="74"/>
      <c r="EG3" s="25"/>
      <c r="EH3" s="74" t="s">
        <v>1004</v>
      </c>
      <c r="EI3" s="74"/>
      <c r="EJ3" s="25"/>
      <c r="EK3" s="25"/>
      <c r="EL3" s="25"/>
      <c r="EM3" s="27"/>
      <c r="EO3" s="22"/>
      <c r="EP3" s="71" t="s">
        <v>1002</v>
      </c>
      <c r="EQ3" s="71"/>
      <c r="ER3" s="71"/>
      <c r="ES3" s="30">
        <f>COUNTIF(ER10:ER40,"出")</f>
        <v>0</v>
      </c>
      <c r="ET3" s="25"/>
      <c r="EU3" s="74" t="s">
        <v>1003</v>
      </c>
      <c r="EV3" s="74"/>
      <c r="EW3" s="25"/>
      <c r="EX3" s="74" t="s">
        <v>1004</v>
      </c>
      <c r="EY3" s="74"/>
      <c r="EZ3" s="25"/>
      <c r="FA3" s="25"/>
      <c r="FB3" s="25"/>
      <c r="FC3" s="27"/>
      <c r="FE3" s="22"/>
      <c r="FF3" s="71" t="s">
        <v>1002</v>
      </c>
      <c r="FG3" s="71"/>
      <c r="FH3" s="71"/>
      <c r="FI3" s="30">
        <f>COUNTIF(FH10:FH40,"出")</f>
        <v>0</v>
      </c>
      <c r="FJ3" s="25"/>
      <c r="FK3" s="74" t="s">
        <v>1003</v>
      </c>
      <c r="FL3" s="74"/>
      <c r="FM3" s="25"/>
      <c r="FN3" s="74" t="s">
        <v>1004</v>
      </c>
      <c r="FO3" s="74"/>
      <c r="FP3" s="25"/>
      <c r="FQ3" s="25"/>
      <c r="FR3" s="25"/>
      <c r="FS3" s="27"/>
      <c r="FU3" s="22"/>
      <c r="FV3" s="71" t="s">
        <v>1002</v>
      </c>
      <c r="FW3" s="71"/>
      <c r="FX3" s="71"/>
      <c r="FY3" s="30">
        <f>COUNTIF(FX10:FX40,"出")</f>
        <v>0</v>
      </c>
      <c r="FZ3" s="25"/>
      <c r="GA3" s="74" t="s">
        <v>1003</v>
      </c>
      <c r="GB3" s="74"/>
      <c r="GC3" s="25"/>
      <c r="GD3" s="74" t="s">
        <v>1004</v>
      </c>
      <c r="GE3" s="74"/>
      <c r="GF3" s="25"/>
      <c r="GG3" s="25"/>
      <c r="GH3" s="25"/>
      <c r="GI3" s="27"/>
    </row>
    <row r="4" spans="1:191" ht="18" customHeight="1" outlineLevel="1" x14ac:dyDescent="0.45">
      <c r="A4" s="22"/>
      <c r="B4" s="72" t="s">
        <v>1005</v>
      </c>
      <c r="C4" s="72"/>
      <c r="D4" s="72"/>
      <c r="E4" s="31">
        <f>COUNTIF(D10:D40,"リ")</f>
        <v>19</v>
      </c>
      <c r="F4" s="25"/>
      <c r="G4" s="33" t="s">
        <v>3</v>
      </c>
      <c r="H4" s="33" t="s">
        <v>1006</v>
      </c>
      <c r="I4" s="25"/>
      <c r="J4" s="33" t="s">
        <v>3</v>
      </c>
      <c r="K4" s="33" t="s">
        <v>1006</v>
      </c>
      <c r="L4" s="25"/>
      <c r="M4" s="25"/>
      <c r="N4" s="25"/>
      <c r="O4" s="27"/>
      <c r="Q4" s="22"/>
      <c r="R4" s="72" t="s">
        <v>1005</v>
      </c>
      <c r="S4" s="72"/>
      <c r="T4" s="72"/>
      <c r="U4" s="31">
        <f>COUNTIF(T10:T40,"リ")</f>
        <v>18</v>
      </c>
      <c r="V4" s="25"/>
      <c r="W4" s="33" t="s">
        <v>3</v>
      </c>
      <c r="X4" s="33" t="s">
        <v>1006</v>
      </c>
      <c r="Y4" s="25"/>
      <c r="Z4" s="33" t="s">
        <v>3</v>
      </c>
      <c r="AA4" s="33" t="s">
        <v>1006</v>
      </c>
      <c r="AB4" s="25"/>
      <c r="AC4" s="25"/>
      <c r="AD4" s="25"/>
      <c r="AE4" s="27"/>
      <c r="AG4" s="22"/>
      <c r="AH4" s="72" t="s">
        <v>1005</v>
      </c>
      <c r="AI4" s="72"/>
      <c r="AJ4" s="72"/>
      <c r="AK4" s="31">
        <f>COUNTIF(AJ10:AJ40,"リ")</f>
        <v>21</v>
      </c>
      <c r="AL4" s="25"/>
      <c r="AM4" s="33" t="s">
        <v>3</v>
      </c>
      <c r="AN4" s="33" t="s">
        <v>1006</v>
      </c>
      <c r="AO4" s="25"/>
      <c r="AP4" s="33" t="s">
        <v>3</v>
      </c>
      <c r="AQ4" s="33" t="s">
        <v>1006</v>
      </c>
      <c r="AR4" s="25"/>
      <c r="AS4" s="25"/>
      <c r="AT4" s="25"/>
      <c r="AU4" s="27"/>
      <c r="AW4" s="22"/>
      <c r="AX4" s="72" t="s">
        <v>1005</v>
      </c>
      <c r="AY4" s="72"/>
      <c r="AZ4" s="72"/>
      <c r="BA4" s="31">
        <f>COUNTIF(AZ10:AZ40,"リ")</f>
        <v>21</v>
      </c>
      <c r="BB4" s="25"/>
      <c r="BC4" s="33" t="s">
        <v>3</v>
      </c>
      <c r="BD4" s="33" t="s">
        <v>1006</v>
      </c>
      <c r="BE4" s="25"/>
      <c r="BF4" s="33" t="s">
        <v>3</v>
      </c>
      <c r="BG4" s="33" t="s">
        <v>1006</v>
      </c>
      <c r="BH4" s="25"/>
      <c r="BI4" s="25"/>
      <c r="BJ4" s="25"/>
      <c r="BK4" s="27"/>
      <c r="BM4" s="22"/>
      <c r="BN4" s="72" t="s">
        <v>1005</v>
      </c>
      <c r="BO4" s="72"/>
      <c r="BP4" s="72"/>
      <c r="BQ4" s="31">
        <f>COUNTIF(BP10:BP40,"リ")</f>
        <v>18</v>
      </c>
      <c r="BR4" s="25"/>
      <c r="BS4" s="33" t="s">
        <v>3</v>
      </c>
      <c r="BT4" s="33" t="s">
        <v>1006</v>
      </c>
      <c r="BU4" s="25"/>
      <c r="BV4" s="33" t="s">
        <v>3</v>
      </c>
      <c r="BW4" s="33" t="s">
        <v>1006</v>
      </c>
      <c r="BX4" s="25"/>
      <c r="BY4" s="25"/>
      <c r="BZ4" s="25"/>
      <c r="CA4" s="27"/>
      <c r="CC4" s="22"/>
      <c r="CD4" s="72" t="s">
        <v>1005</v>
      </c>
      <c r="CE4" s="72"/>
      <c r="CF4" s="72"/>
      <c r="CG4" s="31">
        <f>COUNTIF(CF10:CF40,"リ")</f>
        <v>22</v>
      </c>
      <c r="CH4" s="25"/>
      <c r="CI4" s="33" t="s">
        <v>3</v>
      </c>
      <c r="CJ4" s="33" t="s">
        <v>1006</v>
      </c>
      <c r="CK4" s="25"/>
      <c r="CL4" s="33" t="s">
        <v>3</v>
      </c>
      <c r="CM4" s="33" t="s">
        <v>1006</v>
      </c>
      <c r="CN4" s="25"/>
      <c r="CO4" s="25"/>
      <c r="CP4" s="25"/>
      <c r="CQ4" s="27"/>
      <c r="CS4" s="22"/>
      <c r="CT4" s="72" t="s">
        <v>1005</v>
      </c>
      <c r="CU4" s="72"/>
      <c r="CV4" s="72"/>
      <c r="CW4" s="31">
        <f>COUNTIF(CV10:CV40,"リ")</f>
        <v>22</v>
      </c>
      <c r="CX4" s="25"/>
      <c r="CY4" s="33" t="s">
        <v>3</v>
      </c>
      <c r="CZ4" s="33" t="s">
        <v>1006</v>
      </c>
      <c r="DA4" s="25"/>
      <c r="DB4" s="33" t="s">
        <v>3</v>
      </c>
      <c r="DC4" s="33" t="s">
        <v>1006</v>
      </c>
      <c r="DD4" s="25"/>
      <c r="DE4" s="25"/>
      <c r="DF4" s="25"/>
      <c r="DG4" s="27"/>
      <c r="DI4" s="22"/>
      <c r="DJ4" s="72" t="s">
        <v>1005</v>
      </c>
      <c r="DK4" s="72"/>
      <c r="DL4" s="72"/>
      <c r="DM4" s="31">
        <f>COUNTIF(DL10:DL40,"リ")</f>
        <v>20</v>
      </c>
      <c r="DN4" s="25"/>
      <c r="DO4" s="33" t="s">
        <v>3</v>
      </c>
      <c r="DP4" s="33" t="s">
        <v>1006</v>
      </c>
      <c r="DQ4" s="25"/>
      <c r="DR4" s="33" t="s">
        <v>3</v>
      </c>
      <c r="DS4" s="33" t="s">
        <v>1006</v>
      </c>
      <c r="DT4" s="25"/>
      <c r="DU4" s="25"/>
      <c r="DV4" s="25"/>
      <c r="DW4" s="27"/>
      <c r="DY4" s="22"/>
      <c r="DZ4" s="72" t="s">
        <v>1005</v>
      </c>
      <c r="EA4" s="72"/>
      <c r="EB4" s="72"/>
      <c r="EC4" s="31">
        <f>COUNTIF(EB10:EB40,"リ")</f>
        <v>19</v>
      </c>
      <c r="ED4" s="25"/>
      <c r="EE4" s="33" t="s">
        <v>3</v>
      </c>
      <c r="EF4" s="33" t="s">
        <v>1006</v>
      </c>
      <c r="EG4" s="25"/>
      <c r="EH4" s="33" t="s">
        <v>3</v>
      </c>
      <c r="EI4" s="33" t="s">
        <v>1006</v>
      </c>
      <c r="EJ4" s="25"/>
      <c r="EK4" s="25"/>
      <c r="EL4" s="25"/>
      <c r="EM4" s="27"/>
      <c r="EO4" s="22"/>
      <c r="EP4" s="72" t="s">
        <v>1005</v>
      </c>
      <c r="EQ4" s="72"/>
      <c r="ER4" s="72"/>
      <c r="ES4" s="31">
        <f>COUNTIF(ER10:ER40,"リ")</f>
        <v>21</v>
      </c>
      <c r="ET4" s="25"/>
      <c r="EU4" s="33" t="s">
        <v>3</v>
      </c>
      <c r="EV4" s="33" t="s">
        <v>1006</v>
      </c>
      <c r="EW4" s="25"/>
      <c r="EX4" s="33" t="s">
        <v>3</v>
      </c>
      <c r="EY4" s="33" t="s">
        <v>1006</v>
      </c>
      <c r="EZ4" s="25"/>
      <c r="FA4" s="25"/>
      <c r="FB4" s="25"/>
      <c r="FC4" s="27"/>
      <c r="FE4" s="22"/>
      <c r="FF4" s="72" t="s">
        <v>1005</v>
      </c>
      <c r="FG4" s="72"/>
      <c r="FH4" s="72"/>
      <c r="FI4" s="31">
        <f>COUNTIF(FH10:FH40,"リ")</f>
        <v>19</v>
      </c>
      <c r="FJ4" s="25"/>
      <c r="FK4" s="33" t="s">
        <v>3</v>
      </c>
      <c r="FL4" s="33" t="s">
        <v>1006</v>
      </c>
      <c r="FM4" s="25"/>
      <c r="FN4" s="33" t="s">
        <v>3</v>
      </c>
      <c r="FO4" s="33" t="s">
        <v>1006</v>
      </c>
      <c r="FP4" s="25"/>
      <c r="FQ4" s="25"/>
      <c r="FR4" s="25"/>
      <c r="FS4" s="27"/>
      <c r="FU4" s="22"/>
      <c r="FV4" s="72" t="s">
        <v>1005</v>
      </c>
      <c r="FW4" s="72"/>
      <c r="FX4" s="72"/>
      <c r="FY4" s="31">
        <f>COUNTIF(FX10:FX40,"リ")</f>
        <v>20</v>
      </c>
      <c r="FZ4" s="25"/>
      <c r="GA4" s="33" t="s">
        <v>3</v>
      </c>
      <c r="GB4" s="33" t="s">
        <v>1006</v>
      </c>
      <c r="GC4" s="25"/>
      <c r="GD4" s="33" t="s">
        <v>3</v>
      </c>
      <c r="GE4" s="33" t="s">
        <v>1006</v>
      </c>
      <c r="GF4" s="25"/>
      <c r="GG4" s="25"/>
      <c r="GH4" s="25"/>
      <c r="GI4" s="27"/>
    </row>
    <row r="5" spans="1:191" ht="18" customHeight="1" outlineLevel="1" x14ac:dyDescent="0.45">
      <c r="A5" s="22"/>
      <c r="B5" s="73" t="s">
        <v>1007</v>
      </c>
      <c r="C5" s="73"/>
      <c r="D5" s="73"/>
      <c r="E5" s="32">
        <f>E3/(E3+E4)</f>
        <v>0</v>
      </c>
      <c r="F5" s="25"/>
      <c r="G5" s="34">
        <f>COUNT(F10:F40)</f>
        <v>19</v>
      </c>
      <c r="H5" s="35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5"/>
      <c r="J5" s="34">
        <f>COUNT(J10:J40)</f>
        <v>19</v>
      </c>
      <c r="K5" s="35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5"/>
      <c r="M5" s="25"/>
      <c r="N5" s="25"/>
      <c r="O5" s="27"/>
      <c r="Q5" s="22"/>
      <c r="R5" s="73" t="s">
        <v>1007</v>
      </c>
      <c r="S5" s="73"/>
      <c r="T5" s="73"/>
      <c r="U5" s="32">
        <f>U3/(U3+U4)</f>
        <v>0</v>
      </c>
      <c r="V5" s="25"/>
      <c r="W5" s="34">
        <f>COUNT(V10:V40)</f>
        <v>18</v>
      </c>
      <c r="X5" s="35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25"/>
      <c r="Z5" s="34">
        <f>COUNT(Z10:Z40)</f>
        <v>18</v>
      </c>
      <c r="AA5" s="35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25"/>
      <c r="AC5" s="25"/>
      <c r="AD5" s="25"/>
      <c r="AE5" s="27"/>
      <c r="AG5" s="22"/>
      <c r="AH5" s="73" t="s">
        <v>1007</v>
      </c>
      <c r="AI5" s="73"/>
      <c r="AJ5" s="73"/>
      <c r="AK5" s="32">
        <f>AK3/(AK3+AK4)</f>
        <v>0</v>
      </c>
      <c r="AL5" s="25"/>
      <c r="AM5" s="34">
        <f>COUNT(AL10:AL40)</f>
        <v>21</v>
      </c>
      <c r="AN5" s="35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25"/>
      <c r="AP5" s="34">
        <f>COUNT(AP10:AP40)</f>
        <v>21</v>
      </c>
      <c r="AQ5" s="35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25"/>
      <c r="AS5" s="25"/>
      <c r="AT5" s="25"/>
      <c r="AU5" s="27"/>
      <c r="AW5" s="22"/>
      <c r="AX5" s="73" t="s">
        <v>1007</v>
      </c>
      <c r="AY5" s="73"/>
      <c r="AZ5" s="73"/>
      <c r="BA5" s="32">
        <f>BA3/(BA3+BA4)</f>
        <v>0</v>
      </c>
      <c r="BB5" s="25"/>
      <c r="BC5" s="34">
        <f>COUNT(BB10:BB40)</f>
        <v>21</v>
      </c>
      <c r="BD5" s="35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25"/>
      <c r="BF5" s="34">
        <f>COUNT(BF10:BF40)</f>
        <v>21</v>
      </c>
      <c r="BG5" s="35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25"/>
      <c r="BI5" s="25"/>
      <c r="BJ5" s="25"/>
      <c r="BK5" s="27"/>
      <c r="BM5" s="22"/>
      <c r="BN5" s="73" t="s">
        <v>1007</v>
      </c>
      <c r="BO5" s="73"/>
      <c r="BP5" s="73"/>
      <c r="BQ5" s="32">
        <f>BQ3/(BQ3+BQ4)</f>
        <v>0</v>
      </c>
      <c r="BR5" s="25"/>
      <c r="BS5" s="34">
        <f>COUNT(BR10:BR40)</f>
        <v>18</v>
      </c>
      <c r="BT5" s="35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25"/>
      <c r="BV5" s="34">
        <f>COUNT(BV10:BV40)</f>
        <v>18</v>
      </c>
      <c r="BW5" s="35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25"/>
      <c r="BY5" s="25"/>
      <c r="BZ5" s="25"/>
      <c r="CA5" s="27"/>
      <c r="CC5" s="22"/>
      <c r="CD5" s="73" t="s">
        <v>1007</v>
      </c>
      <c r="CE5" s="73"/>
      <c r="CF5" s="73"/>
      <c r="CG5" s="32">
        <f>CG3/(CG3+CG4)</f>
        <v>0</v>
      </c>
      <c r="CH5" s="25"/>
      <c r="CI5" s="34">
        <f>COUNT(CH10:CH40)</f>
        <v>22</v>
      </c>
      <c r="CJ5" s="35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25"/>
      <c r="CL5" s="34">
        <f>COUNT(CL10:CL40)</f>
        <v>22</v>
      </c>
      <c r="CM5" s="35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25"/>
      <c r="CO5" s="25"/>
      <c r="CP5" s="25"/>
      <c r="CQ5" s="27"/>
      <c r="CS5" s="22"/>
      <c r="CT5" s="73" t="s">
        <v>1007</v>
      </c>
      <c r="CU5" s="73"/>
      <c r="CV5" s="73"/>
      <c r="CW5" s="32">
        <f>CW3/(CW3+CW4)</f>
        <v>0</v>
      </c>
      <c r="CX5" s="25"/>
      <c r="CY5" s="34">
        <f>COUNT(CX10:CX40)</f>
        <v>22</v>
      </c>
      <c r="CZ5" s="35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25"/>
      <c r="DB5" s="34">
        <f>COUNT(DB10:DB40)</f>
        <v>22</v>
      </c>
      <c r="DC5" s="35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25"/>
      <c r="DE5" s="25"/>
      <c r="DF5" s="25"/>
      <c r="DG5" s="27"/>
      <c r="DI5" s="22"/>
      <c r="DJ5" s="73" t="s">
        <v>1007</v>
      </c>
      <c r="DK5" s="73"/>
      <c r="DL5" s="73"/>
      <c r="DM5" s="32">
        <f>DM3/(DM3+DM4)</f>
        <v>0</v>
      </c>
      <c r="DN5" s="25"/>
      <c r="DO5" s="34">
        <f>COUNT(DN10:DN40)</f>
        <v>20</v>
      </c>
      <c r="DP5" s="35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25"/>
      <c r="DR5" s="34">
        <f>COUNT(DR10:DR40)</f>
        <v>20</v>
      </c>
      <c r="DS5" s="35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25"/>
      <c r="DU5" s="25"/>
      <c r="DV5" s="25"/>
      <c r="DW5" s="27"/>
      <c r="DY5" s="22"/>
      <c r="DZ5" s="73" t="s">
        <v>1007</v>
      </c>
      <c r="EA5" s="73"/>
      <c r="EB5" s="73"/>
      <c r="EC5" s="32">
        <f>EC3/(EC3+EC4)</f>
        <v>0</v>
      </c>
      <c r="ED5" s="25"/>
      <c r="EE5" s="34">
        <f>COUNT(ED10:ED40)</f>
        <v>19</v>
      </c>
      <c r="EF5" s="35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25"/>
      <c r="EH5" s="34">
        <f>COUNT(EH10:EH40)</f>
        <v>19</v>
      </c>
      <c r="EI5" s="35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25"/>
      <c r="EK5" s="25"/>
      <c r="EL5" s="25"/>
      <c r="EM5" s="27"/>
      <c r="EO5" s="22"/>
      <c r="EP5" s="73" t="s">
        <v>1007</v>
      </c>
      <c r="EQ5" s="73"/>
      <c r="ER5" s="73"/>
      <c r="ES5" s="32">
        <f>ES3/(ES3+ES4)</f>
        <v>0</v>
      </c>
      <c r="ET5" s="25"/>
      <c r="EU5" s="34">
        <f>COUNT(ET10:ET40)</f>
        <v>21</v>
      </c>
      <c r="EV5" s="35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25"/>
      <c r="EX5" s="34">
        <f>COUNT(EX10:EX40)</f>
        <v>21</v>
      </c>
      <c r="EY5" s="35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25"/>
      <c r="FA5" s="25"/>
      <c r="FB5" s="25"/>
      <c r="FC5" s="27"/>
      <c r="FE5" s="22"/>
      <c r="FF5" s="73" t="s">
        <v>1007</v>
      </c>
      <c r="FG5" s="73"/>
      <c r="FH5" s="73"/>
      <c r="FI5" s="32">
        <f>FI3/(FI3+FI4)</f>
        <v>0</v>
      </c>
      <c r="FJ5" s="25"/>
      <c r="FK5" s="34">
        <f>COUNT(FJ10:FJ40)</f>
        <v>19</v>
      </c>
      <c r="FL5" s="35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25"/>
      <c r="FN5" s="34">
        <f>COUNT(FN10:FN40)</f>
        <v>19</v>
      </c>
      <c r="FO5" s="35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25"/>
      <c r="FQ5" s="25"/>
      <c r="FR5" s="25"/>
      <c r="FS5" s="27"/>
      <c r="FU5" s="22"/>
      <c r="FV5" s="73" t="s">
        <v>1007</v>
      </c>
      <c r="FW5" s="73"/>
      <c r="FX5" s="73"/>
      <c r="FY5" s="32">
        <f>FY3/(FY3+FY4)</f>
        <v>0</v>
      </c>
      <c r="FZ5" s="25"/>
      <c r="GA5" s="34">
        <f>COUNT(FZ10:FZ40)</f>
        <v>20</v>
      </c>
      <c r="GB5" s="35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25"/>
      <c r="GD5" s="34">
        <f>COUNT(GD10:GD40)</f>
        <v>20</v>
      </c>
      <c r="GE5" s="35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25"/>
      <c r="GG5" s="25"/>
      <c r="GH5" s="25"/>
      <c r="GI5" s="27"/>
    </row>
    <row r="6" spans="1:191" ht="6" customHeight="1" outlineLevel="1" thickBot="1" x14ac:dyDescent="0.5">
      <c r="A6" s="22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9"/>
      <c r="Q6" s="22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9"/>
      <c r="AG6" s="22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9"/>
      <c r="AW6" s="22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9"/>
      <c r="BM6" s="22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9"/>
      <c r="CC6" s="22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9"/>
      <c r="CS6" s="22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9"/>
      <c r="DI6" s="22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9"/>
      <c r="DY6" s="22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9"/>
      <c r="EO6" s="22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9"/>
      <c r="FE6" s="22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9"/>
      <c r="FU6" s="22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9"/>
    </row>
    <row r="7" spans="1:191" ht="6" customHeight="1" outlineLevel="1" thickTop="1" x14ac:dyDescent="0.45">
      <c r="A7" s="22"/>
      <c r="Q7" s="22"/>
      <c r="AG7" s="22"/>
      <c r="AW7" s="22"/>
      <c r="BM7" s="22"/>
      <c r="CC7" s="22"/>
      <c r="CS7" s="22"/>
      <c r="DI7" s="22"/>
      <c r="DY7" s="22"/>
      <c r="EO7" s="22"/>
      <c r="FE7" s="22"/>
      <c r="FU7" s="22"/>
    </row>
    <row r="8" spans="1:191" x14ac:dyDescent="0.45">
      <c r="A8" s="63">
        <v>46023</v>
      </c>
      <c r="D8" s="20"/>
      <c r="E8" s="65" t="s">
        <v>1008</v>
      </c>
      <c r="F8" s="65"/>
      <c r="G8" s="66" t="s">
        <v>1009</v>
      </c>
      <c r="H8" s="66"/>
      <c r="I8" s="20"/>
      <c r="J8" s="67" t="s">
        <v>1010</v>
      </c>
      <c r="K8" s="67"/>
      <c r="L8" s="67" t="s">
        <v>1009</v>
      </c>
      <c r="M8" s="67"/>
      <c r="N8" s="23"/>
      <c r="O8" s="20"/>
      <c r="Q8" s="63">
        <v>46054</v>
      </c>
      <c r="T8" s="20"/>
      <c r="U8" s="65" t="s">
        <v>1008</v>
      </c>
      <c r="V8" s="65"/>
      <c r="W8" s="66" t="s">
        <v>1009</v>
      </c>
      <c r="X8" s="66"/>
      <c r="Y8" s="20"/>
      <c r="Z8" s="67" t="s">
        <v>1010</v>
      </c>
      <c r="AA8" s="67"/>
      <c r="AB8" s="67" t="s">
        <v>1009</v>
      </c>
      <c r="AC8" s="67"/>
      <c r="AD8" s="23"/>
      <c r="AE8" s="20"/>
      <c r="AG8" s="63">
        <v>46082</v>
      </c>
      <c r="AJ8" s="20"/>
      <c r="AK8" s="65" t="s">
        <v>1008</v>
      </c>
      <c r="AL8" s="65"/>
      <c r="AM8" s="66" t="s">
        <v>1009</v>
      </c>
      <c r="AN8" s="66"/>
      <c r="AO8" s="20"/>
      <c r="AP8" s="67" t="s">
        <v>1010</v>
      </c>
      <c r="AQ8" s="67"/>
      <c r="AR8" s="67" t="s">
        <v>1009</v>
      </c>
      <c r="AS8" s="67"/>
      <c r="AT8" s="23"/>
      <c r="AU8" s="20"/>
      <c r="AW8" s="63">
        <v>46113</v>
      </c>
      <c r="AZ8" s="20"/>
      <c r="BA8" s="65" t="s">
        <v>1008</v>
      </c>
      <c r="BB8" s="65"/>
      <c r="BC8" s="66" t="s">
        <v>1009</v>
      </c>
      <c r="BD8" s="66"/>
      <c r="BE8" s="20"/>
      <c r="BF8" s="67" t="s">
        <v>1010</v>
      </c>
      <c r="BG8" s="67"/>
      <c r="BH8" s="67" t="s">
        <v>1009</v>
      </c>
      <c r="BI8" s="67"/>
      <c r="BJ8" s="23"/>
      <c r="BK8" s="20"/>
      <c r="BM8" s="63">
        <v>46143</v>
      </c>
      <c r="BP8" s="20"/>
      <c r="BQ8" s="65" t="s">
        <v>1008</v>
      </c>
      <c r="BR8" s="65"/>
      <c r="BS8" s="66" t="s">
        <v>1009</v>
      </c>
      <c r="BT8" s="66"/>
      <c r="BU8" s="20"/>
      <c r="BV8" s="67" t="s">
        <v>1010</v>
      </c>
      <c r="BW8" s="67"/>
      <c r="BX8" s="67" t="s">
        <v>1009</v>
      </c>
      <c r="BY8" s="67"/>
      <c r="BZ8" s="23"/>
      <c r="CA8" s="20"/>
      <c r="CC8" s="63">
        <v>46174</v>
      </c>
      <c r="CF8" s="20"/>
      <c r="CG8" s="65" t="s">
        <v>1008</v>
      </c>
      <c r="CH8" s="65"/>
      <c r="CI8" s="66" t="s">
        <v>1009</v>
      </c>
      <c r="CJ8" s="66"/>
      <c r="CK8" s="20"/>
      <c r="CL8" s="67" t="s">
        <v>1010</v>
      </c>
      <c r="CM8" s="67"/>
      <c r="CN8" s="67" t="s">
        <v>1009</v>
      </c>
      <c r="CO8" s="67"/>
      <c r="CP8" s="23"/>
      <c r="CQ8" s="20"/>
      <c r="CS8" s="63">
        <v>46204</v>
      </c>
      <c r="CV8" s="20"/>
      <c r="CW8" s="65" t="s">
        <v>1008</v>
      </c>
      <c r="CX8" s="65"/>
      <c r="CY8" s="66" t="s">
        <v>1009</v>
      </c>
      <c r="CZ8" s="66"/>
      <c r="DA8" s="20"/>
      <c r="DB8" s="67" t="s">
        <v>1010</v>
      </c>
      <c r="DC8" s="67"/>
      <c r="DD8" s="67" t="s">
        <v>1009</v>
      </c>
      <c r="DE8" s="67"/>
      <c r="DF8" s="23"/>
      <c r="DG8" s="20"/>
      <c r="DI8" s="63">
        <v>46235</v>
      </c>
      <c r="DL8" s="20"/>
      <c r="DM8" s="65" t="s">
        <v>1008</v>
      </c>
      <c r="DN8" s="65"/>
      <c r="DO8" s="66" t="s">
        <v>1009</v>
      </c>
      <c r="DP8" s="66"/>
      <c r="DQ8" s="20"/>
      <c r="DR8" s="67" t="s">
        <v>1010</v>
      </c>
      <c r="DS8" s="67"/>
      <c r="DT8" s="67" t="s">
        <v>1009</v>
      </c>
      <c r="DU8" s="67"/>
      <c r="DV8" s="23"/>
      <c r="DW8" s="20"/>
      <c r="DY8" s="63">
        <v>46266</v>
      </c>
      <c r="EB8" s="20"/>
      <c r="EC8" s="65" t="s">
        <v>1008</v>
      </c>
      <c r="ED8" s="65"/>
      <c r="EE8" s="66" t="s">
        <v>1009</v>
      </c>
      <c r="EF8" s="66"/>
      <c r="EG8" s="20"/>
      <c r="EH8" s="67" t="s">
        <v>1010</v>
      </c>
      <c r="EI8" s="67"/>
      <c r="EJ8" s="67" t="s">
        <v>1009</v>
      </c>
      <c r="EK8" s="67"/>
      <c r="EL8" s="23"/>
      <c r="EM8" s="20"/>
      <c r="EO8" s="63">
        <v>46296</v>
      </c>
      <c r="ER8" s="20"/>
      <c r="ES8" s="65" t="s">
        <v>1008</v>
      </c>
      <c r="ET8" s="65"/>
      <c r="EU8" s="66" t="s">
        <v>1009</v>
      </c>
      <c r="EV8" s="66"/>
      <c r="EW8" s="20"/>
      <c r="EX8" s="67" t="s">
        <v>1010</v>
      </c>
      <c r="EY8" s="67"/>
      <c r="EZ8" s="67" t="s">
        <v>1009</v>
      </c>
      <c r="FA8" s="67"/>
      <c r="FB8" s="23"/>
      <c r="FC8" s="20"/>
      <c r="FE8" s="63">
        <v>46327</v>
      </c>
      <c r="FH8" s="20"/>
      <c r="FI8" s="65" t="s">
        <v>1008</v>
      </c>
      <c r="FJ8" s="65"/>
      <c r="FK8" s="66" t="s">
        <v>1009</v>
      </c>
      <c r="FL8" s="66"/>
      <c r="FM8" s="20"/>
      <c r="FN8" s="67" t="s">
        <v>1010</v>
      </c>
      <c r="FO8" s="67"/>
      <c r="FP8" s="67" t="s">
        <v>1009</v>
      </c>
      <c r="FQ8" s="67"/>
      <c r="FR8" s="23"/>
      <c r="FS8" s="20"/>
      <c r="FU8" s="63">
        <v>46357</v>
      </c>
      <c r="FX8" s="20"/>
      <c r="FY8" s="65" t="s">
        <v>1008</v>
      </c>
      <c r="FZ8" s="65"/>
      <c r="GA8" s="66" t="s">
        <v>1009</v>
      </c>
      <c r="GB8" s="66"/>
      <c r="GC8" s="20"/>
      <c r="GD8" s="67" t="s">
        <v>1010</v>
      </c>
      <c r="GE8" s="67"/>
      <c r="GF8" s="67" t="s">
        <v>1009</v>
      </c>
      <c r="GG8" s="67"/>
      <c r="GH8" s="23"/>
      <c r="GI8" s="20"/>
    </row>
    <row r="9" spans="1:191" x14ac:dyDescent="0.45">
      <c r="A9" s="64"/>
      <c r="B9" s="36"/>
      <c r="C9" s="36"/>
      <c r="D9" s="37" t="s">
        <v>1011</v>
      </c>
      <c r="E9" s="37" t="s">
        <v>1012</v>
      </c>
      <c r="F9" s="37" t="s">
        <v>1013</v>
      </c>
      <c r="G9" s="38" t="s">
        <v>1012</v>
      </c>
      <c r="H9" s="38" t="s">
        <v>1013</v>
      </c>
      <c r="I9" s="37" t="s">
        <v>1006</v>
      </c>
      <c r="J9" s="39" t="s">
        <v>1012</v>
      </c>
      <c r="K9" s="39" t="s">
        <v>1013</v>
      </c>
      <c r="L9" s="39" t="s">
        <v>1012</v>
      </c>
      <c r="M9" s="39" t="s">
        <v>1013</v>
      </c>
      <c r="N9" s="39" t="s">
        <v>1006</v>
      </c>
      <c r="O9" s="37" t="s">
        <v>1014</v>
      </c>
      <c r="Q9" s="64"/>
      <c r="R9" s="36"/>
      <c r="S9" s="36"/>
      <c r="T9" s="37" t="s">
        <v>1011</v>
      </c>
      <c r="U9" s="37" t="s">
        <v>1012</v>
      </c>
      <c r="V9" s="37" t="s">
        <v>1013</v>
      </c>
      <c r="W9" s="38" t="s">
        <v>1012</v>
      </c>
      <c r="X9" s="38" t="s">
        <v>1013</v>
      </c>
      <c r="Y9" s="37" t="s">
        <v>1006</v>
      </c>
      <c r="Z9" s="39" t="s">
        <v>1012</v>
      </c>
      <c r="AA9" s="39" t="s">
        <v>1013</v>
      </c>
      <c r="AB9" s="39" t="s">
        <v>1012</v>
      </c>
      <c r="AC9" s="39" t="s">
        <v>1013</v>
      </c>
      <c r="AD9" s="39" t="s">
        <v>1006</v>
      </c>
      <c r="AE9" s="37" t="s">
        <v>1014</v>
      </c>
      <c r="AG9" s="64"/>
      <c r="AH9" s="36"/>
      <c r="AI9" s="36"/>
      <c r="AJ9" s="37" t="s">
        <v>1011</v>
      </c>
      <c r="AK9" s="37" t="s">
        <v>1012</v>
      </c>
      <c r="AL9" s="37" t="s">
        <v>1013</v>
      </c>
      <c r="AM9" s="38" t="s">
        <v>1012</v>
      </c>
      <c r="AN9" s="38" t="s">
        <v>1013</v>
      </c>
      <c r="AO9" s="37" t="s">
        <v>1006</v>
      </c>
      <c r="AP9" s="39" t="s">
        <v>1012</v>
      </c>
      <c r="AQ9" s="39" t="s">
        <v>1013</v>
      </c>
      <c r="AR9" s="39" t="s">
        <v>1012</v>
      </c>
      <c r="AS9" s="39" t="s">
        <v>1013</v>
      </c>
      <c r="AT9" s="39" t="s">
        <v>1006</v>
      </c>
      <c r="AU9" s="37" t="s">
        <v>1014</v>
      </c>
      <c r="AW9" s="64"/>
      <c r="AX9" s="36"/>
      <c r="AY9" s="36"/>
      <c r="AZ9" s="37" t="s">
        <v>1011</v>
      </c>
      <c r="BA9" s="37" t="s">
        <v>1012</v>
      </c>
      <c r="BB9" s="37" t="s">
        <v>1013</v>
      </c>
      <c r="BC9" s="38" t="s">
        <v>1012</v>
      </c>
      <c r="BD9" s="38" t="s">
        <v>1013</v>
      </c>
      <c r="BE9" s="37" t="s">
        <v>1006</v>
      </c>
      <c r="BF9" s="39" t="s">
        <v>1012</v>
      </c>
      <c r="BG9" s="39" t="s">
        <v>1013</v>
      </c>
      <c r="BH9" s="39" t="s">
        <v>1012</v>
      </c>
      <c r="BI9" s="39" t="s">
        <v>1013</v>
      </c>
      <c r="BJ9" s="39" t="s">
        <v>1006</v>
      </c>
      <c r="BK9" s="37" t="s">
        <v>1014</v>
      </c>
      <c r="BM9" s="64"/>
      <c r="BN9" s="36"/>
      <c r="BO9" s="36"/>
      <c r="BP9" s="37" t="s">
        <v>1011</v>
      </c>
      <c r="BQ9" s="37" t="s">
        <v>1012</v>
      </c>
      <c r="BR9" s="37" t="s">
        <v>1013</v>
      </c>
      <c r="BS9" s="38" t="s">
        <v>1012</v>
      </c>
      <c r="BT9" s="38" t="s">
        <v>1013</v>
      </c>
      <c r="BU9" s="37" t="s">
        <v>1006</v>
      </c>
      <c r="BV9" s="39" t="s">
        <v>1012</v>
      </c>
      <c r="BW9" s="39" t="s">
        <v>1013</v>
      </c>
      <c r="BX9" s="39" t="s">
        <v>1012</v>
      </c>
      <c r="BY9" s="39" t="s">
        <v>1013</v>
      </c>
      <c r="BZ9" s="39" t="s">
        <v>1006</v>
      </c>
      <c r="CA9" s="37" t="s">
        <v>1014</v>
      </c>
      <c r="CC9" s="64"/>
      <c r="CD9" s="36"/>
      <c r="CE9" s="36"/>
      <c r="CF9" s="37" t="s">
        <v>1011</v>
      </c>
      <c r="CG9" s="37" t="s">
        <v>1012</v>
      </c>
      <c r="CH9" s="37" t="s">
        <v>1013</v>
      </c>
      <c r="CI9" s="38" t="s">
        <v>1012</v>
      </c>
      <c r="CJ9" s="38" t="s">
        <v>1013</v>
      </c>
      <c r="CK9" s="37" t="s">
        <v>1006</v>
      </c>
      <c r="CL9" s="39" t="s">
        <v>1012</v>
      </c>
      <c r="CM9" s="39" t="s">
        <v>1013</v>
      </c>
      <c r="CN9" s="39" t="s">
        <v>1012</v>
      </c>
      <c r="CO9" s="39" t="s">
        <v>1013</v>
      </c>
      <c r="CP9" s="39" t="s">
        <v>1006</v>
      </c>
      <c r="CQ9" s="37" t="s">
        <v>1014</v>
      </c>
      <c r="CS9" s="64"/>
      <c r="CT9" s="36"/>
      <c r="CU9" s="36"/>
      <c r="CV9" s="37" t="s">
        <v>1011</v>
      </c>
      <c r="CW9" s="37" t="s">
        <v>1012</v>
      </c>
      <c r="CX9" s="37" t="s">
        <v>1013</v>
      </c>
      <c r="CY9" s="38" t="s">
        <v>1012</v>
      </c>
      <c r="CZ9" s="38" t="s">
        <v>1013</v>
      </c>
      <c r="DA9" s="37" t="s">
        <v>1006</v>
      </c>
      <c r="DB9" s="39" t="s">
        <v>1012</v>
      </c>
      <c r="DC9" s="39" t="s">
        <v>1013</v>
      </c>
      <c r="DD9" s="39" t="s">
        <v>1012</v>
      </c>
      <c r="DE9" s="39" t="s">
        <v>1013</v>
      </c>
      <c r="DF9" s="39" t="s">
        <v>1006</v>
      </c>
      <c r="DG9" s="37" t="s">
        <v>1014</v>
      </c>
      <c r="DI9" s="64"/>
      <c r="DJ9" s="36"/>
      <c r="DK9" s="36"/>
      <c r="DL9" s="37" t="s">
        <v>1011</v>
      </c>
      <c r="DM9" s="37" t="s">
        <v>1012</v>
      </c>
      <c r="DN9" s="37" t="s">
        <v>1013</v>
      </c>
      <c r="DO9" s="38" t="s">
        <v>1012</v>
      </c>
      <c r="DP9" s="38" t="s">
        <v>1013</v>
      </c>
      <c r="DQ9" s="37" t="s">
        <v>1006</v>
      </c>
      <c r="DR9" s="39" t="s">
        <v>1012</v>
      </c>
      <c r="DS9" s="39" t="s">
        <v>1013</v>
      </c>
      <c r="DT9" s="39" t="s">
        <v>1012</v>
      </c>
      <c r="DU9" s="39" t="s">
        <v>1013</v>
      </c>
      <c r="DV9" s="39" t="s">
        <v>1006</v>
      </c>
      <c r="DW9" s="37" t="s">
        <v>1014</v>
      </c>
      <c r="DY9" s="64"/>
      <c r="DZ9" s="36"/>
      <c r="EA9" s="36"/>
      <c r="EB9" s="37" t="s">
        <v>1011</v>
      </c>
      <c r="EC9" s="37" t="s">
        <v>1012</v>
      </c>
      <c r="ED9" s="37" t="s">
        <v>1013</v>
      </c>
      <c r="EE9" s="38" t="s">
        <v>1012</v>
      </c>
      <c r="EF9" s="38" t="s">
        <v>1013</v>
      </c>
      <c r="EG9" s="37" t="s">
        <v>1006</v>
      </c>
      <c r="EH9" s="39" t="s">
        <v>1012</v>
      </c>
      <c r="EI9" s="39" t="s">
        <v>1013</v>
      </c>
      <c r="EJ9" s="39" t="s">
        <v>1012</v>
      </c>
      <c r="EK9" s="39" t="s">
        <v>1013</v>
      </c>
      <c r="EL9" s="39" t="s">
        <v>1006</v>
      </c>
      <c r="EM9" s="37" t="s">
        <v>1014</v>
      </c>
      <c r="EO9" s="64"/>
      <c r="EP9" s="36"/>
      <c r="EQ9" s="36"/>
      <c r="ER9" s="37" t="s">
        <v>1011</v>
      </c>
      <c r="ES9" s="37" t="s">
        <v>1012</v>
      </c>
      <c r="ET9" s="37" t="s">
        <v>1013</v>
      </c>
      <c r="EU9" s="38" t="s">
        <v>1012</v>
      </c>
      <c r="EV9" s="38" t="s">
        <v>1013</v>
      </c>
      <c r="EW9" s="37" t="s">
        <v>1006</v>
      </c>
      <c r="EX9" s="39" t="s">
        <v>1012</v>
      </c>
      <c r="EY9" s="39" t="s">
        <v>1013</v>
      </c>
      <c r="EZ9" s="39" t="s">
        <v>1012</v>
      </c>
      <c r="FA9" s="39" t="s">
        <v>1013</v>
      </c>
      <c r="FB9" s="39" t="s">
        <v>1006</v>
      </c>
      <c r="FC9" s="37" t="s">
        <v>1014</v>
      </c>
      <c r="FE9" s="64"/>
      <c r="FF9" s="36"/>
      <c r="FG9" s="36"/>
      <c r="FH9" s="37" t="s">
        <v>1011</v>
      </c>
      <c r="FI9" s="37" t="s">
        <v>1012</v>
      </c>
      <c r="FJ9" s="37" t="s">
        <v>1013</v>
      </c>
      <c r="FK9" s="38" t="s">
        <v>1012</v>
      </c>
      <c r="FL9" s="38" t="s">
        <v>1013</v>
      </c>
      <c r="FM9" s="37" t="s">
        <v>1006</v>
      </c>
      <c r="FN9" s="39" t="s">
        <v>1012</v>
      </c>
      <c r="FO9" s="39" t="s">
        <v>1013</v>
      </c>
      <c r="FP9" s="39" t="s">
        <v>1012</v>
      </c>
      <c r="FQ9" s="39" t="s">
        <v>1013</v>
      </c>
      <c r="FR9" s="39" t="s">
        <v>1006</v>
      </c>
      <c r="FS9" s="37" t="s">
        <v>1014</v>
      </c>
      <c r="FU9" s="64"/>
      <c r="FV9" s="36"/>
      <c r="FW9" s="36"/>
      <c r="FX9" s="37" t="s">
        <v>1011</v>
      </c>
      <c r="FY9" s="37" t="s">
        <v>1012</v>
      </c>
      <c r="FZ9" s="37" t="s">
        <v>1013</v>
      </c>
      <c r="GA9" s="38" t="s">
        <v>1012</v>
      </c>
      <c r="GB9" s="38" t="s">
        <v>1013</v>
      </c>
      <c r="GC9" s="37" t="s">
        <v>1006</v>
      </c>
      <c r="GD9" s="39" t="s">
        <v>1012</v>
      </c>
      <c r="GE9" s="39" t="s">
        <v>1013</v>
      </c>
      <c r="GF9" s="39" t="s">
        <v>1012</v>
      </c>
      <c r="GG9" s="39" t="s">
        <v>1013</v>
      </c>
      <c r="GH9" s="39" t="s">
        <v>1006</v>
      </c>
      <c r="GI9" s="37" t="s">
        <v>1014</v>
      </c>
    </row>
    <row r="10" spans="1:191" x14ac:dyDescent="0.45">
      <c r="A10" s="75" t="s">
        <v>1017</v>
      </c>
      <c r="B10" s="40">
        <f>A8</f>
        <v>46023</v>
      </c>
      <c r="C10" s="41" t="str">
        <f t="shared" ref="C10:C40" si="0">TEXT(B10,"aaa")</f>
        <v>木</v>
      </c>
      <c r="D10" s="41"/>
      <c r="E10" s="42"/>
      <c r="F10" s="42"/>
      <c r="G10" s="43"/>
      <c r="H10" s="43"/>
      <c r="I10" s="44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45"/>
      <c r="K10" s="45"/>
      <c r="L10" s="45"/>
      <c r="M10" s="45"/>
      <c r="N10" s="46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7"/>
      <c r="Q10" s="59"/>
      <c r="R10" s="40">
        <f>Q8</f>
        <v>46054</v>
      </c>
      <c r="S10" s="41" t="str">
        <f t="shared" ref="S10:S40" si="3">TEXT(R10,"aaa")</f>
        <v>日</v>
      </c>
      <c r="T10" s="41"/>
      <c r="U10" s="42"/>
      <c r="V10" s="42"/>
      <c r="W10" s="43"/>
      <c r="X10" s="43"/>
      <c r="Y10" s="44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45"/>
      <c r="AA10" s="45"/>
      <c r="AB10" s="45"/>
      <c r="AC10" s="45"/>
      <c r="AD10" s="46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47"/>
      <c r="AG10" s="59"/>
      <c r="AH10" s="40">
        <f>AG8</f>
        <v>46082</v>
      </c>
      <c r="AI10" s="41" t="str">
        <f t="shared" ref="AI10:AI40" si="6">TEXT(AH10,"aaa")</f>
        <v>日</v>
      </c>
      <c r="AJ10" s="41"/>
      <c r="AK10" s="42"/>
      <c r="AL10" s="42"/>
      <c r="AM10" s="43"/>
      <c r="AN10" s="43"/>
      <c r="AO10" s="44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45"/>
      <c r="AQ10" s="45"/>
      <c r="AR10" s="45"/>
      <c r="AS10" s="45"/>
      <c r="AT10" s="46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47"/>
      <c r="AW10" s="59"/>
      <c r="AX10" s="40">
        <f>AW8</f>
        <v>46113</v>
      </c>
      <c r="AY10" s="41" t="str">
        <f t="shared" ref="AY10:AY40" si="9">TEXT(AX10,"aaa")</f>
        <v>水</v>
      </c>
      <c r="AZ10" s="41" t="s">
        <v>1015</v>
      </c>
      <c r="BA10" s="48">
        <v>0.375</v>
      </c>
      <c r="BB10" s="48">
        <v>0.75</v>
      </c>
      <c r="BC10" s="49">
        <v>0.5</v>
      </c>
      <c r="BD10" s="49">
        <v>0.54166666666666663</v>
      </c>
      <c r="BE10" s="44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50">
        <v>0.375</v>
      </c>
      <c r="BG10" s="50">
        <v>0.75</v>
      </c>
      <c r="BH10" s="50">
        <v>0.5</v>
      </c>
      <c r="BI10" s="50">
        <v>0.54166666666666663</v>
      </c>
      <c r="BJ10" s="46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47"/>
      <c r="BM10" s="59"/>
      <c r="BN10" s="40">
        <f>BM8</f>
        <v>46143</v>
      </c>
      <c r="BO10" s="41" t="str">
        <f t="shared" ref="BO10:BO40" si="12">TEXT(BN10,"aaa")</f>
        <v>金</v>
      </c>
      <c r="BP10" s="41" t="s">
        <v>1015</v>
      </c>
      <c r="BQ10" s="48">
        <v>0.375</v>
      </c>
      <c r="BR10" s="48">
        <v>0.75</v>
      </c>
      <c r="BS10" s="49">
        <v>0.5</v>
      </c>
      <c r="BT10" s="49">
        <v>0.54166666666666663</v>
      </c>
      <c r="BU10" s="44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50">
        <v>0.375</v>
      </c>
      <c r="BW10" s="50">
        <v>0.75</v>
      </c>
      <c r="BX10" s="50">
        <v>0.5</v>
      </c>
      <c r="BY10" s="50">
        <v>0.54166666666666663</v>
      </c>
      <c r="BZ10" s="46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47"/>
      <c r="CC10" s="59"/>
      <c r="CD10" s="40">
        <f>CC8</f>
        <v>46174</v>
      </c>
      <c r="CE10" s="41" t="str">
        <f t="shared" ref="CE10:CE40" si="15">TEXT(CD10,"aaa")</f>
        <v>月</v>
      </c>
      <c r="CF10" s="41" t="s">
        <v>1015</v>
      </c>
      <c r="CG10" s="48">
        <v>0.375</v>
      </c>
      <c r="CH10" s="48">
        <v>0.75</v>
      </c>
      <c r="CI10" s="49">
        <v>0.5</v>
      </c>
      <c r="CJ10" s="49">
        <v>0.54166666666666663</v>
      </c>
      <c r="CK10" s="44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50">
        <v>0.375</v>
      </c>
      <c r="CM10" s="50">
        <v>0.75</v>
      </c>
      <c r="CN10" s="50">
        <v>0.5</v>
      </c>
      <c r="CO10" s="50">
        <v>0.54166666666666663</v>
      </c>
      <c r="CP10" s="46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47"/>
      <c r="CS10" s="59"/>
      <c r="CT10" s="40">
        <f>CS8</f>
        <v>46204</v>
      </c>
      <c r="CU10" s="41" t="str">
        <f t="shared" ref="CU10:CU40" si="18">TEXT(CT10,"aaa")</f>
        <v>水</v>
      </c>
      <c r="CV10" s="41" t="s">
        <v>1015</v>
      </c>
      <c r="CW10" s="48">
        <v>0.375</v>
      </c>
      <c r="CX10" s="48">
        <v>0.75</v>
      </c>
      <c r="CY10" s="49">
        <v>0.5</v>
      </c>
      <c r="CZ10" s="49">
        <v>0.54166666666666663</v>
      </c>
      <c r="DA10" s="44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50">
        <v>0.375</v>
      </c>
      <c r="DC10" s="50">
        <v>0.75</v>
      </c>
      <c r="DD10" s="50">
        <v>0.5</v>
      </c>
      <c r="DE10" s="50">
        <v>0.54166666666666663</v>
      </c>
      <c r="DF10" s="46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47"/>
      <c r="DI10" s="59"/>
      <c r="DJ10" s="40">
        <f>DI8</f>
        <v>46235</v>
      </c>
      <c r="DK10" s="41" t="str">
        <f t="shared" ref="DK10:DK40" si="21">TEXT(DJ10,"aaa")</f>
        <v>土</v>
      </c>
      <c r="DL10" s="41"/>
      <c r="DM10" s="42"/>
      <c r="DN10" s="42"/>
      <c r="DO10" s="43"/>
      <c r="DP10" s="43"/>
      <c r="DQ10" s="44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45"/>
      <c r="DS10" s="45"/>
      <c r="DT10" s="45"/>
      <c r="DU10" s="45"/>
      <c r="DV10" s="46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47"/>
      <c r="DY10" s="59"/>
      <c r="DZ10" s="40">
        <f>DY8</f>
        <v>46266</v>
      </c>
      <c r="EA10" s="41" t="str">
        <f t="shared" ref="EA10:EA40" si="24">TEXT(DZ10,"aaa")</f>
        <v>火</v>
      </c>
      <c r="EB10" s="41" t="s">
        <v>1015</v>
      </c>
      <c r="EC10" s="48">
        <v>0.375</v>
      </c>
      <c r="ED10" s="48">
        <v>0.75</v>
      </c>
      <c r="EE10" s="49">
        <v>0.5</v>
      </c>
      <c r="EF10" s="49">
        <v>0.54166666666666663</v>
      </c>
      <c r="EG10" s="44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50">
        <v>0.375</v>
      </c>
      <c r="EI10" s="50">
        <v>0.75</v>
      </c>
      <c r="EJ10" s="50">
        <v>0.5</v>
      </c>
      <c r="EK10" s="50">
        <v>0.54166666666666663</v>
      </c>
      <c r="EL10" s="46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47"/>
      <c r="EO10" s="59"/>
      <c r="EP10" s="40">
        <f>EO8</f>
        <v>46296</v>
      </c>
      <c r="EQ10" s="41" t="str">
        <f t="shared" ref="EQ10:EQ40" si="27">TEXT(EP10,"aaa")</f>
        <v>木</v>
      </c>
      <c r="ER10" s="41" t="s">
        <v>1015</v>
      </c>
      <c r="ES10" s="48">
        <v>0.375</v>
      </c>
      <c r="ET10" s="48">
        <v>0.75</v>
      </c>
      <c r="EU10" s="49">
        <v>0.5</v>
      </c>
      <c r="EV10" s="49">
        <v>0.54166666666666663</v>
      </c>
      <c r="EW10" s="44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50">
        <v>0.375</v>
      </c>
      <c r="EY10" s="50">
        <v>0.75</v>
      </c>
      <c r="EZ10" s="50">
        <v>0.5</v>
      </c>
      <c r="FA10" s="50">
        <v>0.54166666666666663</v>
      </c>
      <c r="FB10" s="46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7"/>
      <c r="FE10" s="59"/>
      <c r="FF10" s="40">
        <f>FE8</f>
        <v>46327</v>
      </c>
      <c r="FG10" s="41" t="str">
        <f t="shared" ref="FG10:FG40" si="30">TEXT(FF10,"aaa")</f>
        <v>日</v>
      </c>
      <c r="FH10" s="41"/>
      <c r="FI10" s="42"/>
      <c r="FJ10" s="42"/>
      <c r="FK10" s="43"/>
      <c r="FL10" s="43"/>
      <c r="FM10" s="44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45"/>
      <c r="FO10" s="45"/>
      <c r="FP10" s="45"/>
      <c r="FQ10" s="45"/>
      <c r="FR10" s="46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47"/>
      <c r="FU10" s="59"/>
      <c r="FV10" s="40">
        <f>FU8</f>
        <v>46357</v>
      </c>
      <c r="FW10" s="41" t="str">
        <f t="shared" ref="FW10:FW40" si="33">TEXT(FV10,"aaa")</f>
        <v>火</v>
      </c>
      <c r="FX10" s="41" t="s">
        <v>1015</v>
      </c>
      <c r="FY10" s="48">
        <v>0.375</v>
      </c>
      <c r="FZ10" s="48">
        <v>0.75</v>
      </c>
      <c r="GA10" s="49">
        <v>0.5</v>
      </c>
      <c r="GB10" s="49">
        <v>0.54166666666666663</v>
      </c>
      <c r="GC10" s="44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50">
        <v>0.375</v>
      </c>
      <c r="GE10" s="50">
        <v>0.75</v>
      </c>
      <c r="GF10" s="50">
        <v>0.5</v>
      </c>
      <c r="GG10" s="50">
        <v>0.54166666666666663</v>
      </c>
      <c r="GH10" s="46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47"/>
    </row>
    <row r="11" spans="1:191" x14ac:dyDescent="0.45">
      <c r="A11" s="76"/>
      <c r="B11" s="40">
        <f t="shared" ref="B11:B40" si="36">IF(B10="","",IF(B10+1&lt;=EOMONTH($A$8,0),B10+1,""))</f>
        <v>46024</v>
      </c>
      <c r="C11" s="41" t="str">
        <f t="shared" si="0"/>
        <v>金</v>
      </c>
      <c r="D11" s="41"/>
      <c r="E11" s="42"/>
      <c r="F11" s="42"/>
      <c r="G11" s="43"/>
      <c r="H11" s="43"/>
      <c r="I11" s="44" t="str">
        <f t="shared" si="1"/>
        <v/>
      </c>
      <c r="J11" s="45"/>
      <c r="K11" s="45"/>
      <c r="L11" s="45"/>
      <c r="M11" s="45"/>
      <c r="N11" s="46" t="str">
        <f t="shared" si="2"/>
        <v/>
      </c>
      <c r="O11" s="47"/>
      <c r="Q11" s="22"/>
      <c r="R11" s="40">
        <f t="shared" ref="R11:R40" si="37">IF(R10="","",IF(R10+1&lt;=EOMONTH($Q$8,0),R10+1,""))</f>
        <v>46055</v>
      </c>
      <c r="S11" s="41" t="str">
        <f t="shared" si="3"/>
        <v>月</v>
      </c>
      <c r="T11" s="41" t="s">
        <v>1015</v>
      </c>
      <c r="U11" s="48">
        <v>0.375</v>
      </c>
      <c r="V11" s="48">
        <v>0.75</v>
      </c>
      <c r="W11" s="49">
        <v>0.5</v>
      </c>
      <c r="X11" s="49">
        <v>0.54166666666666663</v>
      </c>
      <c r="Y11" s="44" t="str">
        <f t="shared" si="4"/>
        <v>8h</v>
      </c>
      <c r="Z11" s="50">
        <v>0.375</v>
      </c>
      <c r="AA11" s="50">
        <v>0.75</v>
      </c>
      <c r="AB11" s="50">
        <v>0.5</v>
      </c>
      <c r="AC11" s="50">
        <v>0.54166666666666663</v>
      </c>
      <c r="AD11" s="46" t="str">
        <f t="shared" si="5"/>
        <v>8h</v>
      </c>
      <c r="AE11" s="47"/>
      <c r="AG11" s="22"/>
      <c r="AH11" s="40">
        <f t="shared" ref="AH11:AH40" si="38">IF(AH10="","",IF(AH10+1&lt;=EOMONTH($AG$8,0),AH10+1,""))</f>
        <v>46083</v>
      </c>
      <c r="AI11" s="41" t="str">
        <f t="shared" si="6"/>
        <v>月</v>
      </c>
      <c r="AJ11" s="41" t="s">
        <v>1015</v>
      </c>
      <c r="AK11" s="48">
        <v>0.375</v>
      </c>
      <c r="AL11" s="48">
        <v>0.75</v>
      </c>
      <c r="AM11" s="49">
        <v>0.5</v>
      </c>
      <c r="AN11" s="49">
        <v>0.54166666666666663</v>
      </c>
      <c r="AO11" s="44" t="str">
        <f t="shared" si="7"/>
        <v>8h</v>
      </c>
      <c r="AP11" s="50">
        <v>0.375</v>
      </c>
      <c r="AQ11" s="50">
        <v>0.75</v>
      </c>
      <c r="AR11" s="50">
        <v>0.5</v>
      </c>
      <c r="AS11" s="50">
        <v>0.54166666666666663</v>
      </c>
      <c r="AT11" s="46" t="str">
        <f t="shared" si="8"/>
        <v>8h</v>
      </c>
      <c r="AU11" s="47"/>
      <c r="AW11" s="22"/>
      <c r="AX11" s="40">
        <f t="shared" ref="AX11:AX40" si="39">IF(AX10="","",IF(AX10+1&lt;=EOMONTH($AW$8,0),AX10+1,""))</f>
        <v>46114</v>
      </c>
      <c r="AY11" s="41" t="str">
        <f t="shared" si="9"/>
        <v>木</v>
      </c>
      <c r="AZ11" s="41" t="s">
        <v>1015</v>
      </c>
      <c r="BA11" s="48">
        <v>0.375</v>
      </c>
      <c r="BB11" s="48">
        <v>0.75</v>
      </c>
      <c r="BC11" s="49">
        <v>0.5</v>
      </c>
      <c r="BD11" s="49">
        <v>0.54166666666666663</v>
      </c>
      <c r="BE11" s="44" t="str">
        <f t="shared" si="10"/>
        <v>8h</v>
      </c>
      <c r="BF11" s="50">
        <v>0.375</v>
      </c>
      <c r="BG11" s="50">
        <v>0.75</v>
      </c>
      <c r="BH11" s="50">
        <v>0.5</v>
      </c>
      <c r="BI11" s="50">
        <v>0.54166666666666663</v>
      </c>
      <c r="BJ11" s="46" t="str">
        <f t="shared" si="11"/>
        <v>8h</v>
      </c>
      <c r="BK11" s="47"/>
      <c r="BM11" s="22"/>
      <c r="BN11" s="40">
        <f t="shared" ref="BN11:BN40" si="40">IF(BN10="","",IF(BN10+1&lt;=EOMONTH($BM$8,0),BN10+1,""))</f>
        <v>46144</v>
      </c>
      <c r="BO11" s="41" t="str">
        <f t="shared" si="12"/>
        <v>土</v>
      </c>
      <c r="BP11" s="41"/>
      <c r="BQ11" s="42"/>
      <c r="BR11" s="42"/>
      <c r="BS11" s="43"/>
      <c r="BT11" s="43"/>
      <c r="BU11" s="44" t="str">
        <f t="shared" si="13"/>
        <v/>
      </c>
      <c r="BV11" s="45"/>
      <c r="BW11" s="45"/>
      <c r="BX11" s="45"/>
      <c r="BY11" s="45"/>
      <c r="BZ11" s="46" t="str">
        <f t="shared" si="14"/>
        <v/>
      </c>
      <c r="CA11" s="47"/>
      <c r="CC11" s="22"/>
      <c r="CD11" s="40">
        <f t="shared" ref="CD11:CD40" si="41">IF(CD10="","",IF(CD10+1&lt;=EOMONTH($CC$8,0),CD10+1,""))</f>
        <v>46175</v>
      </c>
      <c r="CE11" s="41" t="str">
        <f t="shared" si="15"/>
        <v>火</v>
      </c>
      <c r="CF11" s="41" t="s">
        <v>1015</v>
      </c>
      <c r="CG11" s="48">
        <v>0.375</v>
      </c>
      <c r="CH11" s="48">
        <v>0.75</v>
      </c>
      <c r="CI11" s="49">
        <v>0.5</v>
      </c>
      <c r="CJ11" s="49">
        <v>0.54166666666666663</v>
      </c>
      <c r="CK11" s="44" t="str">
        <f t="shared" si="16"/>
        <v>8h</v>
      </c>
      <c r="CL11" s="50">
        <v>0.375</v>
      </c>
      <c r="CM11" s="50">
        <v>0.75</v>
      </c>
      <c r="CN11" s="50">
        <v>0.5</v>
      </c>
      <c r="CO11" s="50">
        <v>0.54166666666666663</v>
      </c>
      <c r="CP11" s="46" t="str">
        <f t="shared" si="17"/>
        <v>8h</v>
      </c>
      <c r="CQ11" s="47"/>
      <c r="CS11" s="22"/>
      <c r="CT11" s="40">
        <f t="shared" ref="CT11:CT40" si="42">IF(CT10="","",IF(CT10+1&lt;=EOMONTH($CS$8,0),CT10+1,""))</f>
        <v>46205</v>
      </c>
      <c r="CU11" s="41" t="str">
        <f t="shared" si="18"/>
        <v>木</v>
      </c>
      <c r="CV11" s="41" t="s">
        <v>1015</v>
      </c>
      <c r="CW11" s="48">
        <v>0.375</v>
      </c>
      <c r="CX11" s="48">
        <v>0.75</v>
      </c>
      <c r="CY11" s="49">
        <v>0.5</v>
      </c>
      <c r="CZ11" s="49">
        <v>0.54166666666666663</v>
      </c>
      <c r="DA11" s="44" t="str">
        <f t="shared" si="19"/>
        <v>8h</v>
      </c>
      <c r="DB11" s="50">
        <v>0.375</v>
      </c>
      <c r="DC11" s="50">
        <v>0.75</v>
      </c>
      <c r="DD11" s="50">
        <v>0.5</v>
      </c>
      <c r="DE11" s="50">
        <v>0.54166666666666663</v>
      </c>
      <c r="DF11" s="46" t="str">
        <f t="shared" si="20"/>
        <v>8h</v>
      </c>
      <c r="DG11" s="47"/>
      <c r="DI11" s="22"/>
      <c r="DJ11" s="40">
        <f t="shared" ref="DJ11:DJ40" si="43">IF(DJ10="","",IF(DJ10+1&lt;=EOMONTH($DI$8,0),DJ10+1,""))</f>
        <v>46236</v>
      </c>
      <c r="DK11" s="41" t="str">
        <f t="shared" si="21"/>
        <v>日</v>
      </c>
      <c r="DL11" s="41"/>
      <c r="DM11" s="42"/>
      <c r="DN11" s="42"/>
      <c r="DO11" s="43"/>
      <c r="DP11" s="43"/>
      <c r="DQ11" s="44" t="str">
        <f t="shared" si="22"/>
        <v/>
      </c>
      <c r="DR11" s="45"/>
      <c r="DS11" s="45"/>
      <c r="DT11" s="45"/>
      <c r="DU11" s="45"/>
      <c r="DV11" s="46" t="str">
        <f t="shared" si="23"/>
        <v/>
      </c>
      <c r="DW11" s="47"/>
      <c r="DY11" s="22"/>
      <c r="DZ11" s="40">
        <f t="shared" ref="DZ11:DZ40" si="44">IF(DZ10="","",IF(DZ10+1&lt;=EOMONTH($DY$8,0),DZ10+1,""))</f>
        <v>46267</v>
      </c>
      <c r="EA11" s="41" t="str">
        <f t="shared" si="24"/>
        <v>水</v>
      </c>
      <c r="EB11" s="41" t="s">
        <v>1015</v>
      </c>
      <c r="EC11" s="48">
        <v>0.375</v>
      </c>
      <c r="ED11" s="48">
        <v>0.75</v>
      </c>
      <c r="EE11" s="49">
        <v>0.5</v>
      </c>
      <c r="EF11" s="49">
        <v>0.54166666666666663</v>
      </c>
      <c r="EG11" s="44" t="str">
        <f t="shared" si="25"/>
        <v>8h</v>
      </c>
      <c r="EH11" s="50">
        <v>0.375</v>
      </c>
      <c r="EI11" s="50">
        <v>0.75</v>
      </c>
      <c r="EJ11" s="50">
        <v>0.5</v>
      </c>
      <c r="EK11" s="50">
        <v>0.54166666666666663</v>
      </c>
      <c r="EL11" s="46" t="str">
        <f t="shared" si="26"/>
        <v>8h</v>
      </c>
      <c r="EM11" s="47"/>
      <c r="EO11" s="22"/>
      <c r="EP11" s="40">
        <f t="shared" ref="EP11:EP40" si="45">IF(EP10="","",IF(EP10+1&lt;=EOMONTH($EO$8,0),EP10+1,""))</f>
        <v>46297</v>
      </c>
      <c r="EQ11" s="41" t="str">
        <f t="shared" si="27"/>
        <v>金</v>
      </c>
      <c r="ER11" s="41" t="s">
        <v>1015</v>
      </c>
      <c r="ES11" s="48">
        <v>0.375</v>
      </c>
      <c r="ET11" s="48">
        <v>0.75</v>
      </c>
      <c r="EU11" s="49">
        <v>0.5</v>
      </c>
      <c r="EV11" s="49">
        <v>0.54166666666666663</v>
      </c>
      <c r="EW11" s="44" t="str">
        <f t="shared" si="28"/>
        <v>8h</v>
      </c>
      <c r="EX11" s="50">
        <v>0.375</v>
      </c>
      <c r="EY11" s="50">
        <v>0.75</v>
      </c>
      <c r="EZ11" s="50">
        <v>0.5</v>
      </c>
      <c r="FA11" s="50">
        <v>0.54166666666666663</v>
      </c>
      <c r="FB11" s="46" t="str">
        <f t="shared" si="29"/>
        <v>8h</v>
      </c>
      <c r="FC11" s="47"/>
      <c r="FE11" s="22"/>
      <c r="FF11" s="40">
        <f t="shared" ref="FF11:FF40" si="46">IF(FF10="","",IF(FF10+1&lt;=EOMONTH($FE$8,0),FF10+1,""))</f>
        <v>46328</v>
      </c>
      <c r="FG11" s="41" t="str">
        <f t="shared" si="30"/>
        <v>月</v>
      </c>
      <c r="FH11" s="41" t="s">
        <v>1015</v>
      </c>
      <c r="FI11" s="48">
        <v>0.375</v>
      </c>
      <c r="FJ11" s="48">
        <v>0.75</v>
      </c>
      <c r="FK11" s="49">
        <v>0.5</v>
      </c>
      <c r="FL11" s="49">
        <v>0.54166666666666663</v>
      </c>
      <c r="FM11" s="44" t="str">
        <f t="shared" si="31"/>
        <v>8h</v>
      </c>
      <c r="FN11" s="50">
        <v>0.375</v>
      </c>
      <c r="FO11" s="50">
        <v>0.75</v>
      </c>
      <c r="FP11" s="50">
        <v>0.5</v>
      </c>
      <c r="FQ11" s="50">
        <v>0.54166666666666663</v>
      </c>
      <c r="FR11" s="46" t="str">
        <f t="shared" si="32"/>
        <v>8h</v>
      </c>
      <c r="FS11" s="47"/>
      <c r="FU11" s="22"/>
      <c r="FV11" s="40">
        <f t="shared" ref="FV11:FV40" si="47">IF(FV10="","",IF(FV10+1&lt;=EOMONTH($FU$8,0),FV10+1,""))</f>
        <v>46358</v>
      </c>
      <c r="FW11" s="41" t="str">
        <f t="shared" si="33"/>
        <v>水</v>
      </c>
      <c r="FX11" s="41" t="s">
        <v>1015</v>
      </c>
      <c r="FY11" s="48">
        <v>0.375</v>
      </c>
      <c r="FZ11" s="48">
        <v>0.75</v>
      </c>
      <c r="GA11" s="49">
        <v>0.5</v>
      </c>
      <c r="GB11" s="49">
        <v>0.54166666666666663</v>
      </c>
      <c r="GC11" s="44" t="str">
        <f t="shared" si="34"/>
        <v>8h</v>
      </c>
      <c r="GD11" s="50">
        <v>0.375</v>
      </c>
      <c r="GE11" s="50">
        <v>0.75</v>
      </c>
      <c r="GF11" s="50">
        <v>0.5</v>
      </c>
      <c r="GG11" s="50">
        <v>0.54166666666666663</v>
      </c>
      <c r="GH11" s="46" t="str">
        <f t="shared" si="35"/>
        <v>8h</v>
      </c>
      <c r="GI11" s="47"/>
    </row>
    <row r="12" spans="1:191" x14ac:dyDescent="0.45">
      <c r="A12" s="76"/>
      <c r="B12" s="40">
        <f t="shared" si="36"/>
        <v>46025</v>
      </c>
      <c r="C12" s="41" t="str">
        <f t="shared" si="0"/>
        <v>土</v>
      </c>
      <c r="D12" s="41"/>
      <c r="E12" s="42"/>
      <c r="F12" s="42"/>
      <c r="G12" s="43"/>
      <c r="H12" s="43"/>
      <c r="I12" s="44" t="str">
        <f t="shared" si="1"/>
        <v/>
      </c>
      <c r="J12" s="45"/>
      <c r="K12" s="45"/>
      <c r="L12" s="45"/>
      <c r="M12" s="45"/>
      <c r="N12" s="46" t="str">
        <f t="shared" si="2"/>
        <v/>
      </c>
      <c r="O12" s="47"/>
      <c r="Q12" s="22"/>
      <c r="R12" s="40">
        <f t="shared" si="37"/>
        <v>46056</v>
      </c>
      <c r="S12" s="41" t="str">
        <f t="shared" si="3"/>
        <v>火</v>
      </c>
      <c r="T12" s="41" t="s">
        <v>1015</v>
      </c>
      <c r="U12" s="48">
        <v>0.375</v>
      </c>
      <c r="V12" s="48">
        <v>0.75</v>
      </c>
      <c r="W12" s="49">
        <v>0.5</v>
      </c>
      <c r="X12" s="49">
        <v>0.54166666666666663</v>
      </c>
      <c r="Y12" s="44" t="str">
        <f t="shared" si="4"/>
        <v>8h</v>
      </c>
      <c r="Z12" s="50">
        <v>0.375</v>
      </c>
      <c r="AA12" s="50">
        <v>0.75</v>
      </c>
      <c r="AB12" s="50">
        <v>0.5</v>
      </c>
      <c r="AC12" s="50">
        <v>0.54166666666666663</v>
      </c>
      <c r="AD12" s="46" t="str">
        <f t="shared" si="5"/>
        <v>8h</v>
      </c>
      <c r="AE12" s="47"/>
      <c r="AG12" s="22"/>
      <c r="AH12" s="40">
        <f t="shared" si="38"/>
        <v>46084</v>
      </c>
      <c r="AI12" s="41" t="str">
        <f t="shared" si="6"/>
        <v>火</v>
      </c>
      <c r="AJ12" s="41" t="s">
        <v>1015</v>
      </c>
      <c r="AK12" s="48">
        <v>0.375</v>
      </c>
      <c r="AL12" s="48">
        <v>0.75</v>
      </c>
      <c r="AM12" s="49">
        <v>0.5</v>
      </c>
      <c r="AN12" s="49">
        <v>0.54166666666666663</v>
      </c>
      <c r="AO12" s="44" t="str">
        <f t="shared" si="7"/>
        <v>8h</v>
      </c>
      <c r="AP12" s="50">
        <v>0.375</v>
      </c>
      <c r="AQ12" s="50">
        <v>0.75</v>
      </c>
      <c r="AR12" s="50">
        <v>0.5</v>
      </c>
      <c r="AS12" s="50">
        <v>0.54166666666666663</v>
      </c>
      <c r="AT12" s="46" t="str">
        <f t="shared" si="8"/>
        <v>8h</v>
      </c>
      <c r="AU12" s="47"/>
      <c r="AW12" s="22"/>
      <c r="AX12" s="40">
        <f t="shared" si="39"/>
        <v>46115</v>
      </c>
      <c r="AY12" s="41" t="str">
        <f t="shared" si="9"/>
        <v>金</v>
      </c>
      <c r="AZ12" s="41" t="s">
        <v>1015</v>
      </c>
      <c r="BA12" s="48">
        <v>0.375</v>
      </c>
      <c r="BB12" s="48">
        <v>0.75</v>
      </c>
      <c r="BC12" s="49">
        <v>0.5</v>
      </c>
      <c r="BD12" s="49">
        <v>0.54166666666666663</v>
      </c>
      <c r="BE12" s="44" t="str">
        <f t="shared" si="10"/>
        <v>8h</v>
      </c>
      <c r="BF12" s="50">
        <v>0.375</v>
      </c>
      <c r="BG12" s="50">
        <v>0.75</v>
      </c>
      <c r="BH12" s="50">
        <v>0.5</v>
      </c>
      <c r="BI12" s="50">
        <v>0.54166666666666663</v>
      </c>
      <c r="BJ12" s="46" t="str">
        <f t="shared" si="11"/>
        <v>8h</v>
      </c>
      <c r="BK12" s="47"/>
      <c r="BM12" s="22"/>
      <c r="BN12" s="40">
        <f t="shared" si="40"/>
        <v>46145</v>
      </c>
      <c r="BO12" s="41" t="str">
        <f t="shared" si="12"/>
        <v>日</v>
      </c>
      <c r="BP12" s="41"/>
      <c r="BQ12" s="42"/>
      <c r="BR12" s="42"/>
      <c r="BS12" s="43"/>
      <c r="BT12" s="43"/>
      <c r="BU12" s="44" t="str">
        <f t="shared" si="13"/>
        <v/>
      </c>
      <c r="BV12" s="45"/>
      <c r="BW12" s="45"/>
      <c r="BX12" s="45"/>
      <c r="BY12" s="45"/>
      <c r="BZ12" s="46" t="str">
        <f t="shared" si="14"/>
        <v/>
      </c>
      <c r="CA12" s="47"/>
      <c r="CC12" s="22"/>
      <c r="CD12" s="40">
        <f t="shared" si="41"/>
        <v>46176</v>
      </c>
      <c r="CE12" s="41" t="str">
        <f t="shared" si="15"/>
        <v>水</v>
      </c>
      <c r="CF12" s="41" t="s">
        <v>1015</v>
      </c>
      <c r="CG12" s="48">
        <v>0.375</v>
      </c>
      <c r="CH12" s="48">
        <v>0.75</v>
      </c>
      <c r="CI12" s="49">
        <v>0.5</v>
      </c>
      <c r="CJ12" s="49">
        <v>0.54166666666666663</v>
      </c>
      <c r="CK12" s="44" t="str">
        <f t="shared" si="16"/>
        <v>8h</v>
      </c>
      <c r="CL12" s="50">
        <v>0.375</v>
      </c>
      <c r="CM12" s="50">
        <v>0.75</v>
      </c>
      <c r="CN12" s="50">
        <v>0.5</v>
      </c>
      <c r="CO12" s="50">
        <v>0.54166666666666663</v>
      </c>
      <c r="CP12" s="46" t="str">
        <f t="shared" si="17"/>
        <v>8h</v>
      </c>
      <c r="CQ12" s="47"/>
      <c r="CS12" s="22"/>
      <c r="CT12" s="40">
        <f t="shared" si="42"/>
        <v>46206</v>
      </c>
      <c r="CU12" s="41" t="str">
        <f t="shared" si="18"/>
        <v>金</v>
      </c>
      <c r="CV12" s="41" t="s">
        <v>1015</v>
      </c>
      <c r="CW12" s="48">
        <v>0.375</v>
      </c>
      <c r="CX12" s="48">
        <v>0.75</v>
      </c>
      <c r="CY12" s="49">
        <v>0.5</v>
      </c>
      <c r="CZ12" s="49">
        <v>0.54166666666666663</v>
      </c>
      <c r="DA12" s="44" t="str">
        <f t="shared" si="19"/>
        <v>8h</v>
      </c>
      <c r="DB12" s="50">
        <v>0.375</v>
      </c>
      <c r="DC12" s="50">
        <v>0.75</v>
      </c>
      <c r="DD12" s="50">
        <v>0.5</v>
      </c>
      <c r="DE12" s="50">
        <v>0.54166666666666663</v>
      </c>
      <c r="DF12" s="46" t="str">
        <f t="shared" si="20"/>
        <v>8h</v>
      </c>
      <c r="DG12" s="47"/>
      <c r="DI12" s="22"/>
      <c r="DJ12" s="40">
        <f t="shared" si="43"/>
        <v>46237</v>
      </c>
      <c r="DK12" s="41" t="str">
        <f t="shared" si="21"/>
        <v>月</v>
      </c>
      <c r="DL12" s="41" t="s">
        <v>1015</v>
      </c>
      <c r="DM12" s="48">
        <v>0.375</v>
      </c>
      <c r="DN12" s="48">
        <v>0.75</v>
      </c>
      <c r="DO12" s="49">
        <v>0.5</v>
      </c>
      <c r="DP12" s="49">
        <v>0.54166666666666663</v>
      </c>
      <c r="DQ12" s="44" t="str">
        <f t="shared" si="22"/>
        <v>8h</v>
      </c>
      <c r="DR12" s="50">
        <v>0.375</v>
      </c>
      <c r="DS12" s="50">
        <v>0.75</v>
      </c>
      <c r="DT12" s="50">
        <v>0.5</v>
      </c>
      <c r="DU12" s="50">
        <v>0.54166666666666663</v>
      </c>
      <c r="DV12" s="46" t="str">
        <f t="shared" si="23"/>
        <v>8h</v>
      </c>
      <c r="DW12" s="47"/>
      <c r="DY12" s="22"/>
      <c r="DZ12" s="40">
        <f t="shared" si="44"/>
        <v>46268</v>
      </c>
      <c r="EA12" s="41" t="str">
        <f t="shared" si="24"/>
        <v>木</v>
      </c>
      <c r="EB12" s="41" t="s">
        <v>1015</v>
      </c>
      <c r="EC12" s="48">
        <v>0.375</v>
      </c>
      <c r="ED12" s="48">
        <v>0.75</v>
      </c>
      <c r="EE12" s="49">
        <v>0.5</v>
      </c>
      <c r="EF12" s="49">
        <v>0.54166666666666663</v>
      </c>
      <c r="EG12" s="44" t="str">
        <f t="shared" si="25"/>
        <v>8h</v>
      </c>
      <c r="EH12" s="50">
        <v>0.375</v>
      </c>
      <c r="EI12" s="50">
        <v>0.75</v>
      </c>
      <c r="EJ12" s="50">
        <v>0.5</v>
      </c>
      <c r="EK12" s="50">
        <v>0.54166666666666663</v>
      </c>
      <c r="EL12" s="46" t="str">
        <f t="shared" si="26"/>
        <v>8h</v>
      </c>
      <c r="EM12" s="47"/>
      <c r="EO12" s="22"/>
      <c r="EP12" s="40">
        <f t="shared" si="45"/>
        <v>46298</v>
      </c>
      <c r="EQ12" s="41" t="str">
        <f t="shared" si="27"/>
        <v>土</v>
      </c>
      <c r="ER12" s="41"/>
      <c r="ES12" s="42"/>
      <c r="ET12" s="42"/>
      <c r="EU12" s="43"/>
      <c r="EV12" s="43"/>
      <c r="EW12" s="44" t="str">
        <f t="shared" si="28"/>
        <v/>
      </c>
      <c r="EX12" s="45"/>
      <c r="EY12" s="45"/>
      <c r="EZ12" s="45"/>
      <c r="FA12" s="45"/>
      <c r="FB12" s="46" t="str">
        <f t="shared" si="29"/>
        <v/>
      </c>
      <c r="FC12" s="47"/>
      <c r="FE12" s="22"/>
      <c r="FF12" s="40">
        <f t="shared" si="46"/>
        <v>46329</v>
      </c>
      <c r="FG12" s="41" t="str">
        <f t="shared" si="30"/>
        <v>火</v>
      </c>
      <c r="FH12" s="41" t="s">
        <v>1016</v>
      </c>
      <c r="FI12" s="42"/>
      <c r="FJ12" s="42"/>
      <c r="FK12" s="43"/>
      <c r="FL12" s="43"/>
      <c r="FM12" s="44" t="str">
        <f t="shared" si="31"/>
        <v/>
      </c>
      <c r="FN12" s="45"/>
      <c r="FO12" s="45"/>
      <c r="FP12" s="45"/>
      <c r="FQ12" s="45"/>
      <c r="FR12" s="46" t="str">
        <f t="shared" si="32"/>
        <v/>
      </c>
      <c r="FS12" s="47"/>
      <c r="FU12" s="22"/>
      <c r="FV12" s="40">
        <f t="shared" si="47"/>
        <v>46359</v>
      </c>
      <c r="FW12" s="41" t="str">
        <f t="shared" si="33"/>
        <v>木</v>
      </c>
      <c r="FX12" s="41" t="s">
        <v>1015</v>
      </c>
      <c r="FY12" s="48">
        <v>0.375</v>
      </c>
      <c r="FZ12" s="48">
        <v>0.75</v>
      </c>
      <c r="GA12" s="49">
        <v>0.5</v>
      </c>
      <c r="GB12" s="49">
        <v>0.54166666666666663</v>
      </c>
      <c r="GC12" s="44" t="str">
        <f t="shared" si="34"/>
        <v>8h</v>
      </c>
      <c r="GD12" s="50">
        <v>0.375</v>
      </c>
      <c r="GE12" s="50">
        <v>0.75</v>
      </c>
      <c r="GF12" s="50">
        <v>0.5</v>
      </c>
      <c r="GG12" s="50">
        <v>0.54166666666666663</v>
      </c>
      <c r="GH12" s="46" t="str">
        <f t="shared" si="35"/>
        <v>8h</v>
      </c>
      <c r="GI12" s="47"/>
    </row>
    <row r="13" spans="1:191" x14ac:dyDescent="0.45">
      <c r="A13" s="76"/>
      <c r="B13" s="40">
        <f t="shared" si="36"/>
        <v>46026</v>
      </c>
      <c r="C13" s="41" t="str">
        <f t="shared" si="0"/>
        <v>日</v>
      </c>
      <c r="D13" s="41"/>
      <c r="E13" s="42"/>
      <c r="F13" s="42"/>
      <c r="G13" s="43"/>
      <c r="H13" s="43"/>
      <c r="I13" s="44" t="str">
        <f t="shared" si="1"/>
        <v/>
      </c>
      <c r="J13" s="45"/>
      <c r="K13" s="45"/>
      <c r="L13" s="45"/>
      <c r="M13" s="45"/>
      <c r="N13" s="46" t="str">
        <f t="shared" si="2"/>
        <v/>
      </c>
      <c r="O13" s="47"/>
      <c r="Q13" s="22"/>
      <c r="R13" s="40">
        <f t="shared" si="37"/>
        <v>46057</v>
      </c>
      <c r="S13" s="41" t="str">
        <f t="shared" si="3"/>
        <v>水</v>
      </c>
      <c r="T13" s="41" t="s">
        <v>1015</v>
      </c>
      <c r="U13" s="48">
        <v>0.375</v>
      </c>
      <c r="V13" s="48">
        <v>0.75</v>
      </c>
      <c r="W13" s="49">
        <v>0.5</v>
      </c>
      <c r="X13" s="49">
        <v>0.54166666666666663</v>
      </c>
      <c r="Y13" s="44" t="str">
        <f t="shared" si="4"/>
        <v>8h</v>
      </c>
      <c r="Z13" s="50">
        <v>0.375</v>
      </c>
      <c r="AA13" s="50">
        <v>0.75</v>
      </c>
      <c r="AB13" s="50">
        <v>0.5</v>
      </c>
      <c r="AC13" s="50">
        <v>0.54166666666666663</v>
      </c>
      <c r="AD13" s="46" t="str">
        <f t="shared" si="5"/>
        <v>8h</v>
      </c>
      <c r="AE13" s="47"/>
      <c r="AG13" s="22"/>
      <c r="AH13" s="40">
        <f t="shared" si="38"/>
        <v>46085</v>
      </c>
      <c r="AI13" s="41" t="str">
        <f t="shared" si="6"/>
        <v>水</v>
      </c>
      <c r="AJ13" s="41" t="s">
        <v>1015</v>
      </c>
      <c r="AK13" s="48">
        <v>0.375</v>
      </c>
      <c r="AL13" s="48">
        <v>0.75</v>
      </c>
      <c r="AM13" s="49">
        <v>0.5</v>
      </c>
      <c r="AN13" s="49">
        <v>0.54166666666666663</v>
      </c>
      <c r="AO13" s="44" t="str">
        <f t="shared" si="7"/>
        <v>8h</v>
      </c>
      <c r="AP13" s="50">
        <v>0.375</v>
      </c>
      <c r="AQ13" s="50">
        <v>0.75</v>
      </c>
      <c r="AR13" s="50">
        <v>0.5</v>
      </c>
      <c r="AS13" s="50">
        <v>0.54166666666666663</v>
      </c>
      <c r="AT13" s="46" t="str">
        <f t="shared" si="8"/>
        <v>8h</v>
      </c>
      <c r="AU13" s="47"/>
      <c r="AW13" s="22"/>
      <c r="AX13" s="40">
        <f t="shared" si="39"/>
        <v>46116</v>
      </c>
      <c r="AY13" s="41" t="str">
        <f t="shared" si="9"/>
        <v>土</v>
      </c>
      <c r="AZ13" s="41"/>
      <c r="BA13" s="42"/>
      <c r="BB13" s="42"/>
      <c r="BC13" s="43"/>
      <c r="BD13" s="43"/>
      <c r="BE13" s="44" t="str">
        <f t="shared" si="10"/>
        <v/>
      </c>
      <c r="BF13" s="45"/>
      <c r="BG13" s="45"/>
      <c r="BH13" s="45"/>
      <c r="BI13" s="45"/>
      <c r="BJ13" s="46" t="str">
        <f t="shared" si="11"/>
        <v/>
      </c>
      <c r="BK13" s="47"/>
      <c r="BM13" s="22"/>
      <c r="BN13" s="40">
        <f t="shared" si="40"/>
        <v>46146</v>
      </c>
      <c r="BO13" s="41" t="str">
        <f t="shared" si="12"/>
        <v>月</v>
      </c>
      <c r="BP13" s="41" t="s">
        <v>1016</v>
      </c>
      <c r="BQ13" s="42"/>
      <c r="BR13" s="42"/>
      <c r="BS13" s="43"/>
      <c r="BT13" s="43"/>
      <c r="BU13" s="44" t="str">
        <f t="shared" si="13"/>
        <v/>
      </c>
      <c r="BV13" s="45"/>
      <c r="BW13" s="45"/>
      <c r="BX13" s="45"/>
      <c r="BY13" s="45"/>
      <c r="BZ13" s="46" t="str">
        <f t="shared" si="14"/>
        <v/>
      </c>
      <c r="CA13" s="47"/>
      <c r="CC13" s="22"/>
      <c r="CD13" s="40">
        <f t="shared" si="41"/>
        <v>46177</v>
      </c>
      <c r="CE13" s="41" t="str">
        <f t="shared" si="15"/>
        <v>木</v>
      </c>
      <c r="CF13" s="41" t="s">
        <v>1015</v>
      </c>
      <c r="CG13" s="48">
        <v>0.375</v>
      </c>
      <c r="CH13" s="48">
        <v>0.75</v>
      </c>
      <c r="CI13" s="49">
        <v>0.5</v>
      </c>
      <c r="CJ13" s="49">
        <v>0.54166666666666663</v>
      </c>
      <c r="CK13" s="44" t="str">
        <f t="shared" si="16"/>
        <v>8h</v>
      </c>
      <c r="CL13" s="50">
        <v>0.375</v>
      </c>
      <c r="CM13" s="50">
        <v>0.75</v>
      </c>
      <c r="CN13" s="50">
        <v>0.5</v>
      </c>
      <c r="CO13" s="50">
        <v>0.54166666666666663</v>
      </c>
      <c r="CP13" s="46" t="str">
        <f t="shared" si="17"/>
        <v>8h</v>
      </c>
      <c r="CQ13" s="47"/>
      <c r="CS13" s="22"/>
      <c r="CT13" s="40">
        <f t="shared" si="42"/>
        <v>46207</v>
      </c>
      <c r="CU13" s="41" t="str">
        <f t="shared" si="18"/>
        <v>土</v>
      </c>
      <c r="CV13" s="41"/>
      <c r="CW13" s="42"/>
      <c r="CX13" s="42"/>
      <c r="CY13" s="43"/>
      <c r="CZ13" s="43"/>
      <c r="DA13" s="44" t="str">
        <f t="shared" si="19"/>
        <v/>
      </c>
      <c r="DB13" s="45"/>
      <c r="DC13" s="45"/>
      <c r="DD13" s="45"/>
      <c r="DE13" s="45"/>
      <c r="DF13" s="46" t="str">
        <f t="shared" si="20"/>
        <v/>
      </c>
      <c r="DG13" s="47"/>
      <c r="DI13" s="22"/>
      <c r="DJ13" s="40">
        <f t="shared" si="43"/>
        <v>46238</v>
      </c>
      <c r="DK13" s="41" t="str">
        <f t="shared" si="21"/>
        <v>火</v>
      </c>
      <c r="DL13" s="41" t="s">
        <v>1015</v>
      </c>
      <c r="DM13" s="48">
        <v>0.375</v>
      </c>
      <c r="DN13" s="48">
        <v>0.75</v>
      </c>
      <c r="DO13" s="49">
        <v>0.5</v>
      </c>
      <c r="DP13" s="49">
        <v>0.54166666666666663</v>
      </c>
      <c r="DQ13" s="44" t="str">
        <f t="shared" si="22"/>
        <v>8h</v>
      </c>
      <c r="DR13" s="50">
        <v>0.375</v>
      </c>
      <c r="DS13" s="50">
        <v>0.75</v>
      </c>
      <c r="DT13" s="50">
        <v>0.5</v>
      </c>
      <c r="DU13" s="50">
        <v>0.54166666666666663</v>
      </c>
      <c r="DV13" s="46" t="str">
        <f t="shared" si="23"/>
        <v>8h</v>
      </c>
      <c r="DW13" s="47"/>
      <c r="DY13" s="22"/>
      <c r="DZ13" s="40">
        <f t="shared" si="44"/>
        <v>46269</v>
      </c>
      <c r="EA13" s="41" t="str">
        <f t="shared" si="24"/>
        <v>金</v>
      </c>
      <c r="EB13" s="41" t="s">
        <v>1015</v>
      </c>
      <c r="EC13" s="48">
        <v>0.375</v>
      </c>
      <c r="ED13" s="48">
        <v>0.75</v>
      </c>
      <c r="EE13" s="49">
        <v>0.5</v>
      </c>
      <c r="EF13" s="49">
        <v>0.54166666666666663</v>
      </c>
      <c r="EG13" s="44" t="str">
        <f t="shared" si="25"/>
        <v>8h</v>
      </c>
      <c r="EH13" s="50">
        <v>0.375</v>
      </c>
      <c r="EI13" s="50">
        <v>0.75</v>
      </c>
      <c r="EJ13" s="50">
        <v>0.5</v>
      </c>
      <c r="EK13" s="50">
        <v>0.54166666666666663</v>
      </c>
      <c r="EL13" s="46" t="str">
        <f t="shared" si="26"/>
        <v>8h</v>
      </c>
      <c r="EM13" s="47"/>
      <c r="EO13" s="22"/>
      <c r="EP13" s="40">
        <f t="shared" si="45"/>
        <v>46299</v>
      </c>
      <c r="EQ13" s="41" t="str">
        <f t="shared" si="27"/>
        <v>日</v>
      </c>
      <c r="ER13" s="41"/>
      <c r="ES13" s="42"/>
      <c r="ET13" s="42"/>
      <c r="EU13" s="43"/>
      <c r="EV13" s="43"/>
      <c r="EW13" s="44" t="str">
        <f t="shared" si="28"/>
        <v/>
      </c>
      <c r="EX13" s="45"/>
      <c r="EY13" s="45"/>
      <c r="EZ13" s="45"/>
      <c r="FA13" s="45"/>
      <c r="FB13" s="46" t="str">
        <f t="shared" si="29"/>
        <v/>
      </c>
      <c r="FC13" s="47"/>
      <c r="FE13" s="22"/>
      <c r="FF13" s="40">
        <f t="shared" si="46"/>
        <v>46330</v>
      </c>
      <c r="FG13" s="41" t="str">
        <f t="shared" si="30"/>
        <v>水</v>
      </c>
      <c r="FH13" s="41" t="s">
        <v>1015</v>
      </c>
      <c r="FI13" s="48">
        <v>0.375</v>
      </c>
      <c r="FJ13" s="48">
        <v>0.75</v>
      </c>
      <c r="FK13" s="49">
        <v>0.5</v>
      </c>
      <c r="FL13" s="49">
        <v>0.54166666666666663</v>
      </c>
      <c r="FM13" s="44" t="str">
        <f t="shared" si="31"/>
        <v>8h</v>
      </c>
      <c r="FN13" s="50">
        <v>0.375</v>
      </c>
      <c r="FO13" s="50">
        <v>0.75</v>
      </c>
      <c r="FP13" s="50">
        <v>0.5</v>
      </c>
      <c r="FQ13" s="50">
        <v>0.54166666666666663</v>
      </c>
      <c r="FR13" s="46" t="str">
        <f t="shared" si="32"/>
        <v>8h</v>
      </c>
      <c r="FS13" s="47"/>
      <c r="FU13" s="22"/>
      <c r="FV13" s="40">
        <f t="shared" si="47"/>
        <v>46360</v>
      </c>
      <c r="FW13" s="41" t="str">
        <f t="shared" si="33"/>
        <v>金</v>
      </c>
      <c r="FX13" s="41" t="s">
        <v>1015</v>
      </c>
      <c r="FY13" s="48">
        <v>0.375</v>
      </c>
      <c r="FZ13" s="48">
        <v>0.75</v>
      </c>
      <c r="GA13" s="49">
        <v>0.5</v>
      </c>
      <c r="GB13" s="49">
        <v>0.54166666666666663</v>
      </c>
      <c r="GC13" s="44" t="str">
        <f t="shared" si="34"/>
        <v>8h</v>
      </c>
      <c r="GD13" s="50">
        <v>0.375</v>
      </c>
      <c r="GE13" s="50">
        <v>0.75</v>
      </c>
      <c r="GF13" s="50">
        <v>0.5</v>
      </c>
      <c r="GG13" s="50">
        <v>0.54166666666666663</v>
      </c>
      <c r="GH13" s="46" t="str">
        <f t="shared" si="35"/>
        <v>8h</v>
      </c>
      <c r="GI13" s="47"/>
    </row>
    <row r="14" spans="1:191" x14ac:dyDescent="0.45">
      <c r="A14" s="76"/>
      <c r="B14" s="40">
        <f t="shared" si="36"/>
        <v>46027</v>
      </c>
      <c r="C14" s="41" t="str">
        <f t="shared" si="0"/>
        <v>月</v>
      </c>
      <c r="D14" s="41" t="s">
        <v>1015</v>
      </c>
      <c r="E14" s="48">
        <v>0.375</v>
      </c>
      <c r="F14" s="48">
        <v>0.75</v>
      </c>
      <c r="G14" s="49">
        <v>0.5</v>
      </c>
      <c r="H14" s="49">
        <v>0.54166666666666663</v>
      </c>
      <c r="I14" s="44" t="str">
        <f t="shared" si="1"/>
        <v>8h</v>
      </c>
      <c r="J14" s="50">
        <v>0.375</v>
      </c>
      <c r="K14" s="50">
        <v>0.75</v>
      </c>
      <c r="L14" s="50">
        <v>0.5</v>
      </c>
      <c r="M14" s="50">
        <v>0.54166666666666663</v>
      </c>
      <c r="N14" s="46" t="str">
        <f t="shared" si="2"/>
        <v>8h</v>
      </c>
      <c r="O14" s="47"/>
      <c r="Q14" s="22"/>
      <c r="R14" s="40">
        <f t="shared" si="37"/>
        <v>46058</v>
      </c>
      <c r="S14" s="41" t="str">
        <f t="shared" si="3"/>
        <v>木</v>
      </c>
      <c r="T14" s="41" t="s">
        <v>1015</v>
      </c>
      <c r="U14" s="48">
        <v>0.375</v>
      </c>
      <c r="V14" s="48">
        <v>0.75</v>
      </c>
      <c r="W14" s="49">
        <v>0.5</v>
      </c>
      <c r="X14" s="49">
        <v>0.54166666666666663</v>
      </c>
      <c r="Y14" s="44" t="str">
        <f t="shared" si="4"/>
        <v>8h</v>
      </c>
      <c r="Z14" s="50">
        <v>0.375</v>
      </c>
      <c r="AA14" s="50">
        <v>0.75</v>
      </c>
      <c r="AB14" s="50">
        <v>0.5</v>
      </c>
      <c r="AC14" s="50">
        <v>0.54166666666666663</v>
      </c>
      <c r="AD14" s="46" t="str">
        <f t="shared" si="5"/>
        <v>8h</v>
      </c>
      <c r="AE14" s="47"/>
      <c r="AG14" s="22"/>
      <c r="AH14" s="40">
        <f t="shared" si="38"/>
        <v>46086</v>
      </c>
      <c r="AI14" s="41" t="str">
        <f t="shared" si="6"/>
        <v>木</v>
      </c>
      <c r="AJ14" s="41" t="s">
        <v>1015</v>
      </c>
      <c r="AK14" s="48">
        <v>0.375</v>
      </c>
      <c r="AL14" s="48">
        <v>0.75</v>
      </c>
      <c r="AM14" s="49">
        <v>0.5</v>
      </c>
      <c r="AN14" s="49">
        <v>0.54166666666666663</v>
      </c>
      <c r="AO14" s="44" t="str">
        <f t="shared" si="7"/>
        <v>8h</v>
      </c>
      <c r="AP14" s="50">
        <v>0.375</v>
      </c>
      <c r="AQ14" s="50">
        <v>0.75</v>
      </c>
      <c r="AR14" s="50">
        <v>0.5</v>
      </c>
      <c r="AS14" s="50">
        <v>0.54166666666666663</v>
      </c>
      <c r="AT14" s="46" t="str">
        <f t="shared" si="8"/>
        <v>8h</v>
      </c>
      <c r="AU14" s="47"/>
      <c r="AW14" s="22"/>
      <c r="AX14" s="40">
        <f t="shared" si="39"/>
        <v>46117</v>
      </c>
      <c r="AY14" s="41" t="str">
        <f t="shared" si="9"/>
        <v>日</v>
      </c>
      <c r="AZ14" s="41"/>
      <c r="BA14" s="42"/>
      <c r="BB14" s="42"/>
      <c r="BC14" s="43"/>
      <c r="BD14" s="43"/>
      <c r="BE14" s="44" t="str">
        <f t="shared" si="10"/>
        <v/>
      </c>
      <c r="BF14" s="45"/>
      <c r="BG14" s="45"/>
      <c r="BH14" s="45"/>
      <c r="BI14" s="45"/>
      <c r="BJ14" s="46" t="str">
        <f t="shared" si="11"/>
        <v/>
      </c>
      <c r="BK14" s="47"/>
      <c r="BM14" s="22"/>
      <c r="BN14" s="40">
        <f t="shared" si="40"/>
        <v>46147</v>
      </c>
      <c r="BO14" s="41" t="str">
        <f t="shared" si="12"/>
        <v>火</v>
      </c>
      <c r="BP14" s="41" t="s">
        <v>1016</v>
      </c>
      <c r="BQ14" s="42"/>
      <c r="BR14" s="42"/>
      <c r="BS14" s="43"/>
      <c r="BT14" s="43"/>
      <c r="BU14" s="44" t="str">
        <f t="shared" si="13"/>
        <v/>
      </c>
      <c r="BV14" s="45"/>
      <c r="BW14" s="45"/>
      <c r="BX14" s="45"/>
      <c r="BY14" s="45"/>
      <c r="BZ14" s="46" t="str">
        <f t="shared" si="14"/>
        <v/>
      </c>
      <c r="CA14" s="47"/>
      <c r="CC14" s="22"/>
      <c r="CD14" s="40">
        <f t="shared" si="41"/>
        <v>46178</v>
      </c>
      <c r="CE14" s="41" t="str">
        <f t="shared" si="15"/>
        <v>金</v>
      </c>
      <c r="CF14" s="41" t="s">
        <v>1015</v>
      </c>
      <c r="CG14" s="48">
        <v>0.375</v>
      </c>
      <c r="CH14" s="48">
        <v>0.75</v>
      </c>
      <c r="CI14" s="49">
        <v>0.5</v>
      </c>
      <c r="CJ14" s="49">
        <v>0.54166666666666663</v>
      </c>
      <c r="CK14" s="44" t="str">
        <f t="shared" si="16"/>
        <v>8h</v>
      </c>
      <c r="CL14" s="50">
        <v>0.375</v>
      </c>
      <c r="CM14" s="50">
        <v>0.75</v>
      </c>
      <c r="CN14" s="50">
        <v>0.5</v>
      </c>
      <c r="CO14" s="50">
        <v>0.54166666666666663</v>
      </c>
      <c r="CP14" s="46" t="str">
        <f t="shared" si="17"/>
        <v>8h</v>
      </c>
      <c r="CQ14" s="47"/>
      <c r="CS14" s="22"/>
      <c r="CT14" s="40">
        <f t="shared" si="42"/>
        <v>46208</v>
      </c>
      <c r="CU14" s="41" t="str">
        <f t="shared" si="18"/>
        <v>日</v>
      </c>
      <c r="CV14" s="41"/>
      <c r="CW14" s="42"/>
      <c r="CX14" s="42"/>
      <c r="CY14" s="43"/>
      <c r="CZ14" s="43"/>
      <c r="DA14" s="44" t="str">
        <f t="shared" si="19"/>
        <v/>
      </c>
      <c r="DB14" s="45"/>
      <c r="DC14" s="45"/>
      <c r="DD14" s="45"/>
      <c r="DE14" s="45"/>
      <c r="DF14" s="46" t="str">
        <f t="shared" si="20"/>
        <v/>
      </c>
      <c r="DG14" s="47"/>
      <c r="DI14" s="22"/>
      <c r="DJ14" s="40">
        <f t="shared" si="43"/>
        <v>46239</v>
      </c>
      <c r="DK14" s="41" t="str">
        <f t="shared" si="21"/>
        <v>水</v>
      </c>
      <c r="DL14" s="41" t="s">
        <v>1015</v>
      </c>
      <c r="DM14" s="48">
        <v>0.375</v>
      </c>
      <c r="DN14" s="48">
        <v>0.75</v>
      </c>
      <c r="DO14" s="49">
        <v>0.5</v>
      </c>
      <c r="DP14" s="49">
        <v>0.54166666666666663</v>
      </c>
      <c r="DQ14" s="44" t="str">
        <f t="shared" si="22"/>
        <v>8h</v>
      </c>
      <c r="DR14" s="50">
        <v>0.375</v>
      </c>
      <c r="DS14" s="50">
        <v>0.75</v>
      </c>
      <c r="DT14" s="50">
        <v>0.5</v>
      </c>
      <c r="DU14" s="50">
        <v>0.54166666666666663</v>
      </c>
      <c r="DV14" s="46" t="str">
        <f t="shared" si="23"/>
        <v>8h</v>
      </c>
      <c r="DW14" s="47"/>
      <c r="DY14" s="22"/>
      <c r="DZ14" s="40">
        <f t="shared" si="44"/>
        <v>46270</v>
      </c>
      <c r="EA14" s="41" t="str">
        <f t="shared" si="24"/>
        <v>土</v>
      </c>
      <c r="EB14" s="41"/>
      <c r="EC14" s="42"/>
      <c r="ED14" s="42"/>
      <c r="EE14" s="43"/>
      <c r="EF14" s="43"/>
      <c r="EG14" s="44" t="str">
        <f t="shared" si="25"/>
        <v/>
      </c>
      <c r="EH14" s="45"/>
      <c r="EI14" s="45"/>
      <c r="EJ14" s="45"/>
      <c r="EK14" s="45"/>
      <c r="EL14" s="46" t="str">
        <f t="shared" si="26"/>
        <v/>
      </c>
      <c r="EM14" s="47"/>
      <c r="EO14" s="22"/>
      <c r="EP14" s="40">
        <f t="shared" si="45"/>
        <v>46300</v>
      </c>
      <c r="EQ14" s="41" t="str">
        <f t="shared" si="27"/>
        <v>月</v>
      </c>
      <c r="ER14" s="41" t="s">
        <v>1015</v>
      </c>
      <c r="ES14" s="48">
        <v>0.375</v>
      </c>
      <c r="ET14" s="48">
        <v>0.75</v>
      </c>
      <c r="EU14" s="49">
        <v>0.5</v>
      </c>
      <c r="EV14" s="49">
        <v>0.54166666666666663</v>
      </c>
      <c r="EW14" s="44" t="str">
        <f t="shared" si="28"/>
        <v>8h</v>
      </c>
      <c r="EX14" s="50">
        <v>0.375</v>
      </c>
      <c r="EY14" s="50">
        <v>0.75</v>
      </c>
      <c r="EZ14" s="50">
        <v>0.5</v>
      </c>
      <c r="FA14" s="50">
        <v>0.54166666666666663</v>
      </c>
      <c r="FB14" s="46" t="str">
        <f t="shared" si="29"/>
        <v>8h</v>
      </c>
      <c r="FC14" s="47"/>
      <c r="FE14" s="22"/>
      <c r="FF14" s="40">
        <f t="shared" si="46"/>
        <v>46331</v>
      </c>
      <c r="FG14" s="41" t="str">
        <f t="shared" si="30"/>
        <v>木</v>
      </c>
      <c r="FH14" s="41" t="s">
        <v>1015</v>
      </c>
      <c r="FI14" s="48">
        <v>0.375</v>
      </c>
      <c r="FJ14" s="48">
        <v>0.75</v>
      </c>
      <c r="FK14" s="49">
        <v>0.5</v>
      </c>
      <c r="FL14" s="49">
        <v>0.54166666666666663</v>
      </c>
      <c r="FM14" s="44" t="str">
        <f t="shared" si="31"/>
        <v>8h</v>
      </c>
      <c r="FN14" s="50">
        <v>0.375</v>
      </c>
      <c r="FO14" s="50">
        <v>0.75</v>
      </c>
      <c r="FP14" s="50">
        <v>0.5</v>
      </c>
      <c r="FQ14" s="50">
        <v>0.54166666666666663</v>
      </c>
      <c r="FR14" s="46" t="str">
        <f t="shared" si="32"/>
        <v>8h</v>
      </c>
      <c r="FS14" s="47"/>
      <c r="FU14" s="22"/>
      <c r="FV14" s="40">
        <f t="shared" si="47"/>
        <v>46361</v>
      </c>
      <c r="FW14" s="41" t="str">
        <f t="shared" si="33"/>
        <v>土</v>
      </c>
      <c r="FX14" s="41"/>
      <c r="FY14" s="42"/>
      <c r="FZ14" s="42"/>
      <c r="GA14" s="43"/>
      <c r="GB14" s="43"/>
      <c r="GC14" s="44" t="str">
        <f t="shared" si="34"/>
        <v/>
      </c>
      <c r="GD14" s="45"/>
      <c r="GE14" s="45"/>
      <c r="GF14" s="45"/>
      <c r="GG14" s="45"/>
      <c r="GH14" s="46" t="str">
        <f t="shared" si="35"/>
        <v/>
      </c>
      <c r="GI14" s="47"/>
    </row>
    <row r="15" spans="1:191" x14ac:dyDescent="0.45">
      <c r="A15" s="76"/>
      <c r="B15" s="40">
        <f t="shared" si="36"/>
        <v>46028</v>
      </c>
      <c r="C15" s="41" t="str">
        <f t="shared" si="0"/>
        <v>火</v>
      </c>
      <c r="D15" s="41" t="s">
        <v>1015</v>
      </c>
      <c r="E15" s="48">
        <v>0.375</v>
      </c>
      <c r="F15" s="48">
        <v>0.75</v>
      </c>
      <c r="G15" s="49">
        <v>0.5</v>
      </c>
      <c r="H15" s="49">
        <v>0.54166666666666663</v>
      </c>
      <c r="I15" s="44" t="str">
        <f t="shared" si="1"/>
        <v>8h</v>
      </c>
      <c r="J15" s="50">
        <v>0.375</v>
      </c>
      <c r="K15" s="50">
        <v>0.75</v>
      </c>
      <c r="L15" s="50">
        <v>0.5</v>
      </c>
      <c r="M15" s="50">
        <v>0.54166666666666663</v>
      </c>
      <c r="N15" s="46" t="str">
        <f t="shared" si="2"/>
        <v>8h</v>
      </c>
      <c r="O15" s="47"/>
      <c r="Q15" s="22"/>
      <c r="R15" s="40">
        <f t="shared" si="37"/>
        <v>46059</v>
      </c>
      <c r="S15" s="41" t="str">
        <f t="shared" si="3"/>
        <v>金</v>
      </c>
      <c r="T15" s="41" t="s">
        <v>1015</v>
      </c>
      <c r="U15" s="48">
        <v>0.375</v>
      </c>
      <c r="V15" s="48">
        <v>0.75</v>
      </c>
      <c r="W15" s="49">
        <v>0.5</v>
      </c>
      <c r="X15" s="49">
        <v>0.54166666666666663</v>
      </c>
      <c r="Y15" s="44" t="str">
        <f t="shared" si="4"/>
        <v>8h</v>
      </c>
      <c r="Z15" s="50">
        <v>0.375</v>
      </c>
      <c r="AA15" s="50">
        <v>0.75</v>
      </c>
      <c r="AB15" s="50">
        <v>0.5</v>
      </c>
      <c r="AC15" s="50">
        <v>0.54166666666666663</v>
      </c>
      <c r="AD15" s="46" t="str">
        <f t="shared" si="5"/>
        <v>8h</v>
      </c>
      <c r="AE15" s="47"/>
      <c r="AG15" s="22"/>
      <c r="AH15" s="40">
        <f t="shared" si="38"/>
        <v>46087</v>
      </c>
      <c r="AI15" s="41" t="str">
        <f t="shared" si="6"/>
        <v>金</v>
      </c>
      <c r="AJ15" s="41" t="s">
        <v>1015</v>
      </c>
      <c r="AK15" s="48">
        <v>0.375</v>
      </c>
      <c r="AL15" s="48">
        <v>0.75</v>
      </c>
      <c r="AM15" s="49">
        <v>0.5</v>
      </c>
      <c r="AN15" s="49">
        <v>0.54166666666666663</v>
      </c>
      <c r="AO15" s="44" t="str">
        <f t="shared" si="7"/>
        <v>8h</v>
      </c>
      <c r="AP15" s="50">
        <v>0.375</v>
      </c>
      <c r="AQ15" s="50">
        <v>0.75</v>
      </c>
      <c r="AR15" s="50">
        <v>0.5</v>
      </c>
      <c r="AS15" s="50">
        <v>0.54166666666666663</v>
      </c>
      <c r="AT15" s="46" t="str">
        <f t="shared" si="8"/>
        <v>8h</v>
      </c>
      <c r="AU15" s="47"/>
      <c r="AW15" s="22"/>
      <c r="AX15" s="40">
        <f t="shared" si="39"/>
        <v>46118</v>
      </c>
      <c r="AY15" s="41" t="str">
        <f t="shared" si="9"/>
        <v>月</v>
      </c>
      <c r="AZ15" s="41" t="s">
        <v>1015</v>
      </c>
      <c r="BA15" s="48">
        <v>0.375</v>
      </c>
      <c r="BB15" s="48">
        <v>0.75</v>
      </c>
      <c r="BC15" s="49">
        <v>0.5</v>
      </c>
      <c r="BD15" s="49">
        <v>0.54166666666666663</v>
      </c>
      <c r="BE15" s="44" t="str">
        <f t="shared" si="10"/>
        <v>8h</v>
      </c>
      <c r="BF15" s="50">
        <v>0.375</v>
      </c>
      <c r="BG15" s="50">
        <v>0.75</v>
      </c>
      <c r="BH15" s="50">
        <v>0.5</v>
      </c>
      <c r="BI15" s="50">
        <v>0.54166666666666663</v>
      </c>
      <c r="BJ15" s="46" t="str">
        <f t="shared" si="11"/>
        <v>8h</v>
      </c>
      <c r="BK15" s="47"/>
      <c r="BM15" s="22"/>
      <c r="BN15" s="40">
        <f t="shared" si="40"/>
        <v>46148</v>
      </c>
      <c r="BO15" s="41" t="str">
        <f t="shared" si="12"/>
        <v>水</v>
      </c>
      <c r="BP15" s="41" t="s">
        <v>1016</v>
      </c>
      <c r="BQ15" s="42"/>
      <c r="BR15" s="42"/>
      <c r="BS15" s="43"/>
      <c r="BT15" s="43"/>
      <c r="BU15" s="44" t="str">
        <f t="shared" si="13"/>
        <v/>
      </c>
      <c r="BV15" s="45"/>
      <c r="BW15" s="45"/>
      <c r="BX15" s="45"/>
      <c r="BY15" s="45"/>
      <c r="BZ15" s="46" t="str">
        <f t="shared" si="14"/>
        <v/>
      </c>
      <c r="CA15" s="47"/>
      <c r="CC15" s="22"/>
      <c r="CD15" s="40">
        <f t="shared" si="41"/>
        <v>46179</v>
      </c>
      <c r="CE15" s="41" t="str">
        <f t="shared" si="15"/>
        <v>土</v>
      </c>
      <c r="CF15" s="41"/>
      <c r="CG15" s="42"/>
      <c r="CH15" s="42"/>
      <c r="CI15" s="43"/>
      <c r="CJ15" s="43"/>
      <c r="CK15" s="44" t="str">
        <f t="shared" si="16"/>
        <v/>
      </c>
      <c r="CL15" s="45"/>
      <c r="CM15" s="45"/>
      <c r="CN15" s="45"/>
      <c r="CO15" s="45"/>
      <c r="CP15" s="46" t="str">
        <f t="shared" si="17"/>
        <v/>
      </c>
      <c r="CQ15" s="47"/>
      <c r="CS15" s="22"/>
      <c r="CT15" s="40">
        <f t="shared" si="42"/>
        <v>46209</v>
      </c>
      <c r="CU15" s="41" t="str">
        <f t="shared" si="18"/>
        <v>月</v>
      </c>
      <c r="CV15" s="41" t="s">
        <v>1015</v>
      </c>
      <c r="CW15" s="48">
        <v>0.375</v>
      </c>
      <c r="CX15" s="48">
        <v>0.75</v>
      </c>
      <c r="CY15" s="49">
        <v>0.5</v>
      </c>
      <c r="CZ15" s="49">
        <v>0.54166666666666663</v>
      </c>
      <c r="DA15" s="44" t="str">
        <f t="shared" si="19"/>
        <v>8h</v>
      </c>
      <c r="DB15" s="50">
        <v>0.375</v>
      </c>
      <c r="DC15" s="50">
        <v>0.75</v>
      </c>
      <c r="DD15" s="50">
        <v>0.5</v>
      </c>
      <c r="DE15" s="50">
        <v>0.54166666666666663</v>
      </c>
      <c r="DF15" s="46" t="str">
        <f t="shared" si="20"/>
        <v>8h</v>
      </c>
      <c r="DG15" s="47"/>
      <c r="DI15" s="22"/>
      <c r="DJ15" s="40">
        <f t="shared" si="43"/>
        <v>46240</v>
      </c>
      <c r="DK15" s="41" t="str">
        <f t="shared" si="21"/>
        <v>木</v>
      </c>
      <c r="DL15" s="41" t="s">
        <v>1015</v>
      </c>
      <c r="DM15" s="48">
        <v>0.375</v>
      </c>
      <c r="DN15" s="48">
        <v>0.75</v>
      </c>
      <c r="DO15" s="49">
        <v>0.5</v>
      </c>
      <c r="DP15" s="49">
        <v>0.54166666666666663</v>
      </c>
      <c r="DQ15" s="44" t="str">
        <f t="shared" si="22"/>
        <v>8h</v>
      </c>
      <c r="DR15" s="50">
        <v>0.375</v>
      </c>
      <c r="DS15" s="50">
        <v>0.75</v>
      </c>
      <c r="DT15" s="50">
        <v>0.5</v>
      </c>
      <c r="DU15" s="50">
        <v>0.54166666666666663</v>
      </c>
      <c r="DV15" s="46" t="str">
        <f t="shared" si="23"/>
        <v>8h</v>
      </c>
      <c r="DW15" s="47"/>
      <c r="DY15" s="22"/>
      <c r="DZ15" s="40">
        <f t="shared" si="44"/>
        <v>46271</v>
      </c>
      <c r="EA15" s="41" t="str">
        <f t="shared" si="24"/>
        <v>日</v>
      </c>
      <c r="EB15" s="41"/>
      <c r="EC15" s="42"/>
      <c r="ED15" s="42"/>
      <c r="EE15" s="43"/>
      <c r="EF15" s="43"/>
      <c r="EG15" s="44" t="str">
        <f t="shared" si="25"/>
        <v/>
      </c>
      <c r="EH15" s="45"/>
      <c r="EI15" s="45"/>
      <c r="EJ15" s="45"/>
      <c r="EK15" s="45"/>
      <c r="EL15" s="46" t="str">
        <f t="shared" si="26"/>
        <v/>
      </c>
      <c r="EM15" s="47"/>
      <c r="EO15" s="22"/>
      <c r="EP15" s="40">
        <f t="shared" si="45"/>
        <v>46301</v>
      </c>
      <c r="EQ15" s="41" t="str">
        <f t="shared" si="27"/>
        <v>火</v>
      </c>
      <c r="ER15" s="41" t="s">
        <v>1015</v>
      </c>
      <c r="ES15" s="48">
        <v>0.375</v>
      </c>
      <c r="ET15" s="48">
        <v>0.75</v>
      </c>
      <c r="EU15" s="49">
        <v>0.5</v>
      </c>
      <c r="EV15" s="49">
        <v>0.54166666666666663</v>
      </c>
      <c r="EW15" s="44" t="str">
        <f t="shared" si="28"/>
        <v>8h</v>
      </c>
      <c r="EX15" s="50">
        <v>0.375</v>
      </c>
      <c r="EY15" s="50">
        <v>0.75</v>
      </c>
      <c r="EZ15" s="50">
        <v>0.5</v>
      </c>
      <c r="FA15" s="50">
        <v>0.54166666666666663</v>
      </c>
      <c r="FB15" s="46" t="str">
        <f t="shared" si="29"/>
        <v>8h</v>
      </c>
      <c r="FC15" s="47"/>
      <c r="FE15" s="22"/>
      <c r="FF15" s="40">
        <f t="shared" si="46"/>
        <v>46332</v>
      </c>
      <c r="FG15" s="41" t="str">
        <f t="shared" si="30"/>
        <v>金</v>
      </c>
      <c r="FH15" s="41" t="s">
        <v>1015</v>
      </c>
      <c r="FI15" s="48">
        <v>0.375</v>
      </c>
      <c r="FJ15" s="48">
        <v>0.75</v>
      </c>
      <c r="FK15" s="49">
        <v>0.5</v>
      </c>
      <c r="FL15" s="49">
        <v>0.54166666666666663</v>
      </c>
      <c r="FM15" s="44" t="str">
        <f t="shared" si="31"/>
        <v>8h</v>
      </c>
      <c r="FN15" s="50">
        <v>0.375</v>
      </c>
      <c r="FO15" s="50">
        <v>0.75</v>
      </c>
      <c r="FP15" s="50">
        <v>0.5</v>
      </c>
      <c r="FQ15" s="50">
        <v>0.54166666666666663</v>
      </c>
      <c r="FR15" s="46" t="str">
        <f t="shared" si="32"/>
        <v>8h</v>
      </c>
      <c r="FS15" s="47"/>
      <c r="FU15" s="22"/>
      <c r="FV15" s="40">
        <f t="shared" si="47"/>
        <v>46362</v>
      </c>
      <c r="FW15" s="41" t="str">
        <f t="shared" si="33"/>
        <v>日</v>
      </c>
      <c r="FX15" s="41"/>
      <c r="FY15" s="42"/>
      <c r="FZ15" s="42"/>
      <c r="GA15" s="43"/>
      <c r="GB15" s="43"/>
      <c r="GC15" s="44" t="str">
        <f t="shared" si="34"/>
        <v/>
      </c>
      <c r="GD15" s="45"/>
      <c r="GE15" s="45"/>
      <c r="GF15" s="45"/>
      <c r="GG15" s="45"/>
      <c r="GH15" s="46" t="str">
        <f t="shared" si="35"/>
        <v/>
      </c>
      <c r="GI15" s="47"/>
    </row>
    <row r="16" spans="1:191" x14ac:dyDescent="0.45">
      <c r="A16" s="22"/>
      <c r="B16" s="40">
        <f t="shared" si="36"/>
        <v>46029</v>
      </c>
      <c r="C16" s="41" t="str">
        <f t="shared" si="0"/>
        <v>水</v>
      </c>
      <c r="D16" s="41" t="s">
        <v>1015</v>
      </c>
      <c r="E16" s="48">
        <v>0.375</v>
      </c>
      <c r="F16" s="48">
        <v>0.75</v>
      </c>
      <c r="G16" s="49">
        <v>0.5</v>
      </c>
      <c r="H16" s="49">
        <v>0.54166666666666663</v>
      </c>
      <c r="I16" s="44" t="str">
        <f t="shared" si="1"/>
        <v>8h</v>
      </c>
      <c r="J16" s="50">
        <v>0.375</v>
      </c>
      <c r="K16" s="50">
        <v>0.75</v>
      </c>
      <c r="L16" s="50">
        <v>0.5</v>
      </c>
      <c r="M16" s="50">
        <v>0.54166666666666663</v>
      </c>
      <c r="N16" s="46" t="str">
        <f t="shared" si="2"/>
        <v>8h</v>
      </c>
      <c r="O16" s="47"/>
      <c r="Q16" s="22"/>
      <c r="R16" s="40">
        <f t="shared" si="37"/>
        <v>46060</v>
      </c>
      <c r="S16" s="41" t="str">
        <f t="shared" si="3"/>
        <v>土</v>
      </c>
      <c r="T16" s="41"/>
      <c r="U16" s="42"/>
      <c r="V16" s="42"/>
      <c r="W16" s="43"/>
      <c r="X16" s="43"/>
      <c r="Y16" s="44" t="str">
        <f t="shared" si="4"/>
        <v/>
      </c>
      <c r="Z16" s="45"/>
      <c r="AA16" s="45"/>
      <c r="AB16" s="45"/>
      <c r="AC16" s="45"/>
      <c r="AD16" s="46" t="str">
        <f t="shared" si="5"/>
        <v/>
      </c>
      <c r="AE16" s="47"/>
      <c r="AG16" s="22"/>
      <c r="AH16" s="40">
        <f t="shared" si="38"/>
        <v>46088</v>
      </c>
      <c r="AI16" s="41" t="str">
        <f t="shared" si="6"/>
        <v>土</v>
      </c>
      <c r="AJ16" s="41"/>
      <c r="AK16" s="42"/>
      <c r="AL16" s="42"/>
      <c r="AM16" s="43"/>
      <c r="AN16" s="43"/>
      <c r="AO16" s="44" t="str">
        <f t="shared" si="7"/>
        <v/>
      </c>
      <c r="AP16" s="45"/>
      <c r="AQ16" s="45"/>
      <c r="AR16" s="45"/>
      <c r="AS16" s="45"/>
      <c r="AT16" s="46" t="str">
        <f t="shared" si="8"/>
        <v/>
      </c>
      <c r="AU16" s="47"/>
      <c r="AW16" s="22"/>
      <c r="AX16" s="40">
        <f t="shared" si="39"/>
        <v>46119</v>
      </c>
      <c r="AY16" s="41" t="str">
        <f t="shared" si="9"/>
        <v>火</v>
      </c>
      <c r="AZ16" s="41" t="s">
        <v>1015</v>
      </c>
      <c r="BA16" s="48">
        <v>0.375</v>
      </c>
      <c r="BB16" s="48">
        <v>0.75</v>
      </c>
      <c r="BC16" s="49">
        <v>0.5</v>
      </c>
      <c r="BD16" s="49">
        <v>0.54166666666666663</v>
      </c>
      <c r="BE16" s="44" t="str">
        <f t="shared" si="10"/>
        <v>8h</v>
      </c>
      <c r="BF16" s="50">
        <v>0.375</v>
      </c>
      <c r="BG16" s="50">
        <v>0.75</v>
      </c>
      <c r="BH16" s="50">
        <v>0.5</v>
      </c>
      <c r="BI16" s="50">
        <v>0.54166666666666663</v>
      </c>
      <c r="BJ16" s="46" t="str">
        <f t="shared" si="11"/>
        <v>8h</v>
      </c>
      <c r="BK16" s="47"/>
      <c r="BM16" s="22"/>
      <c r="BN16" s="40">
        <f t="shared" si="40"/>
        <v>46149</v>
      </c>
      <c r="BO16" s="41" t="str">
        <f t="shared" si="12"/>
        <v>木</v>
      </c>
      <c r="BP16" s="41" t="s">
        <v>1015</v>
      </c>
      <c r="BQ16" s="48">
        <v>0.375</v>
      </c>
      <c r="BR16" s="48">
        <v>0.75</v>
      </c>
      <c r="BS16" s="49">
        <v>0.5</v>
      </c>
      <c r="BT16" s="49">
        <v>0.54166666666666663</v>
      </c>
      <c r="BU16" s="44" t="str">
        <f t="shared" si="13"/>
        <v>8h</v>
      </c>
      <c r="BV16" s="50">
        <v>0.375</v>
      </c>
      <c r="BW16" s="50">
        <v>0.75</v>
      </c>
      <c r="BX16" s="50">
        <v>0.5</v>
      </c>
      <c r="BY16" s="50">
        <v>0.54166666666666663</v>
      </c>
      <c r="BZ16" s="46" t="str">
        <f t="shared" si="14"/>
        <v>8h</v>
      </c>
      <c r="CA16" s="47"/>
      <c r="CC16" s="22"/>
      <c r="CD16" s="40">
        <f t="shared" si="41"/>
        <v>46180</v>
      </c>
      <c r="CE16" s="41" t="str">
        <f t="shared" si="15"/>
        <v>日</v>
      </c>
      <c r="CF16" s="41"/>
      <c r="CG16" s="42"/>
      <c r="CH16" s="42"/>
      <c r="CI16" s="43"/>
      <c r="CJ16" s="43"/>
      <c r="CK16" s="44" t="str">
        <f t="shared" si="16"/>
        <v/>
      </c>
      <c r="CL16" s="45"/>
      <c r="CM16" s="45"/>
      <c r="CN16" s="45"/>
      <c r="CO16" s="45"/>
      <c r="CP16" s="46" t="str">
        <f t="shared" si="17"/>
        <v/>
      </c>
      <c r="CQ16" s="47"/>
      <c r="CS16" s="22"/>
      <c r="CT16" s="40">
        <f t="shared" si="42"/>
        <v>46210</v>
      </c>
      <c r="CU16" s="41" t="str">
        <f t="shared" si="18"/>
        <v>火</v>
      </c>
      <c r="CV16" s="41" t="s">
        <v>1015</v>
      </c>
      <c r="CW16" s="48">
        <v>0.375</v>
      </c>
      <c r="CX16" s="48">
        <v>0.75</v>
      </c>
      <c r="CY16" s="49">
        <v>0.5</v>
      </c>
      <c r="CZ16" s="49">
        <v>0.54166666666666663</v>
      </c>
      <c r="DA16" s="44" t="str">
        <f t="shared" si="19"/>
        <v>8h</v>
      </c>
      <c r="DB16" s="50">
        <v>0.375</v>
      </c>
      <c r="DC16" s="50">
        <v>0.75</v>
      </c>
      <c r="DD16" s="50">
        <v>0.5</v>
      </c>
      <c r="DE16" s="50">
        <v>0.54166666666666663</v>
      </c>
      <c r="DF16" s="46" t="str">
        <f t="shared" si="20"/>
        <v>8h</v>
      </c>
      <c r="DG16" s="47"/>
      <c r="DI16" s="22"/>
      <c r="DJ16" s="40">
        <f t="shared" si="43"/>
        <v>46241</v>
      </c>
      <c r="DK16" s="41" t="str">
        <f t="shared" si="21"/>
        <v>金</v>
      </c>
      <c r="DL16" s="41" t="s">
        <v>1015</v>
      </c>
      <c r="DM16" s="48">
        <v>0.375</v>
      </c>
      <c r="DN16" s="48">
        <v>0.75</v>
      </c>
      <c r="DO16" s="49">
        <v>0.5</v>
      </c>
      <c r="DP16" s="49">
        <v>0.54166666666666663</v>
      </c>
      <c r="DQ16" s="44" t="str">
        <f t="shared" si="22"/>
        <v>8h</v>
      </c>
      <c r="DR16" s="50">
        <v>0.375</v>
      </c>
      <c r="DS16" s="50">
        <v>0.75</v>
      </c>
      <c r="DT16" s="50">
        <v>0.5</v>
      </c>
      <c r="DU16" s="50">
        <v>0.54166666666666663</v>
      </c>
      <c r="DV16" s="46" t="str">
        <f t="shared" si="23"/>
        <v>8h</v>
      </c>
      <c r="DW16" s="47"/>
      <c r="DY16" s="22"/>
      <c r="DZ16" s="40">
        <f t="shared" si="44"/>
        <v>46272</v>
      </c>
      <c r="EA16" s="41" t="str">
        <f t="shared" si="24"/>
        <v>月</v>
      </c>
      <c r="EB16" s="41" t="s">
        <v>1015</v>
      </c>
      <c r="EC16" s="48">
        <v>0.375</v>
      </c>
      <c r="ED16" s="48">
        <v>0.75</v>
      </c>
      <c r="EE16" s="49">
        <v>0.5</v>
      </c>
      <c r="EF16" s="49">
        <v>0.54166666666666663</v>
      </c>
      <c r="EG16" s="44" t="str">
        <f t="shared" si="25"/>
        <v>8h</v>
      </c>
      <c r="EH16" s="50">
        <v>0.375</v>
      </c>
      <c r="EI16" s="50">
        <v>0.75</v>
      </c>
      <c r="EJ16" s="50">
        <v>0.5</v>
      </c>
      <c r="EK16" s="50">
        <v>0.54166666666666663</v>
      </c>
      <c r="EL16" s="46" t="str">
        <f t="shared" si="26"/>
        <v>8h</v>
      </c>
      <c r="EM16" s="47"/>
      <c r="EO16" s="22"/>
      <c r="EP16" s="40">
        <f t="shared" si="45"/>
        <v>46302</v>
      </c>
      <c r="EQ16" s="41" t="str">
        <f t="shared" si="27"/>
        <v>水</v>
      </c>
      <c r="ER16" s="41" t="s">
        <v>1015</v>
      </c>
      <c r="ES16" s="48">
        <v>0.375</v>
      </c>
      <c r="ET16" s="48">
        <v>0.75</v>
      </c>
      <c r="EU16" s="49">
        <v>0.5</v>
      </c>
      <c r="EV16" s="49">
        <v>0.54166666666666663</v>
      </c>
      <c r="EW16" s="44" t="str">
        <f t="shared" si="28"/>
        <v>8h</v>
      </c>
      <c r="EX16" s="50">
        <v>0.375</v>
      </c>
      <c r="EY16" s="50">
        <v>0.75</v>
      </c>
      <c r="EZ16" s="50">
        <v>0.5</v>
      </c>
      <c r="FA16" s="50">
        <v>0.54166666666666663</v>
      </c>
      <c r="FB16" s="46" t="str">
        <f t="shared" si="29"/>
        <v>8h</v>
      </c>
      <c r="FC16" s="47"/>
      <c r="FE16" s="22"/>
      <c r="FF16" s="40">
        <f t="shared" si="46"/>
        <v>46333</v>
      </c>
      <c r="FG16" s="41" t="str">
        <f t="shared" si="30"/>
        <v>土</v>
      </c>
      <c r="FH16" s="41"/>
      <c r="FI16" s="42"/>
      <c r="FJ16" s="42"/>
      <c r="FK16" s="43"/>
      <c r="FL16" s="43"/>
      <c r="FM16" s="44" t="str">
        <f t="shared" si="31"/>
        <v/>
      </c>
      <c r="FN16" s="45"/>
      <c r="FO16" s="45"/>
      <c r="FP16" s="45"/>
      <c r="FQ16" s="45"/>
      <c r="FR16" s="46" t="str">
        <f t="shared" si="32"/>
        <v/>
      </c>
      <c r="FS16" s="47"/>
      <c r="FU16" s="22"/>
      <c r="FV16" s="40">
        <f t="shared" si="47"/>
        <v>46363</v>
      </c>
      <c r="FW16" s="41" t="str">
        <f t="shared" si="33"/>
        <v>月</v>
      </c>
      <c r="FX16" s="41" t="s">
        <v>1015</v>
      </c>
      <c r="FY16" s="48">
        <v>0.375</v>
      </c>
      <c r="FZ16" s="48">
        <v>0.75</v>
      </c>
      <c r="GA16" s="49">
        <v>0.5</v>
      </c>
      <c r="GB16" s="49">
        <v>0.54166666666666663</v>
      </c>
      <c r="GC16" s="44" t="str">
        <f t="shared" si="34"/>
        <v>8h</v>
      </c>
      <c r="GD16" s="50">
        <v>0.375</v>
      </c>
      <c r="GE16" s="50">
        <v>0.75</v>
      </c>
      <c r="GF16" s="50">
        <v>0.5</v>
      </c>
      <c r="GG16" s="50">
        <v>0.54166666666666663</v>
      </c>
      <c r="GH16" s="46" t="str">
        <f t="shared" si="35"/>
        <v>8h</v>
      </c>
      <c r="GI16" s="47"/>
    </row>
    <row r="17" spans="1:191" x14ac:dyDescent="0.45">
      <c r="A17" s="22"/>
      <c r="B17" s="40">
        <f t="shared" si="36"/>
        <v>46030</v>
      </c>
      <c r="C17" s="41" t="str">
        <f t="shared" si="0"/>
        <v>木</v>
      </c>
      <c r="D17" s="41" t="s">
        <v>1015</v>
      </c>
      <c r="E17" s="48">
        <v>0.375</v>
      </c>
      <c r="F17" s="48">
        <v>0.75</v>
      </c>
      <c r="G17" s="49">
        <v>0.5</v>
      </c>
      <c r="H17" s="49">
        <v>0.54166666666666663</v>
      </c>
      <c r="I17" s="44" t="str">
        <f t="shared" si="1"/>
        <v>8h</v>
      </c>
      <c r="J17" s="50">
        <v>0.375</v>
      </c>
      <c r="K17" s="50">
        <v>0.75</v>
      </c>
      <c r="L17" s="50">
        <v>0.5</v>
      </c>
      <c r="M17" s="50">
        <v>0.54166666666666663</v>
      </c>
      <c r="N17" s="46" t="str">
        <f t="shared" si="2"/>
        <v>8h</v>
      </c>
      <c r="O17" s="47"/>
      <c r="Q17" s="22"/>
      <c r="R17" s="40">
        <f t="shared" si="37"/>
        <v>46061</v>
      </c>
      <c r="S17" s="41" t="str">
        <f t="shared" si="3"/>
        <v>日</v>
      </c>
      <c r="T17" s="41"/>
      <c r="U17" s="42"/>
      <c r="V17" s="42"/>
      <c r="W17" s="43"/>
      <c r="X17" s="43"/>
      <c r="Y17" s="44" t="str">
        <f t="shared" si="4"/>
        <v/>
      </c>
      <c r="Z17" s="45"/>
      <c r="AA17" s="45"/>
      <c r="AB17" s="45"/>
      <c r="AC17" s="45"/>
      <c r="AD17" s="46" t="str">
        <f t="shared" si="5"/>
        <v/>
      </c>
      <c r="AE17" s="47"/>
      <c r="AG17" s="22"/>
      <c r="AH17" s="40">
        <f t="shared" si="38"/>
        <v>46089</v>
      </c>
      <c r="AI17" s="41" t="str">
        <f t="shared" si="6"/>
        <v>日</v>
      </c>
      <c r="AJ17" s="41"/>
      <c r="AK17" s="42"/>
      <c r="AL17" s="42"/>
      <c r="AM17" s="43"/>
      <c r="AN17" s="43"/>
      <c r="AO17" s="44" t="str">
        <f t="shared" si="7"/>
        <v/>
      </c>
      <c r="AP17" s="45"/>
      <c r="AQ17" s="45"/>
      <c r="AR17" s="45"/>
      <c r="AS17" s="45"/>
      <c r="AT17" s="46" t="str">
        <f t="shared" si="8"/>
        <v/>
      </c>
      <c r="AU17" s="47"/>
      <c r="AW17" s="22"/>
      <c r="AX17" s="40">
        <f t="shared" si="39"/>
        <v>46120</v>
      </c>
      <c r="AY17" s="41" t="str">
        <f t="shared" si="9"/>
        <v>水</v>
      </c>
      <c r="AZ17" s="41" t="s">
        <v>1015</v>
      </c>
      <c r="BA17" s="48">
        <v>0.375</v>
      </c>
      <c r="BB17" s="48">
        <v>0.75</v>
      </c>
      <c r="BC17" s="49">
        <v>0.5</v>
      </c>
      <c r="BD17" s="49">
        <v>0.54166666666666663</v>
      </c>
      <c r="BE17" s="44" t="str">
        <f t="shared" si="10"/>
        <v>8h</v>
      </c>
      <c r="BF17" s="50">
        <v>0.375</v>
      </c>
      <c r="BG17" s="50">
        <v>0.75</v>
      </c>
      <c r="BH17" s="50">
        <v>0.5</v>
      </c>
      <c r="BI17" s="50">
        <v>0.54166666666666663</v>
      </c>
      <c r="BJ17" s="46" t="str">
        <f t="shared" si="11"/>
        <v>8h</v>
      </c>
      <c r="BK17" s="47"/>
      <c r="BM17" s="22"/>
      <c r="BN17" s="40">
        <f t="shared" si="40"/>
        <v>46150</v>
      </c>
      <c r="BO17" s="41" t="str">
        <f t="shared" si="12"/>
        <v>金</v>
      </c>
      <c r="BP17" s="41" t="s">
        <v>1015</v>
      </c>
      <c r="BQ17" s="48">
        <v>0.375</v>
      </c>
      <c r="BR17" s="48">
        <v>0.75</v>
      </c>
      <c r="BS17" s="49">
        <v>0.5</v>
      </c>
      <c r="BT17" s="49">
        <v>0.54166666666666663</v>
      </c>
      <c r="BU17" s="44" t="str">
        <f t="shared" si="13"/>
        <v>8h</v>
      </c>
      <c r="BV17" s="50">
        <v>0.375</v>
      </c>
      <c r="BW17" s="50">
        <v>0.75</v>
      </c>
      <c r="BX17" s="50">
        <v>0.5</v>
      </c>
      <c r="BY17" s="50">
        <v>0.54166666666666663</v>
      </c>
      <c r="BZ17" s="46" t="str">
        <f t="shared" si="14"/>
        <v>8h</v>
      </c>
      <c r="CA17" s="47"/>
      <c r="CC17" s="22"/>
      <c r="CD17" s="40">
        <f t="shared" si="41"/>
        <v>46181</v>
      </c>
      <c r="CE17" s="41" t="str">
        <f t="shared" si="15"/>
        <v>月</v>
      </c>
      <c r="CF17" s="41" t="s">
        <v>1015</v>
      </c>
      <c r="CG17" s="48">
        <v>0.375</v>
      </c>
      <c r="CH17" s="48">
        <v>0.75</v>
      </c>
      <c r="CI17" s="49">
        <v>0.5</v>
      </c>
      <c r="CJ17" s="49">
        <v>0.54166666666666663</v>
      </c>
      <c r="CK17" s="44" t="str">
        <f t="shared" si="16"/>
        <v>8h</v>
      </c>
      <c r="CL17" s="50">
        <v>0.375</v>
      </c>
      <c r="CM17" s="50">
        <v>0.75</v>
      </c>
      <c r="CN17" s="50">
        <v>0.5</v>
      </c>
      <c r="CO17" s="50">
        <v>0.54166666666666663</v>
      </c>
      <c r="CP17" s="46" t="str">
        <f t="shared" si="17"/>
        <v>8h</v>
      </c>
      <c r="CQ17" s="47"/>
      <c r="CS17" s="22"/>
      <c r="CT17" s="40">
        <f t="shared" si="42"/>
        <v>46211</v>
      </c>
      <c r="CU17" s="41" t="str">
        <f t="shared" si="18"/>
        <v>水</v>
      </c>
      <c r="CV17" s="41" t="s">
        <v>1015</v>
      </c>
      <c r="CW17" s="48">
        <v>0.375</v>
      </c>
      <c r="CX17" s="48">
        <v>0.75</v>
      </c>
      <c r="CY17" s="49">
        <v>0.5</v>
      </c>
      <c r="CZ17" s="49">
        <v>0.54166666666666663</v>
      </c>
      <c r="DA17" s="44" t="str">
        <f t="shared" si="19"/>
        <v>8h</v>
      </c>
      <c r="DB17" s="50">
        <v>0.375</v>
      </c>
      <c r="DC17" s="50">
        <v>0.75</v>
      </c>
      <c r="DD17" s="50">
        <v>0.5</v>
      </c>
      <c r="DE17" s="50">
        <v>0.54166666666666663</v>
      </c>
      <c r="DF17" s="46" t="str">
        <f t="shared" si="20"/>
        <v>8h</v>
      </c>
      <c r="DG17" s="47"/>
      <c r="DI17" s="22"/>
      <c r="DJ17" s="40">
        <f t="shared" si="43"/>
        <v>46242</v>
      </c>
      <c r="DK17" s="41" t="str">
        <f t="shared" si="21"/>
        <v>土</v>
      </c>
      <c r="DL17" s="41"/>
      <c r="DM17" s="42"/>
      <c r="DN17" s="42"/>
      <c r="DO17" s="43"/>
      <c r="DP17" s="43"/>
      <c r="DQ17" s="44" t="str">
        <f t="shared" si="22"/>
        <v/>
      </c>
      <c r="DR17" s="45"/>
      <c r="DS17" s="45"/>
      <c r="DT17" s="45"/>
      <c r="DU17" s="45"/>
      <c r="DV17" s="46" t="str">
        <f t="shared" si="23"/>
        <v/>
      </c>
      <c r="DW17" s="47"/>
      <c r="DY17" s="22"/>
      <c r="DZ17" s="40">
        <f t="shared" si="44"/>
        <v>46273</v>
      </c>
      <c r="EA17" s="41" t="str">
        <f t="shared" si="24"/>
        <v>火</v>
      </c>
      <c r="EB17" s="41" t="s">
        <v>1015</v>
      </c>
      <c r="EC17" s="48">
        <v>0.375</v>
      </c>
      <c r="ED17" s="48">
        <v>0.75</v>
      </c>
      <c r="EE17" s="49">
        <v>0.5</v>
      </c>
      <c r="EF17" s="49">
        <v>0.54166666666666663</v>
      </c>
      <c r="EG17" s="44" t="str">
        <f t="shared" si="25"/>
        <v>8h</v>
      </c>
      <c r="EH17" s="50">
        <v>0.375</v>
      </c>
      <c r="EI17" s="50">
        <v>0.75</v>
      </c>
      <c r="EJ17" s="50">
        <v>0.5</v>
      </c>
      <c r="EK17" s="50">
        <v>0.54166666666666663</v>
      </c>
      <c r="EL17" s="46" t="str">
        <f t="shared" si="26"/>
        <v>8h</v>
      </c>
      <c r="EM17" s="47"/>
      <c r="EO17" s="22"/>
      <c r="EP17" s="40">
        <f t="shared" si="45"/>
        <v>46303</v>
      </c>
      <c r="EQ17" s="41" t="str">
        <f t="shared" si="27"/>
        <v>木</v>
      </c>
      <c r="ER17" s="41" t="s">
        <v>1015</v>
      </c>
      <c r="ES17" s="48">
        <v>0.375</v>
      </c>
      <c r="ET17" s="48">
        <v>0.75</v>
      </c>
      <c r="EU17" s="49">
        <v>0.5</v>
      </c>
      <c r="EV17" s="49">
        <v>0.54166666666666663</v>
      </c>
      <c r="EW17" s="44" t="str">
        <f t="shared" si="28"/>
        <v>8h</v>
      </c>
      <c r="EX17" s="50">
        <v>0.375</v>
      </c>
      <c r="EY17" s="50">
        <v>0.75</v>
      </c>
      <c r="EZ17" s="50">
        <v>0.5</v>
      </c>
      <c r="FA17" s="50">
        <v>0.54166666666666663</v>
      </c>
      <c r="FB17" s="46" t="str">
        <f t="shared" si="29"/>
        <v>8h</v>
      </c>
      <c r="FC17" s="47"/>
      <c r="FE17" s="22"/>
      <c r="FF17" s="40">
        <f t="shared" si="46"/>
        <v>46334</v>
      </c>
      <c r="FG17" s="41" t="str">
        <f t="shared" si="30"/>
        <v>日</v>
      </c>
      <c r="FH17" s="41"/>
      <c r="FI17" s="42"/>
      <c r="FJ17" s="42"/>
      <c r="FK17" s="43"/>
      <c r="FL17" s="43"/>
      <c r="FM17" s="44" t="str">
        <f t="shared" si="31"/>
        <v/>
      </c>
      <c r="FN17" s="45"/>
      <c r="FO17" s="45"/>
      <c r="FP17" s="45"/>
      <c r="FQ17" s="45"/>
      <c r="FR17" s="46" t="str">
        <f t="shared" si="32"/>
        <v/>
      </c>
      <c r="FS17" s="47"/>
      <c r="FU17" s="22"/>
      <c r="FV17" s="40">
        <f t="shared" si="47"/>
        <v>46364</v>
      </c>
      <c r="FW17" s="41" t="str">
        <f t="shared" si="33"/>
        <v>火</v>
      </c>
      <c r="FX17" s="41" t="s">
        <v>1015</v>
      </c>
      <c r="FY17" s="48">
        <v>0.375</v>
      </c>
      <c r="FZ17" s="48">
        <v>0.75</v>
      </c>
      <c r="GA17" s="49">
        <v>0.5</v>
      </c>
      <c r="GB17" s="49">
        <v>0.54166666666666663</v>
      </c>
      <c r="GC17" s="44" t="str">
        <f t="shared" si="34"/>
        <v>8h</v>
      </c>
      <c r="GD17" s="50">
        <v>0.375</v>
      </c>
      <c r="GE17" s="50">
        <v>0.75</v>
      </c>
      <c r="GF17" s="50">
        <v>0.5</v>
      </c>
      <c r="GG17" s="50">
        <v>0.54166666666666663</v>
      </c>
      <c r="GH17" s="46" t="str">
        <f t="shared" si="35"/>
        <v>8h</v>
      </c>
      <c r="GI17" s="47"/>
    </row>
    <row r="18" spans="1:191" x14ac:dyDescent="0.45">
      <c r="A18" s="22"/>
      <c r="B18" s="40">
        <f t="shared" si="36"/>
        <v>46031</v>
      </c>
      <c r="C18" s="41" t="str">
        <f t="shared" si="0"/>
        <v>金</v>
      </c>
      <c r="D18" s="41" t="s">
        <v>1015</v>
      </c>
      <c r="E18" s="48">
        <v>0.375</v>
      </c>
      <c r="F18" s="48">
        <v>0.75</v>
      </c>
      <c r="G18" s="49">
        <v>0.5</v>
      </c>
      <c r="H18" s="49">
        <v>0.54166666666666663</v>
      </c>
      <c r="I18" s="44" t="str">
        <f t="shared" si="1"/>
        <v>8h</v>
      </c>
      <c r="J18" s="50">
        <v>0.375</v>
      </c>
      <c r="K18" s="50">
        <v>0.75</v>
      </c>
      <c r="L18" s="50">
        <v>0.5</v>
      </c>
      <c r="M18" s="50">
        <v>0.54166666666666663</v>
      </c>
      <c r="N18" s="46" t="str">
        <f t="shared" si="2"/>
        <v>8h</v>
      </c>
      <c r="O18" s="47"/>
      <c r="Q18" s="22"/>
      <c r="R18" s="40">
        <f t="shared" si="37"/>
        <v>46062</v>
      </c>
      <c r="S18" s="41" t="str">
        <f t="shared" si="3"/>
        <v>月</v>
      </c>
      <c r="T18" s="41" t="s">
        <v>1015</v>
      </c>
      <c r="U18" s="48">
        <v>0.375</v>
      </c>
      <c r="V18" s="48">
        <v>0.75</v>
      </c>
      <c r="W18" s="49">
        <v>0.5</v>
      </c>
      <c r="X18" s="49">
        <v>0.54166666666666663</v>
      </c>
      <c r="Y18" s="44" t="str">
        <f t="shared" si="4"/>
        <v>8h</v>
      </c>
      <c r="Z18" s="50">
        <v>0.375</v>
      </c>
      <c r="AA18" s="50">
        <v>0.75</v>
      </c>
      <c r="AB18" s="50">
        <v>0.5</v>
      </c>
      <c r="AC18" s="50">
        <v>0.54166666666666663</v>
      </c>
      <c r="AD18" s="46" t="str">
        <f t="shared" si="5"/>
        <v>8h</v>
      </c>
      <c r="AE18" s="47"/>
      <c r="AG18" s="22"/>
      <c r="AH18" s="40">
        <f t="shared" si="38"/>
        <v>46090</v>
      </c>
      <c r="AI18" s="41" t="str">
        <f t="shared" si="6"/>
        <v>月</v>
      </c>
      <c r="AJ18" s="41" t="s">
        <v>1015</v>
      </c>
      <c r="AK18" s="48">
        <v>0.375</v>
      </c>
      <c r="AL18" s="48">
        <v>0.75</v>
      </c>
      <c r="AM18" s="49">
        <v>0.5</v>
      </c>
      <c r="AN18" s="49">
        <v>0.54166666666666663</v>
      </c>
      <c r="AO18" s="44" t="str">
        <f t="shared" si="7"/>
        <v>8h</v>
      </c>
      <c r="AP18" s="50">
        <v>0.375</v>
      </c>
      <c r="AQ18" s="50">
        <v>0.75</v>
      </c>
      <c r="AR18" s="50">
        <v>0.5</v>
      </c>
      <c r="AS18" s="50">
        <v>0.54166666666666663</v>
      </c>
      <c r="AT18" s="46" t="str">
        <f t="shared" si="8"/>
        <v>8h</v>
      </c>
      <c r="AU18" s="47"/>
      <c r="AW18" s="22"/>
      <c r="AX18" s="40">
        <f t="shared" si="39"/>
        <v>46121</v>
      </c>
      <c r="AY18" s="41" t="str">
        <f t="shared" si="9"/>
        <v>木</v>
      </c>
      <c r="AZ18" s="41" t="s">
        <v>1015</v>
      </c>
      <c r="BA18" s="48">
        <v>0.375</v>
      </c>
      <c r="BB18" s="48">
        <v>0.75</v>
      </c>
      <c r="BC18" s="49">
        <v>0.5</v>
      </c>
      <c r="BD18" s="49">
        <v>0.54166666666666663</v>
      </c>
      <c r="BE18" s="44" t="str">
        <f t="shared" si="10"/>
        <v>8h</v>
      </c>
      <c r="BF18" s="50">
        <v>0.375</v>
      </c>
      <c r="BG18" s="50">
        <v>0.75</v>
      </c>
      <c r="BH18" s="50">
        <v>0.5</v>
      </c>
      <c r="BI18" s="50">
        <v>0.54166666666666663</v>
      </c>
      <c r="BJ18" s="46" t="str">
        <f t="shared" si="11"/>
        <v>8h</v>
      </c>
      <c r="BK18" s="47"/>
      <c r="BM18" s="22"/>
      <c r="BN18" s="40">
        <f t="shared" si="40"/>
        <v>46151</v>
      </c>
      <c r="BO18" s="41" t="str">
        <f t="shared" si="12"/>
        <v>土</v>
      </c>
      <c r="BP18" s="41"/>
      <c r="BQ18" s="42"/>
      <c r="BR18" s="42"/>
      <c r="BS18" s="43"/>
      <c r="BT18" s="43"/>
      <c r="BU18" s="44" t="str">
        <f t="shared" si="13"/>
        <v/>
      </c>
      <c r="BV18" s="45"/>
      <c r="BW18" s="45"/>
      <c r="BX18" s="45"/>
      <c r="BY18" s="45"/>
      <c r="BZ18" s="46" t="str">
        <f t="shared" si="14"/>
        <v/>
      </c>
      <c r="CA18" s="47"/>
      <c r="CC18" s="22"/>
      <c r="CD18" s="40">
        <f t="shared" si="41"/>
        <v>46182</v>
      </c>
      <c r="CE18" s="41" t="str">
        <f t="shared" si="15"/>
        <v>火</v>
      </c>
      <c r="CF18" s="41" t="s">
        <v>1015</v>
      </c>
      <c r="CG18" s="48">
        <v>0.375</v>
      </c>
      <c r="CH18" s="48">
        <v>0.75</v>
      </c>
      <c r="CI18" s="49">
        <v>0.5</v>
      </c>
      <c r="CJ18" s="49">
        <v>0.54166666666666663</v>
      </c>
      <c r="CK18" s="44" t="str">
        <f t="shared" si="16"/>
        <v>8h</v>
      </c>
      <c r="CL18" s="50">
        <v>0.375</v>
      </c>
      <c r="CM18" s="50">
        <v>0.75</v>
      </c>
      <c r="CN18" s="50">
        <v>0.5</v>
      </c>
      <c r="CO18" s="50">
        <v>0.54166666666666663</v>
      </c>
      <c r="CP18" s="46" t="str">
        <f t="shared" si="17"/>
        <v>8h</v>
      </c>
      <c r="CQ18" s="47"/>
      <c r="CS18" s="22"/>
      <c r="CT18" s="40">
        <f t="shared" si="42"/>
        <v>46212</v>
      </c>
      <c r="CU18" s="41" t="str">
        <f t="shared" si="18"/>
        <v>木</v>
      </c>
      <c r="CV18" s="41" t="s">
        <v>1015</v>
      </c>
      <c r="CW18" s="48">
        <v>0.375</v>
      </c>
      <c r="CX18" s="48">
        <v>0.75</v>
      </c>
      <c r="CY18" s="49">
        <v>0.5</v>
      </c>
      <c r="CZ18" s="49">
        <v>0.54166666666666663</v>
      </c>
      <c r="DA18" s="44" t="str">
        <f t="shared" si="19"/>
        <v>8h</v>
      </c>
      <c r="DB18" s="50">
        <v>0.375</v>
      </c>
      <c r="DC18" s="50">
        <v>0.75</v>
      </c>
      <c r="DD18" s="50">
        <v>0.5</v>
      </c>
      <c r="DE18" s="50">
        <v>0.54166666666666663</v>
      </c>
      <c r="DF18" s="46" t="str">
        <f t="shared" si="20"/>
        <v>8h</v>
      </c>
      <c r="DG18" s="47"/>
      <c r="DI18" s="22"/>
      <c r="DJ18" s="40">
        <f t="shared" si="43"/>
        <v>46243</v>
      </c>
      <c r="DK18" s="41" t="str">
        <f t="shared" si="21"/>
        <v>日</v>
      </c>
      <c r="DL18" s="41"/>
      <c r="DM18" s="42"/>
      <c r="DN18" s="42"/>
      <c r="DO18" s="43"/>
      <c r="DP18" s="43"/>
      <c r="DQ18" s="44" t="str">
        <f t="shared" si="22"/>
        <v/>
      </c>
      <c r="DR18" s="45"/>
      <c r="DS18" s="45"/>
      <c r="DT18" s="45"/>
      <c r="DU18" s="45"/>
      <c r="DV18" s="46" t="str">
        <f t="shared" si="23"/>
        <v/>
      </c>
      <c r="DW18" s="47"/>
      <c r="DY18" s="22"/>
      <c r="DZ18" s="40">
        <f t="shared" si="44"/>
        <v>46274</v>
      </c>
      <c r="EA18" s="41" t="str">
        <f t="shared" si="24"/>
        <v>水</v>
      </c>
      <c r="EB18" s="41" t="s">
        <v>1015</v>
      </c>
      <c r="EC18" s="48">
        <v>0.375</v>
      </c>
      <c r="ED18" s="48">
        <v>0.75</v>
      </c>
      <c r="EE18" s="49">
        <v>0.5</v>
      </c>
      <c r="EF18" s="49">
        <v>0.54166666666666663</v>
      </c>
      <c r="EG18" s="44" t="str">
        <f t="shared" si="25"/>
        <v>8h</v>
      </c>
      <c r="EH18" s="50">
        <v>0.375</v>
      </c>
      <c r="EI18" s="50">
        <v>0.75</v>
      </c>
      <c r="EJ18" s="50">
        <v>0.5</v>
      </c>
      <c r="EK18" s="50">
        <v>0.54166666666666663</v>
      </c>
      <c r="EL18" s="46" t="str">
        <f t="shared" si="26"/>
        <v>8h</v>
      </c>
      <c r="EM18" s="47"/>
      <c r="EO18" s="22"/>
      <c r="EP18" s="40">
        <f t="shared" si="45"/>
        <v>46304</v>
      </c>
      <c r="EQ18" s="41" t="str">
        <f t="shared" si="27"/>
        <v>金</v>
      </c>
      <c r="ER18" s="41" t="s">
        <v>1015</v>
      </c>
      <c r="ES18" s="48">
        <v>0.375</v>
      </c>
      <c r="ET18" s="48">
        <v>0.75</v>
      </c>
      <c r="EU18" s="49">
        <v>0.5</v>
      </c>
      <c r="EV18" s="49">
        <v>0.54166666666666663</v>
      </c>
      <c r="EW18" s="44" t="str">
        <f t="shared" si="28"/>
        <v>8h</v>
      </c>
      <c r="EX18" s="50">
        <v>0.375</v>
      </c>
      <c r="EY18" s="50">
        <v>0.75</v>
      </c>
      <c r="EZ18" s="50">
        <v>0.5</v>
      </c>
      <c r="FA18" s="50">
        <v>0.54166666666666663</v>
      </c>
      <c r="FB18" s="46" t="str">
        <f t="shared" si="29"/>
        <v>8h</v>
      </c>
      <c r="FC18" s="47"/>
      <c r="FE18" s="22"/>
      <c r="FF18" s="40">
        <f t="shared" si="46"/>
        <v>46335</v>
      </c>
      <c r="FG18" s="41" t="str">
        <f t="shared" si="30"/>
        <v>月</v>
      </c>
      <c r="FH18" s="41" t="s">
        <v>1015</v>
      </c>
      <c r="FI18" s="48">
        <v>0.375</v>
      </c>
      <c r="FJ18" s="48">
        <v>0.75</v>
      </c>
      <c r="FK18" s="49">
        <v>0.5</v>
      </c>
      <c r="FL18" s="49">
        <v>0.54166666666666663</v>
      </c>
      <c r="FM18" s="44" t="str">
        <f t="shared" si="31"/>
        <v>8h</v>
      </c>
      <c r="FN18" s="50">
        <v>0.375</v>
      </c>
      <c r="FO18" s="50">
        <v>0.75</v>
      </c>
      <c r="FP18" s="50">
        <v>0.5</v>
      </c>
      <c r="FQ18" s="50">
        <v>0.54166666666666663</v>
      </c>
      <c r="FR18" s="46" t="str">
        <f t="shared" si="32"/>
        <v>8h</v>
      </c>
      <c r="FS18" s="47"/>
      <c r="FU18" s="22"/>
      <c r="FV18" s="40">
        <f t="shared" si="47"/>
        <v>46365</v>
      </c>
      <c r="FW18" s="41" t="str">
        <f t="shared" si="33"/>
        <v>水</v>
      </c>
      <c r="FX18" s="41" t="s">
        <v>1015</v>
      </c>
      <c r="FY18" s="48">
        <v>0.375</v>
      </c>
      <c r="FZ18" s="48">
        <v>0.75</v>
      </c>
      <c r="GA18" s="49">
        <v>0.5</v>
      </c>
      <c r="GB18" s="49">
        <v>0.54166666666666663</v>
      </c>
      <c r="GC18" s="44" t="str">
        <f t="shared" si="34"/>
        <v>8h</v>
      </c>
      <c r="GD18" s="50">
        <v>0.375</v>
      </c>
      <c r="GE18" s="50">
        <v>0.75</v>
      </c>
      <c r="GF18" s="50">
        <v>0.5</v>
      </c>
      <c r="GG18" s="50">
        <v>0.54166666666666663</v>
      </c>
      <c r="GH18" s="46" t="str">
        <f t="shared" si="35"/>
        <v>8h</v>
      </c>
      <c r="GI18" s="47"/>
    </row>
    <row r="19" spans="1:191" x14ac:dyDescent="0.45">
      <c r="A19" s="22"/>
      <c r="B19" s="40">
        <f t="shared" si="36"/>
        <v>46032</v>
      </c>
      <c r="C19" s="41" t="str">
        <f t="shared" si="0"/>
        <v>土</v>
      </c>
      <c r="D19" s="41"/>
      <c r="E19" s="42"/>
      <c r="F19" s="42"/>
      <c r="G19" s="43"/>
      <c r="H19" s="43"/>
      <c r="I19" s="44" t="str">
        <f t="shared" si="1"/>
        <v/>
      </c>
      <c r="J19" s="45"/>
      <c r="K19" s="45"/>
      <c r="L19" s="45"/>
      <c r="M19" s="45"/>
      <c r="N19" s="46" t="str">
        <f t="shared" si="2"/>
        <v/>
      </c>
      <c r="O19" s="47"/>
      <c r="Q19" s="22"/>
      <c r="R19" s="40">
        <f t="shared" si="37"/>
        <v>46063</v>
      </c>
      <c r="S19" s="41" t="str">
        <f t="shared" si="3"/>
        <v>火</v>
      </c>
      <c r="T19" s="41" t="s">
        <v>1015</v>
      </c>
      <c r="U19" s="48">
        <v>0.375</v>
      </c>
      <c r="V19" s="48">
        <v>0.75</v>
      </c>
      <c r="W19" s="49">
        <v>0.5</v>
      </c>
      <c r="X19" s="49">
        <v>0.54166666666666663</v>
      </c>
      <c r="Y19" s="44" t="str">
        <f t="shared" si="4"/>
        <v>8h</v>
      </c>
      <c r="Z19" s="50">
        <v>0.375</v>
      </c>
      <c r="AA19" s="50">
        <v>0.75</v>
      </c>
      <c r="AB19" s="50">
        <v>0.5</v>
      </c>
      <c r="AC19" s="50">
        <v>0.54166666666666663</v>
      </c>
      <c r="AD19" s="46" t="str">
        <f t="shared" si="5"/>
        <v>8h</v>
      </c>
      <c r="AE19" s="47"/>
      <c r="AG19" s="22"/>
      <c r="AH19" s="40">
        <f t="shared" si="38"/>
        <v>46091</v>
      </c>
      <c r="AI19" s="41" t="str">
        <f t="shared" si="6"/>
        <v>火</v>
      </c>
      <c r="AJ19" s="41" t="s">
        <v>1015</v>
      </c>
      <c r="AK19" s="48">
        <v>0.375</v>
      </c>
      <c r="AL19" s="48">
        <v>0.75</v>
      </c>
      <c r="AM19" s="49">
        <v>0.5</v>
      </c>
      <c r="AN19" s="49">
        <v>0.54166666666666663</v>
      </c>
      <c r="AO19" s="44" t="str">
        <f t="shared" si="7"/>
        <v>8h</v>
      </c>
      <c r="AP19" s="50">
        <v>0.375</v>
      </c>
      <c r="AQ19" s="50">
        <v>0.75</v>
      </c>
      <c r="AR19" s="50">
        <v>0.5</v>
      </c>
      <c r="AS19" s="50">
        <v>0.54166666666666663</v>
      </c>
      <c r="AT19" s="46" t="str">
        <f t="shared" si="8"/>
        <v>8h</v>
      </c>
      <c r="AU19" s="47"/>
      <c r="AW19" s="22"/>
      <c r="AX19" s="40">
        <f t="shared" si="39"/>
        <v>46122</v>
      </c>
      <c r="AY19" s="41" t="str">
        <f t="shared" si="9"/>
        <v>金</v>
      </c>
      <c r="AZ19" s="41" t="s">
        <v>1015</v>
      </c>
      <c r="BA19" s="48">
        <v>0.375</v>
      </c>
      <c r="BB19" s="48">
        <v>0.75</v>
      </c>
      <c r="BC19" s="49">
        <v>0.5</v>
      </c>
      <c r="BD19" s="49">
        <v>0.54166666666666663</v>
      </c>
      <c r="BE19" s="44" t="str">
        <f t="shared" si="10"/>
        <v>8h</v>
      </c>
      <c r="BF19" s="50">
        <v>0.375</v>
      </c>
      <c r="BG19" s="50">
        <v>0.75</v>
      </c>
      <c r="BH19" s="50">
        <v>0.5</v>
      </c>
      <c r="BI19" s="50">
        <v>0.54166666666666663</v>
      </c>
      <c r="BJ19" s="46" t="str">
        <f t="shared" si="11"/>
        <v>8h</v>
      </c>
      <c r="BK19" s="47"/>
      <c r="BM19" s="22"/>
      <c r="BN19" s="40">
        <f t="shared" si="40"/>
        <v>46152</v>
      </c>
      <c r="BO19" s="41" t="str">
        <f t="shared" si="12"/>
        <v>日</v>
      </c>
      <c r="BP19" s="41"/>
      <c r="BQ19" s="42"/>
      <c r="BR19" s="42"/>
      <c r="BS19" s="43"/>
      <c r="BT19" s="43"/>
      <c r="BU19" s="44" t="str">
        <f t="shared" si="13"/>
        <v/>
      </c>
      <c r="BV19" s="45"/>
      <c r="BW19" s="45"/>
      <c r="BX19" s="45"/>
      <c r="BY19" s="45"/>
      <c r="BZ19" s="46" t="str">
        <f t="shared" si="14"/>
        <v/>
      </c>
      <c r="CA19" s="47"/>
      <c r="CC19" s="22"/>
      <c r="CD19" s="40">
        <f t="shared" si="41"/>
        <v>46183</v>
      </c>
      <c r="CE19" s="41" t="str">
        <f t="shared" si="15"/>
        <v>水</v>
      </c>
      <c r="CF19" s="41" t="s">
        <v>1015</v>
      </c>
      <c r="CG19" s="48">
        <v>0.375</v>
      </c>
      <c r="CH19" s="48">
        <v>0.75</v>
      </c>
      <c r="CI19" s="49">
        <v>0.5</v>
      </c>
      <c r="CJ19" s="49">
        <v>0.54166666666666663</v>
      </c>
      <c r="CK19" s="44" t="str">
        <f t="shared" si="16"/>
        <v>8h</v>
      </c>
      <c r="CL19" s="50">
        <v>0.375</v>
      </c>
      <c r="CM19" s="50">
        <v>0.75</v>
      </c>
      <c r="CN19" s="50">
        <v>0.5</v>
      </c>
      <c r="CO19" s="50">
        <v>0.54166666666666663</v>
      </c>
      <c r="CP19" s="46" t="str">
        <f t="shared" si="17"/>
        <v>8h</v>
      </c>
      <c r="CQ19" s="47"/>
      <c r="CS19" s="22"/>
      <c r="CT19" s="40">
        <f t="shared" si="42"/>
        <v>46213</v>
      </c>
      <c r="CU19" s="41" t="str">
        <f t="shared" si="18"/>
        <v>金</v>
      </c>
      <c r="CV19" s="41" t="s">
        <v>1015</v>
      </c>
      <c r="CW19" s="48">
        <v>0.375</v>
      </c>
      <c r="CX19" s="48">
        <v>0.75</v>
      </c>
      <c r="CY19" s="49">
        <v>0.5</v>
      </c>
      <c r="CZ19" s="49">
        <v>0.54166666666666663</v>
      </c>
      <c r="DA19" s="44" t="str">
        <f t="shared" si="19"/>
        <v>8h</v>
      </c>
      <c r="DB19" s="50">
        <v>0.375</v>
      </c>
      <c r="DC19" s="50">
        <v>0.75</v>
      </c>
      <c r="DD19" s="50">
        <v>0.5</v>
      </c>
      <c r="DE19" s="50">
        <v>0.54166666666666663</v>
      </c>
      <c r="DF19" s="46" t="str">
        <f t="shared" si="20"/>
        <v>8h</v>
      </c>
      <c r="DG19" s="47"/>
      <c r="DI19" s="22"/>
      <c r="DJ19" s="40">
        <f t="shared" si="43"/>
        <v>46244</v>
      </c>
      <c r="DK19" s="41" t="str">
        <f t="shared" si="21"/>
        <v>月</v>
      </c>
      <c r="DL19" s="41" t="s">
        <v>1015</v>
      </c>
      <c r="DM19" s="48">
        <v>0.375</v>
      </c>
      <c r="DN19" s="48">
        <v>0.75</v>
      </c>
      <c r="DO19" s="49">
        <v>0.5</v>
      </c>
      <c r="DP19" s="49">
        <v>0.54166666666666663</v>
      </c>
      <c r="DQ19" s="44" t="str">
        <f t="shared" si="22"/>
        <v>8h</v>
      </c>
      <c r="DR19" s="50">
        <v>0.375</v>
      </c>
      <c r="DS19" s="50">
        <v>0.75</v>
      </c>
      <c r="DT19" s="50">
        <v>0.5</v>
      </c>
      <c r="DU19" s="50">
        <v>0.54166666666666663</v>
      </c>
      <c r="DV19" s="46" t="str">
        <f t="shared" si="23"/>
        <v>8h</v>
      </c>
      <c r="DW19" s="47"/>
      <c r="DY19" s="22"/>
      <c r="DZ19" s="40">
        <f t="shared" si="44"/>
        <v>46275</v>
      </c>
      <c r="EA19" s="41" t="str">
        <f t="shared" si="24"/>
        <v>木</v>
      </c>
      <c r="EB19" s="41" t="s">
        <v>1015</v>
      </c>
      <c r="EC19" s="48">
        <v>0.375</v>
      </c>
      <c r="ED19" s="48">
        <v>0.75</v>
      </c>
      <c r="EE19" s="49">
        <v>0.5</v>
      </c>
      <c r="EF19" s="49">
        <v>0.54166666666666663</v>
      </c>
      <c r="EG19" s="44" t="str">
        <f t="shared" si="25"/>
        <v>8h</v>
      </c>
      <c r="EH19" s="50">
        <v>0.375</v>
      </c>
      <c r="EI19" s="50">
        <v>0.75</v>
      </c>
      <c r="EJ19" s="50">
        <v>0.5</v>
      </c>
      <c r="EK19" s="50">
        <v>0.54166666666666663</v>
      </c>
      <c r="EL19" s="46" t="str">
        <f t="shared" si="26"/>
        <v>8h</v>
      </c>
      <c r="EM19" s="47"/>
      <c r="EO19" s="22"/>
      <c r="EP19" s="40">
        <f t="shared" si="45"/>
        <v>46305</v>
      </c>
      <c r="EQ19" s="41" t="str">
        <f t="shared" si="27"/>
        <v>土</v>
      </c>
      <c r="ER19" s="41"/>
      <c r="ES19" s="42"/>
      <c r="ET19" s="42"/>
      <c r="EU19" s="43"/>
      <c r="EV19" s="43"/>
      <c r="EW19" s="44" t="str">
        <f t="shared" si="28"/>
        <v/>
      </c>
      <c r="EX19" s="45"/>
      <c r="EY19" s="45"/>
      <c r="EZ19" s="45"/>
      <c r="FA19" s="45"/>
      <c r="FB19" s="46" t="str">
        <f t="shared" si="29"/>
        <v/>
      </c>
      <c r="FC19" s="47"/>
      <c r="FE19" s="22"/>
      <c r="FF19" s="40">
        <f t="shared" si="46"/>
        <v>46336</v>
      </c>
      <c r="FG19" s="41" t="str">
        <f t="shared" si="30"/>
        <v>火</v>
      </c>
      <c r="FH19" s="41" t="s">
        <v>1015</v>
      </c>
      <c r="FI19" s="48">
        <v>0.375</v>
      </c>
      <c r="FJ19" s="48">
        <v>0.75</v>
      </c>
      <c r="FK19" s="49">
        <v>0.5</v>
      </c>
      <c r="FL19" s="49">
        <v>0.54166666666666663</v>
      </c>
      <c r="FM19" s="44" t="str">
        <f t="shared" si="31"/>
        <v>8h</v>
      </c>
      <c r="FN19" s="50">
        <v>0.375</v>
      </c>
      <c r="FO19" s="50">
        <v>0.75</v>
      </c>
      <c r="FP19" s="50">
        <v>0.5</v>
      </c>
      <c r="FQ19" s="50">
        <v>0.54166666666666663</v>
      </c>
      <c r="FR19" s="46" t="str">
        <f t="shared" si="32"/>
        <v>8h</v>
      </c>
      <c r="FS19" s="47"/>
      <c r="FU19" s="22"/>
      <c r="FV19" s="40">
        <f t="shared" si="47"/>
        <v>46366</v>
      </c>
      <c r="FW19" s="41" t="str">
        <f t="shared" si="33"/>
        <v>木</v>
      </c>
      <c r="FX19" s="41" t="s">
        <v>1015</v>
      </c>
      <c r="FY19" s="48">
        <v>0.375</v>
      </c>
      <c r="FZ19" s="48">
        <v>0.75</v>
      </c>
      <c r="GA19" s="49">
        <v>0.5</v>
      </c>
      <c r="GB19" s="49">
        <v>0.54166666666666663</v>
      </c>
      <c r="GC19" s="44" t="str">
        <f t="shared" si="34"/>
        <v>8h</v>
      </c>
      <c r="GD19" s="50">
        <v>0.375</v>
      </c>
      <c r="GE19" s="50">
        <v>0.75</v>
      </c>
      <c r="GF19" s="50">
        <v>0.5</v>
      </c>
      <c r="GG19" s="50">
        <v>0.54166666666666663</v>
      </c>
      <c r="GH19" s="46" t="str">
        <f t="shared" si="35"/>
        <v>8h</v>
      </c>
      <c r="GI19" s="47"/>
    </row>
    <row r="20" spans="1:191" x14ac:dyDescent="0.45">
      <c r="A20" s="22"/>
      <c r="B20" s="40">
        <f t="shared" si="36"/>
        <v>46033</v>
      </c>
      <c r="C20" s="41" t="str">
        <f t="shared" si="0"/>
        <v>日</v>
      </c>
      <c r="D20" s="41"/>
      <c r="E20" s="42"/>
      <c r="F20" s="42"/>
      <c r="G20" s="43"/>
      <c r="H20" s="43"/>
      <c r="I20" s="44" t="str">
        <f t="shared" si="1"/>
        <v/>
      </c>
      <c r="J20" s="45"/>
      <c r="K20" s="45"/>
      <c r="L20" s="45"/>
      <c r="M20" s="45"/>
      <c r="N20" s="46" t="str">
        <f t="shared" si="2"/>
        <v/>
      </c>
      <c r="O20" s="47"/>
      <c r="Q20" s="22"/>
      <c r="R20" s="40">
        <f t="shared" si="37"/>
        <v>46064</v>
      </c>
      <c r="S20" s="41" t="str">
        <f t="shared" si="3"/>
        <v>水</v>
      </c>
      <c r="T20" s="41" t="s">
        <v>1016</v>
      </c>
      <c r="U20" s="42"/>
      <c r="V20" s="42"/>
      <c r="W20" s="43"/>
      <c r="X20" s="43"/>
      <c r="Y20" s="44" t="str">
        <f t="shared" si="4"/>
        <v/>
      </c>
      <c r="Z20" s="45"/>
      <c r="AA20" s="45"/>
      <c r="AB20" s="45"/>
      <c r="AC20" s="45"/>
      <c r="AD20" s="46" t="str">
        <f t="shared" si="5"/>
        <v/>
      </c>
      <c r="AE20" s="47"/>
      <c r="AG20" s="22"/>
      <c r="AH20" s="40">
        <f t="shared" si="38"/>
        <v>46092</v>
      </c>
      <c r="AI20" s="41" t="str">
        <f t="shared" si="6"/>
        <v>水</v>
      </c>
      <c r="AJ20" s="41" t="s">
        <v>1015</v>
      </c>
      <c r="AK20" s="48">
        <v>0.375</v>
      </c>
      <c r="AL20" s="48">
        <v>0.75</v>
      </c>
      <c r="AM20" s="49">
        <v>0.5</v>
      </c>
      <c r="AN20" s="49">
        <v>0.54166666666666663</v>
      </c>
      <c r="AO20" s="44" t="str">
        <f t="shared" si="7"/>
        <v>8h</v>
      </c>
      <c r="AP20" s="50">
        <v>0.375</v>
      </c>
      <c r="AQ20" s="50">
        <v>0.75</v>
      </c>
      <c r="AR20" s="50">
        <v>0.5</v>
      </c>
      <c r="AS20" s="50">
        <v>0.54166666666666663</v>
      </c>
      <c r="AT20" s="46" t="str">
        <f t="shared" si="8"/>
        <v>8h</v>
      </c>
      <c r="AU20" s="47"/>
      <c r="AW20" s="22"/>
      <c r="AX20" s="40">
        <f t="shared" si="39"/>
        <v>46123</v>
      </c>
      <c r="AY20" s="41" t="str">
        <f t="shared" si="9"/>
        <v>土</v>
      </c>
      <c r="AZ20" s="41"/>
      <c r="BA20" s="42"/>
      <c r="BB20" s="42"/>
      <c r="BC20" s="43"/>
      <c r="BD20" s="43"/>
      <c r="BE20" s="44" t="str">
        <f t="shared" si="10"/>
        <v/>
      </c>
      <c r="BF20" s="45"/>
      <c r="BG20" s="45"/>
      <c r="BH20" s="45"/>
      <c r="BI20" s="45"/>
      <c r="BJ20" s="46" t="str">
        <f t="shared" si="11"/>
        <v/>
      </c>
      <c r="BK20" s="47"/>
      <c r="BM20" s="22"/>
      <c r="BN20" s="40">
        <f t="shared" si="40"/>
        <v>46153</v>
      </c>
      <c r="BO20" s="41" t="str">
        <f t="shared" si="12"/>
        <v>月</v>
      </c>
      <c r="BP20" s="41" t="s">
        <v>1015</v>
      </c>
      <c r="BQ20" s="48">
        <v>0.375</v>
      </c>
      <c r="BR20" s="48">
        <v>0.75</v>
      </c>
      <c r="BS20" s="49">
        <v>0.5</v>
      </c>
      <c r="BT20" s="49">
        <v>0.54166666666666663</v>
      </c>
      <c r="BU20" s="44" t="str">
        <f t="shared" si="13"/>
        <v>8h</v>
      </c>
      <c r="BV20" s="50">
        <v>0.375</v>
      </c>
      <c r="BW20" s="50">
        <v>0.75</v>
      </c>
      <c r="BX20" s="50">
        <v>0.5</v>
      </c>
      <c r="BY20" s="50">
        <v>0.54166666666666663</v>
      </c>
      <c r="BZ20" s="46" t="str">
        <f t="shared" si="14"/>
        <v>8h</v>
      </c>
      <c r="CA20" s="47"/>
      <c r="CC20" s="22"/>
      <c r="CD20" s="40">
        <f t="shared" si="41"/>
        <v>46184</v>
      </c>
      <c r="CE20" s="41" t="str">
        <f t="shared" si="15"/>
        <v>木</v>
      </c>
      <c r="CF20" s="41" t="s">
        <v>1015</v>
      </c>
      <c r="CG20" s="48">
        <v>0.375</v>
      </c>
      <c r="CH20" s="48">
        <v>0.75</v>
      </c>
      <c r="CI20" s="49">
        <v>0.5</v>
      </c>
      <c r="CJ20" s="49">
        <v>0.54166666666666663</v>
      </c>
      <c r="CK20" s="44" t="str">
        <f t="shared" si="16"/>
        <v>8h</v>
      </c>
      <c r="CL20" s="50">
        <v>0.375</v>
      </c>
      <c r="CM20" s="50">
        <v>0.75</v>
      </c>
      <c r="CN20" s="50">
        <v>0.5</v>
      </c>
      <c r="CO20" s="50">
        <v>0.54166666666666663</v>
      </c>
      <c r="CP20" s="46" t="str">
        <f t="shared" si="17"/>
        <v>8h</v>
      </c>
      <c r="CQ20" s="47"/>
      <c r="CS20" s="22"/>
      <c r="CT20" s="40">
        <f t="shared" si="42"/>
        <v>46214</v>
      </c>
      <c r="CU20" s="41" t="str">
        <f t="shared" si="18"/>
        <v>土</v>
      </c>
      <c r="CV20" s="41"/>
      <c r="CW20" s="42"/>
      <c r="CX20" s="42"/>
      <c r="CY20" s="43"/>
      <c r="CZ20" s="43"/>
      <c r="DA20" s="44" t="str">
        <f t="shared" si="19"/>
        <v/>
      </c>
      <c r="DB20" s="45"/>
      <c r="DC20" s="45"/>
      <c r="DD20" s="45"/>
      <c r="DE20" s="45"/>
      <c r="DF20" s="46" t="str">
        <f t="shared" si="20"/>
        <v/>
      </c>
      <c r="DG20" s="47"/>
      <c r="DI20" s="22"/>
      <c r="DJ20" s="40">
        <f t="shared" si="43"/>
        <v>46245</v>
      </c>
      <c r="DK20" s="41" t="str">
        <f t="shared" si="21"/>
        <v>火</v>
      </c>
      <c r="DL20" s="41" t="s">
        <v>1016</v>
      </c>
      <c r="DM20" s="42"/>
      <c r="DN20" s="42"/>
      <c r="DO20" s="43"/>
      <c r="DP20" s="43"/>
      <c r="DQ20" s="44" t="str">
        <f t="shared" si="22"/>
        <v/>
      </c>
      <c r="DR20" s="45"/>
      <c r="DS20" s="45"/>
      <c r="DT20" s="45"/>
      <c r="DU20" s="45"/>
      <c r="DV20" s="46" t="str">
        <f t="shared" si="23"/>
        <v/>
      </c>
      <c r="DW20" s="47"/>
      <c r="DY20" s="22"/>
      <c r="DZ20" s="40">
        <f t="shared" si="44"/>
        <v>46276</v>
      </c>
      <c r="EA20" s="41" t="str">
        <f t="shared" si="24"/>
        <v>金</v>
      </c>
      <c r="EB20" s="41" t="s">
        <v>1015</v>
      </c>
      <c r="EC20" s="48">
        <v>0.375</v>
      </c>
      <c r="ED20" s="48">
        <v>0.75</v>
      </c>
      <c r="EE20" s="49">
        <v>0.5</v>
      </c>
      <c r="EF20" s="49">
        <v>0.54166666666666663</v>
      </c>
      <c r="EG20" s="44" t="str">
        <f t="shared" si="25"/>
        <v>8h</v>
      </c>
      <c r="EH20" s="50">
        <v>0.375</v>
      </c>
      <c r="EI20" s="50">
        <v>0.75</v>
      </c>
      <c r="EJ20" s="50">
        <v>0.5</v>
      </c>
      <c r="EK20" s="50">
        <v>0.54166666666666663</v>
      </c>
      <c r="EL20" s="46" t="str">
        <f t="shared" si="26"/>
        <v>8h</v>
      </c>
      <c r="EM20" s="47"/>
      <c r="EO20" s="22"/>
      <c r="EP20" s="40">
        <f t="shared" si="45"/>
        <v>46306</v>
      </c>
      <c r="EQ20" s="41" t="str">
        <f t="shared" si="27"/>
        <v>日</v>
      </c>
      <c r="ER20" s="41"/>
      <c r="ES20" s="42"/>
      <c r="ET20" s="42"/>
      <c r="EU20" s="43"/>
      <c r="EV20" s="43"/>
      <c r="EW20" s="44" t="str">
        <f t="shared" si="28"/>
        <v/>
      </c>
      <c r="EX20" s="45"/>
      <c r="EY20" s="45"/>
      <c r="EZ20" s="45"/>
      <c r="FA20" s="45"/>
      <c r="FB20" s="46" t="str">
        <f t="shared" si="29"/>
        <v/>
      </c>
      <c r="FC20" s="47"/>
      <c r="FE20" s="22"/>
      <c r="FF20" s="40">
        <f t="shared" si="46"/>
        <v>46337</v>
      </c>
      <c r="FG20" s="41" t="str">
        <f t="shared" si="30"/>
        <v>水</v>
      </c>
      <c r="FH20" s="41" t="s">
        <v>1015</v>
      </c>
      <c r="FI20" s="48">
        <v>0.375</v>
      </c>
      <c r="FJ20" s="48">
        <v>0.75</v>
      </c>
      <c r="FK20" s="49">
        <v>0.5</v>
      </c>
      <c r="FL20" s="49">
        <v>0.54166666666666663</v>
      </c>
      <c r="FM20" s="44" t="str">
        <f t="shared" si="31"/>
        <v>8h</v>
      </c>
      <c r="FN20" s="50">
        <v>0.375</v>
      </c>
      <c r="FO20" s="50">
        <v>0.75</v>
      </c>
      <c r="FP20" s="50">
        <v>0.5</v>
      </c>
      <c r="FQ20" s="50">
        <v>0.54166666666666663</v>
      </c>
      <c r="FR20" s="46" t="str">
        <f t="shared" si="32"/>
        <v>8h</v>
      </c>
      <c r="FS20" s="47"/>
      <c r="FU20" s="22"/>
      <c r="FV20" s="40">
        <f t="shared" si="47"/>
        <v>46367</v>
      </c>
      <c r="FW20" s="41" t="str">
        <f t="shared" si="33"/>
        <v>金</v>
      </c>
      <c r="FX20" s="41" t="s">
        <v>1015</v>
      </c>
      <c r="FY20" s="48">
        <v>0.375</v>
      </c>
      <c r="FZ20" s="48">
        <v>0.75</v>
      </c>
      <c r="GA20" s="49">
        <v>0.5</v>
      </c>
      <c r="GB20" s="49">
        <v>0.54166666666666663</v>
      </c>
      <c r="GC20" s="44" t="str">
        <f t="shared" si="34"/>
        <v>8h</v>
      </c>
      <c r="GD20" s="50">
        <v>0.375</v>
      </c>
      <c r="GE20" s="50">
        <v>0.75</v>
      </c>
      <c r="GF20" s="50">
        <v>0.5</v>
      </c>
      <c r="GG20" s="50">
        <v>0.54166666666666663</v>
      </c>
      <c r="GH20" s="46" t="str">
        <f t="shared" si="35"/>
        <v>8h</v>
      </c>
      <c r="GI20" s="47"/>
    </row>
    <row r="21" spans="1:191" x14ac:dyDescent="0.45">
      <c r="A21" s="22"/>
      <c r="B21" s="40">
        <f t="shared" si="36"/>
        <v>46034</v>
      </c>
      <c r="C21" s="41" t="str">
        <f t="shared" si="0"/>
        <v>月</v>
      </c>
      <c r="D21" s="41" t="s">
        <v>1016</v>
      </c>
      <c r="E21" s="42"/>
      <c r="F21" s="42"/>
      <c r="G21" s="43"/>
      <c r="H21" s="43"/>
      <c r="I21" s="44" t="str">
        <f t="shared" si="1"/>
        <v/>
      </c>
      <c r="J21" s="45"/>
      <c r="K21" s="45"/>
      <c r="L21" s="45"/>
      <c r="M21" s="45"/>
      <c r="N21" s="46" t="str">
        <f t="shared" si="2"/>
        <v/>
      </c>
      <c r="O21" s="47"/>
      <c r="Q21" s="22"/>
      <c r="R21" s="40">
        <f t="shared" si="37"/>
        <v>46065</v>
      </c>
      <c r="S21" s="41" t="str">
        <f t="shared" si="3"/>
        <v>木</v>
      </c>
      <c r="T21" s="41" t="s">
        <v>1015</v>
      </c>
      <c r="U21" s="48">
        <v>0.375</v>
      </c>
      <c r="V21" s="48">
        <v>0.75</v>
      </c>
      <c r="W21" s="49">
        <v>0.5</v>
      </c>
      <c r="X21" s="49">
        <v>0.54166666666666663</v>
      </c>
      <c r="Y21" s="44" t="str">
        <f t="shared" si="4"/>
        <v>8h</v>
      </c>
      <c r="Z21" s="50">
        <v>0.375</v>
      </c>
      <c r="AA21" s="50">
        <v>0.75</v>
      </c>
      <c r="AB21" s="50">
        <v>0.5</v>
      </c>
      <c r="AC21" s="50">
        <v>0.54166666666666663</v>
      </c>
      <c r="AD21" s="46" t="str">
        <f t="shared" si="5"/>
        <v>8h</v>
      </c>
      <c r="AE21" s="47"/>
      <c r="AG21" s="22"/>
      <c r="AH21" s="40">
        <f t="shared" si="38"/>
        <v>46093</v>
      </c>
      <c r="AI21" s="41" t="str">
        <f t="shared" si="6"/>
        <v>木</v>
      </c>
      <c r="AJ21" s="41" t="s">
        <v>1015</v>
      </c>
      <c r="AK21" s="48">
        <v>0.375</v>
      </c>
      <c r="AL21" s="48">
        <v>0.75</v>
      </c>
      <c r="AM21" s="49">
        <v>0.5</v>
      </c>
      <c r="AN21" s="49">
        <v>0.54166666666666663</v>
      </c>
      <c r="AO21" s="44" t="str">
        <f t="shared" si="7"/>
        <v>8h</v>
      </c>
      <c r="AP21" s="50">
        <v>0.375</v>
      </c>
      <c r="AQ21" s="50">
        <v>0.75</v>
      </c>
      <c r="AR21" s="50">
        <v>0.5</v>
      </c>
      <c r="AS21" s="50">
        <v>0.54166666666666663</v>
      </c>
      <c r="AT21" s="46" t="str">
        <f t="shared" si="8"/>
        <v>8h</v>
      </c>
      <c r="AU21" s="47"/>
      <c r="AW21" s="22"/>
      <c r="AX21" s="40">
        <f t="shared" si="39"/>
        <v>46124</v>
      </c>
      <c r="AY21" s="41" t="str">
        <f t="shared" si="9"/>
        <v>日</v>
      </c>
      <c r="AZ21" s="41"/>
      <c r="BA21" s="42"/>
      <c r="BB21" s="42"/>
      <c r="BC21" s="43"/>
      <c r="BD21" s="43"/>
      <c r="BE21" s="44" t="str">
        <f t="shared" si="10"/>
        <v/>
      </c>
      <c r="BF21" s="45"/>
      <c r="BG21" s="45"/>
      <c r="BH21" s="45"/>
      <c r="BI21" s="45"/>
      <c r="BJ21" s="46" t="str">
        <f t="shared" si="11"/>
        <v/>
      </c>
      <c r="BK21" s="47"/>
      <c r="BM21" s="22"/>
      <c r="BN21" s="40">
        <f t="shared" si="40"/>
        <v>46154</v>
      </c>
      <c r="BO21" s="41" t="str">
        <f t="shared" si="12"/>
        <v>火</v>
      </c>
      <c r="BP21" s="41" t="s">
        <v>1015</v>
      </c>
      <c r="BQ21" s="48">
        <v>0.375</v>
      </c>
      <c r="BR21" s="48">
        <v>0.75</v>
      </c>
      <c r="BS21" s="49">
        <v>0.5</v>
      </c>
      <c r="BT21" s="49">
        <v>0.54166666666666663</v>
      </c>
      <c r="BU21" s="44" t="str">
        <f t="shared" si="13"/>
        <v>8h</v>
      </c>
      <c r="BV21" s="50">
        <v>0.375</v>
      </c>
      <c r="BW21" s="50">
        <v>0.75</v>
      </c>
      <c r="BX21" s="50">
        <v>0.5</v>
      </c>
      <c r="BY21" s="50">
        <v>0.54166666666666663</v>
      </c>
      <c r="BZ21" s="46" t="str">
        <f t="shared" si="14"/>
        <v>8h</v>
      </c>
      <c r="CA21" s="47"/>
      <c r="CC21" s="22"/>
      <c r="CD21" s="40">
        <f t="shared" si="41"/>
        <v>46185</v>
      </c>
      <c r="CE21" s="41" t="str">
        <f t="shared" si="15"/>
        <v>金</v>
      </c>
      <c r="CF21" s="41" t="s">
        <v>1015</v>
      </c>
      <c r="CG21" s="48">
        <v>0.375</v>
      </c>
      <c r="CH21" s="48">
        <v>0.75</v>
      </c>
      <c r="CI21" s="49">
        <v>0.5</v>
      </c>
      <c r="CJ21" s="49">
        <v>0.54166666666666663</v>
      </c>
      <c r="CK21" s="44" t="str">
        <f t="shared" si="16"/>
        <v>8h</v>
      </c>
      <c r="CL21" s="50">
        <v>0.375</v>
      </c>
      <c r="CM21" s="50">
        <v>0.75</v>
      </c>
      <c r="CN21" s="50">
        <v>0.5</v>
      </c>
      <c r="CO21" s="50">
        <v>0.54166666666666663</v>
      </c>
      <c r="CP21" s="46" t="str">
        <f t="shared" si="17"/>
        <v>8h</v>
      </c>
      <c r="CQ21" s="47"/>
      <c r="CS21" s="22"/>
      <c r="CT21" s="40">
        <f t="shared" si="42"/>
        <v>46215</v>
      </c>
      <c r="CU21" s="41" t="str">
        <f t="shared" si="18"/>
        <v>日</v>
      </c>
      <c r="CV21" s="41"/>
      <c r="CW21" s="42"/>
      <c r="CX21" s="42"/>
      <c r="CY21" s="43"/>
      <c r="CZ21" s="43"/>
      <c r="DA21" s="44" t="str">
        <f t="shared" si="19"/>
        <v/>
      </c>
      <c r="DB21" s="45"/>
      <c r="DC21" s="45"/>
      <c r="DD21" s="45"/>
      <c r="DE21" s="45"/>
      <c r="DF21" s="46" t="str">
        <f t="shared" si="20"/>
        <v/>
      </c>
      <c r="DG21" s="47"/>
      <c r="DI21" s="22"/>
      <c r="DJ21" s="40">
        <f t="shared" si="43"/>
        <v>46246</v>
      </c>
      <c r="DK21" s="41" t="str">
        <f t="shared" si="21"/>
        <v>水</v>
      </c>
      <c r="DL21" s="41" t="s">
        <v>1015</v>
      </c>
      <c r="DM21" s="48">
        <v>0.375</v>
      </c>
      <c r="DN21" s="48">
        <v>0.75</v>
      </c>
      <c r="DO21" s="49">
        <v>0.5</v>
      </c>
      <c r="DP21" s="49">
        <v>0.54166666666666663</v>
      </c>
      <c r="DQ21" s="44" t="str">
        <f t="shared" si="22"/>
        <v>8h</v>
      </c>
      <c r="DR21" s="50">
        <v>0.375</v>
      </c>
      <c r="DS21" s="50">
        <v>0.75</v>
      </c>
      <c r="DT21" s="50">
        <v>0.5</v>
      </c>
      <c r="DU21" s="50">
        <v>0.54166666666666663</v>
      </c>
      <c r="DV21" s="46" t="str">
        <f t="shared" si="23"/>
        <v>8h</v>
      </c>
      <c r="DW21" s="47"/>
      <c r="DY21" s="22"/>
      <c r="DZ21" s="40">
        <f t="shared" si="44"/>
        <v>46277</v>
      </c>
      <c r="EA21" s="41" t="str">
        <f t="shared" si="24"/>
        <v>土</v>
      </c>
      <c r="EB21" s="41"/>
      <c r="EC21" s="42"/>
      <c r="ED21" s="42"/>
      <c r="EE21" s="43"/>
      <c r="EF21" s="43"/>
      <c r="EG21" s="44" t="str">
        <f t="shared" si="25"/>
        <v/>
      </c>
      <c r="EH21" s="45"/>
      <c r="EI21" s="45"/>
      <c r="EJ21" s="45"/>
      <c r="EK21" s="45"/>
      <c r="EL21" s="46" t="str">
        <f t="shared" si="26"/>
        <v/>
      </c>
      <c r="EM21" s="47"/>
      <c r="EO21" s="22"/>
      <c r="EP21" s="40">
        <f t="shared" si="45"/>
        <v>46307</v>
      </c>
      <c r="EQ21" s="41" t="str">
        <f t="shared" si="27"/>
        <v>月</v>
      </c>
      <c r="ER21" s="41" t="s">
        <v>1016</v>
      </c>
      <c r="ES21" s="42"/>
      <c r="ET21" s="42"/>
      <c r="EU21" s="43"/>
      <c r="EV21" s="43"/>
      <c r="EW21" s="44" t="str">
        <f t="shared" si="28"/>
        <v/>
      </c>
      <c r="EX21" s="45"/>
      <c r="EY21" s="45"/>
      <c r="EZ21" s="45"/>
      <c r="FA21" s="45"/>
      <c r="FB21" s="46" t="str">
        <f t="shared" si="29"/>
        <v/>
      </c>
      <c r="FC21" s="47"/>
      <c r="FE21" s="22"/>
      <c r="FF21" s="40">
        <f t="shared" si="46"/>
        <v>46338</v>
      </c>
      <c r="FG21" s="41" t="str">
        <f t="shared" si="30"/>
        <v>木</v>
      </c>
      <c r="FH21" s="41" t="s">
        <v>1015</v>
      </c>
      <c r="FI21" s="48">
        <v>0.375</v>
      </c>
      <c r="FJ21" s="48">
        <v>0.75</v>
      </c>
      <c r="FK21" s="49">
        <v>0.5</v>
      </c>
      <c r="FL21" s="49">
        <v>0.54166666666666663</v>
      </c>
      <c r="FM21" s="44" t="str">
        <f t="shared" si="31"/>
        <v>8h</v>
      </c>
      <c r="FN21" s="50">
        <v>0.375</v>
      </c>
      <c r="FO21" s="50">
        <v>0.75</v>
      </c>
      <c r="FP21" s="50">
        <v>0.5</v>
      </c>
      <c r="FQ21" s="50">
        <v>0.54166666666666663</v>
      </c>
      <c r="FR21" s="46" t="str">
        <f t="shared" si="32"/>
        <v>8h</v>
      </c>
      <c r="FS21" s="47"/>
      <c r="FU21" s="22"/>
      <c r="FV21" s="40">
        <f t="shared" si="47"/>
        <v>46368</v>
      </c>
      <c r="FW21" s="41" t="str">
        <f t="shared" si="33"/>
        <v>土</v>
      </c>
      <c r="FX21" s="41"/>
      <c r="FY21" s="42"/>
      <c r="FZ21" s="42"/>
      <c r="GA21" s="43"/>
      <c r="GB21" s="43"/>
      <c r="GC21" s="44" t="str">
        <f t="shared" si="34"/>
        <v/>
      </c>
      <c r="GD21" s="45"/>
      <c r="GE21" s="45"/>
      <c r="GF21" s="45"/>
      <c r="GG21" s="45"/>
      <c r="GH21" s="46" t="str">
        <f t="shared" si="35"/>
        <v/>
      </c>
      <c r="GI21" s="47"/>
    </row>
    <row r="22" spans="1:191" x14ac:dyDescent="0.45">
      <c r="A22" s="22"/>
      <c r="B22" s="40">
        <f t="shared" si="36"/>
        <v>46035</v>
      </c>
      <c r="C22" s="41" t="str">
        <f t="shared" si="0"/>
        <v>火</v>
      </c>
      <c r="D22" s="41" t="s">
        <v>1015</v>
      </c>
      <c r="E22" s="48">
        <v>0.375</v>
      </c>
      <c r="F22" s="48">
        <v>0.75</v>
      </c>
      <c r="G22" s="49">
        <v>0.5</v>
      </c>
      <c r="H22" s="49">
        <v>0.54166666666666663</v>
      </c>
      <c r="I22" s="44" t="str">
        <f t="shared" si="1"/>
        <v>8h</v>
      </c>
      <c r="J22" s="50">
        <v>0.375</v>
      </c>
      <c r="K22" s="50">
        <v>0.75</v>
      </c>
      <c r="L22" s="50">
        <v>0.5</v>
      </c>
      <c r="M22" s="50">
        <v>0.54166666666666663</v>
      </c>
      <c r="N22" s="46" t="str">
        <f t="shared" si="2"/>
        <v>8h</v>
      </c>
      <c r="O22" s="47"/>
      <c r="Q22" s="22"/>
      <c r="R22" s="40">
        <f t="shared" si="37"/>
        <v>46066</v>
      </c>
      <c r="S22" s="41" t="str">
        <f t="shared" si="3"/>
        <v>金</v>
      </c>
      <c r="T22" s="41" t="s">
        <v>1015</v>
      </c>
      <c r="U22" s="48">
        <v>0.375</v>
      </c>
      <c r="V22" s="48">
        <v>0.75</v>
      </c>
      <c r="W22" s="49">
        <v>0.5</v>
      </c>
      <c r="X22" s="49">
        <v>0.54166666666666663</v>
      </c>
      <c r="Y22" s="44" t="str">
        <f t="shared" si="4"/>
        <v>8h</v>
      </c>
      <c r="Z22" s="50">
        <v>0.375</v>
      </c>
      <c r="AA22" s="50">
        <v>0.75</v>
      </c>
      <c r="AB22" s="50">
        <v>0.5</v>
      </c>
      <c r="AC22" s="50">
        <v>0.54166666666666663</v>
      </c>
      <c r="AD22" s="46" t="str">
        <f t="shared" si="5"/>
        <v>8h</v>
      </c>
      <c r="AE22" s="47"/>
      <c r="AG22" s="22"/>
      <c r="AH22" s="40">
        <f t="shared" si="38"/>
        <v>46094</v>
      </c>
      <c r="AI22" s="41" t="str">
        <f t="shared" si="6"/>
        <v>金</v>
      </c>
      <c r="AJ22" s="41" t="s">
        <v>1015</v>
      </c>
      <c r="AK22" s="48">
        <v>0.375</v>
      </c>
      <c r="AL22" s="48">
        <v>0.75</v>
      </c>
      <c r="AM22" s="49">
        <v>0.5</v>
      </c>
      <c r="AN22" s="49">
        <v>0.54166666666666663</v>
      </c>
      <c r="AO22" s="44" t="str">
        <f t="shared" si="7"/>
        <v>8h</v>
      </c>
      <c r="AP22" s="50">
        <v>0.375</v>
      </c>
      <c r="AQ22" s="50">
        <v>0.75</v>
      </c>
      <c r="AR22" s="50">
        <v>0.5</v>
      </c>
      <c r="AS22" s="50">
        <v>0.54166666666666663</v>
      </c>
      <c r="AT22" s="46" t="str">
        <f t="shared" si="8"/>
        <v>8h</v>
      </c>
      <c r="AU22" s="47"/>
      <c r="AW22" s="22"/>
      <c r="AX22" s="40">
        <f t="shared" si="39"/>
        <v>46125</v>
      </c>
      <c r="AY22" s="41" t="str">
        <f t="shared" si="9"/>
        <v>月</v>
      </c>
      <c r="AZ22" s="41" t="s">
        <v>1015</v>
      </c>
      <c r="BA22" s="48">
        <v>0.375</v>
      </c>
      <c r="BB22" s="48">
        <v>0.75</v>
      </c>
      <c r="BC22" s="49">
        <v>0.5</v>
      </c>
      <c r="BD22" s="49">
        <v>0.54166666666666663</v>
      </c>
      <c r="BE22" s="44" t="str">
        <f t="shared" si="10"/>
        <v>8h</v>
      </c>
      <c r="BF22" s="50">
        <v>0.375</v>
      </c>
      <c r="BG22" s="50">
        <v>0.75</v>
      </c>
      <c r="BH22" s="50">
        <v>0.5</v>
      </c>
      <c r="BI22" s="50">
        <v>0.54166666666666663</v>
      </c>
      <c r="BJ22" s="46" t="str">
        <f t="shared" si="11"/>
        <v>8h</v>
      </c>
      <c r="BK22" s="47"/>
      <c r="BM22" s="22"/>
      <c r="BN22" s="40">
        <f t="shared" si="40"/>
        <v>46155</v>
      </c>
      <c r="BO22" s="41" t="str">
        <f t="shared" si="12"/>
        <v>水</v>
      </c>
      <c r="BP22" s="41" t="s">
        <v>1015</v>
      </c>
      <c r="BQ22" s="48">
        <v>0.375</v>
      </c>
      <c r="BR22" s="48">
        <v>0.75</v>
      </c>
      <c r="BS22" s="49">
        <v>0.5</v>
      </c>
      <c r="BT22" s="49">
        <v>0.54166666666666663</v>
      </c>
      <c r="BU22" s="44" t="str">
        <f t="shared" si="13"/>
        <v>8h</v>
      </c>
      <c r="BV22" s="50">
        <v>0.375</v>
      </c>
      <c r="BW22" s="50">
        <v>0.75</v>
      </c>
      <c r="BX22" s="50">
        <v>0.5</v>
      </c>
      <c r="BY22" s="50">
        <v>0.54166666666666663</v>
      </c>
      <c r="BZ22" s="46" t="str">
        <f t="shared" si="14"/>
        <v>8h</v>
      </c>
      <c r="CA22" s="47"/>
      <c r="CC22" s="22"/>
      <c r="CD22" s="40">
        <f t="shared" si="41"/>
        <v>46186</v>
      </c>
      <c r="CE22" s="41" t="str">
        <f t="shared" si="15"/>
        <v>土</v>
      </c>
      <c r="CF22" s="41"/>
      <c r="CG22" s="42"/>
      <c r="CH22" s="42"/>
      <c r="CI22" s="43"/>
      <c r="CJ22" s="43"/>
      <c r="CK22" s="44" t="str">
        <f t="shared" si="16"/>
        <v/>
      </c>
      <c r="CL22" s="45"/>
      <c r="CM22" s="45"/>
      <c r="CN22" s="45"/>
      <c r="CO22" s="45"/>
      <c r="CP22" s="46" t="str">
        <f t="shared" si="17"/>
        <v/>
      </c>
      <c r="CQ22" s="47"/>
      <c r="CS22" s="22"/>
      <c r="CT22" s="40">
        <f t="shared" si="42"/>
        <v>46216</v>
      </c>
      <c r="CU22" s="41" t="str">
        <f t="shared" si="18"/>
        <v>月</v>
      </c>
      <c r="CV22" s="41" t="s">
        <v>1015</v>
      </c>
      <c r="CW22" s="48">
        <v>0.375</v>
      </c>
      <c r="CX22" s="48">
        <v>0.75</v>
      </c>
      <c r="CY22" s="49">
        <v>0.5</v>
      </c>
      <c r="CZ22" s="49">
        <v>0.54166666666666663</v>
      </c>
      <c r="DA22" s="44" t="str">
        <f t="shared" si="19"/>
        <v>8h</v>
      </c>
      <c r="DB22" s="50">
        <v>0.375</v>
      </c>
      <c r="DC22" s="50">
        <v>0.75</v>
      </c>
      <c r="DD22" s="50">
        <v>0.5</v>
      </c>
      <c r="DE22" s="50">
        <v>0.54166666666666663</v>
      </c>
      <c r="DF22" s="46" t="str">
        <f t="shared" si="20"/>
        <v>8h</v>
      </c>
      <c r="DG22" s="47"/>
      <c r="DI22" s="22"/>
      <c r="DJ22" s="40">
        <f t="shared" si="43"/>
        <v>46247</v>
      </c>
      <c r="DK22" s="41" t="str">
        <f t="shared" si="21"/>
        <v>木</v>
      </c>
      <c r="DL22" s="41" t="s">
        <v>1015</v>
      </c>
      <c r="DM22" s="48">
        <v>0.375</v>
      </c>
      <c r="DN22" s="48">
        <v>0.75</v>
      </c>
      <c r="DO22" s="49">
        <v>0.5</v>
      </c>
      <c r="DP22" s="49">
        <v>0.54166666666666663</v>
      </c>
      <c r="DQ22" s="44" t="str">
        <f t="shared" si="22"/>
        <v>8h</v>
      </c>
      <c r="DR22" s="50">
        <v>0.375</v>
      </c>
      <c r="DS22" s="50">
        <v>0.75</v>
      </c>
      <c r="DT22" s="50">
        <v>0.5</v>
      </c>
      <c r="DU22" s="50">
        <v>0.54166666666666663</v>
      </c>
      <c r="DV22" s="46" t="str">
        <f t="shared" si="23"/>
        <v>8h</v>
      </c>
      <c r="DW22" s="47"/>
      <c r="DY22" s="22"/>
      <c r="DZ22" s="40">
        <f t="shared" si="44"/>
        <v>46278</v>
      </c>
      <c r="EA22" s="41" t="str">
        <f t="shared" si="24"/>
        <v>日</v>
      </c>
      <c r="EB22" s="41"/>
      <c r="EC22" s="42"/>
      <c r="ED22" s="42"/>
      <c r="EE22" s="43"/>
      <c r="EF22" s="43"/>
      <c r="EG22" s="44" t="str">
        <f t="shared" si="25"/>
        <v/>
      </c>
      <c r="EH22" s="45"/>
      <c r="EI22" s="45"/>
      <c r="EJ22" s="45"/>
      <c r="EK22" s="45"/>
      <c r="EL22" s="46" t="str">
        <f t="shared" si="26"/>
        <v/>
      </c>
      <c r="EM22" s="47"/>
      <c r="EO22" s="22"/>
      <c r="EP22" s="40">
        <f t="shared" si="45"/>
        <v>46308</v>
      </c>
      <c r="EQ22" s="41" t="str">
        <f t="shared" si="27"/>
        <v>火</v>
      </c>
      <c r="ER22" s="41" t="s">
        <v>1015</v>
      </c>
      <c r="ES22" s="48">
        <v>0.375</v>
      </c>
      <c r="ET22" s="48">
        <v>0.75</v>
      </c>
      <c r="EU22" s="49">
        <v>0.5</v>
      </c>
      <c r="EV22" s="49">
        <v>0.54166666666666663</v>
      </c>
      <c r="EW22" s="44" t="str">
        <f t="shared" si="28"/>
        <v>8h</v>
      </c>
      <c r="EX22" s="50">
        <v>0.375</v>
      </c>
      <c r="EY22" s="50">
        <v>0.75</v>
      </c>
      <c r="EZ22" s="50">
        <v>0.5</v>
      </c>
      <c r="FA22" s="50">
        <v>0.54166666666666663</v>
      </c>
      <c r="FB22" s="46" t="str">
        <f t="shared" si="29"/>
        <v>8h</v>
      </c>
      <c r="FC22" s="47"/>
      <c r="FE22" s="22"/>
      <c r="FF22" s="40">
        <f t="shared" si="46"/>
        <v>46339</v>
      </c>
      <c r="FG22" s="41" t="str">
        <f t="shared" si="30"/>
        <v>金</v>
      </c>
      <c r="FH22" s="41" t="s">
        <v>1015</v>
      </c>
      <c r="FI22" s="48">
        <v>0.375</v>
      </c>
      <c r="FJ22" s="48">
        <v>0.75</v>
      </c>
      <c r="FK22" s="49">
        <v>0.5</v>
      </c>
      <c r="FL22" s="49">
        <v>0.54166666666666663</v>
      </c>
      <c r="FM22" s="44" t="str">
        <f t="shared" si="31"/>
        <v>8h</v>
      </c>
      <c r="FN22" s="50">
        <v>0.375</v>
      </c>
      <c r="FO22" s="50">
        <v>0.75</v>
      </c>
      <c r="FP22" s="50">
        <v>0.5</v>
      </c>
      <c r="FQ22" s="50">
        <v>0.54166666666666663</v>
      </c>
      <c r="FR22" s="46" t="str">
        <f t="shared" si="32"/>
        <v>8h</v>
      </c>
      <c r="FS22" s="47"/>
      <c r="FU22" s="22"/>
      <c r="FV22" s="40">
        <f t="shared" si="47"/>
        <v>46369</v>
      </c>
      <c r="FW22" s="41" t="str">
        <f t="shared" si="33"/>
        <v>日</v>
      </c>
      <c r="FX22" s="41"/>
      <c r="FY22" s="42"/>
      <c r="FZ22" s="42"/>
      <c r="GA22" s="43"/>
      <c r="GB22" s="43"/>
      <c r="GC22" s="44" t="str">
        <f t="shared" si="34"/>
        <v/>
      </c>
      <c r="GD22" s="45"/>
      <c r="GE22" s="45"/>
      <c r="GF22" s="45"/>
      <c r="GG22" s="45"/>
      <c r="GH22" s="46" t="str">
        <f t="shared" si="35"/>
        <v/>
      </c>
      <c r="GI22" s="47"/>
    </row>
    <row r="23" spans="1:191" x14ac:dyDescent="0.45">
      <c r="A23" s="22"/>
      <c r="B23" s="40">
        <f t="shared" si="36"/>
        <v>46036</v>
      </c>
      <c r="C23" s="41" t="str">
        <f t="shared" si="0"/>
        <v>水</v>
      </c>
      <c r="D23" s="41" t="s">
        <v>1015</v>
      </c>
      <c r="E23" s="48">
        <v>0.375</v>
      </c>
      <c r="F23" s="48">
        <v>0.75</v>
      </c>
      <c r="G23" s="49">
        <v>0.5</v>
      </c>
      <c r="H23" s="49">
        <v>0.54166666666666663</v>
      </c>
      <c r="I23" s="44" t="str">
        <f t="shared" si="1"/>
        <v>8h</v>
      </c>
      <c r="J23" s="50">
        <v>0.375</v>
      </c>
      <c r="K23" s="50">
        <v>0.75</v>
      </c>
      <c r="L23" s="50">
        <v>0.5</v>
      </c>
      <c r="M23" s="50">
        <v>0.54166666666666663</v>
      </c>
      <c r="N23" s="46" t="str">
        <f t="shared" si="2"/>
        <v>8h</v>
      </c>
      <c r="O23" s="47"/>
      <c r="Q23" s="22"/>
      <c r="R23" s="40">
        <f t="shared" si="37"/>
        <v>46067</v>
      </c>
      <c r="S23" s="41" t="str">
        <f t="shared" si="3"/>
        <v>土</v>
      </c>
      <c r="T23" s="41"/>
      <c r="U23" s="42"/>
      <c r="V23" s="42"/>
      <c r="W23" s="43"/>
      <c r="X23" s="43"/>
      <c r="Y23" s="44" t="str">
        <f t="shared" si="4"/>
        <v/>
      </c>
      <c r="Z23" s="45"/>
      <c r="AA23" s="45"/>
      <c r="AB23" s="45"/>
      <c r="AC23" s="45"/>
      <c r="AD23" s="46" t="str">
        <f t="shared" si="5"/>
        <v/>
      </c>
      <c r="AE23" s="47"/>
      <c r="AG23" s="22"/>
      <c r="AH23" s="40">
        <f t="shared" si="38"/>
        <v>46095</v>
      </c>
      <c r="AI23" s="41" t="str">
        <f t="shared" si="6"/>
        <v>土</v>
      </c>
      <c r="AJ23" s="41"/>
      <c r="AK23" s="42"/>
      <c r="AL23" s="42"/>
      <c r="AM23" s="43"/>
      <c r="AN23" s="43"/>
      <c r="AO23" s="44" t="str">
        <f t="shared" si="7"/>
        <v/>
      </c>
      <c r="AP23" s="45"/>
      <c r="AQ23" s="45"/>
      <c r="AR23" s="45"/>
      <c r="AS23" s="45"/>
      <c r="AT23" s="46" t="str">
        <f t="shared" si="8"/>
        <v/>
      </c>
      <c r="AU23" s="47"/>
      <c r="AW23" s="22"/>
      <c r="AX23" s="40">
        <f t="shared" si="39"/>
        <v>46126</v>
      </c>
      <c r="AY23" s="41" t="str">
        <f t="shared" si="9"/>
        <v>火</v>
      </c>
      <c r="AZ23" s="41" t="s">
        <v>1015</v>
      </c>
      <c r="BA23" s="48">
        <v>0.375</v>
      </c>
      <c r="BB23" s="48">
        <v>0.75</v>
      </c>
      <c r="BC23" s="49">
        <v>0.5</v>
      </c>
      <c r="BD23" s="49">
        <v>0.54166666666666663</v>
      </c>
      <c r="BE23" s="44" t="str">
        <f t="shared" si="10"/>
        <v>8h</v>
      </c>
      <c r="BF23" s="50">
        <v>0.375</v>
      </c>
      <c r="BG23" s="50">
        <v>0.75</v>
      </c>
      <c r="BH23" s="50">
        <v>0.5</v>
      </c>
      <c r="BI23" s="50">
        <v>0.54166666666666663</v>
      </c>
      <c r="BJ23" s="46" t="str">
        <f t="shared" si="11"/>
        <v>8h</v>
      </c>
      <c r="BK23" s="47"/>
      <c r="BM23" s="22"/>
      <c r="BN23" s="40">
        <f t="shared" si="40"/>
        <v>46156</v>
      </c>
      <c r="BO23" s="41" t="str">
        <f t="shared" si="12"/>
        <v>木</v>
      </c>
      <c r="BP23" s="41" t="s">
        <v>1015</v>
      </c>
      <c r="BQ23" s="48">
        <v>0.375</v>
      </c>
      <c r="BR23" s="48">
        <v>0.75</v>
      </c>
      <c r="BS23" s="49">
        <v>0.5</v>
      </c>
      <c r="BT23" s="49">
        <v>0.54166666666666663</v>
      </c>
      <c r="BU23" s="44" t="str">
        <f t="shared" si="13"/>
        <v>8h</v>
      </c>
      <c r="BV23" s="50">
        <v>0.375</v>
      </c>
      <c r="BW23" s="50">
        <v>0.75</v>
      </c>
      <c r="BX23" s="50">
        <v>0.5</v>
      </c>
      <c r="BY23" s="50">
        <v>0.54166666666666663</v>
      </c>
      <c r="BZ23" s="46" t="str">
        <f t="shared" si="14"/>
        <v>8h</v>
      </c>
      <c r="CA23" s="47"/>
      <c r="CC23" s="22"/>
      <c r="CD23" s="40">
        <f t="shared" si="41"/>
        <v>46187</v>
      </c>
      <c r="CE23" s="41" t="str">
        <f t="shared" si="15"/>
        <v>日</v>
      </c>
      <c r="CF23" s="41"/>
      <c r="CG23" s="42"/>
      <c r="CH23" s="42"/>
      <c r="CI23" s="43"/>
      <c r="CJ23" s="43"/>
      <c r="CK23" s="44" t="str">
        <f t="shared" si="16"/>
        <v/>
      </c>
      <c r="CL23" s="45"/>
      <c r="CM23" s="45"/>
      <c r="CN23" s="45"/>
      <c r="CO23" s="45"/>
      <c r="CP23" s="46" t="str">
        <f t="shared" si="17"/>
        <v/>
      </c>
      <c r="CQ23" s="47"/>
      <c r="CS23" s="22"/>
      <c r="CT23" s="40">
        <f t="shared" si="42"/>
        <v>46217</v>
      </c>
      <c r="CU23" s="41" t="str">
        <f t="shared" si="18"/>
        <v>火</v>
      </c>
      <c r="CV23" s="41" t="s">
        <v>1015</v>
      </c>
      <c r="CW23" s="48">
        <v>0.375</v>
      </c>
      <c r="CX23" s="48">
        <v>0.75</v>
      </c>
      <c r="CY23" s="49">
        <v>0.5</v>
      </c>
      <c r="CZ23" s="49">
        <v>0.54166666666666663</v>
      </c>
      <c r="DA23" s="44" t="str">
        <f t="shared" si="19"/>
        <v>8h</v>
      </c>
      <c r="DB23" s="50">
        <v>0.375</v>
      </c>
      <c r="DC23" s="50">
        <v>0.75</v>
      </c>
      <c r="DD23" s="50">
        <v>0.5</v>
      </c>
      <c r="DE23" s="50">
        <v>0.54166666666666663</v>
      </c>
      <c r="DF23" s="46" t="str">
        <f t="shared" si="20"/>
        <v>8h</v>
      </c>
      <c r="DG23" s="47"/>
      <c r="DI23" s="22"/>
      <c r="DJ23" s="40">
        <f t="shared" si="43"/>
        <v>46248</v>
      </c>
      <c r="DK23" s="41" t="str">
        <f t="shared" si="21"/>
        <v>金</v>
      </c>
      <c r="DL23" s="41" t="s">
        <v>1015</v>
      </c>
      <c r="DM23" s="48">
        <v>0.375</v>
      </c>
      <c r="DN23" s="48">
        <v>0.75</v>
      </c>
      <c r="DO23" s="49">
        <v>0.5</v>
      </c>
      <c r="DP23" s="49">
        <v>0.54166666666666663</v>
      </c>
      <c r="DQ23" s="44" t="str">
        <f t="shared" si="22"/>
        <v>8h</v>
      </c>
      <c r="DR23" s="50">
        <v>0.375</v>
      </c>
      <c r="DS23" s="50">
        <v>0.75</v>
      </c>
      <c r="DT23" s="50">
        <v>0.5</v>
      </c>
      <c r="DU23" s="50">
        <v>0.54166666666666663</v>
      </c>
      <c r="DV23" s="46" t="str">
        <f t="shared" si="23"/>
        <v>8h</v>
      </c>
      <c r="DW23" s="47"/>
      <c r="DY23" s="22"/>
      <c r="DZ23" s="40">
        <f t="shared" si="44"/>
        <v>46279</v>
      </c>
      <c r="EA23" s="41" t="str">
        <f t="shared" si="24"/>
        <v>月</v>
      </c>
      <c r="EB23" s="41" t="s">
        <v>1015</v>
      </c>
      <c r="EC23" s="48">
        <v>0.375</v>
      </c>
      <c r="ED23" s="48">
        <v>0.75</v>
      </c>
      <c r="EE23" s="49">
        <v>0.5</v>
      </c>
      <c r="EF23" s="49">
        <v>0.54166666666666663</v>
      </c>
      <c r="EG23" s="44" t="str">
        <f t="shared" si="25"/>
        <v>8h</v>
      </c>
      <c r="EH23" s="50">
        <v>0.375</v>
      </c>
      <c r="EI23" s="50">
        <v>0.75</v>
      </c>
      <c r="EJ23" s="50">
        <v>0.5</v>
      </c>
      <c r="EK23" s="50">
        <v>0.54166666666666663</v>
      </c>
      <c r="EL23" s="46" t="str">
        <f t="shared" si="26"/>
        <v>8h</v>
      </c>
      <c r="EM23" s="47"/>
      <c r="EO23" s="22"/>
      <c r="EP23" s="40">
        <f t="shared" si="45"/>
        <v>46309</v>
      </c>
      <c r="EQ23" s="41" t="str">
        <f t="shared" si="27"/>
        <v>水</v>
      </c>
      <c r="ER23" s="41" t="s">
        <v>1015</v>
      </c>
      <c r="ES23" s="48">
        <v>0.375</v>
      </c>
      <c r="ET23" s="48">
        <v>0.75</v>
      </c>
      <c r="EU23" s="49">
        <v>0.5</v>
      </c>
      <c r="EV23" s="49">
        <v>0.54166666666666663</v>
      </c>
      <c r="EW23" s="44" t="str">
        <f t="shared" si="28"/>
        <v>8h</v>
      </c>
      <c r="EX23" s="50">
        <v>0.375</v>
      </c>
      <c r="EY23" s="50">
        <v>0.75</v>
      </c>
      <c r="EZ23" s="50">
        <v>0.5</v>
      </c>
      <c r="FA23" s="50">
        <v>0.54166666666666663</v>
      </c>
      <c r="FB23" s="46" t="str">
        <f t="shared" si="29"/>
        <v>8h</v>
      </c>
      <c r="FC23" s="47"/>
      <c r="FE23" s="22"/>
      <c r="FF23" s="40">
        <f t="shared" si="46"/>
        <v>46340</v>
      </c>
      <c r="FG23" s="41" t="str">
        <f t="shared" si="30"/>
        <v>土</v>
      </c>
      <c r="FH23" s="41"/>
      <c r="FI23" s="42"/>
      <c r="FJ23" s="42"/>
      <c r="FK23" s="43"/>
      <c r="FL23" s="43"/>
      <c r="FM23" s="44" t="str">
        <f t="shared" si="31"/>
        <v/>
      </c>
      <c r="FN23" s="45"/>
      <c r="FO23" s="45"/>
      <c r="FP23" s="45"/>
      <c r="FQ23" s="45"/>
      <c r="FR23" s="46" t="str">
        <f t="shared" si="32"/>
        <v/>
      </c>
      <c r="FS23" s="47"/>
      <c r="FU23" s="22"/>
      <c r="FV23" s="40">
        <f t="shared" si="47"/>
        <v>46370</v>
      </c>
      <c r="FW23" s="41" t="str">
        <f t="shared" si="33"/>
        <v>月</v>
      </c>
      <c r="FX23" s="41" t="s">
        <v>1015</v>
      </c>
      <c r="FY23" s="48">
        <v>0.375</v>
      </c>
      <c r="FZ23" s="48">
        <v>0.75</v>
      </c>
      <c r="GA23" s="49">
        <v>0.5</v>
      </c>
      <c r="GB23" s="49">
        <v>0.54166666666666663</v>
      </c>
      <c r="GC23" s="44" t="str">
        <f t="shared" si="34"/>
        <v>8h</v>
      </c>
      <c r="GD23" s="50">
        <v>0.375</v>
      </c>
      <c r="GE23" s="50">
        <v>0.75</v>
      </c>
      <c r="GF23" s="50">
        <v>0.5</v>
      </c>
      <c r="GG23" s="50">
        <v>0.54166666666666663</v>
      </c>
      <c r="GH23" s="46" t="str">
        <f t="shared" si="35"/>
        <v>8h</v>
      </c>
      <c r="GI23" s="47"/>
    </row>
    <row r="24" spans="1:191" x14ac:dyDescent="0.45">
      <c r="A24" s="22"/>
      <c r="B24" s="40">
        <f t="shared" si="36"/>
        <v>46037</v>
      </c>
      <c r="C24" s="41" t="str">
        <f t="shared" si="0"/>
        <v>木</v>
      </c>
      <c r="D24" s="41" t="s">
        <v>1015</v>
      </c>
      <c r="E24" s="48">
        <v>0.375</v>
      </c>
      <c r="F24" s="48">
        <v>0.75</v>
      </c>
      <c r="G24" s="49">
        <v>0.5</v>
      </c>
      <c r="H24" s="49">
        <v>0.54166666666666663</v>
      </c>
      <c r="I24" s="44" t="str">
        <f t="shared" si="1"/>
        <v>8h</v>
      </c>
      <c r="J24" s="50">
        <v>0.375</v>
      </c>
      <c r="K24" s="50">
        <v>0.75</v>
      </c>
      <c r="L24" s="50">
        <v>0.5</v>
      </c>
      <c r="M24" s="50">
        <v>0.54166666666666663</v>
      </c>
      <c r="N24" s="46" t="str">
        <f t="shared" si="2"/>
        <v>8h</v>
      </c>
      <c r="O24" s="47"/>
      <c r="Q24" s="22"/>
      <c r="R24" s="40">
        <f t="shared" si="37"/>
        <v>46068</v>
      </c>
      <c r="S24" s="41" t="str">
        <f t="shared" si="3"/>
        <v>日</v>
      </c>
      <c r="T24" s="41"/>
      <c r="U24" s="42"/>
      <c r="V24" s="42"/>
      <c r="W24" s="43"/>
      <c r="X24" s="43"/>
      <c r="Y24" s="44" t="str">
        <f t="shared" si="4"/>
        <v/>
      </c>
      <c r="Z24" s="45"/>
      <c r="AA24" s="45"/>
      <c r="AB24" s="45"/>
      <c r="AC24" s="45"/>
      <c r="AD24" s="46" t="str">
        <f t="shared" si="5"/>
        <v/>
      </c>
      <c r="AE24" s="47"/>
      <c r="AG24" s="22"/>
      <c r="AH24" s="40">
        <f t="shared" si="38"/>
        <v>46096</v>
      </c>
      <c r="AI24" s="41" t="str">
        <f t="shared" si="6"/>
        <v>日</v>
      </c>
      <c r="AJ24" s="41"/>
      <c r="AK24" s="42"/>
      <c r="AL24" s="42"/>
      <c r="AM24" s="43"/>
      <c r="AN24" s="43"/>
      <c r="AO24" s="44" t="str">
        <f t="shared" si="7"/>
        <v/>
      </c>
      <c r="AP24" s="45"/>
      <c r="AQ24" s="45"/>
      <c r="AR24" s="45"/>
      <c r="AS24" s="45"/>
      <c r="AT24" s="46" t="str">
        <f t="shared" si="8"/>
        <v/>
      </c>
      <c r="AU24" s="47"/>
      <c r="AW24" s="22"/>
      <c r="AX24" s="40">
        <f t="shared" si="39"/>
        <v>46127</v>
      </c>
      <c r="AY24" s="41" t="str">
        <f t="shared" si="9"/>
        <v>水</v>
      </c>
      <c r="AZ24" s="41" t="s">
        <v>1015</v>
      </c>
      <c r="BA24" s="48">
        <v>0.375</v>
      </c>
      <c r="BB24" s="48">
        <v>0.75</v>
      </c>
      <c r="BC24" s="49">
        <v>0.5</v>
      </c>
      <c r="BD24" s="49">
        <v>0.54166666666666663</v>
      </c>
      <c r="BE24" s="44" t="str">
        <f t="shared" si="10"/>
        <v>8h</v>
      </c>
      <c r="BF24" s="50">
        <v>0.375</v>
      </c>
      <c r="BG24" s="50">
        <v>0.75</v>
      </c>
      <c r="BH24" s="50">
        <v>0.5</v>
      </c>
      <c r="BI24" s="50">
        <v>0.54166666666666663</v>
      </c>
      <c r="BJ24" s="46" t="str">
        <f t="shared" si="11"/>
        <v>8h</v>
      </c>
      <c r="BK24" s="47"/>
      <c r="BM24" s="22"/>
      <c r="BN24" s="40">
        <f t="shared" si="40"/>
        <v>46157</v>
      </c>
      <c r="BO24" s="41" t="str">
        <f t="shared" si="12"/>
        <v>金</v>
      </c>
      <c r="BP24" s="41" t="s">
        <v>1015</v>
      </c>
      <c r="BQ24" s="48">
        <v>0.375</v>
      </c>
      <c r="BR24" s="48">
        <v>0.75</v>
      </c>
      <c r="BS24" s="49">
        <v>0.5</v>
      </c>
      <c r="BT24" s="49">
        <v>0.54166666666666663</v>
      </c>
      <c r="BU24" s="44" t="str">
        <f t="shared" si="13"/>
        <v>8h</v>
      </c>
      <c r="BV24" s="50">
        <v>0.375</v>
      </c>
      <c r="BW24" s="50">
        <v>0.75</v>
      </c>
      <c r="BX24" s="50">
        <v>0.5</v>
      </c>
      <c r="BY24" s="50">
        <v>0.54166666666666663</v>
      </c>
      <c r="BZ24" s="46" t="str">
        <f t="shared" si="14"/>
        <v>8h</v>
      </c>
      <c r="CA24" s="47"/>
      <c r="CC24" s="22"/>
      <c r="CD24" s="40">
        <f t="shared" si="41"/>
        <v>46188</v>
      </c>
      <c r="CE24" s="41" t="str">
        <f t="shared" si="15"/>
        <v>月</v>
      </c>
      <c r="CF24" s="41" t="s">
        <v>1015</v>
      </c>
      <c r="CG24" s="48">
        <v>0.375</v>
      </c>
      <c r="CH24" s="48">
        <v>0.75</v>
      </c>
      <c r="CI24" s="49">
        <v>0.5</v>
      </c>
      <c r="CJ24" s="49">
        <v>0.54166666666666663</v>
      </c>
      <c r="CK24" s="44" t="str">
        <f t="shared" si="16"/>
        <v>8h</v>
      </c>
      <c r="CL24" s="50">
        <v>0.375</v>
      </c>
      <c r="CM24" s="50">
        <v>0.75</v>
      </c>
      <c r="CN24" s="50">
        <v>0.5</v>
      </c>
      <c r="CO24" s="50">
        <v>0.54166666666666663</v>
      </c>
      <c r="CP24" s="46" t="str">
        <f t="shared" si="17"/>
        <v>8h</v>
      </c>
      <c r="CQ24" s="47"/>
      <c r="CS24" s="22"/>
      <c r="CT24" s="40">
        <f t="shared" si="42"/>
        <v>46218</v>
      </c>
      <c r="CU24" s="41" t="str">
        <f t="shared" si="18"/>
        <v>水</v>
      </c>
      <c r="CV24" s="41" t="s">
        <v>1015</v>
      </c>
      <c r="CW24" s="48">
        <v>0.375</v>
      </c>
      <c r="CX24" s="48">
        <v>0.75</v>
      </c>
      <c r="CY24" s="49">
        <v>0.5</v>
      </c>
      <c r="CZ24" s="49">
        <v>0.54166666666666663</v>
      </c>
      <c r="DA24" s="44" t="str">
        <f t="shared" si="19"/>
        <v>8h</v>
      </c>
      <c r="DB24" s="50">
        <v>0.375</v>
      </c>
      <c r="DC24" s="50">
        <v>0.75</v>
      </c>
      <c r="DD24" s="50">
        <v>0.5</v>
      </c>
      <c r="DE24" s="50">
        <v>0.54166666666666663</v>
      </c>
      <c r="DF24" s="46" t="str">
        <f t="shared" si="20"/>
        <v>8h</v>
      </c>
      <c r="DG24" s="47"/>
      <c r="DI24" s="22"/>
      <c r="DJ24" s="40">
        <f t="shared" si="43"/>
        <v>46249</v>
      </c>
      <c r="DK24" s="41" t="str">
        <f t="shared" si="21"/>
        <v>土</v>
      </c>
      <c r="DL24" s="41"/>
      <c r="DM24" s="42"/>
      <c r="DN24" s="42"/>
      <c r="DO24" s="43"/>
      <c r="DP24" s="43"/>
      <c r="DQ24" s="44" t="str">
        <f t="shared" si="22"/>
        <v/>
      </c>
      <c r="DR24" s="45"/>
      <c r="DS24" s="45"/>
      <c r="DT24" s="45"/>
      <c r="DU24" s="45"/>
      <c r="DV24" s="46" t="str">
        <f t="shared" si="23"/>
        <v/>
      </c>
      <c r="DW24" s="47"/>
      <c r="DY24" s="22"/>
      <c r="DZ24" s="40">
        <f t="shared" si="44"/>
        <v>46280</v>
      </c>
      <c r="EA24" s="41" t="str">
        <f t="shared" si="24"/>
        <v>火</v>
      </c>
      <c r="EB24" s="41" t="s">
        <v>1015</v>
      </c>
      <c r="EC24" s="48">
        <v>0.375</v>
      </c>
      <c r="ED24" s="48">
        <v>0.75</v>
      </c>
      <c r="EE24" s="49">
        <v>0.5</v>
      </c>
      <c r="EF24" s="49">
        <v>0.54166666666666663</v>
      </c>
      <c r="EG24" s="44" t="str">
        <f t="shared" si="25"/>
        <v>8h</v>
      </c>
      <c r="EH24" s="50">
        <v>0.375</v>
      </c>
      <c r="EI24" s="50">
        <v>0.75</v>
      </c>
      <c r="EJ24" s="50">
        <v>0.5</v>
      </c>
      <c r="EK24" s="50">
        <v>0.54166666666666663</v>
      </c>
      <c r="EL24" s="46" t="str">
        <f t="shared" si="26"/>
        <v>8h</v>
      </c>
      <c r="EM24" s="47"/>
      <c r="EO24" s="22"/>
      <c r="EP24" s="40">
        <f t="shared" si="45"/>
        <v>46310</v>
      </c>
      <c r="EQ24" s="41" t="str">
        <f t="shared" si="27"/>
        <v>木</v>
      </c>
      <c r="ER24" s="41" t="s">
        <v>1015</v>
      </c>
      <c r="ES24" s="48">
        <v>0.375</v>
      </c>
      <c r="ET24" s="48">
        <v>0.75</v>
      </c>
      <c r="EU24" s="49">
        <v>0.5</v>
      </c>
      <c r="EV24" s="49">
        <v>0.54166666666666663</v>
      </c>
      <c r="EW24" s="44" t="str">
        <f t="shared" si="28"/>
        <v>8h</v>
      </c>
      <c r="EX24" s="50">
        <v>0.375</v>
      </c>
      <c r="EY24" s="50">
        <v>0.75</v>
      </c>
      <c r="EZ24" s="50">
        <v>0.5</v>
      </c>
      <c r="FA24" s="50">
        <v>0.54166666666666663</v>
      </c>
      <c r="FB24" s="46" t="str">
        <f t="shared" si="29"/>
        <v>8h</v>
      </c>
      <c r="FC24" s="47"/>
      <c r="FE24" s="22"/>
      <c r="FF24" s="40">
        <f t="shared" si="46"/>
        <v>46341</v>
      </c>
      <c r="FG24" s="41" t="str">
        <f t="shared" si="30"/>
        <v>日</v>
      </c>
      <c r="FH24" s="41"/>
      <c r="FI24" s="42"/>
      <c r="FJ24" s="42"/>
      <c r="FK24" s="43"/>
      <c r="FL24" s="43"/>
      <c r="FM24" s="44" t="str">
        <f t="shared" si="31"/>
        <v/>
      </c>
      <c r="FN24" s="45"/>
      <c r="FO24" s="45"/>
      <c r="FP24" s="45"/>
      <c r="FQ24" s="45"/>
      <c r="FR24" s="46" t="str">
        <f t="shared" si="32"/>
        <v/>
      </c>
      <c r="FS24" s="47"/>
      <c r="FU24" s="22"/>
      <c r="FV24" s="40">
        <f t="shared" si="47"/>
        <v>46371</v>
      </c>
      <c r="FW24" s="41" t="str">
        <f t="shared" si="33"/>
        <v>火</v>
      </c>
      <c r="FX24" s="41" t="s">
        <v>1015</v>
      </c>
      <c r="FY24" s="48">
        <v>0.375</v>
      </c>
      <c r="FZ24" s="48">
        <v>0.75</v>
      </c>
      <c r="GA24" s="49">
        <v>0.5</v>
      </c>
      <c r="GB24" s="49">
        <v>0.54166666666666663</v>
      </c>
      <c r="GC24" s="44" t="str">
        <f t="shared" si="34"/>
        <v>8h</v>
      </c>
      <c r="GD24" s="50">
        <v>0.375</v>
      </c>
      <c r="GE24" s="50">
        <v>0.75</v>
      </c>
      <c r="GF24" s="50">
        <v>0.5</v>
      </c>
      <c r="GG24" s="50">
        <v>0.54166666666666663</v>
      </c>
      <c r="GH24" s="46" t="str">
        <f t="shared" si="35"/>
        <v>8h</v>
      </c>
      <c r="GI24" s="47"/>
    </row>
    <row r="25" spans="1:191" x14ac:dyDescent="0.45">
      <c r="A25" s="22"/>
      <c r="B25" s="40">
        <f t="shared" si="36"/>
        <v>46038</v>
      </c>
      <c r="C25" s="41" t="str">
        <f t="shared" si="0"/>
        <v>金</v>
      </c>
      <c r="D25" s="41" t="s">
        <v>1015</v>
      </c>
      <c r="E25" s="48">
        <v>0.375</v>
      </c>
      <c r="F25" s="48">
        <v>0.75</v>
      </c>
      <c r="G25" s="49">
        <v>0.5</v>
      </c>
      <c r="H25" s="49">
        <v>0.54166666666666663</v>
      </c>
      <c r="I25" s="44" t="str">
        <f t="shared" si="1"/>
        <v>8h</v>
      </c>
      <c r="J25" s="50">
        <v>0.375</v>
      </c>
      <c r="K25" s="50">
        <v>0.75</v>
      </c>
      <c r="L25" s="50">
        <v>0.5</v>
      </c>
      <c r="M25" s="50">
        <v>0.54166666666666663</v>
      </c>
      <c r="N25" s="46" t="str">
        <f t="shared" si="2"/>
        <v>8h</v>
      </c>
      <c r="O25" s="47"/>
      <c r="Q25" s="22"/>
      <c r="R25" s="40">
        <f t="shared" si="37"/>
        <v>46069</v>
      </c>
      <c r="S25" s="41" t="str">
        <f t="shared" si="3"/>
        <v>月</v>
      </c>
      <c r="T25" s="41" t="s">
        <v>1015</v>
      </c>
      <c r="U25" s="48">
        <v>0.375</v>
      </c>
      <c r="V25" s="48">
        <v>0.75</v>
      </c>
      <c r="W25" s="49">
        <v>0.5</v>
      </c>
      <c r="X25" s="49">
        <v>0.54166666666666663</v>
      </c>
      <c r="Y25" s="44" t="str">
        <f t="shared" si="4"/>
        <v>8h</v>
      </c>
      <c r="Z25" s="50">
        <v>0.375</v>
      </c>
      <c r="AA25" s="50">
        <v>0.75</v>
      </c>
      <c r="AB25" s="50">
        <v>0.5</v>
      </c>
      <c r="AC25" s="50">
        <v>0.54166666666666663</v>
      </c>
      <c r="AD25" s="46" t="str">
        <f t="shared" si="5"/>
        <v>8h</v>
      </c>
      <c r="AE25" s="47"/>
      <c r="AG25" s="22"/>
      <c r="AH25" s="40">
        <f t="shared" si="38"/>
        <v>46097</v>
      </c>
      <c r="AI25" s="41" t="str">
        <f t="shared" si="6"/>
        <v>月</v>
      </c>
      <c r="AJ25" s="41" t="s">
        <v>1015</v>
      </c>
      <c r="AK25" s="48">
        <v>0.375</v>
      </c>
      <c r="AL25" s="48">
        <v>0.75</v>
      </c>
      <c r="AM25" s="49">
        <v>0.5</v>
      </c>
      <c r="AN25" s="49">
        <v>0.54166666666666663</v>
      </c>
      <c r="AO25" s="44" t="str">
        <f t="shared" si="7"/>
        <v>8h</v>
      </c>
      <c r="AP25" s="50">
        <v>0.375</v>
      </c>
      <c r="AQ25" s="50">
        <v>0.75</v>
      </c>
      <c r="AR25" s="50">
        <v>0.5</v>
      </c>
      <c r="AS25" s="50">
        <v>0.54166666666666663</v>
      </c>
      <c r="AT25" s="46" t="str">
        <f t="shared" si="8"/>
        <v>8h</v>
      </c>
      <c r="AU25" s="47"/>
      <c r="AW25" s="22"/>
      <c r="AX25" s="40">
        <f t="shared" si="39"/>
        <v>46128</v>
      </c>
      <c r="AY25" s="41" t="str">
        <f t="shared" si="9"/>
        <v>木</v>
      </c>
      <c r="AZ25" s="41" t="s">
        <v>1015</v>
      </c>
      <c r="BA25" s="48">
        <v>0.375</v>
      </c>
      <c r="BB25" s="48">
        <v>0.75</v>
      </c>
      <c r="BC25" s="49">
        <v>0.5</v>
      </c>
      <c r="BD25" s="49">
        <v>0.54166666666666663</v>
      </c>
      <c r="BE25" s="44" t="str">
        <f t="shared" si="10"/>
        <v>8h</v>
      </c>
      <c r="BF25" s="50">
        <v>0.375</v>
      </c>
      <c r="BG25" s="50">
        <v>0.75</v>
      </c>
      <c r="BH25" s="50">
        <v>0.5</v>
      </c>
      <c r="BI25" s="50">
        <v>0.54166666666666663</v>
      </c>
      <c r="BJ25" s="46" t="str">
        <f t="shared" si="11"/>
        <v>8h</v>
      </c>
      <c r="BK25" s="47"/>
      <c r="BM25" s="22"/>
      <c r="BN25" s="40">
        <f t="shared" si="40"/>
        <v>46158</v>
      </c>
      <c r="BO25" s="41" t="str">
        <f t="shared" si="12"/>
        <v>土</v>
      </c>
      <c r="BP25" s="41"/>
      <c r="BQ25" s="42"/>
      <c r="BR25" s="42"/>
      <c r="BS25" s="43"/>
      <c r="BT25" s="43"/>
      <c r="BU25" s="44" t="str">
        <f t="shared" si="13"/>
        <v/>
      </c>
      <c r="BV25" s="45"/>
      <c r="BW25" s="45"/>
      <c r="BX25" s="45"/>
      <c r="BY25" s="45"/>
      <c r="BZ25" s="46" t="str">
        <f t="shared" si="14"/>
        <v/>
      </c>
      <c r="CA25" s="47"/>
      <c r="CC25" s="22"/>
      <c r="CD25" s="40">
        <f t="shared" si="41"/>
        <v>46189</v>
      </c>
      <c r="CE25" s="41" t="str">
        <f t="shared" si="15"/>
        <v>火</v>
      </c>
      <c r="CF25" s="41" t="s">
        <v>1015</v>
      </c>
      <c r="CG25" s="48">
        <v>0.375</v>
      </c>
      <c r="CH25" s="48">
        <v>0.75</v>
      </c>
      <c r="CI25" s="49">
        <v>0.5</v>
      </c>
      <c r="CJ25" s="49">
        <v>0.54166666666666663</v>
      </c>
      <c r="CK25" s="44" t="str">
        <f t="shared" si="16"/>
        <v>8h</v>
      </c>
      <c r="CL25" s="50">
        <v>0.375</v>
      </c>
      <c r="CM25" s="50">
        <v>0.75</v>
      </c>
      <c r="CN25" s="50">
        <v>0.5</v>
      </c>
      <c r="CO25" s="50">
        <v>0.54166666666666663</v>
      </c>
      <c r="CP25" s="46" t="str">
        <f t="shared" si="17"/>
        <v>8h</v>
      </c>
      <c r="CQ25" s="47"/>
      <c r="CS25" s="22"/>
      <c r="CT25" s="40">
        <f t="shared" si="42"/>
        <v>46219</v>
      </c>
      <c r="CU25" s="41" t="str">
        <f t="shared" si="18"/>
        <v>木</v>
      </c>
      <c r="CV25" s="41" t="s">
        <v>1015</v>
      </c>
      <c r="CW25" s="48">
        <v>0.375</v>
      </c>
      <c r="CX25" s="48">
        <v>0.75</v>
      </c>
      <c r="CY25" s="49">
        <v>0.5</v>
      </c>
      <c r="CZ25" s="49">
        <v>0.54166666666666663</v>
      </c>
      <c r="DA25" s="44" t="str">
        <f t="shared" si="19"/>
        <v>8h</v>
      </c>
      <c r="DB25" s="50">
        <v>0.375</v>
      </c>
      <c r="DC25" s="50">
        <v>0.75</v>
      </c>
      <c r="DD25" s="50">
        <v>0.5</v>
      </c>
      <c r="DE25" s="50">
        <v>0.54166666666666663</v>
      </c>
      <c r="DF25" s="46" t="str">
        <f t="shared" si="20"/>
        <v>8h</v>
      </c>
      <c r="DG25" s="47"/>
      <c r="DI25" s="22"/>
      <c r="DJ25" s="40">
        <f t="shared" si="43"/>
        <v>46250</v>
      </c>
      <c r="DK25" s="41" t="str">
        <f t="shared" si="21"/>
        <v>日</v>
      </c>
      <c r="DL25" s="41"/>
      <c r="DM25" s="42"/>
      <c r="DN25" s="42"/>
      <c r="DO25" s="43"/>
      <c r="DP25" s="43"/>
      <c r="DQ25" s="44" t="str">
        <f t="shared" si="22"/>
        <v/>
      </c>
      <c r="DR25" s="45"/>
      <c r="DS25" s="45"/>
      <c r="DT25" s="45"/>
      <c r="DU25" s="45"/>
      <c r="DV25" s="46" t="str">
        <f t="shared" si="23"/>
        <v/>
      </c>
      <c r="DW25" s="47"/>
      <c r="DY25" s="22"/>
      <c r="DZ25" s="40">
        <f t="shared" si="44"/>
        <v>46281</v>
      </c>
      <c r="EA25" s="41" t="str">
        <f t="shared" si="24"/>
        <v>水</v>
      </c>
      <c r="EB25" s="41" t="s">
        <v>1015</v>
      </c>
      <c r="EC25" s="48">
        <v>0.375</v>
      </c>
      <c r="ED25" s="48">
        <v>0.75</v>
      </c>
      <c r="EE25" s="49">
        <v>0.5</v>
      </c>
      <c r="EF25" s="49">
        <v>0.54166666666666663</v>
      </c>
      <c r="EG25" s="44" t="str">
        <f t="shared" si="25"/>
        <v>8h</v>
      </c>
      <c r="EH25" s="50">
        <v>0.375</v>
      </c>
      <c r="EI25" s="50">
        <v>0.75</v>
      </c>
      <c r="EJ25" s="50">
        <v>0.5</v>
      </c>
      <c r="EK25" s="50">
        <v>0.54166666666666663</v>
      </c>
      <c r="EL25" s="46" t="str">
        <f t="shared" si="26"/>
        <v>8h</v>
      </c>
      <c r="EM25" s="47"/>
      <c r="EO25" s="22"/>
      <c r="EP25" s="40">
        <f t="shared" si="45"/>
        <v>46311</v>
      </c>
      <c r="EQ25" s="41" t="str">
        <f t="shared" si="27"/>
        <v>金</v>
      </c>
      <c r="ER25" s="41" t="s">
        <v>1015</v>
      </c>
      <c r="ES25" s="48">
        <v>0.375</v>
      </c>
      <c r="ET25" s="48">
        <v>0.75</v>
      </c>
      <c r="EU25" s="49">
        <v>0.5</v>
      </c>
      <c r="EV25" s="49">
        <v>0.54166666666666663</v>
      </c>
      <c r="EW25" s="44" t="str">
        <f t="shared" si="28"/>
        <v>8h</v>
      </c>
      <c r="EX25" s="50">
        <v>0.375</v>
      </c>
      <c r="EY25" s="50">
        <v>0.75</v>
      </c>
      <c r="EZ25" s="50">
        <v>0.5</v>
      </c>
      <c r="FA25" s="50">
        <v>0.54166666666666663</v>
      </c>
      <c r="FB25" s="46" t="str">
        <f t="shared" si="29"/>
        <v>8h</v>
      </c>
      <c r="FC25" s="47"/>
      <c r="FE25" s="22"/>
      <c r="FF25" s="40">
        <f t="shared" si="46"/>
        <v>46342</v>
      </c>
      <c r="FG25" s="41" t="str">
        <f t="shared" si="30"/>
        <v>月</v>
      </c>
      <c r="FH25" s="41" t="s">
        <v>1015</v>
      </c>
      <c r="FI25" s="48">
        <v>0.375</v>
      </c>
      <c r="FJ25" s="48">
        <v>0.75</v>
      </c>
      <c r="FK25" s="49">
        <v>0.5</v>
      </c>
      <c r="FL25" s="49">
        <v>0.54166666666666663</v>
      </c>
      <c r="FM25" s="44" t="str">
        <f t="shared" si="31"/>
        <v>8h</v>
      </c>
      <c r="FN25" s="50">
        <v>0.375</v>
      </c>
      <c r="FO25" s="50">
        <v>0.75</v>
      </c>
      <c r="FP25" s="50">
        <v>0.5</v>
      </c>
      <c r="FQ25" s="50">
        <v>0.54166666666666663</v>
      </c>
      <c r="FR25" s="46" t="str">
        <f t="shared" si="32"/>
        <v>8h</v>
      </c>
      <c r="FS25" s="47"/>
      <c r="FU25" s="22"/>
      <c r="FV25" s="40">
        <f t="shared" si="47"/>
        <v>46372</v>
      </c>
      <c r="FW25" s="41" t="str">
        <f t="shared" si="33"/>
        <v>水</v>
      </c>
      <c r="FX25" s="41" t="s">
        <v>1015</v>
      </c>
      <c r="FY25" s="48">
        <v>0.375</v>
      </c>
      <c r="FZ25" s="48">
        <v>0.75</v>
      </c>
      <c r="GA25" s="49">
        <v>0.5</v>
      </c>
      <c r="GB25" s="49">
        <v>0.54166666666666663</v>
      </c>
      <c r="GC25" s="44" t="str">
        <f t="shared" si="34"/>
        <v>8h</v>
      </c>
      <c r="GD25" s="50">
        <v>0.375</v>
      </c>
      <c r="GE25" s="50">
        <v>0.75</v>
      </c>
      <c r="GF25" s="50">
        <v>0.5</v>
      </c>
      <c r="GG25" s="50">
        <v>0.54166666666666663</v>
      </c>
      <c r="GH25" s="46" t="str">
        <f t="shared" si="35"/>
        <v>8h</v>
      </c>
      <c r="GI25" s="47"/>
    </row>
    <row r="26" spans="1:191" x14ac:dyDescent="0.45">
      <c r="A26" s="22"/>
      <c r="B26" s="40">
        <f t="shared" si="36"/>
        <v>46039</v>
      </c>
      <c r="C26" s="41" t="str">
        <f t="shared" si="0"/>
        <v>土</v>
      </c>
      <c r="D26" s="41"/>
      <c r="E26" s="42"/>
      <c r="F26" s="42"/>
      <c r="G26" s="43"/>
      <c r="H26" s="43"/>
      <c r="I26" s="44" t="str">
        <f t="shared" si="1"/>
        <v/>
      </c>
      <c r="J26" s="45"/>
      <c r="K26" s="45"/>
      <c r="L26" s="45"/>
      <c r="M26" s="45"/>
      <c r="N26" s="46" t="str">
        <f t="shared" si="2"/>
        <v/>
      </c>
      <c r="O26" s="47"/>
      <c r="Q26" s="22"/>
      <c r="R26" s="40">
        <f t="shared" si="37"/>
        <v>46070</v>
      </c>
      <c r="S26" s="41" t="str">
        <f t="shared" si="3"/>
        <v>火</v>
      </c>
      <c r="T26" s="41" t="s">
        <v>1015</v>
      </c>
      <c r="U26" s="48">
        <v>0.375</v>
      </c>
      <c r="V26" s="48">
        <v>0.75</v>
      </c>
      <c r="W26" s="49">
        <v>0.5</v>
      </c>
      <c r="X26" s="49">
        <v>0.54166666666666663</v>
      </c>
      <c r="Y26" s="44" t="str">
        <f t="shared" si="4"/>
        <v>8h</v>
      </c>
      <c r="Z26" s="50">
        <v>0.375</v>
      </c>
      <c r="AA26" s="50">
        <v>0.75</v>
      </c>
      <c r="AB26" s="50">
        <v>0.5</v>
      </c>
      <c r="AC26" s="50">
        <v>0.54166666666666663</v>
      </c>
      <c r="AD26" s="46" t="str">
        <f t="shared" si="5"/>
        <v>8h</v>
      </c>
      <c r="AE26" s="47"/>
      <c r="AG26" s="22"/>
      <c r="AH26" s="40">
        <f t="shared" si="38"/>
        <v>46098</v>
      </c>
      <c r="AI26" s="41" t="str">
        <f t="shared" si="6"/>
        <v>火</v>
      </c>
      <c r="AJ26" s="41" t="s">
        <v>1015</v>
      </c>
      <c r="AK26" s="48">
        <v>0.375</v>
      </c>
      <c r="AL26" s="48">
        <v>0.75</v>
      </c>
      <c r="AM26" s="49">
        <v>0.5</v>
      </c>
      <c r="AN26" s="49">
        <v>0.54166666666666663</v>
      </c>
      <c r="AO26" s="44" t="str">
        <f t="shared" si="7"/>
        <v>8h</v>
      </c>
      <c r="AP26" s="50">
        <v>0.375</v>
      </c>
      <c r="AQ26" s="50">
        <v>0.75</v>
      </c>
      <c r="AR26" s="50">
        <v>0.5</v>
      </c>
      <c r="AS26" s="50">
        <v>0.54166666666666663</v>
      </c>
      <c r="AT26" s="46" t="str">
        <f t="shared" si="8"/>
        <v>8h</v>
      </c>
      <c r="AU26" s="47"/>
      <c r="AW26" s="22"/>
      <c r="AX26" s="40">
        <f t="shared" si="39"/>
        <v>46129</v>
      </c>
      <c r="AY26" s="41" t="str">
        <f t="shared" si="9"/>
        <v>金</v>
      </c>
      <c r="AZ26" s="41" t="s">
        <v>1015</v>
      </c>
      <c r="BA26" s="48">
        <v>0.375</v>
      </c>
      <c r="BB26" s="48">
        <v>0.75</v>
      </c>
      <c r="BC26" s="49">
        <v>0.5</v>
      </c>
      <c r="BD26" s="49">
        <v>0.54166666666666663</v>
      </c>
      <c r="BE26" s="44" t="str">
        <f t="shared" si="10"/>
        <v>8h</v>
      </c>
      <c r="BF26" s="50">
        <v>0.375</v>
      </c>
      <c r="BG26" s="50">
        <v>0.75</v>
      </c>
      <c r="BH26" s="50">
        <v>0.5</v>
      </c>
      <c r="BI26" s="50">
        <v>0.54166666666666663</v>
      </c>
      <c r="BJ26" s="46" t="str">
        <f t="shared" si="11"/>
        <v>8h</v>
      </c>
      <c r="BK26" s="47"/>
      <c r="BM26" s="22"/>
      <c r="BN26" s="40">
        <f t="shared" si="40"/>
        <v>46159</v>
      </c>
      <c r="BO26" s="41" t="str">
        <f t="shared" si="12"/>
        <v>日</v>
      </c>
      <c r="BP26" s="41"/>
      <c r="BQ26" s="42"/>
      <c r="BR26" s="42"/>
      <c r="BS26" s="43"/>
      <c r="BT26" s="43"/>
      <c r="BU26" s="44" t="str">
        <f t="shared" si="13"/>
        <v/>
      </c>
      <c r="BV26" s="45"/>
      <c r="BW26" s="45"/>
      <c r="BX26" s="45"/>
      <c r="BY26" s="45"/>
      <c r="BZ26" s="46" t="str">
        <f t="shared" si="14"/>
        <v/>
      </c>
      <c r="CA26" s="47"/>
      <c r="CC26" s="22"/>
      <c r="CD26" s="40">
        <f t="shared" si="41"/>
        <v>46190</v>
      </c>
      <c r="CE26" s="41" t="str">
        <f t="shared" si="15"/>
        <v>水</v>
      </c>
      <c r="CF26" s="41" t="s">
        <v>1015</v>
      </c>
      <c r="CG26" s="48">
        <v>0.375</v>
      </c>
      <c r="CH26" s="48">
        <v>0.75</v>
      </c>
      <c r="CI26" s="49">
        <v>0.5</v>
      </c>
      <c r="CJ26" s="49">
        <v>0.54166666666666663</v>
      </c>
      <c r="CK26" s="44" t="str">
        <f t="shared" si="16"/>
        <v>8h</v>
      </c>
      <c r="CL26" s="50">
        <v>0.375</v>
      </c>
      <c r="CM26" s="50">
        <v>0.75</v>
      </c>
      <c r="CN26" s="50">
        <v>0.5</v>
      </c>
      <c r="CO26" s="50">
        <v>0.54166666666666663</v>
      </c>
      <c r="CP26" s="46" t="str">
        <f t="shared" si="17"/>
        <v>8h</v>
      </c>
      <c r="CQ26" s="47"/>
      <c r="CS26" s="22"/>
      <c r="CT26" s="40">
        <f t="shared" si="42"/>
        <v>46220</v>
      </c>
      <c r="CU26" s="41" t="str">
        <f t="shared" si="18"/>
        <v>金</v>
      </c>
      <c r="CV26" s="41" t="s">
        <v>1015</v>
      </c>
      <c r="CW26" s="48">
        <v>0.375</v>
      </c>
      <c r="CX26" s="48">
        <v>0.75</v>
      </c>
      <c r="CY26" s="49">
        <v>0.5</v>
      </c>
      <c r="CZ26" s="49">
        <v>0.54166666666666663</v>
      </c>
      <c r="DA26" s="44" t="str">
        <f t="shared" si="19"/>
        <v>8h</v>
      </c>
      <c r="DB26" s="50">
        <v>0.375</v>
      </c>
      <c r="DC26" s="50">
        <v>0.75</v>
      </c>
      <c r="DD26" s="50">
        <v>0.5</v>
      </c>
      <c r="DE26" s="50">
        <v>0.54166666666666663</v>
      </c>
      <c r="DF26" s="46" t="str">
        <f t="shared" si="20"/>
        <v>8h</v>
      </c>
      <c r="DG26" s="47"/>
      <c r="DI26" s="22"/>
      <c r="DJ26" s="40">
        <f t="shared" si="43"/>
        <v>46251</v>
      </c>
      <c r="DK26" s="41" t="str">
        <f t="shared" si="21"/>
        <v>月</v>
      </c>
      <c r="DL26" s="41" t="s">
        <v>1015</v>
      </c>
      <c r="DM26" s="48">
        <v>0.375</v>
      </c>
      <c r="DN26" s="48">
        <v>0.75</v>
      </c>
      <c r="DO26" s="49">
        <v>0.5</v>
      </c>
      <c r="DP26" s="49">
        <v>0.54166666666666663</v>
      </c>
      <c r="DQ26" s="44" t="str">
        <f t="shared" si="22"/>
        <v>8h</v>
      </c>
      <c r="DR26" s="50">
        <v>0.375</v>
      </c>
      <c r="DS26" s="50">
        <v>0.75</v>
      </c>
      <c r="DT26" s="50">
        <v>0.5</v>
      </c>
      <c r="DU26" s="50">
        <v>0.54166666666666663</v>
      </c>
      <c r="DV26" s="46" t="str">
        <f t="shared" si="23"/>
        <v>8h</v>
      </c>
      <c r="DW26" s="47"/>
      <c r="DY26" s="22"/>
      <c r="DZ26" s="40">
        <f t="shared" si="44"/>
        <v>46282</v>
      </c>
      <c r="EA26" s="41" t="str">
        <f t="shared" si="24"/>
        <v>木</v>
      </c>
      <c r="EB26" s="41" t="s">
        <v>1015</v>
      </c>
      <c r="EC26" s="48">
        <v>0.375</v>
      </c>
      <c r="ED26" s="48">
        <v>0.75</v>
      </c>
      <c r="EE26" s="49">
        <v>0.5</v>
      </c>
      <c r="EF26" s="49">
        <v>0.54166666666666663</v>
      </c>
      <c r="EG26" s="44" t="str">
        <f t="shared" si="25"/>
        <v>8h</v>
      </c>
      <c r="EH26" s="50">
        <v>0.375</v>
      </c>
      <c r="EI26" s="50">
        <v>0.75</v>
      </c>
      <c r="EJ26" s="50">
        <v>0.5</v>
      </c>
      <c r="EK26" s="50">
        <v>0.54166666666666663</v>
      </c>
      <c r="EL26" s="46" t="str">
        <f t="shared" si="26"/>
        <v>8h</v>
      </c>
      <c r="EM26" s="47"/>
      <c r="EO26" s="22"/>
      <c r="EP26" s="40">
        <f t="shared" si="45"/>
        <v>46312</v>
      </c>
      <c r="EQ26" s="41" t="str">
        <f t="shared" si="27"/>
        <v>土</v>
      </c>
      <c r="ER26" s="41"/>
      <c r="ES26" s="42"/>
      <c r="ET26" s="42"/>
      <c r="EU26" s="43"/>
      <c r="EV26" s="43"/>
      <c r="EW26" s="44" t="str">
        <f t="shared" si="28"/>
        <v/>
      </c>
      <c r="EX26" s="45"/>
      <c r="EY26" s="45"/>
      <c r="EZ26" s="45"/>
      <c r="FA26" s="45"/>
      <c r="FB26" s="46" t="str">
        <f t="shared" si="29"/>
        <v/>
      </c>
      <c r="FC26" s="47"/>
      <c r="FE26" s="22"/>
      <c r="FF26" s="40">
        <f t="shared" si="46"/>
        <v>46343</v>
      </c>
      <c r="FG26" s="41" t="str">
        <f t="shared" si="30"/>
        <v>火</v>
      </c>
      <c r="FH26" s="41" t="s">
        <v>1015</v>
      </c>
      <c r="FI26" s="48">
        <v>0.375</v>
      </c>
      <c r="FJ26" s="48">
        <v>0.75</v>
      </c>
      <c r="FK26" s="49">
        <v>0.5</v>
      </c>
      <c r="FL26" s="49">
        <v>0.54166666666666663</v>
      </c>
      <c r="FM26" s="44" t="str">
        <f t="shared" si="31"/>
        <v>8h</v>
      </c>
      <c r="FN26" s="50">
        <v>0.375</v>
      </c>
      <c r="FO26" s="50">
        <v>0.75</v>
      </c>
      <c r="FP26" s="50">
        <v>0.5</v>
      </c>
      <c r="FQ26" s="50">
        <v>0.54166666666666663</v>
      </c>
      <c r="FR26" s="46" t="str">
        <f t="shared" si="32"/>
        <v>8h</v>
      </c>
      <c r="FS26" s="47"/>
      <c r="FU26" s="22"/>
      <c r="FV26" s="40">
        <f t="shared" si="47"/>
        <v>46373</v>
      </c>
      <c r="FW26" s="41" t="str">
        <f t="shared" si="33"/>
        <v>木</v>
      </c>
      <c r="FX26" s="41" t="s">
        <v>1015</v>
      </c>
      <c r="FY26" s="48">
        <v>0.375</v>
      </c>
      <c r="FZ26" s="48">
        <v>0.75</v>
      </c>
      <c r="GA26" s="49">
        <v>0.5</v>
      </c>
      <c r="GB26" s="49">
        <v>0.54166666666666663</v>
      </c>
      <c r="GC26" s="44" t="str">
        <f t="shared" si="34"/>
        <v>8h</v>
      </c>
      <c r="GD26" s="50">
        <v>0.375</v>
      </c>
      <c r="GE26" s="50">
        <v>0.75</v>
      </c>
      <c r="GF26" s="50">
        <v>0.5</v>
      </c>
      <c r="GG26" s="50">
        <v>0.54166666666666663</v>
      </c>
      <c r="GH26" s="46" t="str">
        <f t="shared" si="35"/>
        <v>8h</v>
      </c>
      <c r="GI26" s="47"/>
    </row>
    <row r="27" spans="1:191" x14ac:dyDescent="0.45">
      <c r="A27" s="22"/>
      <c r="B27" s="40">
        <f t="shared" si="36"/>
        <v>46040</v>
      </c>
      <c r="C27" s="41" t="str">
        <f t="shared" si="0"/>
        <v>日</v>
      </c>
      <c r="D27" s="41"/>
      <c r="E27" s="42"/>
      <c r="F27" s="42"/>
      <c r="G27" s="43"/>
      <c r="H27" s="43"/>
      <c r="I27" s="44" t="str">
        <f t="shared" si="1"/>
        <v/>
      </c>
      <c r="J27" s="45"/>
      <c r="K27" s="45"/>
      <c r="L27" s="45"/>
      <c r="M27" s="45"/>
      <c r="N27" s="46" t="str">
        <f t="shared" si="2"/>
        <v/>
      </c>
      <c r="O27" s="47"/>
      <c r="Q27" s="22"/>
      <c r="R27" s="40">
        <f t="shared" si="37"/>
        <v>46071</v>
      </c>
      <c r="S27" s="41" t="str">
        <f t="shared" si="3"/>
        <v>水</v>
      </c>
      <c r="T27" s="41" t="s">
        <v>1015</v>
      </c>
      <c r="U27" s="48">
        <v>0.375</v>
      </c>
      <c r="V27" s="48">
        <v>0.75</v>
      </c>
      <c r="W27" s="49">
        <v>0.5</v>
      </c>
      <c r="X27" s="49">
        <v>0.54166666666666663</v>
      </c>
      <c r="Y27" s="44" t="str">
        <f t="shared" si="4"/>
        <v>8h</v>
      </c>
      <c r="Z27" s="50">
        <v>0.375</v>
      </c>
      <c r="AA27" s="50">
        <v>0.75</v>
      </c>
      <c r="AB27" s="50">
        <v>0.5</v>
      </c>
      <c r="AC27" s="50">
        <v>0.54166666666666663</v>
      </c>
      <c r="AD27" s="46" t="str">
        <f t="shared" si="5"/>
        <v>8h</v>
      </c>
      <c r="AE27" s="47"/>
      <c r="AG27" s="22"/>
      <c r="AH27" s="40">
        <f t="shared" si="38"/>
        <v>46099</v>
      </c>
      <c r="AI27" s="41" t="str">
        <f t="shared" si="6"/>
        <v>水</v>
      </c>
      <c r="AJ27" s="41" t="s">
        <v>1015</v>
      </c>
      <c r="AK27" s="48">
        <v>0.375</v>
      </c>
      <c r="AL27" s="48">
        <v>0.75</v>
      </c>
      <c r="AM27" s="49">
        <v>0.5</v>
      </c>
      <c r="AN27" s="49">
        <v>0.54166666666666663</v>
      </c>
      <c r="AO27" s="44" t="str">
        <f t="shared" si="7"/>
        <v>8h</v>
      </c>
      <c r="AP27" s="50">
        <v>0.375</v>
      </c>
      <c r="AQ27" s="50">
        <v>0.75</v>
      </c>
      <c r="AR27" s="50">
        <v>0.5</v>
      </c>
      <c r="AS27" s="50">
        <v>0.54166666666666663</v>
      </c>
      <c r="AT27" s="46" t="str">
        <f t="shared" si="8"/>
        <v>8h</v>
      </c>
      <c r="AU27" s="47"/>
      <c r="AW27" s="22"/>
      <c r="AX27" s="40">
        <f t="shared" si="39"/>
        <v>46130</v>
      </c>
      <c r="AY27" s="41" t="str">
        <f t="shared" si="9"/>
        <v>土</v>
      </c>
      <c r="AZ27" s="41"/>
      <c r="BA27" s="42"/>
      <c r="BB27" s="42"/>
      <c r="BC27" s="43"/>
      <c r="BD27" s="43"/>
      <c r="BE27" s="44" t="str">
        <f t="shared" si="10"/>
        <v/>
      </c>
      <c r="BF27" s="45"/>
      <c r="BG27" s="45"/>
      <c r="BH27" s="45"/>
      <c r="BI27" s="45"/>
      <c r="BJ27" s="46" t="str">
        <f t="shared" si="11"/>
        <v/>
      </c>
      <c r="BK27" s="47"/>
      <c r="BM27" s="22"/>
      <c r="BN27" s="40">
        <f t="shared" si="40"/>
        <v>46160</v>
      </c>
      <c r="BO27" s="41" t="str">
        <f t="shared" si="12"/>
        <v>月</v>
      </c>
      <c r="BP27" s="41" t="s">
        <v>1015</v>
      </c>
      <c r="BQ27" s="48">
        <v>0.375</v>
      </c>
      <c r="BR27" s="48">
        <v>0.75</v>
      </c>
      <c r="BS27" s="49">
        <v>0.5</v>
      </c>
      <c r="BT27" s="49">
        <v>0.54166666666666663</v>
      </c>
      <c r="BU27" s="44" t="str">
        <f t="shared" si="13"/>
        <v>8h</v>
      </c>
      <c r="BV27" s="50">
        <v>0.375</v>
      </c>
      <c r="BW27" s="50">
        <v>0.75</v>
      </c>
      <c r="BX27" s="50">
        <v>0.5</v>
      </c>
      <c r="BY27" s="50">
        <v>0.54166666666666663</v>
      </c>
      <c r="BZ27" s="46" t="str">
        <f t="shared" si="14"/>
        <v>8h</v>
      </c>
      <c r="CA27" s="47"/>
      <c r="CC27" s="22"/>
      <c r="CD27" s="40">
        <f t="shared" si="41"/>
        <v>46191</v>
      </c>
      <c r="CE27" s="41" t="str">
        <f t="shared" si="15"/>
        <v>木</v>
      </c>
      <c r="CF27" s="41" t="s">
        <v>1015</v>
      </c>
      <c r="CG27" s="48">
        <v>0.375</v>
      </c>
      <c r="CH27" s="48">
        <v>0.75</v>
      </c>
      <c r="CI27" s="49">
        <v>0.5</v>
      </c>
      <c r="CJ27" s="49">
        <v>0.54166666666666663</v>
      </c>
      <c r="CK27" s="44" t="str">
        <f t="shared" si="16"/>
        <v>8h</v>
      </c>
      <c r="CL27" s="50">
        <v>0.375</v>
      </c>
      <c r="CM27" s="50">
        <v>0.75</v>
      </c>
      <c r="CN27" s="50">
        <v>0.5</v>
      </c>
      <c r="CO27" s="50">
        <v>0.54166666666666663</v>
      </c>
      <c r="CP27" s="46" t="str">
        <f t="shared" si="17"/>
        <v>8h</v>
      </c>
      <c r="CQ27" s="47"/>
      <c r="CS27" s="22"/>
      <c r="CT27" s="40">
        <f t="shared" si="42"/>
        <v>46221</v>
      </c>
      <c r="CU27" s="41" t="str">
        <f t="shared" si="18"/>
        <v>土</v>
      </c>
      <c r="CV27" s="41"/>
      <c r="CW27" s="42"/>
      <c r="CX27" s="42"/>
      <c r="CY27" s="43"/>
      <c r="CZ27" s="43"/>
      <c r="DA27" s="44" t="str">
        <f t="shared" si="19"/>
        <v/>
      </c>
      <c r="DB27" s="45"/>
      <c r="DC27" s="45"/>
      <c r="DD27" s="45"/>
      <c r="DE27" s="45"/>
      <c r="DF27" s="46" t="str">
        <f t="shared" si="20"/>
        <v/>
      </c>
      <c r="DG27" s="47"/>
      <c r="DI27" s="22"/>
      <c r="DJ27" s="40">
        <f t="shared" si="43"/>
        <v>46252</v>
      </c>
      <c r="DK27" s="41" t="str">
        <f t="shared" si="21"/>
        <v>火</v>
      </c>
      <c r="DL27" s="41" t="s">
        <v>1015</v>
      </c>
      <c r="DM27" s="48">
        <v>0.375</v>
      </c>
      <c r="DN27" s="48">
        <v>0.75</v>
      </c>
      <c r="DO27" s="49">
        <v>0.5</v>
      </c>
      <c r="DP27" s="49">
        <v>0.54166666666666663</v>
      </c>
      <c r="DQ27" s="44" t="str">
        <f t="shared" si="22"/>
        <v>8h</v>
      </c>
      <c r="DR27" s="50">
        <v>0.375</v>
      </c>
      <c r="DS27" s="50">
        <v>0.75</v>
      </c>
      <c r="DT27" s="50">
        <v>0.5</v>
      </c>
      <c r="DU27" s="50">
        <v>0.54166666666666663</v>
      </c>
      <c r="DV27" s="46" t="str">
        <f t="shared" si="23"/>
        <v>8h</v>
      </c>
      <c r="DW27" s="47"/>
      <c r="DY27" s="22"/>
      <c r="DZ27" s="40">
        <f t="shared" si="44"/>
        <v>46283</v>
      </c>
      <c r="EA27" s="41" t="str">
        <f t="shared" si="24"/>
        <v>金</v>
      </c>
      <c r="EB27" s="41" t="s">
        <v>1015</v>
      </c>
      <c r="EC27" s="48">
        <v>0.375</v>
      </c>
      <c r="ED27" s="48">
        <v>0.75</v>
      </c>
      <c r="EE27" s="49">
        <v>0.5</v>
      </c>
      <c r="EF27" s="49">
        <v>0.54166666666666663</v>
      </c>
      <c r="EG27" s="44" t="str">
        <f t="shared" si="25"/>
        <v>8h</v>
      </c>
      <c r="EH27" s="50">
        <v>0.375</v>
      </c>
      <c r="EI27" s="50">
        <v>0.75</v>
      </c>
      <c r="EJ27" s="50">
        <v>0.5</v>
      </c>
      <c r="EK27" s="50">
        <v>0.54166666666666663</v>
      </c>
      <c r="EL27" s="46" t="str">
        <f t="shared" si="26"/>
        <v>8h</v>
      </c>
      <c r="EM27" s="47"/>
      <c r="EO27" s="22"/>
      <c r="EP27" s="40">
        <f t="shared" si="45"/>
        <v>46313</v>
      </c>
      <c r="EQ27" s="41" t="str">
        <f t="shared" si="27"/>
        <v>日</v>
      </c>
      <c r="ER27" s="41"/>
      <c r="ES27" s="42"/>
      <c r="ET27" s="42"/>
      <c r="EU27" s="43"/>
      <c r="EV27" s="43"/>
      <c r="EW27" s="44" t="str">
        <f t="shared" si="28"/>
        <v/>
      </c>
      <c r="EX27" s="45"/>
      <c r="EY27" s="45"/>
      <c r="EZ27" s="45"/>
      <c r="FA27" s="45"/>
      <c r="FB27" s="46" t="str">
        <f t="shared" si="29"/>
        <v/>
      </c>
      <c r="FC27" s="47"/>
      <c r="FE27" s="22"/>
      <c r="FF27" s="40">
        <f t="shared" si="46"/>
        <v>46344</v>
      </c>
      <c r="FG27" s="41" t="str">
        <f t="shared" si="30"/>
        <v>水</v>
      </c>
      <c r="FH27" s="41" t="s">
        <v>1015</v>
      </c>
      <c r="FI27" s="48">
        <v>0.375</v>
      </c>
      <c r="FJ27" s="48">
        <v>0.75</v>
      </c>
      <c r="FK27" s="49">
        <v>0.5</v>
      </c>
      <c r="FL27" s="49">
        <v>0.54166666666666663</v>
      </c>
      <c r="FM27" s="44" t="str">
        <f t="shared" si="31"/>
        <v>8h</v>
      </c>
      <c r="FN27" s="50">
        <v>0.375</v>
      </c>
      <c r="FO27" s="50">
        <v>0.75</v>
      </c>
      <c r="FP27" s="50">
        <v>0.5</v>
      </c>
      <c r="FQ27" s="50">
        <v>0.54166666666666663</v>
      </c>
      <c r="FR27" s="46" t="str">
        <f t="shared" si="32"/>
        <v>8h</v>
      </c>
      <c r="FS27" s="47"/>
      <c r="FU27" s="22"/>
      <c r="FV27" s="40">
        <f t="shared" si="47"/>
        <v>46374</v>
      </c>
      <c r="FW27" s="41" t="str">
        <f t="shared" si="33"/>
        <v>金</v>
      </c>
      <c r="FX27" s="41" t="s">
        <v>1015</v>
      </c>
      <c r="FY27" s="48">
        <v>0.375</v>
      </c>
      <c r="FZ27" s="48">
        <v>0.75</v>
      </c>
      <c r="GA27" s="49">
        <v>0.5</v>
      </c>
      <c r="GB27" s="49">
        <v>0.54166666666666663</v>
      </c>
      <c r="GC27" s="44" t="str">
        <f t="shared" si="34"/>
        <v>8h</v>
      </c>
      <c r="GD27" s="50">
        <v>0.375</v>
      </c>
      <c r="GE27" s="50">
        <v>0.75</v>
      </c>
      <c r="GF27" s="50">
        <v>0.5</v>
      </c>
      <c r="GG27" s="50">
        <v>0.54166666666666663</v>
      </c>
      <c r="GH27" s="46" t="str">
        <f t="shared" si="35"/>
        <v>8h</v>
      </c>
      <c r="GI27" s="47"/>
    </row>
    <row r="28" spans="1:191" x14ac:dyDescent="0.45">
      <c r="A28" s="22"/>
      <c r="B28" s="40">
        <f t="shared" si="36"/>
        <v>46041</v>
      </c>
      <c r="C28" s="41" t="str">
        <f t="shared" si="0"/>
        <v>月</v>
      </c>
      <c r="D28" s="41" t="s">
        <v>1015</v>
      </c>
      <c r="E28" s="48">
        <v>0.375</v>
      </c>
      <c r="F28" s="48">
        <v>0.75</v>
      </c>
      <c r="G28" s="49">
        <v>0.5</v>
      </c>
      <c r="H28" s="49">
        <v>0.54166666666666663</v>
      </c>
      <c r="I28" s="44" t="str">
        <f t="shared" si="1"/>
        <v>8h</v>
      </c>
      <c r="J28" s="50">
        <v>0.375</v>
      </c>
      <c r="K28" s="50">
        <v>0.75</v>
      </c>
      <c r="L28" s="50">
        <v>0.5</v>
      </c>
      <c r="M28" s="50">
        <v>0.54166666666666663</v>
      </c>
      <c r="N28" s="46" t="str">
        <f t="shared" si="2"/>
        <v>8h</v>
      </c>
      <c r="O28" s="47"/>
      <c r="Q28" s="22"/>
      <c r="R28" s="40">
        <f t="shared" si="37"/>
        <v>46072</v>
      </c>
      <c r="S28" s="41" t="str">
        <f t="shared" si="3"/>
        <v>木</v>
      </c>
      <c r="T28" s="41" t="s">
        <v>1015</v>
      </c>
      <c r="U28" s="48">
        <v>0.375</v>
      </c>
      <c r="V28" s="48">
        <v>0.75</v>
      </c>
      <c r="W28" s="49">
        <v>0.5</v>
      </c>
      <c r="X28" s="49">
        <v>0.54166666666666663</v>
      </c>
      <c r="Y28" s="44" t="str">
        <f t="shared" si="4"/>
        <v>8h</v>
      </c>
      <c r="Z28" s="50">
        <v>0.375</v>
      </c>
      <c r="AA28" s="50">
        <v>0.75</v>
      </c>
      <c r="AB28" s="50">
        <v>0.5</v>
      </c>
      <c r="AC28" s="50">
        <v>0.54166666666666663</v>
      </c>
      <c r="AD28" s="46" t="str">
        <f t="shared" si="5"/>
        <v>8h</v>
      </c>
      <c r="AE28" s="47"/>
      <c r="AG28" s="22"/>
      <c r="AH28" s="40">
        <f t="shared" si="38"/>
        <v>46100</v>
      </c>
      <c r="AI28" s="41" t="str">
        <f t="shared" si="6"/>
        <v>木</v>
      </c>
      <c r="AJ28" s="41" t="s">
        <v>1015</v>
      </c>
      <c r="AK28" s="48">
        <v>0.375</v>
      </c>
      <c r="AL28" s="48">
        <v>0.75</v>
      </c>
      <c r="AM28" s="49">
        <v>0.5</v>
      </c>
      <c r="AN28" s="49">
        <v>0.54166666666666663</v>
      </c>
      <c r="AO28" s="44" t="str">
        <f t="shared" si="7"/>
        <v>8h</v>
      </c>
      <c r="AP28" s="50">
        <v>0.375</v>
      </c>
      <c r="AQ28" s="50">
        <v>0.75</v>
      </c>
      <c r="AR28" s="50">
        <v>0.5</v>
      </c>
      <c r="AS28" s="50">
        <v>0.54166666666666663</v>
      </c>
      <c r="AT28" s="46" t="str">
        <f t="shared" si="8"/>
        <v>8h</v>
      </c>
      <c r="AU28" s="47"/>
      <c r="AW28" s="22"/>
      <c r="AX28" s="40">
        <f t="shared" si="39"/>
        <v>46131</v>
      </c>
      <c r="AY28" s="41" t="str">
        <f t="shared" si="9"/>
        <v>日</v>
      </c>
      <c r="AZ28" s="41"/>
      <c r="BA28" s="42"/>
      <c r="BB28" s="42"/>
      <c r="BC28" s="43"/>
      <c r="BD28" s="43"/>
      <c r="BE28" s="44" t="str">
        <f t="shared" si="10"/>
        <v/>
      </c>
      <c r="BF28" s="45"/>
      <c r="BG28" s="45"/>
      <c r="BH28" s="45"/>
      <c r="BI28" s="45"/>
      <c r="BJ28" s="46" t="str">
        <f t="shared" si="11"/>
        <v/>
      </c>
      <c r="BK28" s="47"/>
      <c r="BM28" s="22"/>
      <c r="BN28" s="40">
        <f t="shared" si="40"/>
        <v>46161</v>
      </c>
      <c r="BO28" s="41" t="str">
        <f t="shared" si="12"/>
        <v>火</v>
      </c>
      <c r="BP28" s="41" t="s">
        <v>1015</v>
      </c>
      <c r="BQ28" s="48">
        <v>0.375</v>
      </c>
      <c r="BR28" s="48">
        <v>0.75</v>
      </c>
      <c r="BS28" s="49">
        <v>0.5</v>
      </c>
      <c r="BT28" s="49">
        <v>0.54166666666666663</v>
      </c>
      <c r="BU28" s="44" t="str">
        <f t="shared" si="13"/>
        <v>8h</v>
      </c>
      <c r="BV28" s="50">
        <v>0.375</v>
      </c>
      <c r="BW28" s="50">
        <v>0.75</v>
      </c>
      <c r="BX28" s="50">
        <v>0.5</v>
      </c>
      <c r="BY28" s="50">
        <v>0.54166666666666663</v>
      </c>
      <c r="BZ28" s="46" t="str">
        <f t="shared" si="14"/>
        <v>8h</v>
      </c>
      <c r="CA28" s="47"/>
      <c r="CC28" s="22"/>
      <c r="CD28" s="40">
        <f t="shared" si="41"/>
        <v>46192</v>
      </c>
      <c r="CE28" s="41" t="str">
        <f t="shared" si="15"/>
        <v>金</v>
      </c>
      <c r="CF28" s="41" t="s">
        <v>1015</v>
      </c>
      <c r="CG28" s="48">
        <v>0.375</v>
      </c>
      <c r="CH28" s="48">
        <v>0.75</v>
      </c>
      <c r="CI28" s="49">
        <v>0.5</v>
      </c>
      <c r="CJ28" s="49">
        <v>0.54166666666666663</v>
      </c>
      <c r="CK28" s="44" t="str">
        <f t="shared" si="16"/>
        <v>8h</v>
      </c>
      <c r="CL28" s="50">
        <v>0.375</v>
      </c>
      <c r="CM28" s="50">
        <v>0.75</v>
      </c>
      <c r="CN28" s="50">
        <v>0.5</v>
      </c>
      <c r="CO28" s="50">
        <v>0.54166666666666663</v>
      </c>
      <c r="CP28" s="46" t="str">
        <f t="shared" si="17"/>
        <v>8h</v>
      </c>
      <c r="CQ28" s="47"/>
      <c r="CS28" s="22"/>
      <c r="CT28" s="40">
        <f t="shared" si="42"/>
        <v>46222</v>
      </c>
      <c r="CU28" s="41" t="str">
        <f t="shared" si="18"/>
        <v>日</v>
      </c>
      <c r="CV28" s="41"/>
      <c r="CW28" s="42"/>
      <c r="CX28" s="42"/>
      <c r="CY28" s="43"/>
      <c r="CZ28" s="43"/>
      <c r="DA28" s="44" t="str">
        <f t="shared" si="19"/>
        <v/>
      </c>
      <c r="DB28" s="45"/>
      <c r="DC28" s="45"/>
      <c r="DD28" s="45"/>
      <c r="DE28" s="45"/>
      <c r="DF28" s="46" t="str">
        <f t="shared" si="20"/>
        <v/>
      </c>
      <c r="DG28" s="47"/>
      <c r="DI28" s="22"/>
      <c r="DJ28" s="40">
        <f t="shared" si="43"/>
        <v>46253</v>
      </c>
      <c r="DK28" s="41" t="str">
        <f t="shared" si="21"/>
        <v>水</v>
      </c>
      <c r="DL28" s="41" t="s">
        <v>1015</v>
      </c>
      <c r="DM28" s="48">
        <v>0.375</v>
      </c>
      <c r="DN28" s="48">
        <v>0.75</v>
      </c>
      <c r="DO28" s="49">
        <v>0.5</v>
      </c>
      <c r="DP28" s="49">
        <v>0.54166666666666663</v>
      </c>
      <c r="DQ28" s="44" t="str">
        <f t="shared" si="22"/>
        <v>8h</v>
      </c>
      <c r="DR28" s="50">
        <v>0.375</v>
      </c>
      <c r="DS28" s="50">
        <v>0.75</v>
      </c>
      <c r="DT28" s="50">
        <v>0.5</v>
      </c>
      <c r="DU28" s="50">
        <v>0.54166666666666663</v>
      </c>
      <c r="DV28" s="46" t="str">
        <f t="shared" si="23"/>
        <v>8h</v>
      </c>
      <c r="DW28" s="47"/>
      <c r="DY28" s="22"/>
      <c r="DZ28" s="40">
        <f t="shared" si="44"/>
        <v>46284</v>
      </c>
      <c r="EA28" s="41" t="str">
        <f t="shared" si="24"/>
        <v>土</v>
      </c>
      <c r="EB28" s="41"/>
      <c r="EC28" s="42"/>
      <c r="ED28" s="42"/>
      <c r="EE28" s="43"/>
      <c r="EF28" s="43"/>
      <c r="EG28" s="44" t="str">
        <f t="shared" si="25"/>
        <v/>
      </c>
      <c r="EH28" s="45"/>
      <c r="EI28" s="45"/>
      <c r="EJ28" s="45"/>
      <c r="EK28" s="45"/>
      <c r="EL28" s="46" t="str">
        <f t="shared" si="26"/>
        <v/>
      </c>
      <c r="EM28" s="47"/>
      <c r="EO28" s="22"/>
      <c r="EP28" s="40">
        <f t="shared" si="45"/>
        <v>46314</v>
      </c>
      <c r="EQ28" s="41" t="str">
        <f t="shared" si="27"/>
        <v>月</v>
      </c>
      <c r="ER28" s="41" t="s">
        <v>1015</v>
      </c>
      <c r="ES28" s="48">
        <v>0.375</v>
      </c>
      <c r="ET28" s="48">
        <v>0.75</v>
      </c>
      <c r="EU28" s="49">
        <v>0.5</v>
      </c>
      <c r="EV28" s="49">
        <v>0.54166666666666663</v>
      </c>
      <c r="EW28" s="44" t="str">
        <f t="shared" si="28"/>
        <v>8h</v>
      </c>
      <c r="EX28" s="50">
        <v>0.375</v>
      </c>
      <c r="EY28" s="50">
        <v>0.75</v>
      </c>
      <c r="EZ28" s="50">
        <v>0.5</v>
      </c>
      <c r="FA28" s="50">
        <v>0.54166666666666663</v>
      </c>
      <c r="FB28" s="46" t="str">
        <f t="shared" si="29"/>
        <v>8h</v>
      </c>
      <c r="FC28" s="47"/>
      <c r="FE28" s="22"/>
      <c r="FF28" s="40">
        <f t="shared" si="46"/>
        <v>46345</v>
      </c>
      <c r="FG28" s="41" t="str">
        <f t="shared" si="30"/>
        <v>木</v>
      </c>
      <c r="FH28" s="41" t="s">
        <v>1015</v>
      </c>
      <c r="FI28" s="48">
        <v>0.375</v>
      </c>
      <c r="FJ28" s="48">
        <v>0.75</v>
      </c>
      <c r="FK28" s="49">
        <v>0.5</v>
      </c>
      <c r="FL28" s="49">
        <v>0.54166666666666663</v>
      </c>
      <c r="FM28" s="44" t="str">
        <f t="shared" si="31"/>
        <v>8h</v>
      </c>
      <c r="FN28" s="50">
        <v>0.375</v>
      </c>
      <c r="FO28" s="50">
        <v>0.75</v>
      </c>
      <c r="FP28" s="50">
        <v>0.5</v>
      </c>
      <c r="FQ28" s="50">
        <v>0.54166666666666663</v>
      </c>
      <c r="FR28" s="46" t="str">
        <f t="shared" si="32"/>
        <v>8h</v>
      </c>
      <c r="FS28" s="47"/>
      <c r="FU28" s="22"/>
      <c r="FV28" s="40">
        <f t="shared" si="47"/>
        <v>46375</v>
      </c>
      <c r="FW28" s="41" t="str">
        <f t="shared" si="33"/>
        <v>土</v>
      </c>
      <c r="FX28" s="41"/>
      <c r="FY28" s="42"/>
      <c r="FZ28" s="42"/>
      <c r="GA28" s="43"/>
      <c r="GB28" s="43"/>
      <c r="GC28" s="44" t="str">
        <f t="shared" si="34"/>
        <v/>
      </c>
      <c r="GD28" s="45"/>
      <c r="GE28" s="45"/>
      <c r="GF28" s="45"/>
      <c r="GG28" s="45"/>
      <c r="GH28" s="46" t="str">
        <f t="shared" si="35"/>
        <v/>
      </c>
      <c r="GI28" s="47"/>
    </row>
    <row r="29" spans="1:191" x14ac:dyDescent="0.45">
      <c r="A29" s="22"/>
      <c r="B29" s="40">
        <f t="shared" si="36"/>
        <v>46042</v>
      </c>
      <c r="C29" s="41" t="str">
        <f t="shared" si="0"/>
        <v>火</v>
      </c>
      <c r="D29" s="41" t="s">
        <v>1015</v>
      </c>
      <c r="E29" s="48">
        <v>0.375</v>
      </c>
      <c r="F29" s="48">
        <v>0.75</v>
      </c>
      <c r="G29" s="49">
        <v>0.5</v>
      </c>
      <c r="H29" s="49">
        <v>0.54166666666666663</v>
      </c>
      <c r="I29" s="44" t="str">
        <f t="shared" si="1"/>
        <v>8h</v>
      </c>
      <c r="J29" s="50">
        <v>0.375</v>
      </c>
      <c r="K29" s="50">
        <v>0.75</v>
      </c>
      <c r="L29" s="50">
        <v>0.5</v>
      </c>
      <c r="M29" s="50">
        <v>0.54166666666666663</v>
      </c>
      <c r="N29" s="46" t="str">
        <f t="shared" si="2"/>
        <v>8h</v>
      </c>
      <c r="O29" s="47"/>
      <c r="Q29" s="22"/>
      <c r="R29" s="40">
        <f t="shared" si="37"/>
        <v>46073</v>
      </c>
      <c r="S29" s="41" t="str">
        <f t="shared" si="3"/>
        <v>金</v>
      </c>
      <c r="T29" s="41" t="s">
        <v>1015</v>
      </c>
      <c r="U29" s="48">
        <v>0.375</v>
      </c>
      <c r="V29" s="48">
        <v>0.75</v>
      </c>
      <c r="W29" s="49">
        <v>0.5</v>
      </c>
      <c r="X29" s="49">
        <v>0.54166666666666663</v>
      </c>
      <c r="Y29" s="44" t="str">
        <f t="shared" si="4"/>
        <v>8h</v>
      </c>
      <c r="Z29" s="50">
        <v>0.375</v>
      </c>
      <c r="AA29" s="50">
        <v>0.75</v>
      </c>
      <c r="AB29" s="50">
        <v>0.5</v>
      </c>
      <c r="AC29" s="50">
        <v>0.54166666666666663</v>
      </c>
      <c r="AD29" s="46" t="str">
        <f t="shared" si="5"/>
        <v>8h</v>
      </c>
      <c r="AE29" s="47"/>
      <c r="AG29" s="22"/>
      <c r="AH29" s="40">
        <f t="shared" si="38"/>
        <v>46101</v>
      </c>
      <c r="AI29" s="41" t="str">
        <f t="shared" si="6"/>
        <v>金</v>
      </c>
      <c r="AJ29" s="41" t="s">
        <v>1016</v>
      </c>
      <c r="AK29" s="42"/>
      <c r="AL29" s="42"/>
      <c r="AM29" s="43"/>
      <c r="AN29" s="43"/>
      <c r="AO29" s="44" t="str">
        <f t="shared" si="7"/>
        <v/>
      </c>
      <c r="AP29" s="45"/>
      <c r="AQ29" s="45"/>
      <c r="AR29" s="45"/>
      <c r="AS29" s="45"/>
      <c r="AT29" s="46" t="str">
        <f t="shared" si="8"/>
        <v/>
      </c>
      <c r="AU29" s="47"/>
      <c r="AW29" s="22"/>
      <c r="AX29" s="40">
        <f t="shared" si="39"/>
        <v>46132</v>
      </c>
      <c r="AY29" s="41" t="str">
        <f t="shared" si="9"/>
        <v>月</v>
      </c>
      <c r="AZ29" s="41" t="s">
        <v>1015</v>
      </c>
      <c r="BA29" s="48">
        <v>0.375</v>
      </c>
      <c r="BB29" s="48">
        <v>0.75</v>
      </c>
      <c r="BC29" s="49">
        <v>0.5</v>
      </c>
      <c r="BD29" s="49">
        <v>0.54166666666666663</v>
      </c>
      <c r="BE29" s="44" t="str">
        <f t="shared" si="10"/>
        <v>8h</v>
      </c>
      <c r="BF29" s="50">
        <v>0.375</v>
      </c>
      <c r="BG29" s="50">
        <v>0.75</v>
      </c>
      <c r="BH29" s="50">
        <v>0.5</v>
      </c>
      <c r="BI29" s="50">
        <v>0.54166666666666663</v>
      </c>
      <c r="BJ29" s="46" t="str">
        <f t="shared" si="11"/>
        <v>8h</v>
      </c>
      <c r="BK29" s="47"/>
      <c r="BM29" s="22"/>
      <c r="BN29" s="40">
        <f t="shared" si="40"/>
        <v>46162</v>
      </c>
      <c r="BO29" s="41" t="str">
        <f t="shared" si="12"/>
        <v>水</v>
      </c>
      <c r="BP29" s="41" t="s">
        <v>1015</v>
      </c>
      <c r="BQ29" s="48">
        <v>0.375</v>
      </c>
      <c r="BR29" s="48">
        <v>0.75</v>
      </c>
      <c r="BS29" s="49">
        <v>0.5</v>
      </c>
      <c r="BT29" s="49">
        <v>0.54166666666666663</v>
      </c>
      <c r="BU29" s="44" t="str">
        <f t="shared" si="13"/>
        <v>8h</v>
      </c>
      <c r="BV29" s="50">
        <v>0.375</v>
      </c>
      <c r="BW29" s="50">
        <v>0.75</v>
      </c>
      <c r="BX29" s="50">
        <v>0.5</v>
      </c>
      <c r="BY29" s="50">
        <v>0.54166666666666663</v>
      </c>
      <c r="BZ29" s="46" t="str">
        <f t="shared" si="14"/>
        <v>8h</v>
      </c>
      <c r="CA29" s="47"/>
      <c r="CC29" s="22"/>
      <c r="CD29" s="40">
        <f t="shared" si="41"/>
        <v>46193</v>
      </c>
      <c r="CE29" s="41" t="str">
        <f t="shared" si="15"/>
        <v>土</v>
      </c>
      <c r="CF29" s="41"/>
      <c r="CG29" s="42"/>
      <c r="CH29" s="42"/>
      <c r="CI29" s="43"/>
      <c r="CJ29" s="43"/>
      <c r="CK29" s="44" t="str">
        <f t="shared" si="16"/>
        <v/>
      </c>
      <c r="CL29" s="45"/>
      <c r="CM29" s="45"/>
      <c r="CN29" s="45"/>
      <c r="CO29" s="45"/>
      <c r="CP29" s="46" t="str">
        <f t="shared" si="17"/>
        <v/>
      </c>
      <c r="CQ29" s="47"/>
      <c r="CS29" s="22"/>
      <c r="CT29" s="40">
        <f t="shared" si="42"/>
        <v>46223</v>
      </c>
      <c r="CU29" s="41" t="str">
        <f t="shared" si="18"/>
        <v>月</v>
      </c>
      <c r="CV29" s="41" t="s">
        <v>1016</v>
      </c>
      <c r="CW29" s="42"/>
      <c r="CX29" s="42"/>
      <c r="CY29" s="43"/>
      <c r="CZ29" s="43"/>
      <c r="DA29" s="44" t="str">
        <f t="shared" si="19"/>
        <v/>
      </c>
      <c r="DB29" s="45"/>
      <c r="DC29" s="45"/>
      <c r="DD29" s="45"/>
      <c r="DE29" s="45"/>
      <c r="DF29" s="46" t="str">
        <f t="shared" si="20"/>
        <v/>
      </c>
      <c r="DG29" s="47"/>
      <c r="DI29" s="22"/>
      <c r="DJ29" s="40">
        <f t="shared" si="43"/>
        <v>46254</v>
      </c>
      <c r="DK29" s="41" t="str">
        <f t="shared" si="21"/>
        <v>木</v>
      </c>
      <c r="DL29" s="41" t="s">
        <v>1015</v>
      </c>
      <c r="DM29" s="48">
        <v>0.375</v>
      </c>
      <c r="DN29" s="48">
        <v>0.75</v>
      </c>
      <c r="DO29" s="49">
        <v>0.5</v>
      </c>
      <c r="DP29" s="49">
        <v>0.54166666666666663</v>
      </c>
      <c r="DQ29" s="44" t="str">
        <f t="shared" si="22"/>
        <v>8h</v>
      </c>
      <c r="DR29" s="50">
        <v>0.375</v>
      </c>
      <c r="DS29" s="50">
        <v>0.75</v>
      </c>
      <c r="DT29" s="50">
        <v>0.5</v>
      </c>
      <c r="DU29" s="50">
        <v>0.54166666666666663</v>
      </c>
      <c r="DV29" s="46" t="str">
        <f t="shared" si="23"/>
        <v>8h</v>
      </c>
      <c r="DW29" s="47"/>
      <c r="DY29" s="22"/>
      <c r="DZ29" s="40">
        <f t="shared" si="44"/>
        <v>46285</v>
      </c>
      <c r="EA29" s="41" t="str">
        <f t="shared" si="24"/>
        <v>日</v>
      </c>
      <c r="EB29" s="41"/>
      <c r="EC29" s="42"/>
      <c r="ED29" s="42"/>
      <c r="EE29" s="43"/>
      <c r="EF29" s="43"/>
      <c r="EG29" s="44" t="str">
        <f t="shared" si="25"/>
        <v/>
      </c>
      <c r="EH29" s="45"/>
      <c r="EI29" s="45"/>
      <c r="EJ29" s="45"/>
      <c r="EK29" s="45"/>
      <c r="EL29" s="46" t="str">
        <f t="shared" si="26"/>
        <v/>
      </c>
      <c r="EM29" s="47"/>
      <c r="EO29" s="22"/>
      <c r="EP29" s="40">
        <f t="shared" si="45"/>
        <v>46315</v>
      </c>
      <c r="EQ29" s="41" t="str">
        <f t="shared" si="27"/>
        <v>火</v>
      </c>
      <c r="ER29" s="41" t="s">
        <v>1015</v>
      </c>
      <c r="ES29" s="48">
        <v>0.375</v>
      </c>
      <c r="ET29" s="48">
        <v>0.75</v>
      </c>
      <c r="EU29" s="49">
        <v>0.5</v>
      </c>
      <c r="EV29" s="49">
        <v>0.54166666666666663</v>
      </c>
      <c r="EW29" s="44" t="str">
        <f t="shared" si="28"/>
        <v>8h</v>
      </c>
      <c r="EX29" s="50">
        <v>0.375</v>
      </c>
      <c r="EY29" s="50">
        <v>0.75</v>
      </c>
      <c r="EZ29" s="50">
        <v>0.5</v>
      </c>
      <c r="FA29" s="50">
        <v>0.54166666666666663</v>
      </c>
      <c r="FB29" s="46" t="str">
        <f t="shared" si="29"/>
        <v>8h</v>
      </c>
      <c r="FC29" s="47"/>
      <c r="FE29" s="22"/>
      <c r="FF29" s="40">
        <f t="shared" si="46"/>
        <v>46346</v>
      </c>
      <c r="FG29" s="41" t="str">
        <f t="shared" si="30"/>
        <v>金</v>
      </c>
      <c r="FH29" s="41" t="s">
        <v>1015</v>
      </c>
      <c r="FI29" s="48">
        <v>0.375</v>
      </c>
      <c r="FJ29" s="48">
        <v>0.75</v>
      </c>
      <c r="FK29" s="49">
        <v>0.5</v>
      </c>
      <c r="FL29" s="49">
        <v>0.54166666666666663</v>
      </c>
      <c r="FM29" s="44" t="str">
        <f t="shared" si="31"/>
        <v>8h</v>
      </c>
      <c r="FN29" s="50">
        <v>0.375</v>
      </c>
      <c r="FO29" s="50">
        <v>0.75</v>
      </c>
      <c r="FP29" s="50">
        <v>0.5</v>
      </c>
      <c r="FQ29" s="50">
        <v>0.54166666666666663</v>
      </c>
      <c r="FR29" s="46" t="str">
        <f t="shared" si="32"/>
        <v>8h</v>
      </c>
      <c r="FS29" s="47"/>
      <c r="FU29" s="22"/>
      <c r="FV29" s="40">
        <f t="shared" si="47"/>
        <v>46376</v>
      </c>
      <c r="FW29" s="41" t="str">
        <f t="shared" si="33"/>
        <v>日</v>
      </c>
      <c r="FX29" s="41"/>
      <c r="FY29" s="42"/>
      <c r="FZ29" s="42"/>
      <c r="GA29" s="43"/>
      <c r="GB29" s="43"/>
      <c r="GC29" s="44" t="str">
        <f t="shared" si="34"/>
        <v/>
      </c>
      <c r="GD29" s="45"/>
      <c r="GE29" s="45"/>
      <c r="GF29" s="45"/>
      <c r="GG29" s="45"/>
      <c r="GH29" s="46" t="str">
        <f t="shared" si="35"/>
        <v/>
      </c>
      <c r="GI29" s="47"/>
    </row>
    <row r="30" spans="1:191" x14ac:dyDescent="0.45">
      <c r="A30" s="22"/>
      <c r="B30" s="40">
        <f t="shared" si="36"/>
        <v>46043</v>
      </c>
      <c r="C30" s="41" t="str">
        <f t="shared" si="0"/>
        <v>水</v>
      </c>
      <c r="D30" s="41" t="s">
        <v>1015</v>
      </c>
      <c r="E30" s="48">
        <v>0.375</v>
      </c>
      <c r="F30" s="48">
        <v>0.75</v>
      </c>
      <c r="G30" s="49">
        <v>0.5</v>
      </c>
      <c r="H30" s="49">
        <v>0.54166666666666663</v>
      </c>
      <c r="I30" s="44" t="str">
        <f t="shared" si="1"/>
        <v>8h</v>
      </c>
      <c r="J30" s="50">
        <v>0.375</v>
      </c>
      <c r="K30" s="50">
        <v>0.75</v>
      </c>
      <c r="L30" s="50">
        <v>0.5</v>
      </c>
      <c r="M30" s="50">
        <v>0.54166666666666663</v>
      </c>
      <c r="N30" s="46" t="str">
        <f t="shared" si="2"/>
        <v>8h</v>
      </c>
      <c r="O30" s="47"/>
      <c r="Q30" s="22"/>
      <c r="R30" s="40">
        <f t="shared" si="37"/>
        <v>46074</v>
      </c>
      <c r="S30" s="41" t="str">
        <f t="shared" si="3"/>
        <v>土</v>
      </c>
      <c r="T30" s="41"/>
      <c r="U30" s="42"/>
      <c r="V30" s="42"/>
      <c r="W30" s="43"/>
      <c r="X30" s="43"/>
      <c r="Y30" s="44" t="str">
        <f t="shared" si="4"/>
        <v/>
      </c>
      <c r="Z30" s="45"/>
      <c r="AA30" s="45"/>
      <c r="AB30" s="45"/>
      <c r="AC30" s="45"/>
      <c r="AD30" s="46" t="str">
        <f t="shared" si="5"/>
        <v/>
      </c>
      <c r="AE30" s="47"/>
      <c r="AG30" s="22"/>
      <c r="AH30" s="40">
        <f t="shared" si="38"/>
        <v>46102</v>
      </c>
      <c r="AI30" s="41" t="str">
        <f t="shared" si="6"/>
        <v>土</v>
      </c>
      <c r="AJ30" s="41"/>
      <c r="AK30" s="42"/>
      <c r="AL30" s="42"/>
      <c r="AM30" s="43"/>
      <c r="AN30" s="43"/>
      <c r="AO30" s="44" t="str">
        <f t="shared" si="7"/>
        <v/>
      </c>
      <c r="AP30" s="45"/>
      <c r="AQ30" s="45"/>
      <c r="AR30" s="45"/>
      <c r="AS30" s="45"/>
      <c r="AT30" s="46" t="str">
        <f t="shared" si="8"/>
        <v/>
      </c>
      <c r="AU30" s="47"/>
      <c r="AW30" s="22"/>
      <c r="AX30" s="40">
        <f t="shared" si="39"/>
        <v>46133</v>
      </c>
      <c r="AY30" s="41" t="str">
        <f t="shared" si="9"/>
        <v>火</v>
      </c>
      <c r="AZ30" s="41" t="s">
        <v>1015</v>
      </c>
      <c r="BA30" s="48">
        <v>0.375</v>
      </c>
      <c r="BB30" s="48">
        <v>0.75</v>
      </c>
      <c r="BC30" s="49">
        <v>0.5</v>
      </c>
      <c r="BD30" s="49">
        <v>0.54166666666666663</v>
      </c>
      <c r="BE30" s="44" t="str">
        <f t="shared" si="10"/>
        <v>8h</v>
      </c>
      <c r="BF30" s="50">
        <v>0.375</v>
      </c>
      <c r="BG30" s="50">
        <v>0.75</v>
      </c>
      <c r="BH30" s="50">
        <v>0.5</v>
      </c>
      <c r="BI30" s="50">
        <v>0.54166666666666663</v>
      </c>
      <c r="BJ30" s="46" t="str">
        <f t="shared" si="11"/>
        <v>8h</v>
      </c>
      <c r="BK30" s="47"/>
      <c r="BM30" s="22"/>
      <c r="BN30" s="40">
        <f t="shared" si="40"/>
        <v>46163</v>
      </c>
      <c r="BO30" s="41" t="str">
        <f t="shared" si="12"/>
        <v>木</v>
      </c>
      <c r="BP30" s="41" t="s">
        <v>1015</v>
      </c>
      <c r="BQ30" s="48">
        <v>0.375</v>
      </c>
      <c r="BR30" s="48">
        <v>0.75</v>
      </c>
      <c r="BS30" s="49">
        <v>0.5</v>
      </c>
      <c r="BT30" s="49">
        <v>0.54166666666666663</v>
      </c>
      <c r="BU30" s="44" t="str">
        <f t="shared" si="13"/>
        <v>8h</v>
      </c>
      <c r="BV30" s="50">
        <v>0.375</v>
      </c>
      <c r="BW30" s="50">
        <v>0.75</v>
      </c>
      <c r="BX30" s="50">
        <v>0.5</v>
      </c>
      <c r="BY30" s="50">
        <v>0.54166666666666663</v>
      </c>
      <c r="BZ30" s="46" t="str">
        <f t="shared" si="14"/>
        <v>8h</v>
      </c>
      <c r="CA30" s="47"/>
      <c r="CC30" s="22"/>
      <c r="CD30" s="40">
        <f t="shared" si="41"/>
        <v>46194</v>
      </c>
      <c r="CE30" s="41" t="str">
        <f t="shared" si="15"/>
        <v>日</v>
      </c>
      <c r="CF30" s="41"/>
      <c r="CG30" s="42"/>
      <c r="CH30" s="42"/>
      <c r="CI30" s="43"/>
      <c r="CJ30" s="43"/>
      <c r="CK30" s="44" t="str">
        <f t="shared" si="16"/>
        <v/>
      </c>
      <c r="CL30" s="45"/>
      <c r="CM30" s="45"/>
      <c r="CN30" s="45"/>
      <c r="CO30" s="45"/>
      <c r="CP30" s="46" t="str">
        <f t="shared" si="17"/>
        <v/>
      </c>
      <c r="CQ30" s="47"/>
      <c r="CS30" s="22"/>
      <c r="CT30" s="40">
        <f t="shared" si="42"/>
        <v>46224</v>
      </c>
      <c r="CU30" s="41" t="str">
        <f t="shared" si="18"/>
        <v>火</v>
      </c>
      <c r="CV30" s="41" t="s">
        <v>1015</v>
      </c>
      <c r="CW30" s="48">
        <v>0.375</v>
      </c>
      <c r="CX30" s="48">
        <v>0.75</v>
      </c>
      <c r="CY30" s="49">
        <v>0.5</v>
      </c>
      <c r="CZ30" s="49">
        <v>0.54166666666666663</v>
      </c>
      <c r="DA30" s="44" t="str">
        <f t="shared" si="19"/>
        <v>8h</v>
      </c>
      <c r="DB30" s="50">
        <v>0.375</v>
      </c>
      <c r="DC30" s="50">
        <v>0.75</v>
      </c>
      <c r="DD30" s="50">
        <v>0.5</v>
      </c>
      <c r="DE30" s="50">
        <v>0.54166666666666663</v>
      </c>
      <c r="DF30" s="46" t="str">
        <f t="shared" si="20"/>
        <v>8h</v>
      </c>
      <c r="DG30" s="47"/>
      <c r="DI30" s="22"/>
      <c r="DJ30" s="40">
        <f t="shared" si="43"/>
        <v>46255</v>
      </c>
      <c r="DK30" s="41" t="str">
        <f t="shared" si="21"/>
        <v>金</v>
      </c>
      <c r="DL30" s="41" t="s">
        <v>1015</v>
      </c>
      <c r="DM30" s="48">
        <v>0.375</v>
      </c>
      <c r="DN30" s="48">
        <v>0.75</v>
      </c>
      <c r="DO30" s="49">
        <v>0.5</v>
      </c>
      <c r="DP30" s="49">
        <v>0.54166666666666663</v>
      </c>
      <c r="DQ30" s="44" t="str">
        <f t="shared" si="22"/>
        <v>8h</v>
      </c>
      <c r="DR30" s="50">
        <v>0.375</v>
      </c>
      <c r="DS30" s="50">
        <v>0.75</v>
      </c>
      <c r="DT30" s="50">
        <v>0.5</v>
      </c>
      <c r="DU30" s="50">
        <v>0.54166666666666663</v>
      </c>
      <c r="DV30" s="46" t="str">
        <f t="shared" si="23"/>
        <v>8h</v>
      </c>
      <c r="DW30" s="47"/>
      <c r="DY30" s="22"/>
      <c r="DZ30" s="40">
        <f t="shared" si="44"/>
        <v>46286</v>
      </c>
      <c r="EA30" s="41" t="str">
        <f t="shared" si="24"/>
        <v>月</v>
      </c>
      <c r="EB30" s="41" t="s">
        <v>1016</v>
      </c>
      <c r="EC30" s="42"/>
      <c r="ED30" s="42"/>
      <c r="EE30" s="43"/>
      <c r="EF30" s="43"/>
      <c r="EG30" s="44" t="str">
        <f t="shared" si="25"/>
        <v/>
      </c>
      <c r="EH30" s="45"/>
      <c r="EI30" s="45"/>
      <c r="EJ30" s="45"/>
      <c r="EK30" s="45"/>
      <c r="EL30" s="46" t="str">
        <f t="shared" si="26"/>
        <v/>
      </c>
      <c r="EM30" s="47"/>
      <c r="EO30" s="22"/>
      <c r="EP30" s="40">
        <f t="shared" si="45"/>
        <v>46316</v>
      </c>
      <c r="EQ30" s="41" t="str">
        <f t="shared" si="27"/>
        <v>水</v>
      </c>
      <c r="ER30" s="41" t="s">
        <v>1015</v>
      </c>
      <c r="ES30" s="48">
        <v>0.375</v>
      </c>
      <c r="ET30" s="48">
        <v>0.75</v>
      </c>
      <c r="EU30" s="49">
        <v>0.5</v>
      </c>
      <c r="EV30" s="49">
        <v>0.54166666666666663</v>
      </c>
      <c r="EW30" s="44" t="str">
        <f t="shared" si="28"/>
        <v>8h</v>
      </c>
      <c r="EX30" s="50">
        <v>0.375</v>
      </c>
      <c r="EY30" s="50">
        <v>0.75</v>
      </c>
      <c r="EZ30" s="50">
        <v>0.5</v>
      </c>
      <c r="FA30" s="50">
        <v>0.54166666666666663</v>
      </c>
      <c r="FB30" s="46" t="str">
        <f t="shared" si="29"/>
        <v>8h</v>
      </c>
      <c r="FC30" s="47"/>
      <c r="FE30" s="22"/>
      <c r="FF30" s="40">
        <f t="shared" si="46"/>
        <v>46347</v>
      </c>
      <c r="FG30" s="41" t="str">
        <f t="shared" si="30"/>
        <v>土</v>
      </c>
      <c r="FH30" s="41"/>
      <c r="FI30" s="42"/>
      <c r="FJ30" s="42"/>
      <c r="FK30" s="43"/>
      <c r="FL30" s="43"/>
      <c r="FM30" s="44" t="str">
        <f t="shared" si="31"/>
        <v/>
      </c>
      <c r="FN30" s="45"/>
      <c r="FO30" s="45"/>
      <c r="FP30" s="45"/>
      <c r="FQ30" s="45"/>
      <c r="FR30" s="46" t="str">
        <f t="shared" si="32"/>
        <v/>
      </c>
      <c r="FS30" s="47"/>
      <c r="FU30" s="22"/>
      <c r="FV30" s="40">
        <f t="shared" si="47"/>
        <v>46377</v>
      </c>
      <c r="FW30" s="41" t="str">
        <f t="shared" si="33"/>
        <v>月</v>
      </c>
      <c r="FX30" s="41" t="s">
        <v>1015</v>
      </c>
      <c r="FY30" s="48">
        <v>0.375</v>
      </c>
      <c r="FZ30" s="48">
        <v>0.75</v>
      </c>
      <c r="GA30" s="49">
        <v>0.5</v>
      </c>
      <c r="GB30" s="49">
        <v>0.54166666666666663</v>
      </c>
      <c r="GC30" s="44" t="str">
        <f t="shared" si="34"/>
        <v>8h</v>
      </c>
      <c r="GD30" s="50">
        <v>0.375</v>
      </c>
      <c r="GE30" s="50">
        <v>0.75</v>
      </c>
      <c r="GF30" s="50">
        <v>0.5</v>
      </c>
      <c r="GG30" s="50">
        <v>0.54166666666666663</v>
      </c>
      <c r="GH30" s="46" t="str">
        <f t="shared" si="35"/>
        <v>8h</v>
      </c>
      <c r="GI30" s="47"/>
    </row>
    <row r="31" spans="1:191" x14ac:dyDescent="0.45">
      <c r="A31" s="22"/>
      <c r="B31" s="40">
        <f t="shared" si="36"/>
        <v>46044</v>
      </c>
      <c r="C31" s="41" t="str">
        <f t="shared" si="0"/>
        <v>木</v>
      </c>
      <c r="D31" s="41" t="s">
        <v>1015</v>
      </c>
      <c r="E31" s="48">
        <v>0.375</v>
      </c>
      <c r="F31" s="48">
        <v>0.75</v>
      </c>
      <c r="G31" s="49">
        <v>0.5</v>
      </c>
      <c r="H31" s="49">
        <v>0.54166666666666663</v>
      </c>
      <c r="I31" s="44" t="str">
        <f t="shared" si="1"/>
        <v>8h</v>
      </c>
      <c r="J31" s="50">
        <v>0.375</v>
      </c>
      <c r="K31" s="50">
        <v>0.75</v>
      </c>
      <c r="L31" s="50">
        <v>0.5</v>
      </c>
      <c r="M31" s="50">
        <v>0.54166666666666663</v>
      </c>
      <c r="N31" s="46" t="str">
        <f t="shared" si="2"/>
        <v>8h</v>
      </c>
      <c r="O31" s="47"/>
      <c r="Q31" s="22"/>
      <c r="R31" s="40">
        <f t="shared" si="37"/>
        <v>46075</v>
      </c>
      <c r="S31" s="41" t="str">
        <f t="shared" si="3"/>
        <v>日</v>
      </c>
      <c r="T31" s="41"/>
      <c r="U31" s="42"/>
      <c r="V31" s="42"/>
      <c r="W31" s="43"/>
      <c r="X31" s="43"/>
      <c r="Y31" s="44" t="str">
        <f t="shared" si="4"/>
        <v/>
      </c>
      <c r="Z31" s="45"/>
      <c r="AA31" s="45"/>
      <c r="AB31" s="45"/>
      <c r="AC31" s="45"/>
      <c r="AD31" s="46" t="str">
        <f t="shared" si="5"/>
        <v/>
      </c>
      <c r="AE31" s="47"/>
      <c r="AG31" s="22"/>
      <c r="AH31" s="40">
        <f t="shared" si="38"/>
        <v>46103</v>
      </c>
      <c r="AI31" s="41" t="str">
        <f t="shared" si="6"/>
        <v>日</v>
      </c>
      <c r="AJ31" s="41"/>
      <c r="AK31" s="42"/>
      <c r="AL31" s="42"/>
      <c r="AM31" s="43"/>
      <c r="AN31" s="43"/>
      <c r="AO31" s="44" t="str">
        <f t="shared" si="7"/>
        <v/>
      </c>
      <c r="AP31" s="45"/>
      <c r="AQ31" s="45"/>
      <c r="AR31" s="45"/>
      <c r="AS31" s="45"/>
      <c r="AT31" s="46" t="str">
        <f t="shared" si="8"/>
        <v/>
      </c>
      <c r="AU31" s="47"/>
      <c r="AW31" s="22"/>
      <c r="AX31" s="40">
        <f t="shared" si="39"/>
        <v>46134</v>
      </c>
      <c r="AY31" s="41" t="str">
        <f t="shared" si="9"/>
        <v>水</v>
      </c>
      <c r="AZ31" s="41" t="s">
        <v>1015</v>
      </c>
      <c r="BA31" s="48">
        <v>0.375</v>
      </c>
      <c r="BB31" s="48">
        <v>0.75</v>
      </c>
      <c r="BC31" s="49">
        <v>0.5</v>
      </c>
      <c r="BD31" s="49">
        <v>0.54166666666666663</v>
      </c>
      <c r="BE31" s="44" t="str">
        <f t="shared" si="10"/>
        <v>8h</v>
      </c>
      <c r="BF31" s="50">
        <v>0.375</v>
      </c>
      <c r="BG31" s="50">
        <v>0.75</v>
      </c>
      <c r="BH31" s="50">
        <v>0.5</v>
      </c>
      <c r="BI31" s="50">
        <v>0.54166666666666663</v>
      </c>
      <c r="BJ31" s="46" t="str">
        <f t="shared" si="11"/>
        <v>8h</v>
      </c>
      <c r="BK31" s="47"/>
      <c r="BM31" s="22"/>
      <c r="BN31" s="40">
        <f t="shared" si="40"/>
        <v>46164</v>
      </c>
      <c r="BO31" s="41" t="str">
        <f t="shared" si="12"/>
        <v>金</v>
      </c>
      <c r="BP31" s="41" t="s">
        <v>1015</v>
      </c>
      <c r="BQ31" s="48">
        <v>0.375</v>
      </c>
      <c r="BR31" s="48">
        <v>0.75</v>
      </c>
      <c r="BS31" s="49">
        <v>0.5</v>
      </c>
      <c r="BT31" s="49">
        <v>0.54166666666666663</v>
      </c>
      <c r="BU31" s="44" t="str">
        <f t="shared" si="13"/>
        <v>8h</v>
      </c>
      <c r="BV31" s="50">
        <v>0.375</v>
      </c>
      <c r="BW31" s="50">
        <v>0.75</v>
      </c>
      <c r="BX31" s="50">
        <v>0.5</v>
      </c>
      <c r="BY31" s="50">
        <v>0.54166666666666663</v>
      </c>
      <c r="BZ31" s="46" t="str">
        <f t="shared" si="14"/>
        <v>8h</v>
      </c>
      <c r="CA31" s="47"/>
      <c r="CC31" s="22"/>
      <c r="CD31" s="40">
        <f t="shared" si="41"/>
        <v>46195</v>
      </c>
      <c r="CE31" s="41" t="str">
        <f t="shared" si="15"/>
        <v>月</v>
      </c>
      <c r="CF31" s="41" t="s">
        <v>1015</v>
      </c>
      <c r="CG31" s="48">
        <v>0.375</v>
      </c>
      <c r="CH31" s="48">
        <v>0.75</v>
      </c>
      <c r="CI31" s="49">
        <v>0.5</v>
      </c>
      <c r="CJ31" s="49">
        <v>0.54166666666666663</v>
      </c>
      <c r="CK31" s="44" t="str">
        <f t="shared" si="16"/>
        <v>8h</v>
      </c>
      <c r="CL31" s="50">
        <v>0.375</v>
      </c>
      <c r="CM31" s="50">
        <v>0.75</v>
      </c>
      <c r="CN31" s="50">
        <v>0.5</v>
      </c>
      <c r="CO31" s="50">
        <v>0.54166666666666663</v>
      </c>
      <c r="CP31" s="46" t="str">
        <f t="shared" si="17"/>
        <v>8h</v>
      </c>
      <c r="CQ31" s="47"/>
      <c r="CS31" s="22"/>
      <c r="CT31" s="40">
        <f t="shared" si="42"/>
        <v>46225</v>
      </c>
      <c r="CU31" s="41" t="str">
        <f t="shared" si="18"/>
        <v>水</v>
      </c>
      <c r="CV31" s="41" t="s">
        <v>1015</v>
      </c>
      <c r="CW31" s="48">
        <v>0.375</v>
      </c>
      <c r="CX31" s="48">
        <v>0.75</v>
      </c>
      <c r="CY31" s="49">
        <v>0.5</v>
      </c>
      <c r="CZ31" s="49">
        <v>0.54166666666666663</v>
      </c>
      <c r="DA31" s="44" t="str">
        <f t="shared" si="19"/>
        <v>8h</v>
      </c>
      <c r="DB31" s="50">
        <v>0.375</v>
      </c>
      <c r="DC31" s="50">
        <v>0.75</v>
      </c>
      <c r="DD31" s="50">
        <v>0.5</v>
      </c>
      <c r="DE31" s="50">
        <v>0.54166666666666663</v>
      </c>
      <c r="DF31" s="46" t="str">
        <f t="shared" si="20"/>
        <v>8h</v>
      </c>
      <c r="DG31" s="47"/>
      <c r="DI31" s="22"/>
      <c r="DJ31" s="40">
        <f t="shared" si="43"/>
        <v>46256</v>
      </c>
      <c r="DK31" s="41" t="str">
        <f t="shared" si="21"/>
        <v>土</v>
      </c>
      <c r="DL31" s="41"/>
      <c r="DM31" s="42"/>
      <c r="DN31" s="42"/>
      <c r="DO31" s="43"/>
      <c r="DP31" s="43"/>
      <c r="DQ31" s="44" t="str">
        <f t="shared" si="22"/>
        <v/>
      </c>
      <c r="DR31" s="45"/>
      <c r="DS31" s="45"/>
      <c r="DT31" s="45"/>
      <c r="DU31" s="45"/>
      <c r="DV31" s="46" t="str">
        <f t="shared" si="23"/>
        <v/>
      </c>
      <c r="DW31" s="47"/>
      <c r="DY31" s="22"/>
      <c r="DZ31" s="40">
        <f t="shared" si="44"/>
        <v>46287</v>
      </c>
      <c r="EA31" s="41" t="str">
        <f t="shared" si="24"/>
        <v>火</v>
      </c>
      <c r="EB31" s="41" t="s">
        <v>1016</v>
      </c>
      <c r="EC31" s="42"/>
      <c r="ED31" s="42"/>
      <c r="EE31" s="43"/>
      <c r="EF31" s="43"/>
      <c r="EG31" s="44" t="str">
        <f t="shared" si="25"/>
        <v/>
      </c>
      <c r="EH31" s="45"/>
      <c r="EI31" s="45"/>
      <c r="EJ31" s="45"/>
      <c r="EK31" s="45"/>
      <c r="EL31" s="46" t="str">
        <f t="shared" si="26"/>
        <v/>
      </c>
      <c r="EM31" s="47"/>
      <c r="EO31" s="22"/>
      <c r="EP31" s="40">
        <f t="shared" si="45"/>
        <v>46317</v>
      </c>
      <c r="EQ31" s="41" t="str">
        <f t="shared" si="27"/>
        <v>木</v>
      </c>
      <c r="ER31" s="41" t="s">
        <v>1015</v>
      </c>
      <c r="ES31" s="48">
        <v>0.375</v>
      </c>
      <c r="ET31" s="48">
        <v>0.75</v>
      </c>
      <c r="EU31" s="49">
        <v>0.5</v>
      </c>
      <c r="EV31" s="49">
        <v>0.54166666666666663</v>
      </c>
      <c r="EW31" s="44" t="str">
        <f t="shared" si="28"/>
        <v>8h</v>
      </c>
      <c r="EX31" s="50">
        <v>0.375</v>
      </c>
      <c r="EY31" s="50">
        <v>0.75</v>
      </c>
      <c r="EZ31" s="50">
        <v>0.5</v>
      </c>
      <c r="FA31" s="50">
        <v>0.54166666666666663</v>
      </c>
      <c r="FB31" s="46" t="str">
        <f t="shared" si="29"/>
        <v>8h</v>
      </c>
      <c r="FC31" s="47"/>
      <c r="FE31" s="22"/>
      <c r="FF31" s="40">
        <f t="shared" si="46"/>
        <v>46348</v>
      </c>
      <c r="FG31" s="41" t="str">
        <f t="shared" si="30"/>
        <v>日</v>
      </c>
      <c r="FH31" s="41"/>
      <c r="FI31" s="42"/>
      <c r="FJ31" s="42"/>
      <c r="FK31" s="43"/>
      <c r="FL31" s="43"/>
      <c r="FM31" s="44" t="str">
        <f t="shared" si="31"/>
        <v/>
      </c>
      <c r="FN31" s="45"/>
      <c r="FO31" s="45"/>
      <c r="FP31" s="45"/>
      <c r="FQ31" s="45"/>
      <c r="FR31" s="46" t="str">
        <f t="shared" si="32"/>
        <v/>
      </c>
      <c r="FS31" s="47"/>
      <c r="FU31" s="22"/>
      <c r="FV31" s="40">
        <f t="shared" si="47"/>
        <v>46378</v>
      </c>
      <c r="FW31" s="41" t="str">
        <f t="shared" si="33"/>
        <v>火</v>
      </c>
      <c r="FX31" s="41" t="s">
        <v>1015</v>
      </c>
      <c r="FY31" s="48">
        <v>0.375</v>
      </c>
      <c r="FZ31" s="48">
        <v>0.75</v>
      </c>
      <c r="GA31" s="49">
        <v>0.5</v>
      </c>
      <c r="GB31" s="49">
        <v>0.54166666666666663</v>
      </c>
      <c r="GC31" s="44" t="str">
        <f t="shared" si="34"/>
        <v>8h</v>
      </c>
      <c r="GD31" s="50">
        <v>0.375</v>
      </c>
      <c r="GE31" s="50">
        <v>0.75</v>
      </c>
      <c r="GF31" s="50">
        <v>0.5</v>
      </c>
      <c r="GG31" s="50">
        <v>0.54166666666666663</v>
      </c>
      <c r="GH31" s="46" t="str">
        <f t="shared" si="35"/>
        <v>8h</v>
      </c>
      <c r="GI31" s="47"/>
    </row>
    <row r="32" spans="1:191" x14ac:dyDescent="0.45">
      <c r="A32" s="22"/>
      <c r="B32" s="40">
        <f t="shared" si="36"/>
        <v>46045</v>
      </c>
      <c r="C32" s="41" t="str">
        <f t="shared" si="0"/>
        <v>金</v>
      </c>
      <c r="D32" s="41" t="s">
        <v>1015</v>
      </c>
      <c r="E32" s="48">
        <v>0.375</v>
      </c>
      <c r="F32" s="48">
        <v>0.75</v>
      </c>
      <c r="G32" s="49">
        <v>0.5</v>
      </c>
      <c r="H32" s="49">
        <v>0.54166666666666663</v>
      </c>
      <c r="I32" s="44" t="str">
        <f t="shared" si="1"/>
        <v>8h</v>
      </c>
      <c r="J32" s="50">
        <v>0.375</v>
      </c>
      <c r="K32" s="50">
        <v>0.75</v>
      </c>
      <c r="L32" s="50">
        <v>0.5</v>
      </c>
      <c r="M32" s="50">
        <v>0.54166666666666663</v>
      </c>
      <c r="N32" s="46" t="str">
        <f t="shared" si="2"/>
        <v>8h</v>
      </c>
      <c r="O32" s="47"/>
      <c r="Q32" s="22"/>
      <c r="R32" s="40">
        <f t="shared" si="37"/>
        <v>46076</v>
      </c>
      <c r="S32" s="41" t="str">
        <f t="shared" si="3"/>
        <v>月</v>
      </c>
      <c r="T32" s="41" t="s">
        <v>1016</v>
      </c>
      <c r="U32" s="42"/>
      <c r="V32" s="42"/>
      <c r="W32" s="43"/>
      <c r="X32" s="43"/>
      <c r="Y32" s="44" t="str">
        <f t="shared" si="4"/>
        <v/>
      </c>
      <c r="Z32" s="45"/>
      <c r="AA32" s="45"/>
      <c r="AB32" s="45"/>
      <c r="AC32" s="45"/>
      <c r="AD32" s="46" t="str">
        <f t="shared" si="5"/>
        <v/>
      </c>
      <c r="AE32" s="47"/>
      <c r="AG32" s="22"/>
      <c r="AH32" s="40">
        <f t="shared" si="38"/>
        <v>46104</v>
      </c>
      <c r="AI32" s="41" t="str">
        <f t="shared" si="6"/>
        <v>月</v>
      </c>
      <c r="AJ32" s="41" t="s">
        <v>1015</v>
      </c>
      <c r="AK32" s="48">
        <v>0.375</v>
      </c>
      <c r="AL32" s="48">
        <v>0.75</v>
      </c>
      <c r="AM32" s="49">
        <v>0.5</v>
      </c>
      <c r="AN32" s="49">
        <v>0.54166666666666663</v>
      </c>
      <c r="AO32" s="44" t="str">
        <f t="shared" si="7"/>
        <v>8h</v>
      </c>
      <c r="AP32" s="50">
        <v>0.375</v>
      </c>
      <c r="AQ32" s="50">
        <v>0.75</v>
      </c>
      <c r="AR32" s="50">
        <v>0.5</v>
      </c>
      <c r="AS32" s="50">
        <v>0.54166666666666663</v>
      </c>
      <c r="AT32" s="46" t="str">
        <f t="shared" si="8"/>
        <v>8h</v>
      </c>
      <c r="AU32" s="47"/>
      <c r="AW32" s="22"/>
      <c r="AX32" s="40">
        <f t="shared" si="39"/>
        <v>46135</v>
      </c>
      <c r="AY32" s="41" t="str">
        <f t="shared" si="9"/>
        <v>木</v>
      </c>
      <c r="AZ32" s="41" t="s">
        <v>1015</v>
      </c>
      <c r="BA32" s="48">
        <v>0.375</v>
      </c>
      <c r="BB32" s="48">
        <v>0.75</v>
      </c>
      <c r="BC32" s="49">
        <v>0.5</v>
      </c>
      <c r="BD32" s="49">
        <v>0.54166666666666663</v>
      </c>
      <c r="BE32" s="44" t="str">
        <f t="shared" si="10"/>
        <v>8h</v>
      </c>
      <c r="BF32" s="50">
        <v>0.375</v>
      </c>
      <c r="BG32" s="50">
        <v>0.75</v>
      </c>
      <c r="BH32" s="50">
        <v>0.5</v>
      </c>
      <c r="BI32" s="50">
        <v>0.54166666666666663</v>
      </c>
      <c r="BJ32" s="46" t="str">
        <f t="shared" si="11"/>
        <v>8h</v>
      </c>
      <c r="BK32" s="47"/>
      <c r="BM32" s="22"/>
      <c r="BN32" s="40">
        <f t="shared" si="40"/>
        <v>46165</v>
      </c>
      <c r="BO32" s="41" t="str">
        <f t="shared" si="12"/>
        <v>土</v>
      </c>
      <c r="BP32" s="41"/>
      <c r="BQ32" s="42"/>
      <c r="BR32" s="42"/>
      <c r="BS32" s="43"/>
      <c r="BT32" s="43"/>
      <c r="BU32" s="44" t="str">
        <f t="shared" si="13"/>
        <v/>
      </c>
      <c r="BV32" s="45"/>
      <c r="BW32" s="45"/>
      <c r="BX32" s="45"/>
      <c r="BY32" s="45"/>
      <c r="BZ32" s="46" t="str">
        <f t="shared" si="14"/>
        <v/>
      </c>
      <c r="CA32" s="47"/>
      <c r="CC32" s="22"/>
      <c r="CD32" s="40">
        <f t="shared" si="41"/>
        <v>46196</v>
      </c>
      <c r="CE32" s="41" t="str">
        <f t="shared" si="15"/>
        <v>火</v>
      </c>
      <c r="CF32" s="41" t="s">
        <v>1015</v>
      </c>
      <c r="CG32" s="48">
        <v>0.375</v>
      </c>
      <c r="CH32" s="48">
        <v>0.75</v>
      </c>
      <c r="CI32" s="49">
        <v>0.5</v>
      </c>
      <c r="CJ32" s="49">
        <v>0.54166666666666663</v>
      </c>
      <c r="CK32" s="44" t="str">
        <f t="shared" si="16"/>
        <v>8h</v>
      </c>
      <c r="CL32" s="50">
        <v>0.375</v>
      </c>
      <c r="CM32" s="50">
        <v>0.75</v>
      </c>
      <c r="CN32" s="50">
        <v>0.5</v>
      </c>
      <c r="CO32" s="50">
        <v>0.54166666666666663</v>
      </c>
      <c r="CP32" s="46" t="str">
        <f t="shared" si="17"/>
        <v>8h</v>
      </c>
      <c r="CQ32" s="47"/>
      <c r="CS32" s="22"/>
      <c r="CT32" s="40">
        <f t="shared" si="42"/>
        <v>46226</v>
      </c>
      <c r="CU32" s="41" t="str">
        <f t="shared" si="18"/>
        <v>木</v>
      </c>
      <c r="CV32" s="41" t="s">
        <v>1015</v>
      </c>
      <c r="CW32" s="48">
        <v>0.375</v>
      </c>
      <c r="CX32" s="48">
        <v>0.75</v>
      </c>
      <c r="CY32" s="49">
        <v>0.5</v>
      </c>
      <c r="CZ32" s="49">
        <v>0.54166666666666663</v>
      </c>
      <c r="DA32" s="44" t="str">
        <f t="shared" si="19"/>
        <v>8h</v>
      </c>
      <c r="DB32" s="50">
        <v>0.375</v>
      </c>
      <c r="DC32" s="50">
        <v>0.75</v>
      </c>
      <c r="DD32" s="50">
        <v>0.5</v>
      </c>
      <c r="DE32" s="50">
        <v>0.54166666666666663</v>
      </c>
      <c r="DF32" s="46" t="str">
        <f t="shared" si="20"/>
        <v>8h</v>
      </c>
      <c r="DG32" s="47"/>
      <c r="DI32" s="22"/>
      <c r="DJ32" s="40">
        <f t="shared" si="43"/>
        <v>46257</v>
      </c>
      <c r="DK32" s="41" t="str">
        <f t="shared" si="21"/>
        <v>日</v>
      </c>
      <c r="DL32" s="41"/>
      <c r="DM32" s="42"/>
      <c r="DN32" s="42"/>
      <c r="DO32" s="43"/>
      <c r="DP32" s="43"/>
      <c r="DQ32" s="44" t="str">
        <f t="shared" si="22"/>
        <v/>
      </c>
      <c r="DR32" s="45"/>
      <c r="DS32" s="45"/>
      <c r="DT32" s="45"/>
      <c r="DU32" s="45"/>
      <c r="DV32" s="46" t="str">
        <f t="shared" si="23"/>
        <v/>
      </c>
      <c r="DW32" s="47"/>
      <c r="DY32" s="22"/>
      <c r="DZ32" s="40">
        <f t="shared" si="44"/>
        <v>46288</v>
      </c>
      <c r="EA32" s="41" t="str">
        <f t="shared" si="24"/>
        <v>水</v>
      </c>
      <c r="EB32" s="41" t="s">
        <v>1016</v>
      </c>
      <c r="EC32" s="42"/>
      <c r="ED32" s="42"/>
      <c r="EE32" s="43"/>
      <c r="EF32" s="43"/>
      <c r="EG32" s="44" t="str">
        <f t="shared" si="25"/>
        <v/>
      </c>
      <c r="EH32" s="45"/>
      <c r="EI32" s="45"/>
      <c r="EJ32" s="45"/>
      <c r="EK32" s="45"/>
      <c r="EL32" s="46" t="str">
        <f t="shared" si="26"/>
        <v/>
      </c>
      <c r="EM32" s="47"/>
      <c r="EO32" s="22"/>
      <c r="EP32" s="40">
        <f t="shared" si="45"/>
        <v>46318</v>
      </c>
      <c r="EQ32" s="41" t="str">
        <f t="shared" si="27"/>
        <v>金</v>
      </c>
      <c r="ER32" s="41" t="s">
        <v>1015</v>
      </c>
      <c r="ES32" s="48">
        <v>0.375</v>
      </c>
      <c r="ET32" s="48">
        <v>0.75</v>
      </c>
      <c r="EU32" s="49">
        <v>0.5</v>
      </c>
      <c r="EV32" s="49">
        <v>0.54166666666666663</v>
      </c>
      <c r="EW32" s="44" t="str">
        <f t="shared" si="28"/>
        <v>8h</v>
      </c>
      <c r="EX32" s="50">
        <v>0.375</v>
      </c>
      <c r="EY32" s="50">
        <v>0.75</v>
      </c>
      <c r="EZ32" s="50">
        <v>0.5</v>
      </c>
      <c r="FA32" s="50">
        <v>0.54166666666666663</v>
      </c>
      <c r="FB32" s="46" t="str">
        <f t="shared" si="29"/>
        <v>8h</v>
      </c>
      <c r="FC32" s="47"/>
      <c r="FE32" s="22"/>
      <c r="FF32" s="40">
        <f t="shared" si="46"/>
        <v>46349</v>
      </c>
      <c r="FG32" s="41" t="str">
        <f t="shared" si="30"/>
        <v>月</v>
      </c>
      <c r="FH32" s="41" t="s">
        <v>1016</v>
      </c>
      <c r="FI32" s="42"/>
      <c r="FJ32" s="42"/>
      <c r="FK32" s="43"/>
      <c r="FL32" s="43"/>
      <c r="FM32" s="44" t="str">
        <f t="shared" si="31"/>
        <v/>
      </c>
      <c r="FN32" s="45"/>
      <c r="FO32" s="45"/>
      <c r="FP32" s="45"/>
      <c r="FQ32" s="45"/>
      <c r="FR32" s="46" t="str">
        <f t="shared" si="32"/>
        <v/>
      </c>
      <c r="FS32" s="47"/>
      <c r="FU32" s="22"/>
      <c r="FV32" s="40">
        <f t="shared" si="47"/>
        <v>46379</v>
      </c>
      <c r="FW32" s="41" t="str">
        <f t="shared" si="33"/>
        <v>水</v>
      </c>
      <c r="FX32" s="41" t="s">
        <v>1015</v>
      </c>
      <c r="FY32" s="48">
        <v>0.375</v>
      </c>
      <c r="FZ32" s="48">
        <v>0.75</v>
      </c>
      <c r="GA32" s="49">
        <v>0.5</v>
      </c>
      <c r="GB32" s="49">
        <v>0.54166666666666663</v>
      </c>
      <c r="GC32" s="44" t="str">
        <f t="shared" si="34"/>
        <v>8h</v>
      </c>
      <c r="GD32" s="50">
        <v>0.375</v>
      </c>
      <c r="GE32" s="50">
        <v>0.75</v>
      </c>
      <c r="GF32" s="50">
        <v>0.5</v>
      </c>
      <c r="GG32" s="50">
        <v>0.54166666666666663</v>
      </c>
      <c r="GH32" s="46" t="str">
        <f t="shared" si="35"/>
        <v>8h</v>
      </c>
      <c r="GI32" s="47"/>
    </row>
    <row r="33" spans="1:191" x14ac:dyDescent="0.45">
      <c r="A33" s="22"/>
      <c r="B33" s="40">
        <f t="shared" si="36"/>
        <v>46046</v>
      </c>
      <c r="C33" s="41" t="str">
        <f t="shared" si="0"/>
        <v>土</v>
      </c>
      <c r="D33" s="41"/>
      <c r="E33" s="42"/>
      <c r="F33" s="42"/>
      <c r="G33" s="43"/>
      <c r="H33" s="43"/>
      <c r="I33" s="44" t="str">
        <f t="shared" si="1"/>
        <v/>
      </c>
      <c r="J33" s="45"/>
      <c r="K33" s="45"/>
      <c r="L33" s="45"/>
      <c r="M33" s="45"/>
      <c r="N33" s="46" t="str">
        <f t="shared" si="2"/>
        <v/>
      </c>
      <c r="O33" s="47"/>
      <c r="Q33" s="22"/>
      <c r="R33" s="40">
        <f t="shared" si="37"/>
        <v>46077</v>
      </c>
      <c r="S33" s="41" t="str">
        <f t="shared" si="3"/>
        <v>火</v>
      </c>
      <c r="T33" s="41" t="s">
        <v>1015</v>
      </c>
      <c r="U33" s="48">
        <v>0.375</v>
      </c>
      <c r="V33" s="48">
        <v>0.75</v>
      </c>
      <c r="W33" s="49">
        <v>0.5</v>
      </c>
      <c r="X33" s="49">
        <v>0.54166666666666663</v>
      </c>
      <c r="Y33" s="44" t="str">
        <f t="shared" si="4"/>
        <v>8h</v>
      </c>
      <c r="Z33" s="50">
        <v>0.375</v>
      </c>
      <c r="AA33" s="50">
        <v>0.75</v>
      </c>
      <c r="AB33" s="50">
        <v>0.5</v>
      </c>
      <c r="AC33" s="50">
        <v>0.54166666666666663</v>
      </c>
      <c r="AD33" s="46" t="str">
        <f t="shared" si="5"/>
        <v>8h</v>
      </c>
      <c r="AE33" s="47"/>
      <c r="AG33" s="22"/>
      <c r="AH33" s="40">
        <f t="shared" si="38"/>
        <v>46105</v>
      </c>
      <c r="AI33" s="41" t="str">
        <f t="shared" si="6"/>
        <v>火</v>
      </c>
      <c r="AJ33" s="41" t="s">
        <v>1015</v>
      </c>
      <c r="AK33" s="48">
        <v>0.375</v>
      </c>
      <c r="AL33" s="48">
        <v>0.75</v>
      </c>
      <c r="AM33" s="49">
        <v>0.5</v>
      </c>
      <c r="AN33" s="49">
        <v>0.54166666666666663</v>
      </c>
      <c r="AO33" s="44" t="str">
        <f t="shared" si="7"/>
        <v>8h</v>
      </c>
      <c r="AP33" s="50">
        <v>0.375</v>
      </c>
      <c r="AQ33" s="50">
        <v>0.75</v>
      </c>
      <c r="AR33" s="50">
        <v>0.5</v>
      </c>
      <c r="AS33" s="50">
        <v>0.54166666666666663</v>
      </c>
      <c r="AT33" s="46" t="str">
        <f t="shared" si="8"/>
        <v>8h</v>
      </c>
      <c r="AU33" s="47"/>
      <c r="AW33" s="22"/>
      <c r="AX33" s="40">
        <f t="shared" si="39"/>
        <v>46136</v>
      </c>
      <c r="AY33" s="41" t="str">
        <f t="shared" si="9"/>
        <v>金</v>
      </c>
      <c r="AZ33" s="41" t="s">
        <v>1015</v>
      </c>
      <c r="BA33" s="48">
        <v>0.375</v>
      </c>
      <c r="BB33" s="48">
        <v>0.75</v>
      </c>
      <c r="BC33" s="49">
        <v>0.5</v>
      </c>
      <c r="BD33" s="49">
        <v>0.54166666666666663</v>
      </c>
      <c r="BE33" s="44" t="str">
        <f t="shared" si="10"/>
        <v>8h</v>
      </c>
      <c r="BF33" s="50">
        <v>0.375</v>
      </c>
      <c r="BG33" s="50">
        <v>0.75</v>
      </c>
      <c r="BH33" s="50">
        <v>0.5</v>
      </c>
      <c r="BI33" s="50">
        <v>0.54166666666666663</v>
      </c>
      <c r="BJ33" s="46" t="str">
        <f t="shared" si="11"/>
        <v>8h</v>
      </c>
      <c r="BK33" s="47"/>
      <c r="BM33" s="22"/>
      <c r="BN33" s="40">
        <f t="shared" si="40"/>
        <v>46166</v>
      </c>
      <c r="BO33" s="41" t="str">
        <f t="shared" si="12"/>
        <v>日</v>
      </c>
      <c r="BP33" s="41"/>
      <c r="BQ33" s="42"/>
      <c r="BR33" s="42"/>
      <c r="BS33" s="43"/>
      <c r="BT33" s="43"/>
      <c r="BU33" s="44" t="str">
        <f t="shared" si="13"/>
        <v/>
      </c>
      <c r="BV33" s="45"/>
      <c r="BW33" s="45"/>
      <c r="BX33" s="45"/>
      <c r="BY33" s="45"/>
      <c r="BZ33" s="46" t="str">
        <f t="shared" si="14"/>
        <v/>
      </c>
      <c r="CA33" s="47"/>
      <c r="CC33" s="22"/>
      <c r="CD33" s="40">
        <f t="shared" si="41"/>
        <v>46197</v>
      </c>
      <c r="CE33" s="41" t="str">
        <f t="shared" si="15"/>
        <v>水</v>
      </c>
      <c r="CF33" s="41" t="s">
        <v>1015</v>
      </c>
      <c r="CG33" s="48">
        <v>0.375</v>
      </c>
      <c r="CH33" s="48">
        <v>0.75</v>
      </c>
      <c r="CI33" s="49">
        <v>0.5</v>
      </c>
      <c r="CJ33" s="49">
        <v>0.54166666666666663</v>
      </c>
      <c r="CK33" s="44" t="str">
        <f t="shared" si="16"/>
        <v>8h</v>
      </c>
      <c r="CL33" s="50">
        <v>0.375</v>
      </c>
      <c r="CM33" s="50">
        <v>0.75</v>
      </c>
      <c r="CN33" s="50">
        <v>0.5</v>
      </c>
      <c r="CO33" s="50">
        <v>0.54166666666666663</v>
      </c>
      <c r="CP33" s="46" t="str">
        <f t="shared" si="17"/>
        <v>8h</v>
      </c>
      <c r="CQ33" s="47"/>
      <c r="CS33" s="22"/>
      <c r="CT33" s="40">
        <f t="shared" si="42"/>
        <v>46227</v>
      </c>
      <c r="CU33" s="41" t="str">
        <f t="shared" si="18"/>
        <v>金</v>
      </c>
      <c r="CV33" s="41" t="s">
        <v>1015</v>
      </c>
      <c r="CW33" s="48">
        <v>0.375</v>
      </c>
      <c r="CX33" s="48">
        <v>0.75</v>
      </c>
      <c r="CY33" s="49">
        <v>0.5</v>
      </c>
      <c r="CZ33" s="49">
        <v>0.54166666666666663</v>
      </c>
      <c r="DA33" s="44" t="str">
        <f t="shared" si="19"/>
        <v>8h</v>
      </c>
      <c r="DB33" s="50">
        <v>0.375</v>
      </c>
      <c r="DC33" s="50">
        <v>0.75</v>
      </c>
      <c r="DD33" s="50">
        <v>0.5</v>
      </c>
      <c r="DE33" s="50">
        <v>0.54166666666666663</v>
      </c>
      <c r="DF33" s="46" t="str">
        <f t="shared" si="20"/>
        <v>8h</v>
      </c>
      <c r="DG33" s="47"/>
      <c r="DI33" s="22"/>
      <c r="DJ33" s="40">
        <f t="shared" si="43"/>
        <v>46258</v>
      </c>
      <c r="DK33" s="41" t="str">
        <f t="shared" si="21"/>
        <v>月</v>
      </c>
      <c r="DL33" s="41" t="s">
        <v>1015</v>
      </c>
      <c r="DM33" s="48">
        <v>0.375</v>
      </c>
      <c r="DN33" s="48">
        <v>0.75</v>
      </c>
      <c r="DO33" s="49">
        <v>0.5</v>
      </c>
      <c r="DP33" s="49">
        <v>0.54166666666666663</v>
      </c>
      <c r="DQ33" s="44" t="str">
        <f t="shared" si="22"/>
        <v>8h</v>
      </c>
      <c r="DR33" s="50">
        <v>0.375</v>
      </c>
      <c r="DS33" s="50">
        <v>0.75</v>
      </c>
      <c r="DT33" s="50">
        <v>0.5</v>
      </c>
      <c r="DU33" s="50">
        <v>0.54166666666666663</v>
      </c>
      <c r="DV33" s="46" t="str">
        <f t="shared" si="23"/>
        <v>8h</v>
      </c>
      <c r="DW33" s="47"/>
      <c r="DY33" s="22"/>
      <c r="DZ33" s="40">
        <f t="shared" si="44"/>
        <v>46289</v>
      </c>
      <c r="EA33" s="41" t="str">
        <f t="shared" si="24"/>
        <v>木</v>
      </c>
      <c r="EB33" s="41" t="s">
        <v>1015</v>
      </c>
      <c r="EC33" s="48">
        <v>0.375</v>
      </c>
      <c r="ED33" s="48">
        <v>0.75</v>
      </c>
      <c r="EE33" s="49">
        <v>0.5</v>
      </c>
      <c r="EF33" s="49">
        <v>0.54166666666666663</v>
      </c>
      <c r="EG33" s="44" t="str">
        <f t="shared" si="25"/>
        <v>8h</v>
      </c>
      <c r="EH33" s="50">
        <v>0.375</v>
      </c>
      <c r="EI33" s="50">
        <v>0.75</v>
      </c>
      <c r="EJ33" s="50">
        <v>0.5</v>
      </c>
      <c r="EK33" s="50">
        <v>0.54166666666666663</v>
      </c>
      <c r="EL33" s="46" t="str">
        <f t="shared" si="26"/>
        <v>8h</v>
      </c>
      <c r="EM33" s="47"/>
      <c r="EO33" s="22"/>
      <c r="EP33" s="40">
        <f t="shared" si="45"/>
        <v>46319</v>
      </c>
      <c r="EQ33" s="41" t="str">
        <f t="shared" si="27"/>
        <v>土</v>
      </c>
      <c r="ER33" s="41"/>
      <c r="ES33" s="42"/>
      <c r="ET33" s="42"/>
      <c r="EU33" s="43"/>
      <c r="EV33" s="43"/>
      <c r="EW33" s="44" t="str">
        <f t="shared" si="28"/>
        <v/>
      </c>
      <c r="EX33" s="45"/>
      <c r="EY33" s="45"/>
      <c r="EZ33" s="45"/>
      <c r="FA33" s="45"/>
      <c r="FB33" s="46" t="str">
        <f t="shared" si="29"/>
        <v/>
      </c>
      <c r="FC33" s="47"/>
      <c r="FE33" s="22"/>
      <c r="FF33" s="40">
        <f t="shared" si="46"/>
        <v>46350</v>
      </c>
      <c r="FG33" s="41" t="str">
        <f t="shared" si="30"/>
        <v>火</v>
      </c>
      <c r="FH33" s="41" t="s">
        <v>1015</v>
      </c>
      <c r="FI33" s="48">
        <v>0.375</v>
      </c>
      <c r="FJ33" s="48">
        <v>0.75</v>
      </c>
      <c r="FK33" s="49">
        <v>0.5</v>
      </c>
      <c r="FL33" s="49">
        <v>0.54166666666666663</v>
      </c>
      <c r="FM33" s="44" t="str">
        <f t="shared" si="31"/>
        <v>8h</v>
      </c>
      <c r="FN33" s="50">
        <v>0.375</v>
      </c>
      <c r="FO33" s="50">
        <v>0.75</v>
      </c>
      <c r="FP33" s="50">
        <v>0.5</v>
      </c>
      <c r="FQ33" s="50">
        <v>0.54166666666666663</v>
      </c>
      <c r="FR33" s="46" t="str">
        <f t="shared" si="32"/>
        <v>8h</v>
      </c>
      <c r="FS33" s="47"/>
      <c r="FU33" s="22"/>
      <c r="FV33" s="40">
        <f t="shared" si="47"/>
        <v>46380</v>
      </c>
      <c r="FW33" s="41" t="str">
        <f t="shared" si="33"/>
        <v>木</v>
      </c>
      <c r="FX33" s="41" t="s">
        <v>1015</v>
      </c>
      <c r="FY33" s="48">
        <v>0.375</v>
      </c>
      <c r="FZ33" s="48">
        <v>0.75</v>
      </c>
      <c r="GA33" s="49">
        <v>0.5</v>
      </c>
      <c r="GB33" s="49">
        <v>0.54166666666666663</v>
      </c>
      <c r="GC33" s="44" t="str">
        <f t="shared" si="34"/>
        <v>8h</v>
      </c>
      <c r="GD33" s="50">
        <v>0.375</v>
      </c>
      <c r="GE33" s="50">
        <v>0.75</v>
      </c>
      <c r="GF33" s="50">
        <v>0.5</v>
      </c>
      <c r="GG33" s="50">
        <v>0.54166666666666663</v>
      </c>
      <c r="GH33" s="46" t="str">
        <f t="shared" si="35"/>
        <v>8h</v>
      </c>
      <c r="GI33" s="47"/>
    </row>
    <row r="34" spans="1:191" x14ac:dyDescent="0.45">
      <c r="A34" s="22"/>
      <c r="B34" s="40">
        <f t="shared" si="36"/>
        <v>46047</v>
      </c>
      <c r="C34" s="41" t="str">
        <f t="shared" si="0"/>
        <v>日</v>
      </c>
      <c r="D34" s="41"/>
      <c r="E34" s="42"/>
      <c r="F34" s="42"/>
      <c r="G34" s="43"/>
      <c r="H34" s="43"/>
      <c r="I34" s="44" t="str">
        <f t="shared" si="1"/>
        <v/>
      </c>
      <c r="J34" s="45"/>
      <c r="K34" s="45"/>
      <c r="L34" s="45"/>
      <c r="M34" s="45"/>
      <c r="N34" s="46" t="str">
        <f t="shared" si="2"/>
        <v/>
      </c>
      <c r="O34" s="47"/>
      <c r="Q34" s="22"/>
      <c r="R34" s="40">
        <f t="shared" si="37"/>
        <v>46078</v>
      </c>
      <c r="S34" s="41" t="str">
        <f t="shared" si="3"/>
        <v>水</v>
      </c>
      <c r="T34" s="41" t="s">
        <v>1015</v>
      </c>
      <c r="U34" s="48">
        <v>0.375</v>
      </c>
      <c r="V34" s="48">
        <v>0.75</v>
      </c>
      <c r="W34" s="49">
        <v>0.5</v>
      </c>
      <c r="X34" s="49">
        <v>0.54166666666666663</v>
      </c>
      <c r="Y34" s="44" t="str">
        <f t="shared" si="4"/>
        <v>8h</v>
      </c>
      <c r="Z34" s="50">
        <v>0.375</v>
      </c>
      <c r="AA34" s="50">
        <v>0.75</v>
      </c>
      <c r="AB34" s="50">
        <v>0.5</v>
      </c>
      <c r="AC34" s="50">
        <v>0.54166666666666663</v>
      </c>
      <c r="AD34" s="46" t="str">
        <f t="shared" si="5"/>
        <v>8h</v>
      </c>
      <c r="AE34" s="47"/>
      <c r="AG34" s="22"/>
      <c r="AH34" s="40">
        <f t="shared" si="38"/>
        <v>46106</v>
      </c>
      <c r="AI34" s="41" t="str">
        <f t="shared" si="6"/>
        <v>水</v>
      </c>
      <c r="AJ34" s="41" t="s">
        <v>1015</v>
      </c>
      <c r="AK34" s="48">
        <v>0.375</v>
      </c>
      <c r="AL34" s="48">
        <v>0.75</v>
      </c>
      <c r="AM34" s="49">
        <v>0.5</v>
      </c>
      <c r="AN34" s="49">
        <v>0.54166666666666663</v>
      </c>
      <c r="AO34" s="44" t="str">
        <f t="shared" si="7"/>
        <v>8h</v>
      </c>
      <c r="AP34" s="50">
        <v>0.375</v>
      </c>
      <c r="AQ34" s="50">
        <v>0.75</v>
      </c>
      <c r="AR34" s="50">
        <v>0.5</v>
      </c>
      <c r="AS34" s="50">
        <v>0.54166666666666663</v>
      </c>
      <c r="AT34" s="46" t="str">
        <f t="shared" si="8"/>
        <v>8h</v>
      </c>
      <c r="AU34" s="47"/>
      <c r="AW34" s="22"/>
      <c r="AX34" s="40">
        <f t="shared" si="39"/>
        <v>46137</v>
      </c>
      <c r="AY34" s="41" t="str">
        <f t="shared" si="9"/>
        <v>土</v>
      </c>
      <c r="AZ34" s="41"/>
      <c r="BA34" s="42"/>
      <c r="BB34" s="42"/>
      <c r="BC34" s="43"/>
      <c r="BD34" s="43"/>
      <c r="BE34" s="44" t="str">
        <f t="shared" si="10"/>
        <v/>
      </c>
      <c r="BF34" s="45"/>
      <c r="BG34" s="45"/>
      <c r="BH34" s="45"/>
      <c r="BI34" s="45"/>
      <c r="BJ34" s="46" t="str">
        <f t="shared" si="11"/>
        <v/>
      </c>
      <c r="BK34" s="47"/>
      <c r="BM34" s="22"/>
      <c r="BN34" s="40">
        <f t="shared" si="40"/>
        <v>46167</v>
      </c>
      <c r="BO34" s="41" t="str">
        <f t="shared" si="12"/>
        <v>月</v>
      </c>
      <c r="BP34" s="41" t="s">
        <v>1015</v>
      </c>
      <c r="BQ34" s="48">
        <v>0.375</v>
      </c>
      <c r="BR34" s="48">
        <v>0.75</v>
      </c>
      <c r="BS34" s="49">
        <v>0.5</v>
      </c>
      <c r="BT34" s="49">
        <v>0.54166666666666663</v>
      </c>
      <c r="BU34" s="44" t="str">
        <f t="shared" si="13"/>
        <v>8h</v>
      </c>
      <c r="BV34" s="50">
        <v>0.375</v>
      </c>
      <c r="BW34" s="50">
        <v>0.75</v>
      </c>
      <c r="BX34" s="50">
        <v>0.5</v>
      </c>
      <c r="BY34" s="50">
        <v>0.54166666666666663</v>
      </c>
      <c r="BZ34" s="46" t="str">
        <f t="shared" si="14"/>
        <v>8h</v>
      </c>
      <c r="CA34" s="47"/>
      <c r="CC34" s="22"/>
      <c r="CD34" s="40">
        <f t="shared" si="41"/>
        <v>46198</v>
      </c>
      <c r="CE34" s="41" t="str">
        <f t="shared" si="15"/>
        <v>木</v>
      </c>
      <c r="CF34" s="41" t="s">
        <v>1015</v>
      </c>
      <c r="CG34" s="48">
        <v>0.375</v>
      </c>
      <c r="CH34" s="48">
        <v>0.75</v>
      </c>
      <c r="CI34" s="49">
        <v>0.5</v>
      </c>
      <c r="CJ34" s="49">
        <v>0.54166666666666663</v>
      </c>
      <c r="CK34" s="44" t="str">
        <f t="shared" si="16"/>
        <v>8h</v>
      </c>
      <c r="CL34" s="50">
        <v>0.375</v>
      </c>
      <c r="CM34" s="50">
        <v>0.75</v>
      </c>
      <c r="CN34" s="50">
        <v>0.5</v>
      </c>
      <c r="CO34" s="50">
        <v>0.54166666666666663</v>
      </c>
      <c r="CP34" s="46" t="str">
        <f t="shared" si="17"/>
        <v>8h</v>
      </c>
      <c r="CQ34" s="47"/>
      <c r="CS34" s="22"/>
      <c r="CT34" s="40">
        <f t="shared" si="42"/>
        <v>46228</v>
      </c>
      <c r="CU34" s="41" t="str">
        <f t="shared" si="18"/>
        <v>土</v>
      </c>
      <c r="CV34" s="41"/>
      <c r="CW34" s="42"/>
      <c r="CX34" s="42"/>
      <c r="CY34" s="43"/>
      <c r="CZ34" s="43"/>
      <c r="DA34" s="44" t="str">
        <f t="shared" si="19"/>
        <v/>
      </c>
      <c r="DB34" s="45"/>
      <c r="DC34" s="45"/>
      <c r="DD34" s="45"/>
      <c r="DE34" s="45"/>
      <c r="DF34" s="46" t="str">
        <f t="shared" si="20"/>
        <v/>
      </c>
      <c r="DG34" s="47"/>
      <c r="DI34" s="22"/>
      <c r="DJ34" s="40">
        <f t="shared" si="43"/>
        <v>46259</v>
      </c>
      <c r="DK34" s="41" t="str">
        <f t="shared" si="21"/>
        <v>火</v>
      </c>
      <c r="DL34" s="41" t="s">
        <v>1015</v>
      </c>
      <c r="DM34" s="48">
        <v>0.375</v>
      </c>
      <c r="DN34" s="48">
        <v>0.75</v>
      </c>
      <c r="DO34" s="49">
        <v>0.5</v>
      </c>
      <c r="DP34" s="49">
        <v>0.54166666666666663</v>
      </c>
      <c r="DQ34" s="44" t="str">
        <f t="shared" si="22"/>
        <v>8h</v>
      </c>
      <c r="DR34" s="50">
        <v>0.375</v>
      </c>
      <c r="DS34" s="50">
        <v>0.75</v>
      </c>
      <c r="DT34" s="50">
        <v>0.5</v>
      </c>
      <c r="DU34" s="50">
        <v>0.54166666666666663</v>
      </c>
      <c r="DV34" s="46" t="str">
        <f t="shared" si="23"/>
        <v>8h</v>
      </c>
      <c r="DW34" s="47"/>
      <c r="DY34" s="22"/>
      <c r="DZ34" s="40">
        <f t="shared" si="44"/>
        <v>46290</v>
      </c>
      <c r="EA34" s="41" t="str">
        <f t="shared" si="24"/>
        <v>金</v>
      </c>
      <c r="EB34" s="41" t="s">
        <v>1015</v>
      </c>
      <c r="EC34" s="48">
        <v>0.375</v>
      </c>
      <c r="ED34" s="48">
        <v>0.75</v>
      </c>
      <c r="EE34" s="49">
        <v>0.5</v>
      </c>
      <c r="EF34" s="49">
        <v>0.54166666666666663</v>
      </c>
      <c r="EG34" s="44" t="str">
        <f t="shared" si="25"/>
        <v>8h</v>
      </c>
      <c r="EH34" s="50">
        <v>0.375</v>
      </c>
      <c r="EI34" s="50">
        <v>0.75</v>
      </c>
      <c r="EJ34" s="50">
        <v>0.5</v>
      </c>
      <c r="EK34" s="50">
        <v>0.54166666666666663</v>
      </c>
      <c r="EL34" s="46" t="str">
        <f t="shared" si="26"/>
        <v>8h</v>
      </c>
      <c r="EM34" s="47"/>
      <c r="EO34" s="22"/>
      <c r="EP34" s="40">
        <f t="shared" si="45"/>
        <v>46320</v>
      </c>
      <c r="EQ34" s="41" t="str">
        <f t="shared" si="27"/>
        <v>日</v>
      </c>
      <c r="ER34" s="41"/>
      <c r="ES34" s="42"/>
      <c r="ET34" s="42"/>
      <c r="EU34" s="43"/>
      <c r="EV34" s="43"/>
      <c r="EW34" s="44" t="str">
        <f t="shared" si="28"/>
        <v/>
      </c>
      <c r="EX34" s="45"/>
      <c r="EY34" s="45"/>
      <c r="EZ34" s="45"/>
      <c r="FA34" s="45"/>
      <c r="FB34" s="46" t="str">
        <f t="shared" si="29"/>
        <v/>
      </c>
      <c r="FC34" s="47"/>
      <c r="FE34" s="22"/>
      <c r="FF34" s="40">
        <f t="shared" si="46"/>
        <v>46351</v>
      </c>
      <c r="FG34" s="41" t="str">
        <f t="shared" si="30"/>
        <v>水</v>
      </c>
      <c r="FH34" s="41" t="s">
        <v>1015</v>
      </c>
      <c r="FI34" s="48">
        <v>0.375</v>
      </c>
      <c r="FJ34" s="48">
        <v>0.75</v>
      </c>
      <c r="FK34" s="49">
        <v>0.5</v>
      </c>
      <c r="FL34" s="49">
        <v>0.54166666666666663</v>
      </c>
      <c r="FM34" s="44" t="str">
        <f t="shared" si="31"/>
        <v>8h</v>
      </c>
      <c r="FN34" s="50">
        <v>0.375</v>
      </c>
      <c r="FO34" s="50">
        <v>0.75</v>
      </c>
      <c r="FP34" s="50">
        <v>0.5</v>
      </c>
      <c r="FQ34" s="50">
        <v>0.54166666666666663</v>
      </c>
      <c r="FR34" s="46" t="str">
        <f t="shared" si="32"/>
        <v>8h</v>
      </c>
      <c r="FS34" s="47"/>
      <c r="FU34" s="22"/>
      <c r="FV34" s="40">
        <f t="shared" si="47"/>
        <v>46381</v>
      </c>
      <c r="FW34" s="41" t="str">
        <f t="shared" si="33"/>
        <v>金</v>
      </c>
      <c r="FX34" s="41" t="s">
        <v>1015</v>
      </c>
      <c r="FY34" s="48">
        <v>0.375</v>
      </c>
      <c r="FZ34" s="48">
        <v>0.75</v>
      </c>
      <c r="GA34" s="49">
        <v>0.5</v>
      </c>
      <c r="GB34" s="49">
        <v>0.54166666666666663</v>
      </c>
      <c r="GC34" s="44" t="str">
        <f t="shared" si="34"/>
        <v>8h</v>
      </c>
      <c r="GD34" s="50">
        <v>0.375</v>
      </c>
      <c r="GE34" s="50">
        <v>0.75</v>
      </c>
      <c r="GF34" s="50">
        <v>0.5</v>
      </c>
      <c r="GG34" s="50">
        <v>0.54166666666666663</v>
      </c>
      <c r="GH34" s="46" t="str">
        <f t="shared" si="35"/>
        <v>8h</v>
      </c>
      <c r="GI34" s="47"/>
    </row>
    <row r="35" spans="1:191" x14ac:dyDescent="0.45">
      <c r="A35" s="22"/>
      <c r="B35" s="40">
        <f t="shared" si="36"/>
        <v>46048</v>
      </c>
      <c r="C35" s="41" t="str">
        <f t="shared" si="0"/>
        <v>月</v>
      </c>
      <c r="D35" s="41" t="s">
        <v>1015</v>
      </c>
      <c r="E35" s="48">
        <v>0.375</v>
      </c>
      <c r="F35" s="48">
        <v>0.75</v>
      </c>
      <c r="G35" s="49">
        <v>0.5</v>
      </c>
      <c r="H35" s="49">
        <v>0.54166666666666663</v>
      </c>
      <c r="I35" s="44" t="str">
        <f t="shared" si="1"/>
        <v>8h</v>
      </c>
      <c r="J35" s="50">
        <v>0.375</v>
      </c>
      <c r="K35" s="50">
        <v>0.75</v>
      </c>
      <c r="L35" s="50">
        <v>0.5</v>
      </c>
      <c r="M35" s="50">
        <v>0.54166666666666663</v>
      </c>
      <c r="N35" s="46" t="str">
        <f t="shared" si="2"/>
        <v>8h</v>
      </c>
      <c r="O35" s="47"/>
      <c r="Q35" s="22"/>
      <c r="R35" s="40">
        <f t="shared" si="37"/>
        <v>46079</v>
      </c>
      <c r="S35" s="41" t="str">
        <f t="shared" si="3"/>
        <v>木</v>
      </c>
      <c r="T35" s="41" t="s">
        <v>1015</v>
      </c>
      <c r="U35" s="48">
        <v>0.375</v>
      </c>
      <c r="V35" s="48">
        <v>0.75</v>
      </c>
      <c r="W35" s="49">
        <v>0.5</v>
      </c>
      <c r="X35" s="49">
        <v>0.54166666666666663</v>
      </c>
      <c r="Y35" s="44" t="str">
        <f t="shared" si="4"/>
        <v>8h</v>
      </c>
      <c r="Z35" s="50">
        <v>0.375</v>
      </c>
      <c r="AA35" s="50">
        <v>0.75</v>
      </c>
      <c r="AB35" s="50">
        <v>0.5</v>
      </c>
      <c r="AC35" s="50">
        <v>0.54166666666666663</v>
      </c>
      <c r="AD35" s="46" t="str">
        <f t="shared" si="5"/>
        <v>8h</v>
      </c>
      <c r="AE35" s="47"/>
      <c r="AG35" s="22"/>
      <c r="AH35" s="40">
        <f t="shared" si="38"/>
        <v>46107</v>
      </c>
      <c r="AI35" s="41" t="str">
        <f t="shared" si="6"/>
        <v>木</v>
      </c>
      <c r="AJ35" s="41" t="s">
        <v>1015</v>
      </c>
      <c r="AK35" s="48">
        <v>0.375</v>
      </c>
      <c r="AL35" s="48">
        <v>0.75</v>
      </c>
      <c r="AM35" s="49">
        <v>0.5</v>
      </c>
      <c r="AN35" s="49">
        <v>0.54166666666666663</v>
      </c>
      <c r="AO35" s="44" t="str">
        <f t="shared" si="7"/>
        <v>8h</v>
      </c>
      <c r="AP35" s="50">
        <v>0.375</v>
      </c>
      <c r="AQ35" s="50">
        <v>0.75</v>
      </c>
      <c r="AR35" s="50">
        <v>0.5</v>
      </c>
      <c r="AS35" s="50">
        <v>0.54166666666666663</v>
      </c>
      <c r="AT35" s="46" t="str">
        <f t="shared" si="8"/>
        <v>8h</v>
      </c>
      <c r="AU35" s="47"/>
      <c r="AW35" s="22"/>
      <c r="AX35" s="40">
        <f t="shared" si="39"/>
        <v>46138</v>
      </c>
      <c r="AY35" s="41" t="str">
        <f t="shared" si="9"/>
        <v>日</v>
      </c>
      <c r="AZ35" s="41"/>
      <c r="BA35" s="42"/>
      <c r="BB35" s="42"/>
      <c r="BC35" s="43"/>
      <c r="BD35" s="43"/>
      <c r="BE35" s="44" t="str">
        <f t="shared" si="10"/>
        <v/>
      </c>
      <c r="BF35" s="45"/>
      <c r="BG35" s="45"/>
      <c r="BH35" s="45"/>
      <c r="BI35" s="45"/>
      <c r="BJ35" s="46" t="str">
        <f t="shared" si="11"/>
        <v/>
      </c>
      <c r="BK35" s="47"/>
      <c r="BM35" s="22"/>
      <c r="BN35" s="40">
        <f t="shared" si="40"/>
        <v>46168</v>
      </c>
      <c r="BO35" s="41" t="str">
        <f t="shared" si="12"/>
        <v>火</v>
      </c>
      <c r="BP35" s="41" t="s">
        <v>1015</v>
      </c>
      <c r="BQ35" s="48">
        <v>0.375</v>
      </c>
      <c r="BR35" s="48">
        <v>0.75</v>
      </c>
      <c r="BS35" s="49">
        <v>0.5</v>
      </c>
      <c r="BT35" s="49">
        <v>0.54166666666666663</v>
      </c>
      <c r="BU35" s="44" t="str">
        <f t="shared" si="13"/>
        <v>8h</v>
      </c>
      <c r="BV35" s="50">
        <v>0.375</v>
      </c>
      <c r="BW35" s="50">
        <v>0.75</v>
      </c>
      <c r="BX35" s="50">
        <v>0.5</v>
      </c>
      <c r="BY35" s="50">
        <v>0.54166666666666663</v>
      </c>
      <c r="BZ35" s="46" t="str">
        <f t="shared" si="14"/>
        <v>8h</v>
      </c>
      <c r="CA35" s="47"/>
      <c r="CC35" s="22"/>
      <c r="CD35" s="40">
        <f t="shared" si="41"/>
        <v>46199</v>
      </c>
      <c r="CE35" s="41" t="str">
        <f t="shared" si="15"/>
        <v>金</v>
      </c>
      <c r="CF35" s="41" t="s">
        <v>1015</v>
      </c>
      <c r="CG35" s="48">
        <v>0.375</v>
      </c>
      <c r="CH35" s="48">
        <v>0.75</v>
      </c>
      <c r="CI35" s="49">
        <v>0.5</v>
      </c>
      <c r="CJ35" s="49">
        <v>0.54166666666666663</v>
      </c>
      <c r="CK35" s="44" t="str">
        <f t="shared" si="16"/>
        <v>8h</v>
      </c>
      <c r="CL35" s="50">
        <v>0.375</v>
      </c>
      <c r="CM35" s="50">
        <v>0.75</v>
      </c>
      <c r="CN35" s="50">
        <v>0.5</v>
      </c>
      <c r="CO35" s="50">
        <v>0.54166666666666663</v>
      </c>
      <c r="CP35" s="46" t="str">
        <f t="shared" si="17"/>
        <v>8h</v>
      </c>
      <c r="CQ35" s="47"/>
      <c r="CS35" s="22"/>
      <c r="CT35" s="40">
        <f t="shared" si="42"/>
        <v>46229</v>
      </c>
      <c r="CU35" s="41" t="str">
        <f t="shared" si="18"/>
        <v>日</v>
      </c>
      <c r="CV35" s="41"/>
      <c r="CW35" s="42"/>
      <c r="CX35" s="42"/>
      <c r="CY35" s="43"/>
      <c r="CZ35" s="43"/>
      <c r="DA35" s="44" t="str">
        <f t="shared" si="19"/>
        <v/>
      </c>
      <c r="DB35" s="45"/>
      <c r="DC35" s="45"/>
      <c r="DD35" s="45"/>
      <c r="DE35" s="45"/>
      <c r="DF35" s="46" t="str">
        <f t="shared" si="20"/>
        <v/>
      </c>
      <c r="DG35" s="47"/>
      <c r="DI35" s="22"/>
      <c r="DJ35" s="40">
        <f t="shared" si="43"/>
        <v>46260</v>
      </c>
      <c r="DK35" s="41" t="str">
        <f t="shared" si="21"/>
        <v>水</v>
      </c>
      <c r="DL35" s="41" t="s">
        <v>1015</v>
      </c>
      <c r="DM35" s="48">
        <v>0.375</v>
      </c>
      <c r="DN35" s="48">
        <v>0.75</v>
      </c>
      <c r="DO35" s="49">
        <v>0.5</v>
      </c>
      <c r="DP35" s="49">
        <v>0.54166666666666663</v>
      </c>
      <c r="DQ35" s="44" t="str">
        <f t="shared" si="22"/>
        <v>8h</v>
      </c>
      <c r="DR35" s="50">
        <v>0.375</v>
      </c>
      <c r="DS35" s="50">
        <v>0.75</v>
      </c>
      <c r="DT35" s="50">
        <v>0.5</v>
      </c>
      <c r="DU35" s="50">
        <v>0.54166666666666663</v>
      </c>
      <c r="DV35" s="46" t="str">
        <f t="shared" si="23"/>
        <v>8h</v>
      </c>
      <c r="DW35" s="47"/>
      <c r="DY35" s="22"/>
      <c r="DZ35" s="40">
        <f t="shared" si="44"/>
        <v>46291</v>
      </c>
      <c r="EA35" s="41" t="str">
        <f t="shared" si="24"/>
        <v>土</v>
      </c>
      <c r="EB35" s="41"/>
      <c r="EC35" s="42"/>
      <c r="ED35" s="42"/>
      <c r="EE35" s="43"/>
      <c r="EF35" s="43"/>
      <c r="EG35" s="44" t="str">
        <f t="shared" si="25"/>
        <v/>
      </c>
      <c r="EH35" s="45"/>
      <c r="EI35" s="45"/>
      <c r="EJ35" s="45"/>
      <c r="EK35" s="45"/>
      <c r="EL35" s="46" t="str">
        <f t="shared" si="26"/>
        <v/>
      </c>
      <c r="EM35" s="47"/>
      <c r="EO35" s="22"/>
      <c r="EP35" s="40">
        <f t="shared" si="45"/>
        <v>46321</v>
      </c>
      <c r="EQ35" s="41" t="str">
        <f t="shared" si="27"/>
        <v>月</v>
      </c>
      <c r="ER35" s="41" t="s">
        <v>1015</v>
      </c>
      <c r="ES35" s="48">
        <v>0.375</v>
      </c>
      <c r="ET35" s="48">
        <v>0.75</v>
      </c>
      <c r="EU35" s="49">
        <v>0.5</v>
      </c>
      <c r="EV35" s="49">
        <v>0.54166666666666663</v>
      </c>
      <c r="EW35" s="44" t="str">
        <f t="shared" si="28"/>
        <v>8h</v>
      </c>
      <c r="EX35" s="50">
        <v>0.375</v>
      </c>
      <c r="EY35" s="50">
        <v>0.75</v>
      </c>
      <c r="EZ35" s="50">
        <v>0.5</v>
      </c>
      <c r="FA35" s="50">
        <v>0.54166666666666663</v>
      </c>
      <c r="FB35" s="46" t="str">
        <f t="shared" si="29"/>
        <v>8h</v>
      </c>
      <c r="FC35" s="47"/>
      <c r="FE35" s="22"/>
      <c r="FF35" s="40">
        <f t="shared" si="46"/>
        <v>46352</v>
      </c>
      <c r="FG35" s="41" t="str">
        <f t="shared" si="30"/>
        <v>木</v>
      </c>
      <c r="FH35" s="41" t="s">
        <v>1015</v>
      </c>
      <c r="FI35" s="48">
        <v>0.375</v>
      </c>
      <c r="FJ35" s="48">
        <v>0.75</v>
      </c>
      <c r="FK35" s="49">
        <v>0.5</v>
      </c>
      <c r="FL35" s="49">
        <v>0.54166666666666663</v>
      </c>
      <c r="FM35" s="44" t="str">
        <f t="shared" si="31"/>
        <v>8h</v>
      </c>
      <c r="FN35" s="50">
        <v>0.375</v>
      </c>
      <c r="FO35" s="50">
        <v>0.75</v>
      </c>
      <c r="FP35" s="50">
        <v>0.5</v>
      </c>
      <c r="FQ35" s="50">
        <v>0.54166666666666663</v>
      </c>
      <c r="FR35" s="46" t="str">
        <f t="shared" si="32"/>
        <v>8h</v>
      </c>
      <c r="FS35" s="47"/>
      <c r="FU35" s="22"/>
      <c r="FV35" s="40">
        <f t="shared" si="47"/>
        <v>46382</v>
      </c>
      <c r="FW35" s="41" t="str">
        <f t="shared" si="33"/>
        <v>土</v>
      </c>
      <c r="FX35" s="41"/>
      <c r="FY35" s="42"/>
      <c r="FZ35" s="42"/>
      <c r="GA35" s="43"/>
      <c r="GB35" s="43"/>
      <c r="GC35" s="44" t="str">
        <f t="shared" si="34"/>
        <v/>
      </c>
      <c r="GD35" s="45"/>
      <c r="GE35" s="45"/>
      <c r="GF35" s="45"/>
      <c r="GG35" s="45"/>
      <c r="GH35" s="46" t="str">
        <f t="shared" si="35"/>
        <v/>
      </c>
      <c r="GI35" s="47"/>
    </row>
    <row r="36" spans="1:191" x14ac:dyDescent="0.45">
      <c r="A36" s="22"/>
      <c r="B36" s="40">
        <f t="shared" si="36"/>
        <v>46049</v>
      </c>
      <c r="C36" s="41" t="str">
        <f t="shared" si="0"/>
        <v>火</v>
      </c>
      <c r="D36" s="41" t="s">
        <v>1015</v>
      </c>
      <c r="E36" s="48">
        <v>0.375</v>
      </c>
      <c r="F36" s="48">
        <v>0.75</v>
      </c>
      <c r="G36" s="49">
        <v>0.5</v>
      </c>
      <c r="H36" s="49">
        <v>0.54166666666666663</v>
      </c>
      <c r="I36" s="44" t="str">
        <f t="shared" si="1"/>
        <v>8h</v>
      </c>
      <c r="J36" s="50">
        <v>0.375</v>
      </c>
      <c r="K36" s="50">
        <v>0.75</v>
      </c>
      <c r="L36" s="50">
        <v>0.5</v>
      </c>
      <c r="M36" s="50">
        <v>0.54166666666666663</v>
      </c>
      <c r="N36" s="46" t="str">
        <f t="shared" si="2"/>
        <v>8h</v>
      </c>
      <c r="O36" s="47"/>
      <c r="Q36" s="22"/>
      <c r="R36" s="40">
        <f t="shared" si="37"/>
        <v>46080</v>
      </c>
      <c r="S36" s="41" t="str">
        <f t="shared" si="3"/>
        <v>金</v>
      </c>
      <c r="T36" s="41" t="s">
        <v>1015</v>
      </c>
      <c r="U36" s="48">
        <v>0.375</v>
      </c>
      <c r="V36" s="48">
        <v>0.75</v>
      </c>
      <c r="W36" s="49">
        <v>0.5</v>
      </c>
      <c r="X36" s="49">
        <v>0.54166666666666663</v>
      </c>
      <c r="Y36" s="44" t="str">
        <f t="shared" si="4"/>
        <v>8h</v>
      </c>
      <c r="Z36" s="50">
        <v>0.375</v>
      </c>
      <c r="AA36" s="50">
        <v>0.75</v>
      </c>
      <c r="AB36" s="50">
        <v>0.5</v>
      </c>
      <c r="AC36" s="50">
        <v>0.54166666666666663</v>
      </c>
      <c r="AD36" s="46" t="str">
        <f t="shared" si="5"/>
        <v>8h</v>
      </c>
      <c r="AE36" s="47"/>
      <c r="AG36" s="22"/>
      <c r="AH36" s="40">
        <f t="shared" si="38"/>
        <v>46108</v>
      </c>
      <c r="AI36" s="41" t="str">
        <f t="shared" si="6"/>
        <v>金</v>
      </c>
      <c r="AJ36" s="41" t="s">
        <v>1015</v>
      </c>
      <c r="AK36" s="48">
        <v>0.375</v>
      </c>
      <c r="AL36" s="48">
        <v>0.75</v>
      </c>
      <c r="AM36" s="49">
        <v>0.5</v>
      </c>
      <c r="AN36" s="49">
        <v>0.54166666666666663</v>
      </c>
      <c r="AO36" s="44" t="str">
        <f t="shared" si="7"/>
        <v>8h</v>
      </c>
      <c r="AP36" s="50">
        <v>0.375</v>
      </c>
      <c r="AQ36" s="50">
        <v>0.75</v>
      </c>
      <c r="AR36" s="50">
        <v>0.5</v>
      </c>
      <c r="AS36" s="50">
        <v>0.54166666666666663</v>
      </c>
      <c r="AT36" s="46" t="str">
        <f t="shared" si="8"/>
        <v>8h</v>
      </c>
      <c r="AU36" s="47"/>
      <c r="AW36" s="22"/>
      <c r="AX36" s="40">
        <f t="shared" si="39"/>
        <v>46139</v>
      </c>
      <c r="AY36" s="41" t="str">
        <f t="shared" si="9"/>
        <v>月</v>
      </c>
      <c r="AZ36" s="41" t="s">
        <v>1015</v>
      </c>
      <c r="BA36" s="48">
        <v>0.375</v>
      </c>
      <c r="BB36" s="48">
        <v>0.75</v>
      </c>
      <c r="BC36" s="49">
        <v>0.5</v>
      </c>
      <c r="BD36" s="49">
        <v>0.54166666666666663</v>
      </c>
      <c r="BE36" s="44" t="str">
        <f t="shared" si="10"/>
        <v>8h</v>
      </c>
      <c r="BF36" s="50">
        <v>0.375</v>
      </c>
      <c r="BG36" s="50">
        <v>0.75</v>
      </c>
      <c r="BH36" s="50">
        <v>0.5</v>
      </c>
      <c r="BI36" s="50">
        <v>0.54166666666666663</v>
      </c>
      <c r="BJ36" s="46" t="str">
        <f t="shared" si="11"/>
        <v>8h</v>
      </c>
      <c r="BK36" s="47"/>
      <c r="BM36" s="22"/>
      <c r="BN36" s="40">
        <f t="shared" si="40"/>
        <v>46169</v>
      </c>
      <c r="BO36" s="41" t="str">
        <f t="shared" si="12"/>
        <v>水</v>
      </c>
      <c r="BP36" s="41" t="s">
        <v>1015</v>
      </c>
      <c r="BQ36" s="48">
        <v>0.375</v>
      </c>
      <c r="BR36" s="48">
        <v>0.75</v>
      </c>
      <c r="BS36" s="49">
        <v>0.5</v>
      </c>
      <c r="BT36" s="49">
        <v>0.54166666666666663</v>
      </c>
      <c r="BU36" s="44" t="str">
        <f t="shared" si="13"/>
        <v>8h</v>
      </c>
      <c r="BV36" s="50">
        <v>0.375</v>
      </c>
      <c r="BW36" s="50">
        <v>0.75</v>
      </c>
      <c r="BX36" s="50">
        <v>0.5</v>
      </c>
      <c r="BY36" s="50">
        <v>0.54166666666666663</v>
      </c>
      <c r="BZ36" s="46" t="str">
        <f t="shared" si="14"/>
        <v>8h</v>
      </c>
      <c r="CA36" s="47"/>
      <c r="CC36" s="22"/>
      <c r="CD36" s="40">
        <f t="shared" si="41"/>
        <v>46200</v>
      </c>
      <c r="CE36" s="41" t="str">
        <f t="shared" si="15"/>
        <v>土</v>
      </c>
      <c r="CF36" s="41"/>
      <c r="CG36" s="42"/>
      <c r="CH36" s="42"/>
      <c r="CI36" s="43"/>
      <c r="CJ36" s="43"/>
      <c r="CK36" s="44" t="str">
        <f t="shared" si="16"/>
        <v/>
      </c>
      <c r="CL36" s="45"/>
      <c r="CM36" s="45"/>
      <c r="CN36" s="45"/>
      <c r="CO36" s="45"/>
      <c r="CP36" s="46" t="str">
        <f t="shared" si="17"/>
        <v/>
      </c>
      <c r="CQ36" s="47"/>
      <c r="CS36" s="22"/>
      <c r="CT36" s="40">
        <f t="shared" si="42"/>
        <v>46230</v>
      </c>
      <c r="CU36" s="41" t="str">
        <f t="shared" si="18"/>
        <v>月</v>
      </c>
      <c r="CV36" s="41" t="s">
        <v>1015</v>
      </c>
      <c r="CW36" s="48">
        <v>0.375</v>
      </c>
      <c r="CX36" s="48">
        <v>0.75</v>
      </c>
      <c r="CY36" s="49">
        <v>0.5</v>
      </c>
      <c r="CZ36" s="49">
        <v>0.54166666666666663</v>
      </c>
      <c r="DA36" s="44" t="str">
        <f t="shared" si="19"/>
        <v>8h</v>
      </c>
      <c r="DB36" s="50">
        <v>0.375</v>
      </c>
      <c r="DC36" s="50">
        <v>0.75</v>
      </c>
      <c r="DD36" s="50">
        <v>0.5</v>
      </c>
      <c r="DE36" s="50">
        <v>0.54166666666666663</v>
      </c>
      <c r="DF36" s="46" t="str">
        <f t="shared" si="20"/>
        <v>8h</v>
      </c>
      <c r="DG36" s="47"/>
      <c r="DI36" s="22"/>
      <c r="DJ36" s="40">
        <f t="shared" si="43"/>
        <v>46261</v>
      </c>
      <c r="DK36" s="41" t="str">
        <f t="shared" si="21"/>
        <v>木</v>
      </c>
      <c r="DL36" s="41" t="s">
        <v>1015</v>
      </c>
      <c r="DM36" s="48">
        <v>0.375</v>
      </c>
      <c r="DN36" s="48">
        <v>0.75</v>
      </c>
      <c r="DO36" s="49">
        <v>0.5</v>
      </c>
      <c r="DP36" s="49">
        <v>0.54166666666666663</v>
      </c>
      <c r="DQ36" s="44" t="str">
        <f t="shared" si="22"/>
        <v>8h</v>
      </c>
      <c r="DR36" s="50">
        <v>0.375</v>
      </c>
      <c r="DS36" s="50">
        <v>0.75</v>
      </c>
      <c r="DT36" s="50">
        <v>0.5</v>
      </c>
      <c r="DU36" s="50">
        <v>0.54166666666666663</v>
      </c>
      <c r="DV36" s="46" t="str">
        <f t="shared" si="23"/>
        <v>8h</v>
      </c>
      <c r="DW36" s="47"/>
      <c r="DY36" s="22"/>
      <c r="DZ36" s="40">
        <f t="shared" si="44"/>
        <v>46292</v>
      </c>
      <c r="EA36" s="41" t="str">
        <f t="shared" si="24"/>
        <v>日</v>
      </c>
      <c r="EB36" s="41"/>
      <c r="EC36" s="42"/>
      <c r="ED36" s="42"/>
      <c r="EE36" s="43"/>
      <c r="EF36" s="43"/>
      <c r="EG36" s="44" t="str">
        <f t="shared" si="25"/>
        <v/>
      </c>
      <c r="EH36" s="45"/>
      <c r="EI36" s="45"/>
      <c r="EJ36" s="45"/>
      <c r="EK36" s="45"/>
      <c r="EL36" s="46" t="str">
        <f t="shared" si="26"/>
        <v/>
      </c>
      <c r="EM36" s="47"/>
      <c r="EO36" s="22"/>
      <c r="EP36" s="40">
        <f t="shared" si="45"/>
        <v>46322</v>
      </c>
      <c r="EQ36" s="41" t="str">
        <f t="shared" si="27"/>
        <v>火</v>
      </c>
      <c r="ER36" s="41" t="s">
        <v>1015</v>
      </c>
      <c r="ES36" s="48">
        <v>0.375</v>
      </c>
      <c r="ET36" s="48">
        <v>0.75</v>
      </c>
      <c r="EU36" s="49">
        <v>0.5</v>
      </c>
      <c r="EV36" s="49">
        <v>0.54166666666666663</v>
      </c>
      <c r="EW36" s="44" t="str">
        <f t="shared" si="28"/>
        <v>8h</v>
      </c>
      <c r="EX36" s="50">
        <v>0.375</v>
      </c>
      <c r="EY36" s="50">
        <v>0.75</v>
      </c>
      <c r="EZ36" s="50">
        <v>0.5</v>
      </c>
      <c r="FA36" s="50">
        <v>0.54166666666666663</v>
      </c>
      <c r="FB36" s="46" t="str">
        <f t="shared" si="29"/>
        <v>8h</v>
      </c>
      <c r="FC36" s="47"/>
      <c r="FE36" s="22"/>
      <c r="FF36" s="40">
        <f t="shared" si="46"/>
        <v>46353</v>
      </c>
      <c r="FG36" s="41" t="str">
        <f t="shared" si="30"/>
        <v>金</v>
      </c>
      <c r="FH36" s="41" t="s">
        <v>1015</v>
      </c>
      <c r="FI36" s="48">
        <v>0.375</v>
      </c>
      <c r="FJ36" s="48">
        <v>0.75</v>
      </c>
      <c r="FK36" s="49">
        <v>0.5</v>
      </c>
      <c r="FL36" s="49">
        <v>0.54166666666666663</v>
      </c>
      <c r="FM36" s="44" t="str">
        <f t="shared" si="31"/>
        <v>8h</v>
      </c>
      <c r="FN36" s="50">
        <v>0.375</v>
      </c>
      <c r="FO36" s="50">
        <v>0.75</v>
      </c>
      <c r="FP36" s="50">
        <v>0.5</v>
      </c>
      <c r="FQ36" s="50">
        <v>0.54166666666666663</v>
      </c>
      <c r="FR36" s="46" t="str">
        <f t="shared" si="32"/>
        <v>8h</v>
      </c>
      <c r="FS36" s="47"/>
      <c r="FU36" s="22"/>
      <c r="FV36" s="40">
        <f t="shared" si="47"/>
        <v>46383</v>
      </c>
      <c r="FW36" s="41" t="str">
        <f t="shared" si="33"/>
        <v>日</v>
      </c>
      <c r="FX36" s="41"/>
      <c r="FY36" s="42"/>
      <c r="FZ36" s="42"/>
      <c r="GA36" s="43"/>
      <c r="GB36" s="43"/>
      <c r="GC36" s="44" t="str">
        <f t="shared" si="34"/>
        <v/>
      </c>
      <c r="GD36" s="45"/>
      <c r="GE36" s="45"/>
      <c r="GF36" s="45"/>
      <c r="GG36" s="45"/>
      <c r="GH36" s="46" t="str">
        <f t="shared" si="35"/>
        <v/>
      </c>
      <c r="GI36" s="47"/>
    </row>
    <row r="37" spans="1:191" x14ac:dyDescent="0.45">
      <c r="A37" s="22"/>
      <c r="B37" s="40">
        <f t="shared" si="36"/>
        <v>46050</v>
      </c>
      <c r="C37" s="41" t="str">
        <f t="shared" si="0"/>
        <v>水</v>
      </c>
      <c r="D37" s="41" t="s">
        <v>1015</v>
      </c>
      <c r="E37" s="48">
        <v>0.375</v>
      </c>
      <c r="F37" s="48">
        <v>0.75</v>
      </c>
      <c r="G37" s="49">
        <v>0.5</v>
      </c>
      <c r="H37" s="49">
        <v>0.54166666666666663</v>
      </c>
      <c r="I37" s="44" t="str">
        <f t="shared" si="1"/>
        <v>8h</v>
      </c>
      <c r="J37" s="50">
        <v>0.375</v>
      </c>
      <c r="K37" s="50">
        <v>0.75</v>
      </c>
      <c r="L37" s="50">
        <v>0.5</v>
      </c>
      <c r="M37" s="50">
        <v>0.54166666666666663</v>
      </c>
      <c r="N37" s="46" t="str">
        <f t="shared" si="2"/>
        <v>8h</v>
      </c>
      <c r="O37" s="47"/>
      <c r="Q37" s="22"/>
      <c r="R37" s="40">
        <f t="shared" si="37"/>
        <v>46081</v>
      </c>
      <c r="S37" s="41" t="str">
        <f t="shared" si="3"/>
        <v>土</v>
      </c>
      <c r="T37" s="41"/>
      <c r="U37" s="42"/>
      <c r="V37" s="42"/>
      <c r="W37" s="43"/>
      <c r="X37" s="43"/>
      <c r="Y37" s="44" t="str">
        <f t="shared" si="4"/>
        <v/>
      </c>
      <c r="Z37" s="45"/>
      <c r="AA37" s="45"/>
      <c r="AB37" s="45"/>
      <c r="AC37" s="45"/>
      <c r="AD37" s="46" t="str">
        <f t="shared" si="5"/>
        <v/>
      </c>
      <c r="AE37" s="47"/>
      <c r="AG37" s="22"/>
      <c r="AH37" s="40">
        <f t="shared" si="38"/>
        <v>46109</v>
      </c>
      <c r="AI37" s="41" t="str">
        <f t="shared" si="6"/>
        <v>土</v>
      </c>
      <c r="AJ37" s="41"/>
      <c r="AK37" s="42"/>
      <c r="AL37" s="42"/>
      <c r="AM37" s="43"/>
      <c r="AN37" s="43"/>
      <c r="AO37" s="44" t="str">
        <f t="shared" si="7"/>
        <v/>
      </c>
      <c r="AP37" s="45"/>
      <c r="AQ37" s="45"/>
      <c r="AR37" s="45"/>
      <c r="AS37" s="45"/>
      <c r="AT37" s="46" t="str">
        <f t="shared" si="8"/>
        <v/>
      </c>
      <c r="AU37" s="47"/>
      <c r="AW37" s="22"/>
      <c r="AX37" s="40">
        <f t="shared" si="39"/>
        <v>46140</v>
      </c>
      <c r="AY37" s="41" t="str">
        <f t="shared" si="9"/>
        <v>火</v>
      </c>
      <c r="AZ37" s="41" t="s">
        <v>1015</v>
      </c>
      <c r="BA37" s="48">
        <v>0.375</v>
      </c>
      <c r="BB37" s="48">
        <v>0.75</v>
      </c>
      <c r="BC37" s="49">
        <v>0.5</v>
      </c>
      <c r="BD37" s="49">
        <v>0.54166666666666663</v>
      </c>
      <c r="BE37" s="44" t="str">
        <f t="shared" si="10"/>
        <v>8h</v>
      </c>
      <c r="BF37" s="50">
        <v>0.375</v>
      </c>
      <c r="BG37" s="50">
        <v>0.75</v>
      </c>
      <c r="BH37" s="50">
        <v>0.5</v>
      </c>
      <c r="BI37" s="50">
        <v>0.54166666666666663</v>
      </c>
      <c r="BJ37" s="46" t="str">
        <f t="shared" si="11"/>
        <v>8h</v>
      </c>
      <c r="BK37" s="47"/>
      <c r="BM37" s="22"/>
      <c r="BN37" s="40">
        <f t="shared" si="40"/>
        <v>46170</v>
      </c>
      <c r="BO37" s="41" t="str">
        <f t="shared" si="12"/>
        <v>木</v>
      </c>
      <c r="BP37" s="41" t="s">
        <v>1015</v>
      </c>
      <c r="BQ37" s="48">
        <v>0.375</v>
      </c>
      <c r="BR37" s="48">
        <v>0.75</v>
      </c>
      <c r="BS37" s="49">
        <v>0.5</v>
      </c>
      <c r="BT37" s="49">
        <v>0.54166666666666663</v>
      </c>
      <c r="BU37" s="44" t="str">
        <f t="shared" si="13"/>
        <v>8h</v>
      </c>
      <c r="BV37" s="50">
        <v>0.375</v>
      </c>
      <c r="BW37" s="50">
        <v>0.75</v>
      </c>
      <c r="BX37" s="50">
        <v>0.5</v>
      </c>
      <c r="BY37" s="50">
        <v>0.54166666666666663</v>
      </c>
      <c r="BZ37" s="46" t="str">
        <f t="shared" si="14"/>
        <v>8h</v>
      </c>
      <c r="CA37" s="47"/>
      <c r="CC37" s="22"/>
      <c r="CD37" s="40">
        <f t="shared" si="41"/>
        <v>46201</v>
      </c>
      <c r="CE37" s="41" t="str">
        <f t="shared" si="15"/>
        <v>日</v>
      </c>
      <c r="CF37" s="41"/>
      <c r="CG37" s="42"/>
      <c r="CH37" s="42"/>
      <c r="CI37" s="43"/>
      <c r="CJ37" s="43"/>
      <c r="CK37" s="44" t="str">
        <f t="shared" si="16"/>
        <v/>
      </c>
      <c r="CL37" s="45"/>
      <c r="CM37" s="45"/>
      <c r="CN37" s="45"/>
      <c r="CO37" s="45"/>
      <c r="CP37" s="46" t="str">
        <f t="shared" si="17"/>
        <v/>
      </c>
      <c r="CQ37" s="47"/>
      <c r="CS37" s="22"/>
      <c r="CT37" s="40">
        <f t="shared" si="42"/>
        <v>46231</v>
      </c>
      <c r="CU37" s="41" t="str">
        <f t="shared" si="18"/>
        <v>火</v>
      </c>
      <c r="CV37" s="41" t="s">
        <v>1015</v>
      </c>
      <c r="CW37" s="48">
        <v>0.375</v>
      </c>
      <c r="CX37" s="48">
        <v>0.75</v>
      </c>
      <c r="CY37" s="49">
        <v>0.5</v>
      </c>
      <c r="CZ37" s="49">
        <v>0.54166666666666663</v>
      </c>
      <c r="DA37" s="44" t="str">
        <f t="shared" si="19"/>
        <v>8h</v>
      </c>
      <c r="DB37" s="50">
        <v>0.375</v>
      </c>
      <c r="DC37" s="50">
        <v>0.75</v>
      </c>
      <c r="DD37" s="50">
        <v>0.5</v>
      </c>
      <c r="DE37" s="50">
        <v>0.54166666666666663</v>
      </c>
      <c r="DF37" s="46" t="str">
        <f t="shared" si="20"/>
        <v>8h</v>
      </c>
      <c r="DG37" s="47"/>
      <c r="DI37" s="22"/>
      <c r="DJ37" s="40">
        <f t="shared" si="43"/>
        <v>46262</v>
      </c>
      <c r="DK37" s="41" t="str">
        <f t="shared" si="21"/>
        <v>金</v>
      </c>
      <c r="DL37" s="41" t="s">
        <v>1015</v>
      </c>
      <c r="DM37" s="48">
        <v>0.375</v>
      </c>
      <c r="DN37" s="48">
        <v>0.75</v>
      </c>
      <c r="DO37" s="49">
        <v>0.5</v>
      </c>
      <c r="DP37" s="49">
        <v>0.54166666666666663</v>
      </c>
      <c r="DQ37" s="44" t="str">
        <f t="shared" si="22"/>
        <v>8h</v>
      </c>
      <c r="DR37" s="50">
        <v>0.375</v>
      </c>
      <c r="DS37" s="50">
        <v>0.75</v>
      </c>
      <c r="DT37" s="50">
        <v>0.5</v>
      </c>
      <c r="DU37" s="50">
        <v>0.54166666666666663</v>
      </c>
      <c r="DV37" s="46" t="str">
        <f t="shared" si="23"/>
        <v>8h</v>
      </c>
      <c r="DW37" s="47"/>
      <c r="DY37" s="22"/>
      <c r="DZ37" s="40">
        <f t="shared" si="44"/>
        <v>46293</v>
      </c>
      <c r="EA37" s="41" t="str">
        <f t="shared" si="24"/>
        <v>月</v>
      </c>
      <c r="EB37" s="41" t="s">
        <v>1015</v>
      </c>
      <c r="EC37" s="48">
        <v>0.375</v>
      </c>
      <c r="ED37" s="48">
        <v>0.75</v>
      </c>
      <c r="EE37" s="49">
        <v>0.5</v>
      </c>
      <c r="EF37" s="49">
        <v>0.54166666666666663</v>
      </c>
      <c r="EG37" s="44" t="str">
        <f t="shared" si="25"/>
        <v>8h</v>
      </c>
      <c r="EH37" s="50">
        <v>0.375</v>
      </c>
      <c r="EI37" s="50">
        <v>0.75</v>
      </c>
      <c r="EJ37" s="50">
        <v>0.5</v>
      </c>
      <c r="EK37" s="50">
        <v>0.54166666666666663</v>
      </c>
      <c r="EL37" s="46" t="str">
        <f t="shared" si="26"/>
        <v>8h</v>
      </c>
      <c r="EM37" s="47"/>
      <c r="EO37" s="22"/>
      <c r="EP37" s="40">
        <f t="shared" si="45"/>
        <v>46323</v>
      </c>
      <c r="EQ37" s="41" t="str">
        <f t="shared" si="27"/>
        <v>水</v>
      </c>
      <c r="ER37" s="41" t="s">
        <v>1015</v>
      </c>
      <c r="ES37" s="48">
        <v>0.375</v>
      </c>
      <c r="ET37" s="48">
        <v>0.75</v>
      </c>
      <c r="EU37" s="49">
        <v>0.5</v>
      </c>
      <c r="EV37" s="49">
        <v>0.54166666666666663</v>
      </c>
      <c r="EW37" s="44" t="str">
        <f t="shared" si="28"/>
        <v>8h</v>
      </c>
      <c r="EX37" s="50">
        <v>0.375</v>
      </c>
      <c r="EY37" s="50">
        <v>0.75</v>
      </c>
      <c r="EZ37" s="50">
        <v>0.5</v>
      </c>
      <c r="FA37" s="50">
        <v>0.54166666666666663</v>
      </c>
      <c r="FB37" s="46" t="str">
        <f t="shared" si="29"/>
        <v>8h</v>
      </c>
      <c r="FC37" s="47"/>
      <c r="FE37" s="22"/>
      <c r="FF37" s="40">
        <f t="shared" si="46"/>
        <v>46354</v>
      </c>
      <c r="FG37" s="41" t="str">
        <f t="shared" si="30"/>
        <v>土</v>
      </c>
      <c r="FH37" s="41"/>
      <c r="FI37" s="42"/>
      <c r="FJ37" s="42"/>
      <c r="FK37" s="43"/>
      <c r="FL37" s="43"/>
      <c r="FM37" s="44" t="str">
        <f t="shared" si="31"/>
        <v/>
      </c>
      <c r="FN37" s="45"/>
      <c r="FO37" s="45"/>
      <c r="FP37" s="45"/>
      <c r="FQ37" s="45"/>
      <c r="FR37" s="46" t="str">
        <f t="shared" si="32"/>
        <v/>
      </c>
      <c r="FS37" s="47"/>
      <c r="FU37" s="22"/>
      <c r="FV37" s="40">
        <f t="shared" si="47"/>
        <v>46384</v>
      </c>
      <c r="FW37" s="41" t="str">
        <f t="shared" si="33"/>
        <v>月</v>
      </c>
      <c r="FX37" s="41" t="s">
        <v>1015</v>
      </c>
      <c r="FY37" s="48">
        <v>0.375</v>
      </c>
      <c r="FZ37" s="48">
        <v>0.75</v>
      </c>
      <c r="GA37" s="49">
        <v>0.5</v>
      </c>
      <c r="GB37" s="49">
        <v>0.54166666666666663</v>
      </c>
      <c r="GC37" s="44" t="str">
        <f t="shared" si="34"/>
        <v>8h</v>
      </c>
      <c r="GD37" s="50">
        <v>0.375</v>
      </c>
      <c r="GE37" s="50">
        <v>0.75</v>
      </c>
      <c r="GF37" s="50">
        <v>0.5</v>
      </c>
      <c r="GG37" s="50">
        <v>0.54166666666666663</v>
      </c>
      <c r="GH37" s="46" t="str">
        <f t="shared" si="35"/>
        <v>8h</v>
      </c>
      <c r="GI37" s="47"/>
    </row>
    <row r="38" spans="1:191" x14ac:dyDescent="0.45">
      <c r="A38" s="22"/>
      <c r="B38" s="40">
        <f t="shared" si="36"/>
        <v>46051</v>
      </c>
      <c r="C38" s="41" t="str">
        <f t="shared" si="0"/>
        <v>木</v>
      </c>
      <c r="D38" s="41" t="s">
        <v>1015</v>
      </c>
      <c r="E38" s="48">
        <v>0.375</v>
      </c>
      <c r="F38" s="48">
        <v>0.75</v>
      </c>
      <c r="G38" s="49">
        <v>0.5</v>
      </c>
      <c r="H38" s="49">
        <v>0.54166666666666663</v>
      </c>
      <c r="I38" s="44" t="str">
        <f t="shared" si="1"/>
        <v>8h</v>
      </c>
      <c r="J38" s="50">
        <v>0.375</v>
      </c>
      <c r="K38" s="50">
        <v>0.75</v>
      </c>
      <c r="L38" s="50">
        <v>0.5</v>
      </c>
      <c r="M38" s="50">
        <v>0.54166666666666663</v>
      </c>
      <c r="N38" s="46" t="str">
        <f t="shared" si="2"/>
        <v>8h</v>
      </c>
      <c r="O38" s="47"/>
      <c r="Q38" s="22"/>
      <c r="R38" s="40" t="str">
        <f t="shared" si="37"/>
        <v/>
      </c>
      <c r="S38" s="41" t="str">
        <f t="shared" si="3"/>
        <v/>
      </c>
      <c r="T38" s="41"/>
      <c r="U38" s="42"/>
      <c r="V38" s="42"/>
      <c r="W38" s="43"/>
      <c r="X38" s="43"/>
      <c r="Y38" s="44" t="str">
        <f t="shared" si="4"/>
        <v/>
      </c>
      <c r="Z38" s="45"/>
      <c r="AA38" s="45"/>
      <c r="AB38" s="45"/>
      <c r="AC38" s="45"/>
      <c r="AD38" s="46" t="str">
        <f t="shared" si="5"/>
        <v/>
      </c>
      <c r="AE38" s="47"/>
      <c r="AG38" s="22"/>
      <c r="AH38" s="40">
        <f t="shared" si="38"/>
        <v>46110</v>
      </c>
      <c r="AI38" s="41" t="str">
        <f t="shared" si="6"/>
        <v>日</v>
      </c>
      <c r="AJ38" s="41"/>
      <c r="AK38" s="42"/>
      <c r="AL38" s="42"/>
      <c r="AM38" s="43"/>
      <c r="AN38" s="43"/>
      <c r="AO38" s="44" t="str">
        <f t="shared" si="7"/>
        <v/>
      </c>
      <c r="AP38" s="45"/>
      <c r="AQ38" s="45"/>
      <c r="AR38" s="45"/>
      <c r="AS38" s="45"/>
      <c r="AT38" s="46" t="str">
        <f t="shared" si="8"/>
        <v/>
      </c>
      <c r="AU38" s="47"/>
      <c r="AW38" s="22"/>
      <c r="AX38" s="40">
        <f t="shared" si="39"/>
        <v>46141</v>
      </c>
      <c r="AY38" s="41" t="str">
        <f t="shared" si="9"/>
        <v>水</v>
      </c>
      <c r="AZ38" s="41" t="s">
        <v>1016</v>
      </c>
      <c r="BA38" s="42"/>
      <c r="BB38" s="42"/>
      <c r="BC38" s="43"/>
      <c r="BD38" s="43"/>
      <c r="BE38" s="44" t="str">
        <f t="shared" si="10"/>
        <v/>
      </c>
      <c r="BF38" s="45"/>
      <c r="BG38" s="45"/>
      <c r="BH38" s="45"/>
      <c r="BI38" s="45"/>
      <c r="BJ38" s="46" t="str">
        <f t="shared" si="11"/>
        <v/>
      </c>
      <c r="BK38" s="47"/>
      <c r="BM38" s="22"/>
      <c r="BN38" s="40">
        <f t="shared" si="40"/>
        <v>46171</v>
      </c>
      <c r="BO38" s="41" t="str">
        <f t="shared" si="12"/>
        <v>金</v>
      </c>
      <c r="BP38" s="41" t="s">
        <v>1015</v>
      </c>
      <c r="BQ38" s="48">
        <v>0.375</v>
      </c>
      <c r="BR38" s="48">
        <v>0.75</v>
      </c>
      <c r="BS38" s="49">
        <v>0.5</v>
      </c>
      <c r="BT38" s="49">
        <v>0.54166666666666663</v>
      </c>
      <c r="BU38" s="44" t="str">
        <f t="shared" si="13"/>
        <v>8h</v>
      </c>
      <c r="BV38" s="50">
        <v>0.375</v>
      </c>
      <c r="BW38" s="50">
        <v>0.75</v>
      </c>
      <c r="BX38" s="50">
        <v>0.5</v>
      </c>
      <c r="BY38" s="50">
        <v>0.54166666666666663</v>
      </c>
      <c r="BZ38" s="46" t="str">
        <f t="shared" si="14"/>
        <v>8h</v>
      </c>
      <c r="CA38" s="47"/>
      <c r="CC38" s="22"/>
      <c r="CD38" s="40">
        <f t="shared" si="41"/>
        <v>46202</v>
      </c>
      <c r="CE38" s="41" t="str">
        <f t="shared" si="15"/>
        <v>月</v>
      </c>
      <c r="CF38" s="41" t="s">
        <v>1015</v>
      </c>
      <c r="CG38" s="48">
        <v>0.375</v>
      </c>
      <c r="CH38" s="48">
        <v>0.75</v>
      </c>
      <c r="CI38" s="49">
        <v>0.5</v>
      </c>
      <c r="CJ38" s="49">
        <v>0.54166666666666663</v>
      </c>
      <c r="CK38" s="44" t="str">
        <f t="shared" si="16"/>
        <v>8h</v>
      </c>
      <c r="CL38" s="50">
        <v>0.375</v>
      </c>
      <c r="CM38" s="50">
        <v>0.75</v>
      </c>
      <c r="CN38" s="50">
        <v>0.5</v>
      </c>
      <c r="CO38" s="50">
        <v>0.54166666666666663</v>
      </c>
      <c r="CP38" s="46" t="str">
        <f t="shared" si="17"/>
        <v>8h</v>
      </c>
      <c r="CQ38" s="47"/>
      <c r="CS38" s="22"/>
      <c r="CT38" s="40">
        <f t="shared" si="42"/>
        <v>46232</v>
      </c>
      <c r="CU38" s="41" t="str">
        <f t="shared" si="18"/>
        <v>水</v>
      </c>
      <c r="CV38" s="41" t="s">
        <v>1015</v>
      </c>
      <c r="CW38" s="48">
        <v>0.375</v>
      </c>
      <c r="CX38" s="48">
        <v>0.75</v>
      </c>
      <c r="CY38" s="49">
        <v>0.5</v>
      </c>
      <c r="CZ38" s="49">
        <v>0.54166666666666663</v>
      </c>
      <c r="DA38" s="44" t="str">
        <f t="shared" si="19"/>
        <v>8h</v>
      </c>
      <c r="DB38" s="50">
        <v>0.375</v>
      </c>
      <c r="DC38" s="50">
        <v>0.75</v>
      </c>
      <c r="DD38" s="50">
        <v>0.5</v>
      </c>
      <c r="DE38" s="50">
        <v>0.54166666666666663</v>
      </c>
      <c r="DF38" s="46" t="str">
        <f t="shared" si="20"/>
        <v>8h</v>
      </c>
      <c r="DG38" s="47"/>
      <c r="DI38" s="22"/>
      <c r="DJ38" s="40">
        <f t="shared" si="43"/>
        <v>46263</v>
      </c>
      <c r="DK38" s="41" t="str">
        <f t="shared" si="21"/>
        <v>土</v>
      </c>
      <c r="DL38" s="41"/>
      <c r="DM38" s="42"/>
      <c r="DN38" s="42"/>
      <c r="DO38" s="43"/>
      <c r="DP38" s="43"/>
      <c r="DQ38" s="44" t="str">
        <f t="shared" si="22"/>
        <v/>
      </c>
      <c r="DR38" s="45"/>
      <c r="DS38" s="45"/>
      <c r="DT38" s="45"/>
      <c r="DU38" s="45"/>
      <c r="DV38" s="46" t="str">
        <f t="shared" si="23"/>
        <v/>
      </c>
      <c r="DW38" s="47"/>
      <c r="DY38" s="22"/>
      <c r="DZ38" s="40">
        <f t="shared" si="44"/>
        <v>46294</v>
      </c>
      <c r="EA38" s="41" t="str">
        <f t="shared" si="24"/>
        <v>火</v>
      </c>
      <c r="EB38" s="41" t="s">
        <v>1015</v>
      </c>
      <c r="EC38" s="48">
        <v>0.375</v>
      </c>
      <c r="ED38" s="48">
        <v>0.75</v>
      </c>
      <c r="EE38" s="49">
        <v>0.5</v>
      </c>
      <c r="EF38" s="49">
        <v>0.54166666666666663</v>
      </c>
      <c r="EG38" s="44" t="str">
        <f t="shared" si="25"/>
        <v>8h</v>
      </c>
      <c r="EH38" s="50">
        <v>0.375</v>
      </c>
      <c r="EI38" s="50">
        <v>0.75</v>
      </c>
      <c r="EJ38" s="50">
        <v>0.5</v>
      </c>
      <c r="EK38" s="50">
        <v>0.54166666666666663</v>
      </c>
      <c r="EL38" s="46" t="str">
        <f t="shared" si="26"/>
        <v>8h</v>
      </c>
      <c r="EM38" s="47"/>
      <c r="EO38" s="22"/>
      <c r="EP38" s="40">
        <f t="shared" si="45"/>
        <v>46324</v>
      </c>
      <c r="EQ38" s="41" t="str">
        <f t="shared" si="27"/>
        <v>木</v>
      </c>
      <c r="ER38" s="41" t="s">
        <v>1015</v>
      </c>
      <c r="ES38" s="48">
        <v>0.375</v>
      </c>
      <c r="ET38" s="48">
        <v>0.75</v>
      </c>
      <c r="EU38" s="49">
        <v>0.5</v>
      </c>
      <c r="EV38" s="49">
        <v>0.54166666666666663</v>
      </c>
      <c r="EW38" s="44" t="str">
        <f t="shared" si="28"/>
        <v>8h</v>
      </c>
      <c r="EX38" s="50">
        <v>0.375</v>
      </c>
      <c r="EY38" s="50">
        <v>0.75</v>
      </c>
      <c r="EZ38" s="50">
        <v>0.5</v>
      </c>
      <c r="FA38" s="50">
        <v>0.54166666666666663</v>
      </c>
      <c r="FB38" s="46" t="str">
        <f t="shared" si="29"/>
        <v>8h</v>
      </c>
      <c r="FC38" s="47"/>
      <c r="FE38" s="22"/>
      <c r="FF38" s="40">
        <f t="shared" si="46"/>
        <v>46355</v>
      </c>
      <c r="FG38" s="41" t="str">
        <f t="shared" si="30"/>
        <v>日</v>
      </c>
      <c r="FH38" s="41"/>
      <c r="FI38" s="42"/>
      <c r="FJ38" s="42"/>
      <c r="FK38" s="43"/>
      <c r="FL38" s="43"/>
      <c r="FM38" s="44" t="str">
        <f t="shared" si="31"/>
        <v/>
      </c>
      <c r="FN38" s="45"/>
      <c r="FO38" s="45"/>
      <c r="FP38" s="45"/>
      <c r="FQ38" s="45"/>
      <c r="FR38" s="46" t="str">
        <f t="shared" si="32"/>
        <v/>
      </c>
      <c r="FS38" s="47"/>
      <c r="FU38" s="22"/>
      <c r="FV38" s="40">
        <f t="shared" si="47"/>
        <v>46385</v>
      </c>
      <c r="FW38" s="41" t="str">
        <f t="shared" si="33"/>
        <v>火</v>
      </c>
      <c r="FX38" s="41"/>
      <c r="FY38" s="42"/>
      <c r="FZ38" s="42"/>
      <c r="GA38" s="43"/>
      <c r="GB38" s="43"/>
      <c r="GC38" s="44" t="str">
        <f t="shared" si="34"/>
        <v/>
      </c>
      <c r="GD38" s="45"/>
      <c r="GE38" s="45"/>
      <c r="GF38" s="45"/>
      <c r="GG38" s="45"/>
      <c r="GH38" s="46" t="str">
        <f t="shared" si="35"/>
        <v/>
      </c>
      <c r="GI38" s="47"/>
    </row>
    <row r="39" spans="1:191" x14ac:dyDescent="0.45">
      <c r="A39" s="22"/>
      <c r="B39" s="40">
        <f t="shared" si="36"/>
        <v>46052</v>
      </c>
      <c r="C39" s="41" t="str">
        <f t="shared" si="0"/>
        <v>金</v>
      </c>
      <c r="D39" s="41" t="s">
        <v>1015</v>
      </c>
      <c r="E39" s="48">
        <v>0.375</v>
      </c>
      <c r="F39" s="48">
        <v>0.75</v>
      </c>
      <c r="G39" s="49">
        <v>0.5</v>
      </c>
      <c r="H39" s="49">
        <v>0.54166666666666663</v>
      </c>
      <c r="I39" s="44" t="str">
        <f t="shared" si="1"/>
        <v>8h</v>
      </c>
      <c r="J39" s="50">
        <v>0.375</v>
      </c>
      <c r="K39" s="50">
        <v>0.75</v>
      </c>
      <c r="L39" s="50">
        <v>0.5</v>
      </c>
      <c r="M39" s="50">
        <v>0.54166666666666663</v>
      </c>
      <c r="N39" s="46" t="str">
        <f t="shared" si="2"/>
        <v>8h</v>
      </c>
      <c r="O39" s="47"/>
      <c r="Q39" s="22"/>
      <c r="R39" s="40" t="str">
        <f t="shared" si="37"/>
        <v/>
      </c>
      <c r="S39" s="41" t="str">
        <f t="shared" si="3"/>
        <v/>
      </c>
      <c r="T39" s="41"/>
      <c r="U39" s="42"/>
      <c r="V39" s="42"/>
      <c r="W39" s="43"/>
      <c r="X39" s="43"/>
      <c r="Y39" s="44" t="str">
        <f t="shared" si="4"/>
        <v/>
      </c>
      <c r="Z39" s="45"/>
      <c r="AA39" s="45"/>
      <c r="AB39" s="45"/>
      <c r="AC39" s="45"/>
      <c r="AD39" s="46" t="str">
        <f t="shared" si="5"/>
        <v/>
      </c>
      <c r="AE39" s="47"/>
      <c r="AG39" s="22"/>
      <c r="AH39" s="40">
        <f t="shared" si="38"/>
        <v>46111</v>
      </c>
      <c r="AI39" s="41" t="str">
        <f t="shared" si="6"/>
        <v>月</v>
      </c>
      <c r="AJ39" s="41" t="s">
        <v>1015</v>
      </c>
      <c r="AK39" s="48">
        <v>0.375</v>
      </c>
      <c r="AL39" s="48">
        <v>0.75</v>
      </c>
      <c r="AM39" s="49">
        <v>0.5</v>
      </c>
      <c r="AN39" s="49">
        <v>0.54166666666666663</v>
      </c>
      <c r="AO39" s="44" t="str">
        <f t="shared" si="7"/>
        <v>8h</v>
      </c>
      <c r="AP39" s="50">
        <v>0.375</v>
      </c>
      <c r="AQ39" s="50">
        <v>0.75</v>
      </c>
      <c r="AR39" s="50">
        <v>0.5</v>
      </c>
      <c r="AS39" s="50">
        <v>0.54166666666666663</v>
      </c>
      <c r="AT39" s="46" t="str">
        <f t="shared" si="8"/>
        <v>8h</v>
      </c>
      <c r="AU39" s="47"/>
      <c r="AW39" s="22"/>
      <c r="AX39" s="40">
        <f t="shared" si="39"/>
        <v>46142</v>
      </c>
      <c r="AY39" s="41" t="str">
        <f t="shared" si="9"/>
        <v>木</v>
      </c>
      <c r="AZ39" s="41" t="s">
        <v>1015</v>
      </c>
      <c r="BA39" s="48">
        <v>0.375</v>
      </c>
      <c r="BB39" s="48">
        <v>0.75</v>
      </c>
      <c r="BC39" s="49">
        <v>0.5</v>
      </c>
      <c r="BD39" s="49">
        <v>0.54166666666666663</v>
      </c>
      <c r="BE39" s="44" t="str">
        <f t="shared" si="10"/>
        <v>8h</v>
      </c>
      <c r="BF39" s="50">
        <v>0.375</v>
      </c>
      <c r="BG39" s="50">
        <v>0.75</v>
      </c>
      <c r="BH39" s="50">
        <v>0.5</v>
      </c>
      <c r="BI39" s="50">
        <v>0.54166666666666663</v>
      </c>
      <c r="BJ39" s="46" t="str">
        <f t="shared" si="11"/>
        <v>8h</v>
      </c>
      <c r="BK39" s="47"/>
      <c r="BM39" s="22"/>
      <c r="BN39" s="40">
        <f t="shared" si="40"/>
        <v>46172</v>
      </c>
      <c r="BO39" s="41" t="str">
        <f t="shared" si="12"/>
        <v>土</v>
      </c>
      <c r="BP39" s="41"/>
      <c r="BQ39" s="42"/>
      <c r="BR39" s="42"/>
      <c r="BS39" s="43"/>
      <c r="BT39" s="43"/>
      <c r="BU39" s="44" t="str">
        <f t="shared" si="13"/>
        <v/>
      </c>
      <c r="BV39" s="45"/>
      <c r="BW39" s="45"/>
      <c r="BX39" s="45"/>
      <c r="BY39" s="45"/>
      <c r="BZ39" s="46" t="str">
        <f t="shared" si="14"/>
        <v/>
      </c>
      <c r="CA39" s="47"/>
      <c r="CC39" s="22"/>
      <c r="CD39" s="40">
        <f t="shared" si="41"/>
        <v>46203</v>
      </c>
      <c r="CE39" s="41" t="str">
        <f t="shared" si="15"/>
        <v>火</v>
      </c>
      <c r="CF39" s="41" t="s">
        <v>1015</v>
      </c>
      <c r="CG39" s="48">
        <v>0.375</v>
      </c>
      <c r="CH39" s="48">
        <v>0.75</v>
      </c>
      <c r="CI39" s="49">
        <v>0.5</v>
      </c>
      <c r="CJ39" s="49">
        <v>0.54166666666666663</v>
      </c>
      <c r="CK39" s="44" t="str">
        <f t="shared" si="16"/>
        <v>8h</v>
      </c>
      <c r="CL39" s="50">
        <v>0.375</v>
      </c>
      <c r="CM39" s="50">
        <v>0.75</v>
      </c>
      <c r="CN39" s="50">
        <v>0.5</v>
      </c>
      <c r="CO39" s="50">
        <v>0.54166666666666663</v>
      </c>
      <c r="CP39" s="46" t="str">
        <f t="shared" si="17"/>
        <v>8h</v>
      </c>
      <c r="CQ39" s="47"/>
      <c r="CS39" s="22"/>
      <c r="CT39" s="40">
        <f t="shared" si="42"/>
        <v>46233</v>
      </c>
      <c r="CU39" s="41" t="str">
        <f t="shared" si="18"/>
        <v>木</v>
      </c>
      <c r="CV39" s="41" t="s">
        <v>1015</v>
      </c>
      <c r="CW39" s="48">
        <v>0.375</v>
      </c>
      <c r="CX39" s="48">
        <v>0.75</v>
      </c>
      <c r="CY39" s="49">
        <v>0.5</v>
      </c>
      <c r="CZ39" s="49">
        <v>0.54166666666666663</v>
      </c>
      <c r="DA39" s="44" t="str">
        <f t="shared" si="19"/>
        <v>8h</v>
      </c>
      <c r="DB39" s="50">
        <v>0.375</v>
      </c>
      <c r="DC39" s="50">
        <v>0.75</v>
      </c>
      <c r="DD39" s="50">
        <v>0.5</v>
      </c>
      <c r="DE39" s="50">
        <v>0.54166666666666663</v>
      </c>
      <c r="DF39" s="46" t="str">
        <f t="shared" si="20"/>
        <v>8h</v>
      </c>
      <c r="DG39" s="47"/>
      <c r="DI39" s="22"/>
      <c r="DJ39" s="40">
        <f t="shared" si="43"/>
        <v>46264</v>
      </c>
      <c r="DK39" s="41" t="str">
        <f t="shared" si="21"/>
        <v>日</v>
      </c>
      <c r="DL39" s="41"/>
      <c r="DM39" s="42"/>
      <c r="DN39" s="42"/>
      <c r="DO39" s="43"/>
      <c r="DP39" s="43"/>
      <c r="DQ39" s="44" t="str">
        <f t="shared" si="22"/>
        <v/>
      </c>
      <c r="DR39" s="45"/>
      <c r="DS39" s="45"/>
      <c r="DT39" s="45"/>
      <c r="DU39" s="45"/>
      <c r="DV39" s="46" t="str">
        <f t="shared" si="23"/>
        <v/>
      </c>
      <c r="DW39" s="47"/>
      <c r="DY39" s="22"/>
      <c r="DZ39" s="40">
        <f t="shared" si="44"/>
        <v>46295</v>
      </c>
      <c r="EA39" s="41" t="str">
        <f t="shared" si="24"/>
        <v>水</v>
      </c>
      <c r="EB39" s="41" t="s">
        <v>1015</v>
      </c>
      <c r="EC39" s="48">
        <v>0.375</v>
      </c>
      <c r="ED39" s="48">
        <v>0.75</v>
      </c>
      <c r="EE39" s="49">
        <v>0.5</v>
      </c>
      <c r="EF39" s="49">
        <v>0.54166666666666663</v>
      </c>
      <c r="EG39" s="44" t="str">
        <f t="shared" si="25"/>
        <v>8h</v>
      </c>
      <c r="EH39" s="50">
        <v>0.375</v>
      </c>
      <c r="EI39" s="50">
        <v>0.75</v>
      </c>
      <c r="EJ39" s="50">
        <v>0.5</v>
      </c>
      <c r="EK39" s="50">
        <v>0.54166666666666663</v>
      </c>
      <c r="EL39" s="46" t="str">
        <f t="shared" si="26"/>
        <v>8h</v>
      </c>
      <c r="EM39" s="47"/>
      <c r="EO39" s="22"/>
      <c r="EP39" s="40">
        <f t="shared" si="45"/>
        <v>46325</v>
      </c>
      <c r="EQ39" s="41" t="str">
        <f t="shared" si="27"/>
        <v>金</v>
      </c>
      <c r="ER39" s="41" t="s">
        <v>1015</v>
      </c>
      <c r="ES39" s="48">
        <v>0.375</v>
      </c>
      <c r="ET39" s="48">
        <v>0.75</v>
      </c>
      <c r="EU39" s="49">
        <v>0.5</v>
      </c>
      <c r="EV39" s="49">
        <v>0.54166666666666663</v>
      </c>
      <c r="EW39" s="44" t="str">
        <f t="shared" si="28"/>
        <v>8h</v>
      </c>
      <c r="EX39" s="50">
        <v>0.375</v>
      </c>
      <c r="EY39" s="50">
        <v>0.75</v>
      </c>
      <c r="EZ39" s="50">
        <v>0.5</v>
      </c>
      <c r="FA39" s="50">
        <v>0.54166666666666663</v>
      </c>
      <c r="FB39" s="46" t="str">
        <f t="shared" si="29"/>
        <v>8h</v>
      </c>
      <c r="FC39" s="47"/>
      <c r="FE39" s="22"/>
      <c r="FF39" s="40">
        <f t="shared" si="46"/>
        <v>46356</v>
      </c>
      <c r="FG39" s="41" t="str">
        <f t="shared" si="30"/>
        <v>月</v>
      </c>
      <c r="FH39" s="41" t="s">
        <v>1015</v>
      </c>
      <c r="FI39" s="48">
        <v>0.375</v>
      </c>
      <c r="FJ39" s="48">
        <v>0.75</v>
      </c>
      <c r="FK39" s="49">
        <v>0.5</v>
      </c>
      <c r="FL39" s="49">
        <v>0.54166666666666663</v>
      </c>
      <c r="FM39" s="44" t="str">
        <f t="shared" si="31"/>
        <v>8h</v>
      </c>
      <c r="FN39" s="50">
        <v>0.375</v>
      </c>
      <c r="FO39" s="50">
        <v>0.75</v>
      </c>
      <c r="FP39" s="50">
        <v>0.5</v>
      </c>
      <c r="FQ39" s="50">
        <v>0.54166666666666663</v>
      </c>
      <c r="FR39" s="46" t="str">
        <f t="shared" si="32"/>
        <v>8h</v>
      </c>
      <c r="FS39" s="47"/>
      <c r="FU39" s="22"/>
      <c r="FV39" s="40">
        <f t="shared" si="47"/>
        <v>46386</v>
      </c>
      <c r="FW39" s="41" t="str">
        <f t="shared" si="33"/>
        <v>水</v>
      </c>
      <c r="FX39" s="41"/>
      <c r="FY39" s="42"/>
      <c r="FZ39" s="42"/>
      <c r="GA39" s="43"/>
      <c r="GB39" s="43"/>
      <c r="GC39" s="44" t="str">
        <f t="shared" si="34"/>
        <v/>
      </c>
      <c r="GD39" s="45"/>
      <c r="GE39" s="45"/>
      <c r="GF39" s="45"/>
      <c r="GG39" s="45"/>
      <c r="GH39" s="46" t="str">
        <f t="shared" si="35"/>
        <v/>
      </c>
      <c r="GI39" s="47"/>
    </row>
    <row r="40" spans="1:191" x14ac:dyDescent="0.45">
      <c r="A40" s="22"/>
      <c r="B40" s="51">
        <f t="shared" si="36"/>
        <v>46053</v>
      </c>
      <c r="C40" s="52" t="str">
        <f t="shared" si="0"/>
        <v>土</v>
      </c>
      <c r="D40" s="52"/>
      <c r="E40" s="53"/>
      <c r="F40" s="53"/>
      <c r="G40" s="54"/>
      <c r="H40" s="54"/>
      <c r="I40" s="55" t="str">
        <f t="shared" si="1"/>
        <v/>
      </c>
      <c r="J40" s="56"/>
      <c r="K40" s="56"/>
      <c r="L40" s="56"/>
      <c r="M40" s="56"/>
      <c r="N40" s="57" t="str">
        <f t="shared" si="2"/>
        <v/>
      </c>
      <c r="O40" s="58"/>
      <c r="Q40" s="22"/>
      <c r="R40" s="51" t="str">
        <f t="shared" si="37"/>
        <v/>
      </c>
      <c r="S40" s="52" t="str">
        <f t="shared" si="3"/>
        <v/>
      </c>
      <c r="T40" s="52"/>
      <c r="U40" s="53"/>
      <c r="V40" s="53"/>
      <c r="W40" s="54"/>
      <c r="X40" s="54"/>
      <c r="Y40" s="55" t="str">
        <f t="shared" si="4"/>
        <v/>
      </c>
      <c r="Z40" s="56"/>
      <c r="AA40" s="56"/>
      <c r="AB40" s="56"/>
      <c r="AC40" s="56"/>
      <c r="AD40" s="57" t="str">
        <f t="shared" si="5"/>
        <v/>
      </c>
      <c r="AE40" s="58"/>
      <c r="AG40" s="22"/>
      <c r="AH40" s="51">
        <f t="shared" si="38"/>
        <v>46112</v>
      </c>
      <c r="AI40" s="52" t="str">
        <f t="shared" si="6"/>
        <v>火</v>
      </c>
      <c r="AJ40" s="52" t="s">
        <v>1015</v>
      </c>
      <c r="AK40" s="60">
        <v>0.375</v>
      </c>
      <c r="AL40" s="60">
        <v>0.75</v>
      </c>
      <c r="AM40" s="61">
        <v>0.5</v>
      </c>
      <c r="AN40" s="61">
        <v>0.54166666666666663</v>
      </c>
      <c r="AO40" s="55" t="str">
        <f t="shared" si="7"/>
        <v>8h</v>
      </c>
      <c r="AP40" s="62">
        <v>0.375</v>
      </c>
      <c r="AQ40" s="62">
        <v>0.75</v>
      </c>
      <c r="AR40" s="62">
        <v>0.5</v>
      </c>
      <c r="AS40" s="62">
        <v>0.54166666666666663</v>
      </c>
      <c r="AT40" s="57" t="str">
        <f t="shared" si="8"/>
        <v>8h</v>
      </c>
      <c r="AU40" s="58"/>
      <c r="AW40" s="22"/>
      <c r="AX40" s="51" t="str">
        <f t="shared" si="39"/>
        <v/>
      </c>
      <c r="AY40" s="52" t="str">
        <f t="shared" si="9"/>
        <v/>
      </c>
      <c r="AZ40" s="52"/>
      <c r="BA40" s="53"/>
      <c r="BB40" s="53"/>
      <c r="BC40" s="54"/>
      <c r="BD40" s="54"/>
      <c r="BE40" s="55" t="str">
        <f t="shared" si="10"/>
        <v/>
      </c>
      <c r="BF40" s="56"/>
      <c r="BG40" s="56"/>
      <c r="BH40" s="56"/>
      <c r="BI40" s="56"/>
      <c r="BJ40" s="57" t="str">
        <f t="shared" si="11"/>
        <v/>
      </c>
      <c r="BK40" s="58"/>
      <c r="BM40" s="22"/>
      <c r="BN40" s="51">
        <f t="shared" si="40"/>
        <v>46173</v>
      </c>
      <c r="BO40" s="52" t="str">
        <f t="shared" si="12"/>
        <v>日</v>
      </c>
      <c r="BP40" s="52"/>
      <c r="BQ40" s="53"/>
      <c r="BR40" s="53"/>
      <c r="BS40" s="54"/>
      <c r="BT40" s="54"/>
      <c r="BU40" s="55" t="str">
        <f t="shared" si="13"/>
        <v/>
      </c>
      <c r="BV40" s="56"/>
      <c r="BW40" s="56"/>
      <c r="BX40" s="56"/>
      <c r="BY40" s="56"/>
      <c r="BZ40" s="57" t="str">
        <f t="shared" si="14"/>
        <v/>
      </c>
      <c r="CA40" s="58"/>
      <c r="CC40" s="22"/>
      <c r="CD40" s="51" t="str">
        <f t="shared" si="41"/>
        <v/>
      </c>
      <c r="CE40" s="52" t="str">
        <f t="shared" si="15"/>
        <v/>
      </c>
      <c r="CF40" s="52"/>
      <c r="CG40" s="53"/>
      <c r="CH40" s="53"/>
      <c r="CI40" s="54"/>
      <c r="CJ40" s="54"/>
      <c r="CK40" s="55" t="str">
        <f t="shared" si="16"/>
        <v/>
      </c>
      <c r="CL40" s="56"/>
      <c r="CM40" s="56"/>
      <c r="CN40" s="56"/>
      <c r="CO40" s="56"/>
      <c r="CP40" s="57" t="str">
        <f t="shared" si="17"/>
        <v/>
      </c>
      <c r="CQ40" s="58"/>
      <c r="CS40" s="22"/>
      <c r="CT40" s="51">
        <f t="shared" si="42"/>
        <v>46234</v>
      </c>
      <c r="CU40" s="52" t="str">
        <f t="shared" si="18"/>
        <v>金</v>
      </c>
      <c r="CV40" s="52" t="s">
        <v>1015</v>
      </c>
      <c r="CW40" s="60">
        <v>0.375</v>
      </c>
      <c r="CX40" s="60">
        <v>0.75</v>
      </c>
      <c r="CY40" s="61">
        <v>0.5</v>
      </c>
      <c r="CZ40" s="61">
        <v>0.54166666666666663</v>
      </c>
      <c r="DA40" s="55" t="str">
        <f t="shared" si="19"/>
        <v>8h</v>
      </c>
      <c r="DB40" s="62">
        <v>0.375</v>
      </c>
      <c r="DC40" s="62">
        <v>0.75</v>
      </c>
      <c r="DD40" s="62">
        <v>0.5</v>
      </c>
      <c r="DE40" s="62">
        <v>0.54166666666666663</v>
      </c>
      <c r="DF40" s="57" t="str">
        <f t="shared" si="20"/>
        <v>8h</v>
      </c>
      <c r="DG40" s="58"/>
      <c r="DI40" s="22"/>
      <c r="DJ40" s="51">
        <f t="shared" si="43"/>
        <v>46265</v>
      </c>
      <c r="DK40" s="52" t="str">
        <f t="shared" si="21"/>
        <v>月</v>
      </c>
      <c r="DL40" s="52" t="s">
        <v>1015</v>
      </c>
      <c r="DM40" s="60">
        <v>0.375</v>
      </c>
      <c r="DN40" s="60">
        <v>0.75</v>
      </c>
      <c r="DO40" s="61">
        <v>0.5</v>
      </c>
      <c r="DP40" s="61">
        <v>0.54166666666666663</v>
      </c>
      <c r="DQ40" s="55" t="str">
        <f t="shared" si="22"/>
        <v>8h</v>
      </c>
      <c r="DR40" s="62">
        <v>0.375</v>
      </c>
      <c r="DS40" s="62">
        <v>0.75</v>
      </c>
      <c r="DT40" s="62">
        <v>0.5</v>
      </c>
      <c r="DU40" s="62">
        <v>0.54166666666666663</v>
      </c>
      <c r="DV40" s="57" t="str">
        <f t="shared" si="23"/>
        <v>8h</v>
      </c>
      <c r="DW40" s="58"/>
      <c r="DY40" s="22"/>
      <c r="DZ40" s="51" t="str">
        <f t="shared" si="44"/>
        <v/>
      </c>
      <c r="EA40" s="52" t="str">
        <f t="shared" si="24"/>
        <v/>
      </c>
      <c r="EB40" s="52"/>
      <c r="EC40" s="53"/>
      <c r="ED40" s="53"/>
      <c r="EE40" s="54"/>
      <c r="EF40" s="54"/>
      <c r="EG40" s="55" t="str">
        <f t="shared" si="25"/>
        <v/>
      </c>
      <c r="EH40" s="56"/>
      <c r="EI40" s="56"/>
      <c r="EJ40" s="56"/>
      <c r="EK40" s="56"/>
      <c r="EL40" s="57" t="str">
        <f t="shared" si="26"/>
        <v/>
      </c>
      <c r="EM40" s="58"/>
      <c r="EO40" s="22"/>
      <c r="EP40" s="51">
        <f t="shared" si="45"/>
        <v>46326</v>
      </c>
      <c r="EQ40" s="52" t="str">
        <f t="shared" si="27"/>
        <v>土</v>
      </c>
      <c r="ER40" s="52"/>
      <c r="ES40" s="53"/>
      <c r="ET40" s="53"/>
      <c r="EU40" s="54"/>
      <c r="EV40" s="54"/>
      <c r="EW40" s="55" t="str">
        <f t="shared" si="28"/>
        <v/>
      </c>
      <c r="EX40" s="56"/>
      <c r="EY40" s="56"/>
      <c r="EZ40" s="56"/>
      <c r="FA40" s="56"/>
      <c r="FB40" s="57" t="str">
        <f t="shared" si="29"/>
        <v/>
      </c>
      <c r="FC40" s="58"/>
      <c r="FE40" s="22"/>
      <c r="FF40" s="51" t="str">
        <f t="shared" si="46"/>
        <v/>
      </c>
      <c r="FG40" s="52" t="str">
        <f t="shared" si="30"/>
        <v/>
      </c>
      <c r="FH40" s="52"/>
      <c r="FI40" s="53"/>
      <c r="FJ40" s="53"/>
      <c r="FK40" s="54"/>
      <c r="FL40" s="54"/>
      <c r="FM40" s="55" t="str">
        <f t="shared" si="31"/>
        <v/>
      </c>
      <c r="FN40" s="56"/>
      <c r="FO40" s="56"/>
      <c r="FP40" s="56"/>
      <c r="FQ40" s="56"/>
      <c r="FR40" s="57" t="str">
        <f t="shared" si="32"/>
        <v/>
      </c>
      <c r="FS40" s="58"/>
      <c r="FU40" s="22"/>
      <c r="FV40" s="51">
        <f t="shared" si="47"/>
        <v>46387</v>
      </c>
      <c r="FW40" s="52" t="str">
        <f t="shared" si="33"/>
        <v>木</v>
      </c>
      <c r="FX40" s="52"/>
      <c r="FY40" s="53"/>
      <c r="FZ40" s="53"/>
      <c r="GA40" s="54"/>
      <c r="GB40" s="54"/>
      <c r="GC40" s="55" t="str">
        <f t="shared" si="34"/>
        <v/>
      </c>
      <c r="GD40" s="56"/>
      <c r="GE40" s="56"/>
      <c r="GF40" s="56"/>
      <c r="GG40" s="56"/>
      <c r="GH40" s="57" t="str">
        <f t="shared" si="35"/>
        <v/>
      </c>
      <c r="GI40" s="58"/>
    </row>
  </sheetData>
  <mergeCells count="133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</mergeCells>
  <phoneticPr fontId="1"/>
  <conditionalFormatting sqref="B10:O40">
    <cfRule type="expression" dxfId="56" priority="1" stopIfTrue="1">
      <formula>$B10=""</formula>
    </cfRule>
  </conditionalFormatting>
  <conditionalFormatting sqref="C10:C40">
    <cfRule type="expression" dxfId="55" priority="3" stopIfTrue="1">
      <formula>WEEKDAY(B10,2)=7</formula>
    </cfRule>
    <cfRule type="expression" dxfId="54" priority="4" stopIfTrue="1">
      <formula>WEEKDAY(B10,2)=6</formula>
    </cfRule>
  </conditionalFormatting>
  <conditionalFormatting sqref="R10:AE40">
    <cfRule type="expression" dxfId="53" priority="5" stopIfTrue="1">
      <formula>$R10=""</formula>
    </cfRule>
  </conditionalFormatting>
  <conditionalFormatting sqref="S10:S40">
    <cfRule type="expression" dxfId="52" priority="7" stopIfTrue="1">
      <formula>WEEKDAY(R10,2)=7</formula>
    </cfRule>
    <cfRule type="expression" dxfId="51" priority="8" stopIfTrue="1">
      <formula>WEEKDAY(R10,2)=6</formula>
    </cfRule>
  </conditionalFormatting>
  <conditionalFormatting sqref="AH10:AU40">
    <cfRule type="expression" dxfId="50" priority="9" stopIfTrue="1">
      <formula>$AH10=""</formula>
    </cfRule>
  </conditionalFormatting>
  <conditionalFormatting sqref="AI10:AI40">
    <cfRule type="expression" dxfId="49" priority="11" stopIfTrue="1">
      <formula>WEEKDAY(AH10,2)=7</formula>
    </cfRule>
    <cfRule type="expression" dxfId="48" priority="12" stopIfTrue="1">
      <formula>WEEKDAY(AH10,2)=6</formula>
    </cfRule>
  </conditionalFormatting>
  <conditionalFormatting sqref="AX10:BK40">
    <cfRule type="expression" dxfId="47" priority="13" stopIfTrue="1">
      <formula>$AX10=""</formula>
    </cfRule>
  </conditionalFormatting>
  <conditionalFormatting sqref="AY10:AY40">
    <cfRule type="expression" dxfId="46" priority="15" stopIfTrue="1">
      <formula>WEEKDAY(AX10,2)=7</formula>
    </cfRule>
    <cfRule type="expression" dxfId="45" priority="16" stopIfTrue="1">
      <formula>WEEKDAY(AX10,2)=6</formula>
    </cfRule>
  </conditionalFormatting>
  <conditionalFormatting sqref="BN10:CA40">
    <cfRule type="expression" dxfId="44" priority="17" stopIfTrue="1">
      <formula>$BN10=""</formula>
    </cfRule>
  </conditionalFormatting>
  <conditionalFormatting sqref="BO10:BO40">
    <cfRule type="expression" dxfId="43" priority="19" stopIfTrue="1">
      <formula>WEEKDAY(BN10,2)=7</formula>
    </cfRule>
    <cfRule type="expression" dxfId="42" priority="20" stopIfTrue="1">
      <formula>WEEKDAY(BN10,2)=6</formula>
    </cfRule>
  </conditionalFormatting>
  <conditionalFormatting sqref="CD10:CQ40">
    <cfRule type="expression" dxfId="41" priority="21" stopIfTrue="1">
      <formula>$CD10=""</formula>
    </cfRule>
  </conditionalFormatting>
  <conditionalFormatting sqref="CE10:CE40">
    <cfRule type="expression" dxfId="40" priority="23" stopIfTrue="1">
      <formula>WEEKDAY(CD10,2)=7</formula>
    </cfRule>
    <cfRule type="expression" dxfId="39" priority="24" stopIfTrue="1">
      <formula>WEEKDAY(CD10,2)=6</formula>
    </cfRule>
  </conditionalFormatting>
  <conditionalFormatting sqref="CT10:DG40">
    <cfRule type="expression" dxfId="38" priority="25" stopIfTrue="1">
      <formula>$CT10=""</formula>
    </cfRule>
  </conditionalFormatting>
  <conditionalFormatting sqref="CU10:CU40">
    <cfRule type="expression" dxfId="37" priority="27" stopIfTrue="1">
      <formula>WEEKDAY(CT10,2)=7</formula>
    </cfRule>
    <cfRule type="expression" dxfId="36" priority="28" stopIfTrue="1">
      <formula>WEEKDAY(CT10,2)=6</formula>
    </cfRule>
  </conditionalFormatting>
  <conditionalFormatting sqref="DJ10:DW40">
    <cfRule type="expression" dxfId="35" priority="29" stopIfTrue="1">
      <formula>$DJ10=""</formula>
    </cfRule>
  </conditionalFormatting>
  <conditionalFormatting sqref="DK10:DK40">
    <cfRule type="expression" dxfId="34" priority="31" stopIfTrue="1">
      <formula>WEEKDAY(DJ10,2)=7</formula>
    </cfRule>
    <cfRule type="expression" dxfId="33" priority="32" stopIfTrue="1">
      <formula>WEEKDAY(DJ10,2)=6</formula>
    </cfRule>
  </conditionalFormatting>
  <conditionalFormatting sqref="DZ10:EM40">
    <cfRule type="expression" dxfId="32" priority="33" stopIfTrue="1">
      <formula>$DZ10=""</formula>
    </cfRule>
  </conditionalFormatting>
  <conditionalFormatting sqref="EA10:EA40">
    <cfRule type="expression" dxfId="31" priority="35" stopIfTrue="1">
      <formula>WEEKDAY(DZ10,2)=7</formula>
    </cfRule>
    <cfRule type="expression" dxfId="30" priority="36" stopIfTrue="1">
      <formula>WEEKDAY(DZ10,2)=6</formula>
    </cfRule>
  </conditionalFormatting>
  <conditionalFormatting sqref="EP10:FC40">
    <cfRule type="expression" dxfId="29" priority="37" stopIfTrue="1">
      <formula>$EP10=""</formula>
    </cfRule>
  </conditionalFormatting>
  <conditionalFormatting sqref="EQ10:EQ40">
    <cfRule type="expression" dxfId="28" priority="39" stopIfTrue="1">
      <formula>WEEKDAY(EP10,2)=7</formula>
    </cfRule>
    <cfRule type="expression" dxfId="27" priority="40" stopIfTrue="1">
      <formula>WEEKDAY(EP10,2)=6</formula>
    </cfRule>
  </conditionalFormatting>
  <conditionalFormatting sqref="FF10:FS40">
    <cfRule type="expression" dxfId="26" priority="41" stopIfTrue="1">
      <formula>$FF10=""</formula>
    </cfRule>
  </conditionalFormatting>
  <conditionalFormatting sqref="FG10:FG40">
    <cfRule type="expression" dxfId="25" priority="43" stopIfTrue="1">
      <formula>WEEKDAY(FF10,2)=7</formula>
    </cfRule>
  </conditionalFormatting>
  <conditionalFormatting sqref="FG10:FG40">
    <cfRule type="expression" dxfId="24" priority="44" stopIfTrue="1">
      <formula>WEEKDAY(FF10,2)=6</formula>
    </cfRule>
  </conditionalFormatting>
  <conditionalFormatting sqref="FV10:GI40">
    <cfRule type="expression" dxfId="23" priority="45" stopIfTrue="1">
      <formula>$FV10=""</formula>
    </cfRule>
  </conditionalFormatting>
  <conditionalFormatting sqref="FW10:FW40">
    <cfRule type="expression" dxfId="22" priority="47" stopIfTrue="1">
      <formula>WEEKDAY(FV10,2)=7</formula>
    </cfRule>
  </conditionalFormatting>
  <conditionalFormatting sqref="FW10:FW40">
    <cfRule type="expression" dxfId="21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4FC61B9-5FD0-4399-9F35-32A65940D685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E69D7181-6F66-41A6-9E95-0002E5EAF0E4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788465F5-9C20-431E-9C82-0204A9CA9693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149D65EE-4D14-4247-B891-CA1BF2A96AAB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863DC1EF-D064-415F-9CF4-7E602B681C71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13A3F19C-65DF-4BBC-8E4E-44B6174FD406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61F852A9-049A-4A19-ADCA-D2C205F89849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2F9CF596-7B61-4E99-AE5A-DFD9AA1186A1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C8422434-4328-42BA-8C87-DA5644D55BEA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C57F6370-8DCF-4E36-8824-030C122B8AD6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223B0B37-AE4A-48A0-A5DC-24C6DA4C6040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1F511665-7B04-40B0-95DD-8133589F4230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075B-A0FC-46C0-B76C-886913896511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18" customWidth="1"/>
    <col min="2" max="13" width="4.69921875" style="18"/>
    <col min="14" max="14" width="2.69921875" style="18" customWidth="1"/>
    <col min="15" max="26" width="4.69921875" style="18"/>
    <col min="27" max="27" width="2.69921875" style="18" customWidth="1"/>
    <col min="28" max="39" width="4.69921875" style="18"/>
    <col min="40" max="40" width="2.69921875" style="18" customWidth="1"/>
    <col min="41" max="52" width="4.69921875" style="18"/>
    <col min="53" max="53" width="2.69921875" style="18" customWidth="1"/>
    <col min="54" max="65" width="4.69921875" style="18"/>
    <col min="66" max="66" width="2.69921875" style="18" customWidth="1"/>
    <col min="67" max="78" width="4.69921875" style="18"/>
    <col min="79" max="79" width="2.69921875" style="18" customWidth="1"/>
    <col min="80" max="91" width="4.69921875" style="18"/>
    <col min="92" max="92" width="2.69921875" style="18" customWidth="1"/>
    <col min="93" max="104" width="4.69921875" style="18"/>
    <col min="105" max="105" width="2.69921875" style="18" customWidth="1"/>
    <col min="106" max="117" width="4.69921875" style="18"/>
    <col min="118" max="118" width="2.69921875" style="18" customWidth="1"/>
    <col min="119" max="130" width="4.69921875" style="18"/>
    <col min="131" max="131" width="2.69921875" style="18" customWidth="1"/>
    <col min="132" max="143" width="4.69921875" style="18"/>
    <col min="144" max="144" width="2.69921875" style="18" customWidth="1"/>
    <col min="145" max="156" width="4.69921875" style="18"/>
    <col min="157" max="157" width="2.69921875" style="18" customWidth="1"/>
    <col min="158" max="169" width="4.69921875" style="18"/>
    <col min="170" max="170" width="2.69921875" style="18" customWidth="1"/>
    <col min="171" max="182" width="4.69921875" style="18"/>
    <col min="183" max="183" width="2.69921875" style="18" customWidth="1"/>
    <col min="184" max="195" width="4.69921875" style="18"/>
    <col min="196" max="196" width="2.69921875" style="18" customWidth="1"/>
    <col min="197" max="208" width="4.69921875" style="18"/>
    <col min="209" max="209" width="2.69921875" style="18" customWidth="1"/>
    <col min="210" max="16384" width="4.69921875" style="18"/>
  </cols>
  <sheetData>
    <row r="1" spans="2:221" s="19" customFormat="1" ht="30" customHeight="1" x14ac:dyDescent="0.45">
      <c r="B1" s="663" t="s">
        <v>22</v>
      </c>
      <c r="C1" s="663"/>
      <c r="D1" s="663"/>
      <c r="E1" s="663"/>
      <c r="F1" s="663"/>
      <c r="G1" s="663"/>
      <c r="H1" s="663"/>
      <c r="I1" s="663"/>
      <c r="J1" s="663"/>
      <c r="K1" s="663"/>
      <c r="L1" s="663"/>
      <c r="M1" s="663"/>
      <c r="O1" s="664" t="s">
        <v>23</v>
      </c>
      <c r="P1" s="664"/>
      <c r="Q1" s="664"/>
      <c r="R1" s="664"/>
      <c r="S1" s="664"/>
      <c r="T1" s="664"/>
      <c r="U1" s="664"/>
      <c r="V1" s="664"/>
      <c r="W1" s="664"/>
      <c r="X1" s="664"/>
      <c r="Y1" s="664"/>
      <c r="Z1" s="664"/>
      <c r="AB1" s="665" t="s">
        <v>24</v>
      </c>
      <c r="AC1" s="665"/>
      <c r="AD1" s="665"/>
      <c r="AE1" s="665"/>
      <c r="AF1" s="665"/>
      <c r="AG1" s="665"/>
      <c r="AH1" s="665"/>
      <c r="AI1" s="665"/>
      <c r="AJ1" s="665"/>
      <c r="AK1" s="665"/>
      <c r="AL1" s="665"/>
      <c r="AM1" s="665"/>
      <c r="AO1" s="666" t="s">
        <v>25</v>
      </c>
      <c r="AP1" s="666"/>
      <c r="AQ1" s="666"/>
      <c r="AR1" s="666"/>
      <c r="AS1" s="666"/>
      <c r="AT1" s="666"/>
      <c r="AU1" s="666"/>
      <c r="AV1" s="666"/>
      <c r="AW1" s="666"/>
      <c r="AX1" s="666"/>
      <c r="AY1" s="666"/>
      <c r="AZ1" s="666"/>
      <c r="BB1" s="667" t="s">
        <v>26</v>
      </c>
      <c r="BC1" s="667"/>
      <c r="BD1" s="667"/>
      <c r="BE1" s="667"/>
      <c r="BF1" s="667"/>
      <c r="BG1" s="667"/>
      <c r="BH1" s="667"/>
      <c r="BI1" s="667"/>
      <c r="BJ1" s="667"/>
      <c r="BK1" s="667"/>
      <c r="BL1" s="667"/>
      <c r="BM1" s="667"/>
      <c r="BO1" s="668" t="s">
        <v>27</v>
      </c>
      <c r="BP1" s="668"/>
      <c r="BQ1" s="668"/>
      <c r="BR1" s="668"/>
      <c r="BS1" s="668"/>
      <c r="BT1" s="668"/>
      <c r="BU1" s="668"/>
      <c r="BV1" s="668"/>
      <c r="BW1" s="668"/>
      <c r="BX1" s="668"/>
      <c r="BY1" s="668"/>
      <c r="BZ1" s="668"/>
      <c r="CB1" s="657" t="s">
        <v>28</v>
      </c>
      <c r="CC1" s="657"/>
      <c r="CD1" s="657"/>
      <c r="CE1" s="657"/>
      <c r="CF1" s="657"/>
      <c r="CG1" s="657"/>
      <c r="CH1" s="657"/>
      <c r="CI1" s="657"/>
      <c r="CJ1" s="657"/>
      <c r="CK1" s="657"/>
      <c r="CL1" s="657"/>
      <c r="CM1" s="657"/>
      <c r="CO1" s="658" t="s">
        <v>29</v>
      </c>
      <c r="CP1" s="658"/>
      <c r="CQ1" s="658"/>
      <c r="CR1" s="658"/>
      <c r="CS1" s="658"/>
      <c r="CT1" s="658"/>
      <c r="CU1" s="658"/>
      <c r="CV1" s="658"/>
      <c r="CW1" s="658"/>
      <c r="CX1" s="658"/>
      <c r="CY1" s="658"/>
      <c r="CZ1" s="658"/>
      <c r="DB1" s="659" t="s">
        <v>30</v>
      </c>
      <c r="DC1" s="659"/>
      <c r="DD1" s="659"/>
      <c r="DE1" s="659"/>
      <c r="DF1" s="659"/>
      <c r="DG1" s="659"/>
      <c r="DH1" s="659"/>
      <c r="DI1" s="659"/>
      <c r="DJ1" s="659"/>
      <c r="DK1" s="659"/>
      <c r="DL1" s="659"/>
      <c r="DM1" s="659"/>
      <c r="DO1" s="660" t="s">
        <v>31</v>
      </c>
      <c r="DP1" s="660"/>
      <c r="DQ1" s="660"/>
      <c r="DR1" s="660"/>
      <c r="DS1" s="660"/>
      <c r="DT1" s="660"/>
      <c r="DU1" s="660"/>
      <c r="DV1" s="660"/>
      <c r="DW1" s="660"/>
      <c r="DX1" s="660"/>
      <c r="DY1" s="660"/>
      <c r="DZ1" s="660"/>
      <c r="EB1" s="661" t="s">
        <v>32</v>
      </c>
      <c r="EC1" s="661"/>
      <c r="ED1" s="661"/>
      <c r="EE1" s="661"/>
      <c r="EF1" s="661"/>
      <c r="EG1" s="661"/>
      <c r="EH1" s="661"/>
      <c r="EI1" s="661"/>
      <c r="EJ1" s="661"/>
      <c r="EK1" s="661"/>
      <c r="EL1" s="661"/>
      <c r="EM1" s="661"/>
      <c r="EO1" s="662" t="s">
        <v>33</v>
      </c>
      <c r="EP1" s="662"/>
      <c r="EQ1" s="662"/>
      <c r="ER1" s="662"/>
      <c r="ES1" s="662"/>
      <c r="ET1" s="662"/>
      <c r="EU1" s="662"/>
      <c r="EV1" s="662"/>
      <c r="EW1" s="662"/>
      <c r="EX1" s="662"/>
      <c r="EY1" s="662"/>
      <c r="EZ1" s="662"/>
      <c r="FB1" s="652" t="s">
        <v>34</v>
      </c>
      <c r="FC1" s="652"/>
      <c r="FD1" s="652"/>
      <c r="FE1" s="652"/>
      <c r="FF1" s="652"/>
      <c r="FG1" s="652"/>
      <c r="FH1" s="652"/>
      <c r="FI1" s="652"/>
      <c r="FJ1" s="652"/>
      <c r="FK1" s="652"/>
      <c r="FL1" s="652"/>
      <c r="FM1" s="652"/>
      <c r="FO1" s="653" t="s">
        <v>35</v>
      </c>
      <c r="FP1" s="653"/>
      <c r="FQ1" s="653"/>
      <c r="FR1" s="653"/>
      <c r="FS1" s="653"/>
      <c r="FT1" s="653"/>
      <c r="FU1" s="653"/>
      <c r="FV1" s="653"/>
      <c r="FW1" s="653"/>
      <c r="FX1" s="653"/>
      <c r="FY1" s="653"/>
      <c r="FZ1" s="653"/>
      <c r="GB1" s="654" t="s">
        <v>36</v>
      </c>
      <c r="GC1" s="654"/>
      <c r="GD1" s="654"/>
      <c r="GE1" s="654"/>
      <c r="GF1" s="654"/>
      <c r="GG1" s="654"/>
      <c r="GH1" s="654"/>
      <c r="GI1" s="654"/>
      <c r="GJ1" s="654"/>
      <c r="GK1" s="654"/>
      <c r="GL1" s="654"/>
      <c r="GM1" s="654"/>
      <c r="GO1" s="655" t="s">
        <v>37</v>
      </c>
      <c r="GP1" s="655"/>
      <c r="GQ1" s="655"/>
      <c r="GR1" s="655"/>
      <c r="GS1" s="655"/>
      <c r="GT1" s="655"/>
      <c r="GU1" s="655"/>
      <c r="GV1" s="655"/>
      <c r="GW1" s="655"/>
      <c r="GX1" s="655"/>
      <c r="GY1" s="655"/>
      <c r="GZ1" s="655"/>
      <c r="HB1" s="656" t="s">
        <v>38</v>
      </c>
      <c r="HC1" s="656"/>
      <c r="HD1" s="656"/>
      <c r="HE1" s="656"/>
      <c r="HF1" s="656"/>
      <c r="HG1" s="656"/>
      <c r="HH1" s="656"/>
      <c r="HI1" s="656"/>
      <c r="HJ1" s="656"/>
      <c r="HK1" s="656"/>
      <c r="HL1" s="656"/>
      <c r="HM1" s="656"/>
    </row>
    <row r="2" spans="2:221" x14ac:dyDescent="0.45">
      <c r="B2" s="78" t="s">
        <v>39</v>
      </c>
      <c r="C2" s="78"/>
      <c r="D2" s="78"/>
      <c r="E2" s="78"/>
      <c r="F2" s="78" t="s">
        <v>40</v>
      </c>
      <c r="G2" s="78"/>
      <c r="H2" s="78"/>
      <c r="I2" s="78"/>
      <c r="J2" s="78"/>
      <c r="K2" s="78"/>
      <c r="L2" s="78"/>
      <c r="M2" s="78"/>
      <c r="O2" s="78" t="s">
        <v>41</v>
      </c>
      <c r="P2" s="78"/>
      <c r="Q2" s="78"/>
      <c r="R2" s="78"/>
      <c r="S2" s="78" t="s">
        <v>42</v>
      </c>
      <c r="T2" s="78"/>
      <c r="U2" s="78"/>
      <c r="V2" s="78"/>
      <c r="W2" s="78"/>
      <c r="X2" s="78"/>
      <c r="Y2" s="78"/>
      <c r="Z2" s="78"/>
      <c r="AB2" s="78" t="s">
        <v>43</v>
      </c>
      <c r="AC2" s="78"/>
      <c r="AD2" s="78"/>
      <c r="AE2" s="78"/>
      <c r="AF2" s="78" t="s">
        <v>44</v>
      </c>
      <c r="AG2" s="78"/>
      <c r="AH2" s="78"/>
      <c r="AI2" s="78"/>
      <c r="AJ2" s="78"/>
      <c r="AK2" s="78"/>
      <c r="AL2" s="78"/>
      <c r="AM2" s="78"/>
      <c r="AO2" s="78" t="s">
        <v>45</v>
      </c>
      <c r="AP2" s="78"/>
      <c r="AQ2" s="78"/>
      <c r="AR2" s="78"/>
      <c r="AS2" s="78" t="s">
        <v>46</v>
      </c>
      <c r="AT2" s="78"/>
      <c r="AU2" s="78"/>
      <c r="AV2" s="78"/>
      <c r="AW2" s="78"/>
      <c r="AX2" s="78"/>
      <c r="AY2" s="78"/>
      <c r="AZ2" s="78"/>
      <c r="BB2" s="78" t="s">
        <v>47</v>
      </c>
      <c r="BC2" s="78"/>
      <c r="BD2" s="78"/>
      <c r="BE2" s="78"/>
      <c r="BF2" s="78" t="s">
        <v>48</v>
      </c>
      <c r="BG2" s="78"/>
      <c r="BH2" s="78"/>
      <c r="BI2" s="78"/>
      <c r="BJ2" s="78"/>
      <c r="BK2" s="78"/>
      <c r="BL2" s="78"/>
      <c r="BM2" s="78"/>
      <c r="BO2" s="78" t="s">
        <v>49</v>
      </c>
      <c r="BP2" s="78"/>
      <c r="BQ2" s="78"/>
      <c r="BR2" s="78"/>
      <c r="BS2" s="78" t="s">
        <v>50</v>
      </c>
      <c r="BT2" s="78"/>
      <c r="BU2" s="78"/>
      <c r="BV2" s="78"/>
      <c r="BW2" s="78"/>
      <c r="BX2" s="78"/>
      <c r="BY2" s="78"/>
      <c r="BZ2" s="78"/>
      <c r="CB2" s="78" t="s">
        <v>51</v>
      </c>
      <c r="CC2" s="78"/>
      <c r="CD2" s="78"/>
      <c r="CE2" s="78"/>
      <c r="CF2" s="78" t="s">
        <v>52</v>
      </c>
      <c r="CG2" s="78"/>
      <c r="CH2" s="78"/>
      <c r="CI2" s="78"/>
      <c r="CJ2" s="78"/>
      <c r="CK2" s="78"/>
      <c r="CL2" s="78"/>
      <c r="CM2" s="78"/>
      <c r="CO2" s="78" t="s">
        <v>53</v>
      </c>
      <c r="CP2" s="78"/>
      <c r="CQ2" s="78"/>
      <c r="CR2" s="78"/>
      <c r="CS2" s="78" t="s">
        <v>54</v>
      </c>
      <c r="CT2" s="78"/>
      <c r="CU2" s="78"/>
      <c r="CV2" s="78"/>
      <c r="CW2" s="78"/>
      <c r="CX2" s="78"/>
      <c r="CY2" s="78"/>
      <c r="CZ2" s="78"/>
      <c r="DB2" s="78" t="s">
        <v>55</v>
      </c>
      <c r="DC2" s="78"/>
      <c r="DD2" s="78"/>
      <c r="DE2" s="78"/>
      <c r="DF2" s="78" t="s">
        <v>56</v>
      </c>
      <c r="DG2" s="78"/>
      <c r="DH2" s="78"/>
      <c r="DI2" s="78"/>
      <c r="DJ2" s="78"/>
      <c r="DK2" s="78"/>
      <c r="DL2" s="78"/>
      <c r="DM2" s="78"/>
      <c r="DO2" s="78" t="s">
        <v>57</v>
      </c>
      <c r="DP2" s="78"/>
      <c r="DQ2" s="78"/>
      <c r="DR2" s="78"/>
      <c r="DS2" s="78" t="s">
        <v>58</v>
      </c>
      <c r="DT2" s="78"/>
      <c r="DU2" s="78"/>
      <c r="DV2" s="78"/>
      <c r="DW2" s="78"/>
      <c r="DX2" s="78"/>
      <c r="DY2" s="78"/>
      <c r="DZ2" s="78"/>
      <c r="EB2" s="78" t="s">
        <v>59</v>
      </c>
      <c r="EC2" s="78"/>
      <c r="ED2" s="78"/>
      <c r="EE2" s="78"/>
      <c r="EF2" s="78" t="s">
        <v>60</v>
      </c>
      <c r="EG2" s="78"/>
      <c r="EH2" s="78"/>
      <c r="EI2" s="78"/>
      <c r="EJ2" s="78"/>
      <c r="EK2" s="78"/>
      <c r="EL2" s="78"/>
      <c r="EM2" s="78"/>
      <c r="EO2" s="78" t="s">
        <v>61</v>
      </c>
      <c r="EP2" s="78"/>
      <c r="EQ2" s="78"/>
      <c r="ER2" s="78"/>
      <c r="ES2" s="78" t="s">
        <v>62</v>
      </c>
      <c r="ET2" s="78"/>
      <c r="EU2" s="78"/>
      <c r="EV2" s="78"/>
      <c r="EW2" s="78"/>
      <c r="EX2" s="78"/>
      <c r="EY2" s="78"/>
      <c r="EZ2" s="78"/>
      <c r="FB2" s="78" t="s">
        <v>63</v>
      </c>
      <c r="FC2" s="78"/>
      <c r="FD2" s="78"/>
      <c r="FE2" s="78"/>
      <c r="FF2" s="78" t="s">
        <v>64</v>
      </c>
      <c r="FG2" s="78"/>
      <c r="FH2" s="78"/>
      <c r="FI2" s="78"/>
      <c r="FJ2" s="78"/>
      <c r="FK2" s="78"/>
      <c r="FL2" s="78"/>
      <c r="FM2" s="78"/>
      <c r="FO2" s="78" t="s">
        <v>65</v>
      </c>
      <c r="FP2" s="78"/>
      <c r="FQ2" s="78"/>
      <c r="FR2" s="78"/>
      <c r="FS2" s="78" t="s">
        <v>66</v>
      </c>
      <c r="FT2" s="78"/>
      <c r="FU2" s="78"/>
      <c r="FV2" s="78"/>
      <c r="FW2" s="78"/>
      <c r="FX2" s="78"/>
      <c r="FY2" s="78"/>
      <c r="FZ2" s="78"/>
      <c r="GB2" s="78" t="s">
        <v>67</v>
      </c>
      <c r="GC2" s="78"/>
      <c r="GD2" s="78"/>
      <c r="GE2" s="78"/>
      <c r="GF2" s="78" t="s">
        <v>68</v>
      </c>
      <c r="GG2" s="78"/>
      <c r="GH2" s="78"/>
      <c r="GI2" s="78"/>
      <c r="GJ2" s="78"/>
      <c r="GK2" s="78"/>
      <c r="GL2" s="78"/>
      <c r="GM2" s="78"/>
      <c r="GO2" s="78" t="s">
        <v>69</v>
      </c>
      <c r="GP2" s="78"/>
      <c r="GQ2" s="78"/>
      <c r="GR2" s="78"/>
      <c r="GS2" s="78" t="s">
        <v>70</v>
      </c>
      <c r="GT2" s="78"/>
      <c r="GU2" s="78"/>
      <c r="GV2" s="78"/>
      <c r="GW2" s="78"/>
      <c r="GX2" s="78"/>
      <c r="GY2" s="78"/>
      <c r="GZ2" s="78"/>
      <c r="HB2" s="78" t="s">
        <v>71</v>
      </c>
      <c r="HC2" s="78"/>
      <c r="HD2" s="78"/>
      <c r="HE2" s="78"/>
      <c r="HF2" s="78" t="s">
        <v>72</v>
      </c>
      <c r="HG2" s="78"/>
      <c r="HH2" s="78"/>
      <c r="HI2" s="78"/>
      <c r="HJ2" s="78"/>
      <c r="HK2" s="78"/>
      <c r="HL2" s="78"/>
      <c r="HM2" s="78"/>
    </row>
    <row r="3" spans="2:221" ht="40.049999999999997" customHeight="1" x14ac:dyDescent="0.45">
      <c r="B3" s="642"/>
      <c r="C3" s="642"/>
      <c r="D3" s="642"/>
      <c r="E3" s="642"/>
      <c r="F3" s="643"/>
      <c r="G3" s="643"/>
      <c r="H3" s="643"/>
      <c r="I3" s="643"/>
      <c r="J3" s="644"/>
      <c r="K3" s="644"/>
      <c r="L3" s="644"/>
      <c r="M3" s="644"/>
      <c r="O3" s="645"/>
      <c r="P3" s="645"/>
      <c r="Q3" s="645"/>
      <c r="R3" s="645"/>
      <c r="S3" s="646"/>
      <c r="T3" s="646"/>
      <c r="U3" s="646"/>
      <c r="V3" s="646"/>
      <c r="W3" s="634"/>
      <c r="X3" s="634"/>
      <c r="Y3" s="634"/>
      <c r="Z3" s="634"/>
      <c r="AB3" s="635"/>
      <c r="AC3" s="635"/>
      <c r="AD3" s="635"/>
      <c r="AE3" s="635"/>
      <c r="AF3" s="636"/>
      <c r="AG3" s="636"/>
      <c r="AH3" s="636"/>
      <c r="AI3" s="636"/>
      <c r="AJ3" s="637"/>
      <c r="AK3" s="637"/>
      <c r="AL3" s="637"/>
      <c r="AM3" s="637"/>
      <c r="AO3" s="638"/>
      <c r="AP3" s="638"/>
      <c r="AQ3" s="638"/>
      <c r="AR3" s="638"/>
      <c r="AS3" s="639"/>
      <c r="AT3" s="639"/>
      <c r="AU3" s="639"/>
      <c r="AV3" s="639"/>
      <c r="AW3" s="628"/>
      <c r="AX3" s="628"/>
      <c r="AY3" s="628"/>
      <c r="AZ3" s="628"/>
      <c r="BB3" s="629"/>
      <c r="BC3" s="629"/>
      <c r="BD3" s="629"/>
      <c r="BE3" s="629"/>
      <c r="BF3" s="630"/>
      <c r="BG3" s="630"/>
      <c r="BH3" s="630"/>
      <c r="BI3" s="630"/>
      <c r="BJ3" s="631"/>
      <c r="BK3" s="631"/>
      <c r="BL3" s="631"/>
      <c r="BM3" s="631"/>
      <c r="BO3" s="632"/>
      <c r="BP3" s="632"/>
      <c r="BQ3" s="632"/>
      <c r="BR3" s="632"/>
      <c r="BS3" s="633"/>
      <c r="BT3" s="633"/>
      <c r="BU3" s="633"/>
      <c r="BV3" s="633"/>
      <c r="BW3" s="649"/>
      <c r="BX3" s="649"/>
      <c r="BY3" s="649"/>
      <c r="BZ3" s="649"/>
      <c r="CB3" s="650"/>
      <c r="CC3" s="650"/>
      <c r="CD3" s="650"/>
      <c r="CE3" s="650"/>
      <c r="CF3" s="651"/>
      <c r="CG3" s="651"/>
      <c r="CH3" s="651"/>
      <c r="CI3" s="651"/>
      <c r="CJ3" s="625"/>
      <c r="CK3" s="625"/>
      <c r="CL3" s="625"/>
      <c r="CM3" s="625"/>
      <c r="CO3" s="626"/>
      <c r="CP3" s="626"/>
      <c r="CQ3" s="626"/>
      <c r="CR3" s="626"/>
      <c r="CS3" s="627"/>
      <c r="CT3" s="627"/>
      <c r="CU3" s="627"/>
      <c r="CV3" s="627"/>
      <c r="CW3" s="621"/>
      <c r="CX3" s="621"/>
      <c r="CY3" s="621"/>
      <c r="CZ3" s="621"/>
      <c r="DB3" s="622"/>
      <c r="DC3" s="622"/>
      <c r="DD3" s="622"/>
      <c r="DE3" s="622"/>
      <c r="DF3" s="623"/>
      <c r="DG3" s="623"/>
      <c r="DH3" s="623"/>
      <c r="DI3" s="623"/>
      <c r="DJ3" s="624"/>
      <c r="DK3" s="624"/>
      <c r="DL3" s="624"/>
      <c r="DM3" s="624"/>
      <c r="DO3" s="647"/>
      <c r="DP3" s="647"/>
      <c r="DQ3" s="647"/>
      <c r="DR3" s="647"/>
      <c r="DS3" s="648"/>
      <c r="DT3" s="648"/>
      <c r="DU3" s="648"/>
      <c r="DV3" s="648"/>
      <c r="DW3" s="615"/>
      <c r="DX3" s="615"/>
      <c r="DY3" s="615"/>
      <c r="DZ3" s="615"/>
      <c r="EB3" s="616"/>
      <c r="EC3" s="616"/>
      <c r="ED3" s="616"/>
      <c r="EE3" s="616"/>
      <c r="EF3" s="617"/>
      <c r="EG3" s="617"/>
      <c r="EH3" s="617"/>
      <c r="EI3" s="617"/>
      <c r="EJ3" s="618"/>
      <c r="EK3" s="618"/>
      <c r="EL3" s="618"/>
      <c r="EM3" s="618"/>
      <c r="EO3" s="619"/>
      <c r="EP3" s="619"/>
      <c r="EQ3" s="619"/>
      <c r="ER3" s="619"/>
      <c r="ES3" s="620"/>
      <c r="ET3" s="620"/>
      <c r="EU3" s="620"/>
      <c r="EV3" s="620"/>
      <c r="EW3" s="609"/>
      <c r="EX3" s="609"/>
      <c r="EY3" s="609"/>
      <c r="EZ3" s="609"/>
      <c r="FB3" s="610"/>
      <c r="FC3" s="610"/>
      <c r="FD3" s="610"/>
      <c r="FE3" s="610"/>
      <c r="FF3" s="611"/>
      <c r="FG3" s="611"/>
      <c r="FH3" s="611"/>
      <c r="FI3" s="611"/>
      <c r="FJ3" s="612"/>
      <c r="FK3" s="612"/>
      <c r="FL3" s="612"/>
      <c r="FM3" s="612"/>
      <c r="FO3" s="613"/>
      <c r="FP3" s="613"/>
      <c r="FQ3" s="613"/>
      <c r="FR3" s="613"/>
      <c r="FS3" s="614"/>
      <c r="FT3" s="614"/>
      <c r="FU3" s="614"/>
      <c r="FV3" s="614"/>
      <c r="FW3" s="603"/>
      <c r="FX3" s="603"/>
      <c r="FY3" s="603"/>
      <c r="FZ3" s="603"/>
      <c r="GB3" s="604"/>
      <c r="GC3" s="604"/>
      <c r="GD3" s="604"/>
      <c r="GE3" s="604"/>
      <c r="GF3" s="605"/>
      <c r="GG3" s="605"/>
      <c r="GH3" s="605"/>
      <c r="GI3" s="605"/>
      <c r="GJ3" s="606"/>
      <c r="GK3" s="606"/>
      <c r="GL3" s="606"/>
      <c r="GM3" s="606"/>
      <c r="GO3" s="607"/>
      <c r="GP3" s="607"/>
      <c r="GQ3" s="607"/>
      <c r="GR3" s="607"/>
      <c r="GS3" s="608"/>
      <c r="GT3" s="608"/>
      <c r="GU3" s="608"/>
      <c r="GV3" s="608"/>
      <c r="GW3" s="640"/>
      <c r="GX3" s="640"/>
      <c r="GY3" s="640"/>
      <c r="GZ3" s="640"/>
      <c r="HB3" s="641"/>
      <c r="HC3" s="641"/>
      <c r="HD3" s="641"/>
      <c r="HE3" s="641"/>
      <c r="HF3" s="601"/>
      <c r="HG3" s="601"/>
      <c r="HH3" s="601"/>
      <c r="HI3" s="601"/>
      <c r="HJ3" s="602"/>
      <c r="HK3" s="602"/>
      <c r="HL3" s="602"/>
      <c r="HM3" s="602"/>
    </row>
    <row r="4" spans="2:221" hidden="1" outlineLevel="1" x14ac:dyDescent="0.45">
      <c r="B4" s="18" t="s">
        <v>73</v>
      </c>
      <c r="C4" s="18" t="s">
        <v>74</v>
      </c>
      <c r="D4" s="18" t="s">
        <v>75</v>
      </c>
      <c r="F4" s="18" t="s">
        <v>73</v>
      </c>
      <c r="G4" s="18" t="s">
        <v>74</v>
      </c>
      <c r="H4" s="18" t="s">
        <v>75</v>
      </c>
      <c r="J4" s="18" t="s">
        <v>73</v>
      </c>
      <c r="K4" s="18" t="s">
        <v>74</v>
      </c>
      <c r="L4" s="18" t="s">
        <v>75</v>
      </c>
      <c r="O4" s="18" t="s">
        <v>73</v>
      </c>
      <c r="P4" s="18" t="s">
        <v>74</v>
      </c>
      <c r="Q4" s="18" t="s">
        <v>75</v>
      </c>
      <c r="S4" s="18" t="s">
        <v>73</v>
      </c>
      <c r="T4" s="18" t="s">
        <v>74</v>
      </c>
      <c r="U4" s="18" t="s">
        <v>75</v>
      </c>
      <c r="W4" s="18" t="s">
        <v>73</v>
      </c>
      <c r="X4" s="18" t="s">
        <v>74</v>
      </c>
      <c r="Y4" s="18" t="s">
        <v>75</v>
      </c>
      <c r="AB4" s="18" t="s">
        <v>73</v>
      </c>
      <c r="AC4" s="18" t="s">
        <v>74</v>
      </c>
      <c r="AD4" s="18" t="s">
        <v>75</v>
      </c>
      <c r="AF4" s="18" t="s">
        <v>73</v>
      </c>
      <c r="AG4" s="18" t="s">
        <v>74</v>
      </c>
      <c r="AH4" s="18" t="s">
        <v>75</v>
      </c>
      <c r="AJ4" s="18" t="s">
        <v>73</v>
      </c>
      <c r="AK4" s="18" t="s">
        <v>74</v>
      </c>
      <c r="AL4" s="18" t="s">
        <v>75</v>
      </c>
      <c r="AO4" s="18" t="s">
        <v>73</v>
      </c>
      <c r="AP4" s="18" t="s">
        <v>74</v>
      </c>
      <c r="AQ4" s="18" t="s">
        <v>75</v>
      </c>
      <c r="AS4" s="18" t="s">
        <v>73</v>
      </c>
      <c r="AT4" s="18" t="s">
        <v>74</v>
      </c>
      <c r="AU4" s="18" t="s">
        <v>75</v>
      </c>
      <c r="AW4" s="18" t="s">
        <v>73</v>
      </c>
      <c r="AX4" s="18" t="s">
        <v>74</v>
      </c>
      <c r="AY4" s="18" t="s">
        <v>75</v>
      </c>
      <c r="BB4" s="18" t="s">
        <v>73</v>
      </c>
      <c r="BC4" s="18" t="s">
        <v>74</v>
      </c>
      <c r="BD4" s="18" t="s">
        <v>75</v>
      </c>
      <c r="BF4" s="18" t="s">
        <v>73</v>
      </c>
      <c r="BG4" s="18" t="s">
        <v>74</v>
      </c>
      <c r="BH4" s="18" t="s">
        <v>75</v>
      </c>
      <c r="BJ4" s="18" t="s">
        <v>73</v>
      </c>
      <c r="BK4" s="18" t="s">
        <v>74</v>
      </c>
      <c r="BL4" s="18" t="s">
        <v>75</v>
      </c>
      <c r="BO4" s="18" t="s">
        <v>73</v>
      </c>
      <c r="BP4" s="18" t="s">
        <v>74</v>
      </c>
      <c r="BQ4" s="18" t="s">
        <v>75</v>
      </c>
      <c r="BS4" s="18" t="s">
        <v>73</v>
      </c>
      <c r="BT4" s="18" t="s">
        <v>74</v>
      </c>
      <c r="BU4" s="18" t="s">
        <v>75</v>
      </c>
      <c r="BW4" s="18" t="s">
        <v>73</v>
      </c>
      <c r="BX4" s="18" t="s">
        <v>74</v>
      </c>
      <c r="BY4" s="18" t="s">
        <v>75</v>
      </c>
      <c r="CB4" s="18" t="s">
        <v>73</v>
      </c>
      <c r="CC4" s="18" t="s">
        <v>74</v>
      </c>
      <c r="CD4" s="18" t="s">
        <v>75</v>
      </c>
      <c r="CF4" s="18" t="s">
        <v>73</v>
      </c>
      <c r="CG4" s="18" t="s">
        <v>74</v>
      </c>
      <c r="CH4" s="18" t="s">
        <v>75</v>
      </c>
      <c r="CJ4" s="18" t="s">
        <v>73</v>
      </c>
      <c r="CK4" s="18" t="s">
        <v>74</v>
      </c>
      <c r="CL4" s="18" t="s">
        <v>75</v>
      </c>
      <c r="CO4" s="18" t="s">
        <v>73</v>
      </c>
      <c r="CP4" s="18" t="s">
        <v>74</v>
      </c>
      <c r="CQ4" s="18" t="s">
        <v>75</v>
      </c>
      <c r="CS4" s="18" t="s">
        <v>73</v>
      </c>
      <c r="CT4" s="18" t="s">
        <v>74</v>
      </c>
      <c r="CU4" s="18" t="s">
        <v>75</v>
      </c>
      <c r="CW4" s="18" t="s">
        <v>73</v>
      </c>
      <c r="CX4" s="18" t="s">
        <v>74</v>
      </c>
      <c r="CY4" s="18" t="s">
        <v>75</v>
      </c>
      <c r="DB4" s="18" t="s">
        <v>73</v>
      </c>
      <c r="DC4" s="18" t="s">
        <v>74</v>
      </c>
      <c r="DD4" s="18" t="s">
        <v>75</v>
      </c>
      <c r="DF4" s="18" t="s">
        <v>73</v>
      </c>
      <c r="DG4" s="18" t="s">
        <v>74</v>
      </c>
      <c r="DH4" s="18" t="s">
        <v>75</v>
      </c>
      <c r="DJ4" s="18" t="s">
        <v>73</v>
      </c>
      <c r="DK4" s="18" t="s">
        <v>74</v>
      </c>
      <c r="DL4" s="18" t="s">
        <v>75</v>
      </c>
      <c r="DO4" s="18" t="s">
        <v>73</v>
      </c>
      <c r="DP4" s="18" t="s">
        <v>74</v>
      </c>
      <c r="DQ4" s="18" t="s">
        <v>75</v>
      </c>
      <c r="DS4" s="18" t="s">
        <v>73</v>
      </c>
      <c r="DT4" s="18" t="s">
        <v>74</v>
      </c>
      <c r="DU4" s="18" t="s">
        <v>75</v>
      </c>
      <c r="DW4" s="18" t="s">
        <v>73</v>
      </c>
      <c r="DX4" s="18" t="s">
        <v>74</v>
      </c>
      <c r="DY4" s="18" t="s">
        <v>75</v>
      </c>
      <c r="EB4" s="18" t="s">
        <v>73</v>
      </c>
      <c r="EC4" s="18" t="s">
        <v>74</v>
      </c>
      <c r="ED4" s="18" t="s">
        <v>75</v>
      </c>
      <c r="EF4" s="18" t="s">
        <v>73</v>
      </c>
      <c r="EG4" s="18" t="s">
        <v>74</v>
      </c>
      <c r="EH4" s="18" t="s">
        <v>75</v>
      </c>
      <c r="EJ4" s="18" t="s">
        <v>73</v>
      </c>
      <c r="EK4" s="18" t="s">
        <v>74</v>
      </c>
      <c r="EL4" s="18" t="s">
        <v>75</v>
      </c>
      <c r="EO4" s="18" t="s">
        <v>73</v>
      </c>
      <c r="EP4" s="18" t="s">
        <v>74</v>
      </c>
      <c r="EQ4" s="18" t="s">
        <v>75</v>
      </c>
      <c r="ES4" s="18" t="s">
        <v>73</v>
      </c>
      <c r="ET4" s="18" t="s">
        <v>74</v>
      </c>
      <c r="EU4" s="18" t="s">
        <v>75</v>
      </c>
      <c r="EW4" s="18" t="s">
        <v>73</v>
      </c>
      <c r="EX4" s="18" t="s">
        <v>74</v>
      </c>
      <c r="EY4" s="18" t="s">
        <v>75</v>
      </c>
      <c r="FB4" s="18" t="s">
        <v>73</v>
      </c>
      <c r="FC4" s="18" t="s">
        <v>74</v>
      </c>
      <c r="FD4" s="18" t="s">
        <v>75</v>
      </c>
      <c r="FF4" s="18" t="s">
        <v>73</v>
      </c>
      <c r="FG4" s="18" t="s">
        <v>74</v>
      </c>
      <c r="FH4" s="18" t="s">
        <v>75</v>
      </c>
      <c r="FJ4" s="18" t="s">
        <v>73</v>
      </c>
      <c r="FK4" s="18" t="s">
        <v>74</v>
      </c>
      <c r="FL4" s="18" t="s">
        <v>75</v>
      </c>
      <c r="FO4" s="18" t="s">
        <v>73</v>
      </c>
      <c r="FP4" s="18" t="s">
        <v>74</v>
      </c>
      <c r="FQ4" s="18" t="s">
        <v>75</v>
      </c>
      <c r="FS4" s="18" t="s">
        <v>73</v>
      </c>
      <c r="FT4" s="18" t="s">
        <v>74</v>
      </c>
      <c r="FU4" s="18" t="s">
        <v>75</v>
      </c>
      <c r="FW4" s="18" t="s">
        <v>73</v>
      </c>
      <c r="FX4" s="18" t="s">
        <v>74</v>
      </c>
      <c r="FY4" s="18" t="s">
        <v>75</v>
      </c>
      <c r="GB4" s="18" t="s">
        <v>73</v>
      </c>
      <c r="GC4" s="18" t="s">
        <v>74</v>
      </c>
      <c r="GD4" s="18" t="s">
        <v>75</v>
      </c>
      <c r="GF4" s="18" t="s">
        <v>73</v>
      </c>
      <c r="GG4" s="18" t="s">
        <v>74</v>
      </c>
      <c r="GH4" s="18" t="s">
        <v>75</v>
      </c>
      <c r="GJ4" s="18" t="s">
        <v>73</v>
      </c>
      <c r="GK4" s="18" t="s">
        <v>74</v>
      </c>
      <c r="GL4" s="18" t="s">
        <v>75</v>
      </c>
      <c r="GO4" s="18" t="s">
        <v>73</v>
      </c>
      <c r="GP4" s="18" t="s">
        <v>74</v>
      </c>
      <c r="GQ4" s="18" t="s">
        <v>75</v>
      </c>
      <c r="GS4" s="18" t="s">
        <v>73</v>
      </c>
      <c r="GT4" s="18" t="s">
        <v>74</v>
      </c>
      <c r="GU4" s="18" t="s">
        <v>75</v>
      </c>
      <c r="GW4" s="18" t="s">
        <v>73</v>
      </c>
      <c r="GX4" s="18" t="s">
        <v>74</v>
      </c>
      <c r="GY4" s="18" t="s">
        <v>75</v>
      </c>
      <c r="HB4" s="18" t="s">
        <v>73</v>
      </c>
      <c r="HC4" s="18" t="s">
        <v>74</v>
      </c>
      <c r="HD4" s="18" t="s">
        <v>75</v>
      </c>
      <c r="HF4" s="18" t="s">
        <v>73</v>
      </c>
      <c r="HG4" s="18" t="s">
        <v>74</v>
      </c>
      <c r="HH4" s="18" t="s">
        <v>75</v>
      </c>
      <c r="HJ4" s="18" t="s">
        <v>73</v>
      </c>
      <c r="HK4" s="18" t="s">
        <v>74</v>
      </c>
      <c r="HL4" s="18" t="s">
        <v>75</v>
      </c>
    </row>
    <row r="5" spans="2:221" hidden="1" outlineLevel="1" x14ac:dyDescent="0.45">
      <c r="B5" s="18">
        <v>123</v>
      </c>
      <c r="C5" s="18">
        <v>166</v>
      </c>
      <c r="D5" s="18">
        <v>196</v>
      </c>
      <c r="F5" s="18">
        <v>250</v>
      </c>
      <c r="G5" s="18">
        <v>248</v>
      </c>
      <c r="H5" s="18">
        <v>247</v>
      </c>
      <c r="J5" s="18">
        <v>255</v>
      </c>
      <c r="K5" s="18">
        <v>194</v>
      </c>
      <c r="L5" s="18">
        <v>202</v>
      </c>
      <c r="O5" s="18">
        <v>247</v>
      </c>
      <c r="P5" s="18">
        <v>195</v>
      </c>
      <c r="Q5" s="18">
        <v>191</v>
      </c>
      <c r="S5" s="18">
        <v>138</v>
      </c>
      <c r="T5" s="18">
        <v>200</v>
      </c>
      <c r="U5" s="18">
        <v>207</v>
      </c>
      <c r="W5" s="18">
        <v>239</v>
      </c>
      <c r="X5" s="18">
        <v>235</v>
      </c>
      <c r="Y5" s="18">
        <v>224</v>
      </c>
      <c r="AB5" s="18">
        <v>216</v>
      </c>
      <c r="AC5" s="18">
        <v>12</v>
      </c>
      <c r="AD5" s="18">
        <v>24</v>
      </c>
      <c r="AF5" s="18">
        <v>166</v>
      </c>
      <c r="AG5" s="18">
        <v>96</v>
      </c>
      <c r="AH5" s="18">
        <v>163</v>
      </c>
      <c r="AJ5" s="18">
        <v>234</v>
      </c>
      <c r="AK5" s="18">
        <v>96</v>
      </c>
      <c r="AL5" s="18">
        <v>150</v>
      </c>
      <c r="AO5" s="18">
        <v>73</v>
      </c>
      <c r="AP5" s="18">
        <v>69</v>
      </c>
      <c r="AQ5" s="18">
        <v>68</v>
      </c>
      <c r="AS5" s="18">
        <v>196</v>
      </c>
      <c r="AT5" s="18">
        <v>26</v>
      </c>
      <c r="AU5" s="18">
        <v>48</v>
      </c>
      <c r="AW5" s="18">
        <v>186</v>
      </c>
      <c r="AX5" s="18">
        <v>200</v>
      </c>
      <c r="AY5" s="18">
        <v>198</v>
      </c>
      <c r="BB5" s="18">
        <v>99</v>
      </c>
      <c r="BC5" s="18">
        <v>103</v>
      </c>
      <c r="BD5" s="18">
        <v>107</v>
      </c>
      <c r="BF5" s="18">
        <v>210</v>
      </c>
      <c r="BG5" s="18">
        <v>213</v>
      </c>
      <c r="BH5" s="18">
        <v>236</v>
      </c>
      <c r="BJ5" s="18">
        <v>75</v>
      </c>
      <c r="BK5" s="18">
        <v>122</v>
      </c>
      <c r="BL5" s="18">
        <v>124</v>
      </c>
      <c r="BO5" s="18">
        <v>243</v>
      </c>
      <c r="BP5" s="18">
        <v>167</v>
      </c>
      <c r="BQ5" s="18">
        <v>172</v>
      </c>
      <c r="BS5" s="18">
        <v>221</v>
      </c>
      <c r="BT5" s="18">
        <v>230</v>
      </c>
      <c r="BU5" s="18">
        <v>123</v>
      </c>
      <c r="BW5" s="18">
        <v>252</v>
      </c>
      <c r="BX5" s="18">
        <v>233</v>
      </c>
      <c r="BY5" s="18">
        <v>237</v>
      </c>
      <c r="CB5" s="18">
        <v>249</v>
      </c>
      <c r="CC5" s="18">
        <v>214</v>
      </c>
      <c r="CD5" s="18">
        <v>226</v>
      </c>
      <c r="CF5" s="18">
        <v>247</v>
      </c>
      <c r="CG5" s="18">
        <v>243</v>
      </c>
      <c r="CH5" s="18">
        <v>236</v>
      </c>
      <c r="CJ5" s="18">
        <v>244</v>
      </c>
      <c r="CK5" s="18">
        <v>170</v>
      </c>
      <c r="CL5" s="18">
        <v>154</v>
      </c>
      <c r="CO5" s="18">
        <v>37</v>
      </c>
      <c r="CP5" s="18">
        <v>70</v>
      </c>
      <c r="CQ5" s="18">
        <v>120</v>
      </c>
      <c r="CS5" s="18">
        <v>187</v>
      </c>
      <c r="CT5" s="18">
        <v>227</v>
      </c>
      <c r="CU5" s="18">
        <v>245</v>
      </c>
      <c r="CW5" s="18">
        <v>218</v>
      </c>
      <c r="CX5" s="18">
        <v>106</v>
      </c>
      <c r="CY5" s="18">
        <v>56</v>
      </c>
      <c r="DB5" s="18">
        <v>16</v>
      </c>
      <c r="DC5" s="18">
        <v>24</v>
      </c>
      <c r="DD5" s="18">
        <v>65</v>
      </c>
      <c r="DF5" s="18">
        <v>112</v>
      </c>
      <c r="DG5" s="18">
        <v>172</v>
      </c>
      <c r="DH5" s="18">
        <v>206</v>
      </c>
      <c r="DJ5" s="18">
        <v>20</v>
      </c>
      <c r="DK5" s="18">
        <v>77</v>
      </c>
      <c r="DL5" s="18">
        <v>160</v>
      </c>
      <c r="DO5" s="18">
        <v>225</v>
      </c>
      <c r="DP5" s="18">
        <v>208</v>
      </c>
      <c r="DQ5" s="18">
        <v>208</v>
      </c>
      <c r="DS5" s="18">
        <v>156</v>
      </c>
      <c r="DT5" s="18">
        <v>160</v>
      </c>
      <c r="DU5" s="18">
        <v>197</v>
      </c>
      <c r="DW5" s="18">
        <v>249</v>
      </c>
      <c r="DX5" s="18">
        <v>241</v>
      </c>
      <c r="DY5" s="18">
        <v>234</v>
      </c>
      <c r="EB5" s="18">
        <v>246</v>
      </c>
      <c r="EC5" s="18">
        <v>199</v>
      </c>
      <c r="ED5" s="18">
        <v>206</v>
      </c>
      <c r="EF5" s="18">
        <v>141</v>
      </c>
      <c r="EG5" s="18">
        <v>204</v>
      </c>
      <c r="EH5" s="18">
        <v>176</v>
      </c>
      <c r="EJ5" s="18">
        <v>237</v>
      </c>
      <c r="EK5" s="18">
        <v>119</v>
      </c>
      <c r="EL5" s="18">
        <v>107</v>
      </c>
      <c r="EO5" s="18">
        <v>234</v>
      </c>
      <c r="EP5" s="18">
        <v>215</v>
      </c>
      <c r="EQ5" s="18">
        <v>204</v>
      </c>
      <c r="ES5" s="18">
        <v>207</v>
      </c>
      <c r="ET5" s="18">
        <v>159</v>
      </c>
      <c r="EU5" s="18">
        <v>150</v>
      </c>
      <c r="EW5" s="18">
        <v>113</v>
      </c>
      <c r="EX5" s="18">
        <v>106</v>
      </c>
      <c r="EY5" s="18">
        <v>103</v>
      </c>
      <c r="FB5" s="18">
        <v>254</v>
      </c>
      <c r="FC5" s="18">
        <v>244</v>
      </c>
      <c r="FD5" s="18">
        <v>244</v>
      </c>
      <c r="FF5" s="18">
        <v>207</v>
      </c>
      <c r="FG5" s="18">
        <v>232</v>
      </c>
      <c r="FH5" s="18">
        <v>241</v>
      </c>
      <c r="FJ5" s="18">
        <v>249</v>
      </c>
      <c r="FK5" s="18">
        <v>201</v>
      </c>
      <c r="FL5" s="18">
        <v>166</v>
      </c>
      <c r="FO5" s="18">
        <v>56</v>
      </c>
      <c r="FP5" s="18">
        <v>123</v>
      </c>
      <c r="FQ5" s="18">
        <v>188</v>
      </c>
      <c r="FS5" s="18">
        <v>251</v>
      </c>
      <c r="FT5" s="18">
        <v>227</v>
      </c>
      <c r="FU5" s="18">
        <v>229</v>
      </c>
      <c r="FW5" s="18">
        <v>230</v>
      </c>
      <c r="FX5" s="18">
        <v>153</v>
      </c>
      <c r="FY5" s="18">
        <v>172</v>
      </c>
      <c r="GB5" s="18">
        <v>243</v>
      </c>
      <c r="GC5" s="18">
        <v>189</v>
      </c>
      <c r="GD5" s="18">
        <v>183</v>
      </c>
      <c r="GF5" s="18">
        <v>207</v>
      </c>
      <c r="GG5" s="18">
        <v>221</v>
      </c>
      <c r="GH5" s="18">
        <v>178</v>
      </c>
      <c r="GJ5" s="18">
        <v>252</v>
      </c>
      <c r="GK5" s="18">
        <v>241</v>
      </c>
      <c r="GL5" s="18">
        <v>210</v>
      </c>
      <c r="GO5" s="18">
        <v>84</v>
      </c>
      <c r="GP5" s="18">
        <v>146</v>
      </c>
      <c r="GQ5" s="18">
        <v>85</v>
      </c>
      <c r="GS5" s="18">
        <v>202</v>
      </c>
      <c r="GT5" s="18">
        <v>214</v>
      </c>
      <c r="GU5" s="18">
        <v>64</v>
      </c>
      <c r="GW5" s="18">
        <v>0</v>
      </c>
      <c r="GX5" s="18">
        <v>94</v>
      </c>
      <c r="GY5" s="18">
        <v>85</v>
      </c>
      <c r="HB5" s="18">
        <v>211</v>
      </c>
      <c r="HC5" s="18">
        <v>204</v>
      </c>
      <c r="HD5" s="18">
        <v>188</v>
      </c>
      <c r="HF5" s="18">
        <v>191</v>
      </c>
      <c r="HG5" s="18">
        <v>161</v>
      </c>
      <c r="HH5" s="18">
        <v>119</v>
      </c>
      <c r="HJ5" s="18">
        <v>72</v>
      </c>
      <c r="HK5" s="18">
        <v>106</v>
      </c>
      <c r="HL5" s="18">
        <v>131</v>
      </c>
    </row>
    <row r="6" spans="2:221" hidden="1" outlineLevel="1" x14ac:dyDescent="0.45">
      <c r="B6" s="78" t="s">
        <v>76</v>
      </c>
      <c r="C6" s="78"/>
      <c r="D6" s="78"/>
      <c r="E6" s="78"/>
      <c r="F6" s="78" t="s">
        <v>77</v>
      </c>
      <c r="G6" s="78"/>
      <c r="H6" s="78"/>
      <c r="I6" s="78"/>
      <c r="J6" s="78" t="s">
        <v>78</v>
      </c>
      <c r="K6" s="78"/>
      <c r="L6" s="78"/>
      <c r="M6" s="78"/>
      <c r="O6" s="78" t="s">
        <v>79</v>
      </c>
      <c r="P6" s="78"/>
      <c r="Q6" s="78"/>
      <c r="R6" s="78"/>
      <c r="S6" s="78" t="s">
        <v>80</v>
      </c>
      <c r="T6" s="78"/>
      <c r="U6" s="78"/>
      <c r="V6" s="78"/>
      <c r="W6" s="78" t="s">
        <v>81</v>
      </c>
      <c r="X6" s="78"/>
      <c r="Y6" s="78"/>
      <c r="Z6" s="78"/>
      <c r="AB6" s="78" t="s">
        <v>82</v>
      </c>
      <c r="AC6" s="78"/>
      <c r="AD6" s="78"/>
      <c r="AE6" s="78"/>
      <c r="AF6" s="78" t="s">
        <v>83</v>
      </c>
      <c r="AG6" s="78"/>
      <c r="AH6" s="78"/>
      <c r="AI6" s="78"/>
      <c r="AJ6" s="78" t="s">
        <v>84</v>
      </c>
      <c r="AK6" s="78"/>
      <c r="AL6" s="78"/>
      <c r="AM6" s="78"/>
      <c r="AO6" s="78" t="s">
        <v>85</v>
      </c>
      <c r="AP6" s="78"/>
      <c r="AQ6" s="78"/>
      <c r="AR6" s="78"/>
      <c r="AS6" s="78" t="s">
        <v>86</v>
      </c>
      <c r="AT6" s="78"/>
      <c r="AU6" s="78"/>
      <c r="AV6" s="78"/>
      <c r="AW6" s="78" t="s">
        <v>87</v>
      </c>
      <c r="AX6" s="78"/>
      <c r="AY6" s="78"/>
      <c r="AZ6" s="78"/>
      <c r="BB6" s="78" t="s">
        <v>88</v>
      </c>
      <c r="BC6" s="78"/>
      <c r="BD6" s="78"/>
      <c r="BE6" s="78"/>
      <c r="BF6" s="78" t="s">
        <v>89</v>
      </c>
      <c r="BG6" s="78"/>
      <c r="BH6" s="78"/>
      <c r="BI6" s="78"/>
      <c r="BJ6" s="78" t="s">
        <v>90</v>
      </c>
      <c r="BK6" s="78"/>
      <c r="BL6" s="78"/>
      <c r="BM6" s="78"/>
      <c r="BO6" s="78" t="s">
        <v>91</v>
      </c>
      <c r="BP6" s="78"/>
      <c r="BQ6" s="78"/>
      <c r="BR6" s="78"/>
      <c r="BS6" s="78" t="s">
        <v>92</v>
      </c>
      <c r="BT6" s="78"/>
      <c r="BU6" s="78"/>
      <c r="BV6" s="78"/>
      <c r="BW6" s="78" t="s">
        <v>93</v>
      </c>
      <c r="BX6" s="78"/>
      <c r="BY6" s="78"/>
      <c r="BZ6" s="78"/>
      <c r="CB6" s="78" t="s">
        <v>94</v>
      </c>
      <c r="CC6" s="78"/>
      <c r="CD6" s="78"/>
      <c r="CE6" s="78"/>
      <c r="CF6" s="78" t="s">
        <v>95</v>
      </c>
      <c r="CG6" s="78"/>
      <c r="CH6" s="78"/>
      <c r="CI6" s="78"/>
      <c r="CJ6" s="78" t="s">
        <v>96</v>
      </c>
      <c r="CK6" s="78"/>
      <c r="CL6" s="78"/>
      <c r="CM6" s="78"/>
      <c r="CO6" s="78" t="s">
        <v>97</v>
      </c>
      <c r="CP6" s="78"/>
      <c r="CQ6" s="78"/>
      <c r="CR6" s="78"/>
      <c r="CS6" s="78" t="s">
        <v>98</v>
      </c>
      <c r="CT6" s="78"/>
      <c r="CU6" s="78"/>
      <c r="CV6" s="78"/>
      <c r="CW6" s="78" t="s">
        <v>99</v>
      </c>
      <c r="CX6" s="78"/>
      <c r="CY6" s="78"/>
      <c r="CZ6" s="78"/>
      <c r="DB6" s="78" t="s">
        <v>100</v>
      </c>
      <c r="DC6" s="78"/>
      <c r="DD6" s="78"/>
      <c r="DE6" s="78"/>
      <c r="DF6" s="78" t="s">
        <v>101</v>
      </c>
      <c r="DG6" s="78"/>
      <c r="DH6" s="78"/>
      <c r="DI6" s="78"/>
      <c r="DJ6" s="78" t="s">
        <v>102</v>
      </c>
      <c r="DK6" s="78"/>
      <c r="DL6" s="78"/>
      <c r="DM6" s="78"/>
      <c r="DO6" s="78" t="s">
        <v>103</v>
      </c>
      <c r="DP6" s="78"/>
      <c r="DQ6" s="78"/>
      <c r="DR6" s="78"/>
      <c r="DS6" s="78" t="s">
        <v>104</v>
      </c>
      <c r="DT6" s="78"/>
      <c r="DU6" s="78"/>
      <c r="DV6" s="78"/>
      <c r="DW6" s="78" t="s">
        <v>105</v>
      </c>
      <c r="DX6" s="78"/>
      <c r="DY6" s="78"/>
      <c r="DZ6" s="78"/>
      <c r="EB6" s="78" t="s">
        <v>106</v>
      </c>
      <c r="EC6" s="78"/>
      <c r="ED6" s="78"/>
      <c r="EE6" s="78"/>
      <c r="EF6" s="78" t="s">
        <v>107</v>
      </c>
      <c r="EG6" s="78"/>
      <c r="EH6" s="78"/>
      <c r="EI6" s="78"/>
      <c r="EJ6" s="78" t="s">
        <v>108</v>
      </c>
      <c r="EK6" s="78"/>
      <c r="EL6" s="78"/>
      <c r="EM6" s="78"/>
      <c r="EO6" s="78" t="s">
        <v>109</v>
      </c>
      <c r="EP6" s="78"/>
      <c r="EQ6" s="78"/>
      <c r="ER6" s="78"/>
      <c r="ES6" s="78" t="s">
        <v>110</v>
      </c>
      <c r="ET6" s="78"/>
      <c r="EU6" s="78"/>
      <c r="EV6" s="78"/>
      <c r="EW6" s="78" t="s">
        <v>111</v>
      </c>
      <c r="EX6" s="78"/>
      <c r="EY6" s="78"/>
      <c r="EZ6" s="78"/>
      <c r="FB6" s="78" t="s">
        <v>112</v>
      </c>
      <c r="FC6" s="78"/>
      <c r="FD6" s="78"/>
      <c r="FE6" s="78"/>
      <c r="FF6" s="78" t="s">
        <v>113</v>
      </c>
      <c r="FG6" s="78"/>
      <c r="FH6" s="78"/>
      <c r="FI6" s="78"/>
      <c r="FJ6" s="78" t="s">
        <v>114</v>
      </c>
      <c r="FK6" s="78"/>
      <c r="FL6" s="78"/>
      <c r="FM6" s="78"/>
      <c r="FO6" s="78" t="s">
        <v>115</v>
      </c>
      <c r="FP6" s="78"/>
      <c r="FQ6" s="78"/>
      <c r="FR6" s="78"/>
      <c r="FS6" s="78" t="s">
        <v>116</v>
      </c>
      <c r="FT6" s="78"/>
      <c r="FU6" s="78"/>
      <c r="FV6" s="78"/>
      <c r="FW6" s="78" t="s">
        <v>117</v>
      </c>
      <c r="FX6" s="78"/>
      <c r="FY6" s="78"/>
      <c r="FZ6" s="78"/>
      <c r="GB6" s="78" t="s">
        <v>118</v>
      </c>
      <c r="GC6" s="78"/>
      <c r="GD6" s="78"/>
      <c r="GE6" s="78"/>
      <c r="GF6" s="78" t="s">
        <v>119</v>
      </c>
      <c r="GG6" s="78"/>
      <c r="GH6" s="78"/>
      <c r="GI6" s="78"/>
      <c r="GJ6" s="78" t="s">
        <v>120</v>
      </c>
      <c r="GK6" s="78"/>
      <c r="GL6" s="78"/>
      <c r="GM6" s="78"/>
      <c r="GO6" s="78" t="s">
        <v>121</v>
      </c>
      <c r="GP6" s="78"/>
      <c r="GQ6" s="78"/>
      <c r="GR6" s="78"/>
      <c r="GS6" s="78" t="s">
        <v>122</v>
      </c>
      <c r="GT6" s="78"/>
      <c r="GU6" s="78"/>
      <c r="GV6" s="78"/>
      <c r="GW6" s="78" t="s">
        <v>123</v>
      </c>
      <c r="GX6" s="78"/>
      <c r="GY6" s="78"/>
      <c r="GZ6" s="78"/>
      <c r="HB6" s="78" t="s">
        <v>124</v>
      </c>
      <c r="HC6" s="78"/>
      <c r="HD6" s="78"/>
      <c r="HE6" s="78"/>
      <c r="HF6" s="78" t="s">
        <v>125</v>
      </c>
      <c r="HG6" s="78"/>
      <c r="HH6" s="78"/>
      <c r="HI6" s="78"/>
      <c r="HJ6" s="78" t="s">
        <v>126</v>
      </c>
      <c r="HK6" s="78"/>
      <c r="HL6" s="78"/>
      <c r="HM6" s="78"/>
    </row>
    <row r="7" spans="2:221" hidden="1" outlineLevel="1" x14ac:dyDescent="0.45"/>
    <row r="8" spans="2:221" collapsed="1" x14ac:dyDescent="0.45">
      <c r="B8" s="78" t="s">
        <v>127</v>
      </c>
      <c r="C8" s="78"/>
      <c r="D8" s="78"/>
      <c r="E8" s="78"/>
      <c r="F8" s="78" t="s">
        <v>128</v>
      </c>
      <c r="G8" s="78"/>
      <c r="H8" s="78"/>
      <c r="I8" s="78"/>
      <c r="J8" s="78"/>
      <c r="K8" s="78"/>
      <c r="L8" s="78"/>
      <c r="M8" s="78"/>
      <c r="O8" s="78" t="s">
        <v>129</v>
      </c>
      <c r="P8" s="78"/>
      <c r="Q8" s="78"/>
      <c r="R8" s="78"/>
      <c r="S8" s="78" t="s">
        <v>130</v>
      </c>
      <c r="T8" s="78"/>
      <c r="U8" s="78"/>
      <c r="V8" s="78"/>
      <c r="W8" s="78"/>
      <c r="X8" s="78"/>
      <c r="Y8" s="78"/>
      <c r="Z8" s="78"/>
      <c r="AB8" s="78" t="s">
        <v>131</v>
      </c>
      <c r="AC8" s="78"/>
      <c r="AD8" s="78"/>
      <c r="AE8" s="78"/>
      <c r="AF8" s="78" t="s">
        <v>132</v>
      </c>
      <c r="AG8" s="78"/>
      <c r="AH8" s="78"/>
      <c r="AI8" s="78"/>
      <c r="AJ8" s="78"/>
      <c r="AK8" s="78"/>
      <c r="AL8" s="78"/>
      <c r="AM8" s="78"/>
      <c r="AO8" s="78" t="s">
        <v>133</v>
      </c>
      <c r="AP8" s="78"/>
      <c r="AQ8" s="78"/>
      <c r="AR8" s="78"/>
      <c r="AS8" s="78" t="s">
        <v>134</v>
      </c>
      <c r="AT8" s="78"/>
      <c r="AU8" s="78"/>
      <c r="AV8" s="78"/>
      <c r="AW8" s="78"/>
      <c r="AX8" s="78"/>
      <c r="AY8" s="78"/>
      <c r="AZ8" s="78"/>
      <c r="BB8" s="78" t="s">
        <v>135</v>
      </c>
      <c r="BC8" s="78"/>
      <c r="BD8" s="78"/>
      <c r="BE8" s="78"/>
      <c r="BF8" s="78" t="s">
        <v>136</v>
      </c>
      <c r="BG8" s="78"/>
      <c r="BH8" s="78"/>
      <c r="BI8" s="78"/>
      <c r="BJ8" s="78"/>
      <c r="BK8" s="78"/>
      <c r="BL8" s="78"/>
      <c r="BM8" s="78"/>
      <c r="BO8" s="78" t="s">
        <v>137</v>
      </c>
      <c r="BP8" s="78"/>
      <c r="BQ8" s="78"/>
      <c r="BR8" s="78"/>
      <c r="BS8" s="78" t="s">
        <v>138</v>
      </c>
      <c r="BT8" s="78"/>
      <c r="BU8" s="78"/>
      <c r="BV8" s="78"/>
      <c r="BW8" s="78"/>
      <c r="BX8" s="78"/>
      <c r="BY8" s="78"/>
      <c r="BZ8" s="78"/>
      <c r="CB8" s="78" t="s">
        <v>139</v>
      </c>
      <c r="CC8" s="78"/>
      <c r="CD8" s="78"/>
      <c r="CE8" s="78"/>
      <c r="CF8" s="78" t="s">
        <v>140</v>
      </c>
      <c r="CG8" s="78"/>
      <c r="CH8" s="78"/>
      <c r="CI8" s="78"/>
      <c r="CJ8" s="78"/>
      <c r="CK8" s="78"/>
      <c r="CL8" s="78"/>
      <c r="CM8" s="78"/>
      <c r="CO8" s="78" t="s">
        <v>141</v>
      </c>
      <c r="CP8" s="78"/>
      <c r="CQ8" s="78"/>
      <c r="CR8" s="78"/>
      <c r="CS8" s="78" t="s">
        <v>142</v>
      </c>
      <c r="CT8" s="78"/>
      <c r="CU8" s="78"/>
      <c r="CV8" s="78"/>
      <c r="CW8" s="78"/>
      <c r="CX8" s="78"/>
      <c r="CY8" s="78"/>
      <c r="CZ8" s="78"/>
      <c r="DB8" s="78" t="s">
        <v>143</v>
      </c>
      <c r="DC8" s="78"/>
      <c r="DD8" s="78"/>
      <c r="DE8" s="78"/>
      <c r="DF8" s="78" t="s">
        <v>144</v>
      </c>
      <c r="DG8" s="78"/>
      <c r="DH8" s="78"/>
      <c r="DI8" s="78"/>
      <c r="DJ8" s="78"/>
      <c r="DK8" s="78"/>
      <c r="DL8" s="78"/>
      <c r="DM8" s="78"/>
      <c r="DO8" s="78" t="s">
        <v>145</v>
      </c>
      <c r="DP8" s="78"/>
      <c r="DQ8" s="78"/>
      <c r="DR8" s="78"/>
      <c r="DS8" s="78" t="s">
        <v>146</v>
      </c>
      <c r="DT8" s="78"/>
      <c r="DU8" s="78"/>
      <c r="DV8" s="78"/>
      <c r="DW8" s="78"/>
      <c r="DX8" s="78"/>
      <c r="DY8" s="78"/>
      <c r="DZ8" s="78"/>
      <c r="EB8" s="78" t="s">
        <v>147</v>
      </c>
      <c r="EC8" s="78"/>
      <c r="ED8" s="78"/>
      <c r="EE8" s="78"/>
      <c r="EF8" s="78" t="s">
        <v>148</v>
      </c>
      <c r="EG8" s="78"/>
      <c r="EH8" s="78"/>
      <c r="EI8" s="78"/>
      <c r="EJ8" s="78"/>
      <c r="EK8" s="78"/>
      <c r="EL8" s="78"/>
      <c r="EM8" s="78"/>
      <c r="EO8" s="78" t="s">
        <v>149</v>
      </c>
      <c r="EP8" s="78"/>
      <c r="EQ8" s="78"/>
      <c r="ER8" s="78"/>
      <c r="ES8" s="78" t="s">
        <v>150</v>
      </c>
      <c r="ET8" s="78"/>
      <c r="EU8" s="78"/>
      <c r="EV8" s="78"/>
      <c r="EW8" s="78"/>
      <c r="EX8" s="78"/>
      <c r="EY8" s="78"/>
      <c r="EZ8" s="78"/>
      <c r="FB8" s="78" t="s">
        <v>151</v>
      </c>
      <c r="FC8" s="78"/>
      <c r="FD8" s="78"/>
      <c r="FE8" s="78"/>
      <c r="FF8" s="78" t="s">
        <v>152</v>
      </c>
      <c r="FG8" s="78"/>
      <c r="FH8" s="78"/>
      <c r="FI8" s="78"/>
      <c r="FJ8" s="78"/>
      <c r="FK8" s="78"/>
      <c r="FL8" s="78"/>
      <c r="FM8" s="78"/>
      <c r="FO8" s="78" t="s">
        <v>153</v>
      </c>
      <c r="FP8" s="78"/>
      <c r="FQ8" s="78"/>
      <c r="FR8" s="78"/>
      <c r="FS8" s="78" t="s">
        <v>154</v>
      </c>
      <c r="FT8" s="78"/>
      <c r="FU8" s="78"/>
      <c r="FV8" s="78"/>
      <c r="FW8" s="78"/>
      <c r="FX8" s="78"/>
      <c r="FY8" s="78"/>
      <c r="FZ8" s="78"/>
      <c r="GB8" s="78" t="s">
        <v>155</v>
      </c>
      <c r="GC8" s="78"/>
      <c r="GD8" s="78"/>
      <c r="GE8" s="78"/>
      <c r="GF8" s="78" t="s">
        <v>156</v>
      </c>
      <c r="GG8" s="78"/>
      <c r="GH8" s="78"/>
      <c r="GI8" s="78"/>
      <c r="GJ8" s="78"/>
      <c r="GK8" s="78"/>
      <c r="GL8" s="78"/>
      <c r="GM8" s="78"/>
      <c r="GO8" s="78" t="s">
        <v>157</v>
      </c>
      <c r="GP8" s="78"/>
      <c r="GQ8" s="78"/>
      <c r="GR8" s="78"/>
      <c r="GS8" s="78" t="s">
        <v>158</v>
      </c>
      <c r="GT8" s="78"/>
      <c r="GU8" s="78"/>
      <c r="GV8" s="78"/>
      <c r="GW8" s="78"/>
      <c r="GX8" s="78"/>
      <c r="GY8" s="78"/>
      <c r="GZ8" s="78"/>
      <c r="HB8" s="78" t="s">
        <v>159</v>
      </c>
      <c r="HC8" s="78"/>
      <c r="HD8" s="78"/>
      <c r="HE8" s="78"/>
      <c r="HF8" s="78" t="s">
        <v>160</v>
      </c>
      <c r="HG8" s="78"/>
      <c r="HH8" s="78"/>
      <c r="HI8" s="78"/>
      <c r="HJ8" s="78"/>
      <c r="HK8" s="78"/>
      <c r="HL8" s="78"/>
      <c r="HM8" s="78"/>
    </row>
    <row r="9" spans="2:221" ht="40.049999999999997" customHeight="1" x14ac:dyDescent="0.45">
      <c r="B9" s="595"/>
      <c r="C9" s="595"/>
      <c r="D9" s="595"/>
      <c r="E9" s="595"/>
      <c r="F9" s="596"/>
      <c r="G9" s="596"/>
      <c r="H9" s="596"/>
      <c r="I9" s="596"/>
      <c r="J9" s="240"/>
      <c r="K9" s="240"/>
      <c r="L9" s="240"/>
      <c r="M9" s="240"/>
      <c r="O9" s="597"/>
      <c r="P9" s="597"/>
      <c r="Q9" s="597"/>
      <c r="R9" s="597"/>
      <c r="S9" s="598"/>
      <c r="T9" s="598"/>
      <c r="U9" s="598"/>
      <c r="V9" s="598"/>
      <c r="W9" s="599"/>
      <c r="X9" s="599"/>
      <c r="Y9" s="599"/>
      <c r="Z9" s="599"/>
      <c r="AB9" s="600"/>
      <c r="AC9" s="600"/>
      <c r="AD9" s="600"/>
      <c r="AE9" s="600"/>
      <c r="AF9" s="589"/>
      <c r="AG9" s="589"/>
      <c r="AH9" s="589"/>
      <c r="AI9" s="589"/>
      <c r="AJ9" s="590"/>
      <c r="AK9" s="590"/>
      <c r="AL9" s="590"/>
      <c r="AM9" s="590"/>
      <c r="AO9" s="591"/>
      <c r="AP9" s="591"/>
      <c r="AQ9" s="591"/>
      <c r="AR9" s="591"/>
      <c r="AS9" s="592"/>
      <c r="AT9" s="592"/>
      <c r="AU9" s="592"/>
      <c r="AV9" s="592"/>
      <c r="AW9" s="593"/>
      <c r="AX9" s="593"/>
      <c r="AY9" s="593"/>
      <c r="AZ9" s="593"/>
      <c r="BB9" s="594"/>
      <c r="BC9" s="594"/>
      <c r="BD9" s="594"/>
      <c r="BE9" s="594"/>
      <c r="BF9" s="583"/>
      <c r="BG9" s="583"/>
      <c r="BH9" s="583"/>
      <c r="BI9" s="583"/>
      <c r="BJ9" s="584"/>
      <c r="BK9" s="584"/>
      <c r="BL9" s="584"/>
      <c r="BM9" s="584"/>
      <c r="BO9" s="585"/>
      <c r="BP9" s="585"/>
      <c r="BQ9" s="585"/>
      <c r="BR9" s="585"/>
      <c r="BS9" s="586"/>
      <c r="BT9" s="586"/>
      <c r="BU9" s="586"/>
      <c r="BV9" s="586"/>
      <c r="BW9" s="587"/>
      <c r="BX9" s="587"/>
      <c r="BY9" s="587"/>
      <c r="BZ9" s="587"/>
      <c r="CB9" s="588"/>
      <c r="CC9" s="588"/>
      <c r="CD9" s="588"/>
      <c r="CE9" s="588"/>
      <c r="CF9" s="577"/>
      <c r="CG9" s="577"/>
      <c r="CH9" s="577"/>
      <c r="CI9" s="577"/>
      <c r="CJ9" s="578"/>
      <c r="CK9" s="578"/>
      <c r="CL9" s="578"/>
      <c r="CM9" s="578"/>
      <c r="CO9" s="579"/>
      <c r="CP9" s="579"/>
      <c r="CQ9" s="579"/>
      <c r="CR9" s="579"/>
      <c r="CS9" s="580"/>
      <c r="CT9" s="580"/>
      <c r="CU9" s="580"/>
      <c r="CV9" s="580"/>
      <c r="CW9" s="581"/>
      <c r="CX9" s="581"/>
      <c r="CY9" s="581"/>
      <c r="CZ9" s="581"/>
      <c r="DB9" s="582"/>
      <c r="DC9" s="582"/>
      <c r="DD9" s="582"/>
      <c r="DE9" s="582"/>
      <c r="DF9" s="571"/>
      <c r="DG9" s="571"/>
      <c r="DH9" s="571"/>
      <c r="DI9" s="571"/>
      <c r="DJ9" s="572"/>
      <c r="DK9" s="572"/>
      <c r="DL9" s="572"/>
      <c r="DM9" s="572"/>
      <c r="DO9" s="573"/>
      <c r="DP9" s="573"/>
      <c r="DQ9" s="573"/>
      <c r="DR9" s="573"/>
      <c r="DS9" s="574"/>
      <c r="DT9" s="574"/>
      <c r="DU9" s="574"/>
      <c r="DV9" s="574"/>
      <c r="DW9" s="575"/>
      <c r="DX9" s="575"/>
      <c r="DY9" s="575"/>
      <c r="DZ9" s="575"/>
      <c r="EB9" s="576"/>
      <c r="EC9" s="576"/>
      <c r="ED9" s="576"/>
      <c r="EE9" s="576"/>
      <c r="EF9" s="565"/>
      <c r="EG9" s="565"/>
      <c r="EH9" s="565"/>
      <c r="EI9" s="565"/>
      <c r="EJ9" s="566"/>
      <c r="EK9" s="566"/>
      <c r="EL9" s="566"/>
      <c r="EM9" s="566"/>
      <c r="EO9" s="567"/>
      <c r="EP9" s="567"/>
      <c r="EQ9" s="567"/>
      <c r="ER9" s="567"/>
      <c r="ES9" s="568"/>
      <c r="ET9" s="568"/>
      <c r="EU9" s="568"/>
      <c r="EV9" s="568"/>
      <c r="EW9" s="569"/>
      <c r="EX9" s="569"/>
      <c r="EY9" s="569"/>
      <c r="EZ9" s="569"/>
      <c r="FB9" s="570"/>
      <c r="FC9" s="570"/>
      <c r="FD9" s="570"/>
      <c r="FE9" s="570"/>
      <c r="FF9" s="559"/>
      <c r="FG9" s="559"/>
      <c r="FH9" s="559"/>
      <c r="FI9" s="559"/>
      <c r="FJ9" s="560"/>
      <c r="FK9" s="560"/>
      <c r="FL9" s="560"/>
      <c r="FM9" s="560"/>
      <c r="FO9" s="561"/>
      <c r="FP9" s="561"/>
      <c r="FQ9" s="561"/>
      <c r="FR9" s="561"/>
      <c r="FS9" s="562"/>
      <c r="FT9" s="562"/>
      <c r="FU9" s="562"/>
      <c r="FV9" s="562"/>
      <c r="FW9" s="563"/>
      <c r="FX9" s="563"/>
      <c r="FY9" s="563"/>
      <c r="FZ9" s="563"/>
      <c r="GB9" s="564"/>
      <c r="GC9" s="564"/>
      <c r="GD9" s="564"/>
      <c r="GE9" s="564"/>
      <c r="GF9" s="553"/>
      <c r="GG9" s="553"/>
      <c r="GH9" s="553"/>
      <c r="GI9" s="553"/>
      <c r="GJ9" s="554"/>
      <c r="GK9" s="554"/>
      <c r="GL9" s="554"/>
      <c r="GM9" s="554"/>
      <c r="GO9" s="555"/>
      <c r="GP9" s="555"/>
      <c r="GQ9" s="555"/>
      <c r="GR9" s="555"/>
      <c r="GS9" s="556"/>
      <c r="GT9" s="556"/>
      <c r="GU9" s="556"/>
      <c r="GV9" s="556"/>
      <c r="GW9" s="557"/>
      <c r="GX9" s="557"/>
      <c r="GY9" s="557"/>
      <c r="GZ9" s="557"/>
      <c r="HB9" s="558"/>
      <c r="HC9" s="558"/>
      <c r="HD9" s="558"/>
      <c r="HE9" s="558"/>
      <c r="HF9" s="551"/>
      <c r="HG9" s="551"/>
      <c r="HH9" s="551"/>
      <c r="HI9" s="551"/>
      <c r="HJ9" s="552"/>
      <c r="HK9" s="552"/>
      <c r="HL9" s="552"/>
      <c r="HM9" s="552"/>
    </row>
    <row r="10" spans="2:221" hidden="1" outlineLevel="1" x14ac:dyDescent="0.45">
      <c r="B10" s="18" t="s">
        <v>73</v>
      </c>
      <c r="C10" s="18" t="s">
        <v>74</v>
      </c>
      <c r="D10" s="18" t="s">
        <v>75</v>
      </c>
      <c r="F10" s="18" t="s">
        <v>73</v>
      </c>
      <c r="G10" s="18" t="s">
        <v>74</v>
      </c>
      <c r="H10" s="18" t="s">
        <v>75</v>
      </c>
      <c r="J10" s="18" t="s">
        <v>73</v>
      </c>
      <c r="K10" s="18" t="s">
        <v>74</v>
      </c>
      <c r="L10" s="18" t="s">
        <v>75</v>
      </c>
      <c r="O10" s="18" t="s">
        <v>73</v>
      </c>
      <c r="P10" s="18" t="s">
        <v>74</v>
      </c>
      <c r="Q10" s="18" t="s">
        <v>75</v>
      </c>
      <c r="S10" s="18" t="s">
        <v>73</v>
      </c>
      <c r="T10" s="18" t="s">
        <v>74</v>
      </c>
      <c r="U10" s="18" t="s">
        <v>75</v>
      </c>
      <c r="W10" s="18" t="s">
        <v>73</v>
      </c>
      <c r="X10" s="18" t="s">
        <v>74</v>
      </c>
      <c r="Y10" s="18" t="s">
        <v>75</v>
      </c>
      <c r="AB10" s="18" t="s">
        <v>73</v>
      </c>
      <c r="AC10" s="18" t="s">
        <v>74</v>
      </c>
      <c r="AD10" s="18" t="s">
        <v>75</v>
      </c>
      <c r="AF10" s="18" t="s">
        <v>73</v>
      </c>
      <c r="AG10" s="18" t="s">
        <v>74</v>
      </c>
      <c r="AH10" s="18" t="s">
        <v>75</v>
      </c>
      <c r="AJ10" s="18" t="s">
        <v>73</v>
      </c>
      <c r="AK10" s="18" t="s">
        <v>74</v>
      </c>
      <c r="AL10" s="18" t="s">
        <v>75</v>
      </c>
      <c r="AO10" s="18" t="s">
        <v>73</v>
      </c>
      <c r="AP10" s="18" t="s">
        <v>74</v>
      </c>
      <c r="AQ10" s="18" t="s">
        <v>75</v>
      </c>
      <c r="AS10" s="18" t="s">
        <v>73</v>
      </c>
      <c r="AT10" s="18" t="s">
        <v>74</v>
      </c>
      <c r="AU10" s="18" t="s">
        <v>75</v>
      </c>
      <c r="AW10" s="18" t="s">
        <v>73</v>
      </c>
      <c r="AX10" s="18" t="s">
        <v>74</v>
      </c>
      <c r="AY10" s="18" t="s">
        <v>75</v>
      </c>
      <c r="BB10" s="18" t="s">
        <v>73</v>
      </c>
      <c r="BC10" s="18" t="s">
        <v>74</v>
      </c>
      <c r="BD10" s="18" t="s">
        <v>75</v>
      </c>
      <c r="BF10" s="18" t="s">
        <v>73</v>
      </c>
      <c r="BG10" s="18" t="s">
        <v>74</v>
      </c>
      <c r="BH10" s="18" t="s">
        <v>75</v>
      </c>
      <c r="BJ10" s="18" t="s">
        <v>73</v>
      </c>
      <c r="BK10" s="18" t="s">
        <v>74</v>
      </c>
      <c r="BL10" s="18" t="s">
        <v>75</v>
      </c>
      <c r="BO10" s="18" t="s">
        <v>73</v>
      </c>
      <c r="BP10" s="18" t="s">
        <v>74</v>
      </c>
      <c r="BQ10" s="18" t="s">
        <v>75</v>
      </c>
      <c r="BS10" s="18" t="s">
        <v>73</v>
      </c>
      <c r="BT10" s="18" t="s">
        <v>74</v>
      </c>
      <c r="BU10" s="18" t="s">
        <v>75</v>
      </c>
      <c r="BW10" s="18" t="s">
        <v>73</v>
      </c>
      <c r="BX10" s="18" t="s">
        <v>74</v>
      </c>
      <c r="BY10" s="18" t="s">
        <v>75</v>
      </c>
      <c r="CB10" s="18" t="s">
        <v>73</v>
      </c>
      <c r="CC10" s="18" t="s">
        <v>74</v>
      </c>
      <c r="CD10" s="18" t="s">
        <v>75</v>
      </c>
      <c r="CF10" s="18" t="s">
        <v>73</v>
      </c>
      <c r="CG10" s="18" t="s">
        <v>74</v>
      </c>
      <c r="CH10" s="18" t="s">
        <v>75</v>
      </c>
      <c r="CJ10" s="18" t="s">
        <v>73</v>
      </c>
      <c r="CK10" s="18" t="s">
        <v>74</v>
      </c>
      <c r="CL10" s="18" t="s">
        <v>75</v>
      </c>
      <c r="CO10" s="18" t="s">
        <v>73</v>
      </c>
      <c r="CP10" s="18" t="s">
        <v>74</v>
      </c>
      <c r="CQ10" s="18" t="s">
        <v>75</v>
      </c>
      <c r="CS10" s="18" t="s">
        <v>73</v>
      </c>
      <c r="CT10" s="18" t="s">
        <v>74</v>
      </c>
      <c r="CU10" s="18" t="s">
        <v>75</v>
      </c>
      <c r="CW10" s="18" t="s">
        <v>73</v>
      </c>
      <c r="CX10" s="18" t="s">
        <v>74</v>
      </c>
      <c r="CY10" s="18" t="s">
        <v>75</v>
      </c>
      <c r="DB10" s="18" t="s">
        <v>73</v>
      </c>
      <c r="DC10" s="18" t="s">
        <v>74</v>
      </c>
      <c r="DD10" s="18" t="s">
        <v>75</v>
      </c>
      <c r="DF10" s="18" t="s">
        <v>73</v>
      </c>
      <c r="DG10" s="18" t="s">
        <v>74</v>
      </c>
      <c r="DH10" s="18" t="s">
        <v>75</v>
      </c>
      <c r="DJ10" s="18" t="s">
        <v>73</v>
      </c>
      <c r="DK10" s="18" t="s">
        <v>74</v>
      </c>
      <c r="DL10" s="18" t="s">
        <v>75</v>
      </c>
      <c r="DO10" s="18" t="s">
        <v>73</v>
      </c>
      <c r="DP10" s="18" t="s">
        <v>74</v>
      </c>
      <c r="DQ10" s="18" t="s">
        <v>75</v>
      </c>
      <c r="DS10" s="18" t="s">
        <v>73</v>
      </c>
      <c r="DT10" s="18" t="s">
        <v>74</v>
      </c>
      <c r="DU10" s="18" t="s">
        <v>75</v>
      </c>
      <c r="DW10" s="18" t="s">
        <v>73</v>
      </c>
      <c r="DX10" s="18" t="s">
        <v>74</v>
      </c>
      <c r="DY10" s="18" t="s">
        <v>75</v>
      </c>
      <c r="EB10" s="18" t="s">
        <v>73</v>
      </c>
      <c r="EC10" s="18" t="s">
        <v>74</v>
      </c>
      <c r="ED10" s="18" t="s">
        <v>75</v>
      </c>
      <c r="EF10" s="18" t="s">
        <v>73</v>
      </c>
      <c r="EG10" s="18" t="s">
        <v>74</v>
      </c>
      <c r="EH10" s="18" t="s">
        <v>75</v>
      </c>
      <c r="EJ10" s="18" t="s">
        <v>73</v>
      </c>
      <c r="EK10" s="18" t="s">
        <v>74</v>
      </c>
      <c r="EL10" s="18" t="s">
        <v>75</v>
      </c>
      <c r="EO10" s="18" t="s">
        <v>73</v>
      </c>
      <c r="EP10" s="18" t="s">
        <v>74</v>
      </c>
      <c r="EQ10" s="18" t="s">
        <v>75</v>
      </c>
      <c r="ES10" s="18" t="s">
        <v>73</v>
      </c>
      <c r="ET10" s="18" t="s">
        <v>74</v>
      </c>
      <c r="EU10" s="18" t="s">
        <v>75</v>
      </c>
      <c r="EW10" s="18" t="s">
        <v>73</v>
      </c>
      <c r="EX10" s="18" t="s">
        <v>74</v>
      </c>
      <c r="EY10" s="18" t="s">
        <v>75</v>
      </c>
      <c r="FB10" s="18" t="s">
        <v>73</v>
      </c>
      <c r="FC10" s="18" t="s">
        <v>74</v>
      </c>
      <c r="FD10" s="18" t="s">
        <v>75</v>
      </c>
      <c r="FF10" s="18" t="s">
        <v>73</v>
      </c>
      <c r="FG10" s="18" t="s">
        <v>74</v>
      </c>
      <c r="FH10" s="18" t="s">
        <v>75</v>
      </c>
      <c r="FJ10" s="18" t="s">
        <v>73</v>
      </c>
      <c r="FK10" s="18" t="s">
        <v>74</v>
      </c>
      <c r="FL10" s="18" t="s">
        <v>75</v>
      </c>
      <c r="FO10" s="18" t="s">
        <v>73</v>
      </c>
      <c r="FP10" s="18" t="s">
        <v>74</v>
      </c>
      <c r="FQ10" s="18" t="s">
        <v>75</v>
      </c>
      <c r="FS10" s="18" t="s">
        <v>73</v>
      </c>
      <c r="FT10" s="18" t="s">
        <v>74</v>
      </c>
      <c r="FU10" s="18" t="s">
        <v>75</v>
      </c>
      <c r="FW10" s="18" t="s">
        <v>73</v>
      </c>
      <c r="FX10" s="18" t="s">
        <v>74</v>
      </c>
      <c r="FY10" s="18" t="s">
        <v>75</v>
      </c>
      <c r="GB10" s="18" t="s">
        <v>73</v>
      </c>
      <c r="GC10" s="18" t="s">
        <v>74</v>
      </c>
      <c r="GD10" s="18" t="s">
        <v>75</v>
      </c>
      <c r="GF10" s="18" t="s">
        <v>73</v>
      </c>
      <c r="GG10" s="18" t="s">
        <v>74</v>
      </c>
      <c r="GH10" s="18" t="s">
        <v>75</v>
      </c>
      <c r="GJ10" s="18" t="s">
        <v>73</v>
      </c>
      <c r="GK10" s="18" t="s">
        <v>74</v>
      </c>
      <c r="GL10" s="18" t="s">
        <v>75</v>
      </c>
      <c r="GO10" s="18" t="s">
        <v>73</v>
      </c>
      <c r="GP10" s="18" t="s">
        <v>74</v>
      </c>
      <c r="GQ10" s="18" t="s">
        <v>75</v>
      </c>
      <c r="GS10" s="18" t="s">
        <v>73</v>
      </c>
      <c r="GT10" s="18" t="s">
        <v>74</v>
      </c>
      <c r="GU10" s="18" t="s">
        <v>75</v>
      </c>
      <c r="GW10" s="18" t="s">
        <v>73</v>
      </c>
      <c r="GX10" s="18" t="s">
        <v>74</v>
      </c>
      <c r="GY10" s="18" t="s">
        <v>75</v>
      </c>
      <c r="HB10" s="18" t="s">
        <v>73</v>
      </c>
      <c r="HC10" s="18" t="s">
        <v>74</v>
      </c>
      <c r="HD10" s="18" t="s">
        <v>75</v>
      </c>
      <c r="HF10" s="18" t="s">
        <v>73</v>
      </c>
      <c r="HG10" s="18" t="s">
        <v>74</v>
      </c>
      <c r="HH10" s="18" t="s">
        <v>75</v>
      </c>
      <c r="HJ10" s="18" t="s">
        <v>73</v>
      </c>
      <c r="HK10" s="18" t="s">
        <v>74</v>
      </c>
      <c r="HL10" s="18" t="s">
        <v>75</v>
      </c>
    </row>
    <row r="11" spans="2:221" hidden="1" outlineLevel="1" x14ac:dyDescent="0.45">
      <c r="B11" s="18">
        <v>255</v>
      </c>
      <c r="C11" s="18">
        <v>241</v>
      </c>
      <c r="D11" s="18">
        <v>203</v>
      </c>
      <c r="F11" s="18">
        <v>198</v>
      </c>
      <c r="G11" s="18">
        <v>232</v>
      </c>
      <c r="H11" s="18">
        <v>243</v>
      </c>
      <c r="J11" s="18">
        <v>255</v>
      </c>
      <c r="K11" s="18">
        <v>255</v>
      </c>
      <c r="L11" s="18">
        <v>255</v>
      </c>
      <c r="O11" s="18">
        <v>243</v>
      </c>
      <c r="P11" s="18">
        <v>238</v>
      </c>
      <c r="Q11" s="18">
        <v>213</v>
      </c>
      <c r="S11" s="18">
        <v>228</v>
      </c>
      <c r="T11" s="18">
        <v>175</v>
      </c>
      <c r="U11" s="18">
        <v>155</v>
      </c>
      <c r="W11" s="18">
        <v>212</v>
      </c>
      <c r="X11" s="18">
        <v>223</v>
      </c>
      <c r="Y11" s="18">
        <v>187</v>
      </c>
      <c r="AB11" s="18">
        <v>239</v>
      </c>
      <c r="AC11" s="18">
        <v>139</v>
      </c>
      <c r="AD11" s="18">
        <v>182</v>
      </c>
      <c r="AF11" s="18">
        <v>255</v>
      </c>
      <c r="AG11" s="18">
        <v>218</v>
      </c>
      <c r="AH11" s="18">
        <v>42</v>
      </c>
      <c r="AJ11" s="18">
        <v>49</v>
      </c>
      <c r="AK11" s="18">
        <v>182</v>
      </c>
      <c r="AL11" s="18">
        <v>160</v>
      </c>
      <c r="AO11" s="18">
        <v>9</v>
      </c>
      <c r="AP11" s="18">
        <v>34</v>
      </c>
      <c r="AQ11" s="18">
        <v>55</v>
      </c>
      <c r="AS11" s="18">
        <v>73</v>
      </c>
      <c r="AT11" s="18">
        <v>119</v>
      </c>
      <c r="AU11" s="18">
        <v>188</v>
      </c>
      <c r="AW11" s="18">
        <v>106</v>
      </c>
      <c r="AX11" s="18">
        <v>73</v>
      </c>
      <c r="AY11" s="18">
        <v>40</v>
      </c>
      <c r="BB11" s="18">
        <v>230</v>
      </c>
      <c r="BC11" s="18">
        <v>229</v>
      </c>
      <c r="BD11" s="18">
        <v>239</v>
      </c>
      <c r="BF11" s="18">
        <v>62</v>
      </c>
      <c r="BG11" s="18">
        <v>58</v>
      </c>
      <c r="BH11" s="18">
        <v>58</v>
      </c>
      <c r="BJ11" s="18">
        <v>206</v>
      </c>
      <c r="BK11" s="18">
        <v>215</v>
      </c>
      <c r="BL11" s="18">
        <v>220</v>
      </c>
      <c r="BO11" s="18">
        <v>252</v>
      </c>
      <c r="BP11" s="18">
        <v>235</v>
      </c>
      <c r="BQ11" s="18">
        <v>239</v>
      </c>
      <c r="BS11" s="18">
        <v>246</v>
      </c>
      <c r="BT11" s="18">
        <v>192</v>
      </c>
      <c r="BU11" s="18">
        <v>209</v>
      </c>
      <c r="BW11" s="18">
        <v>239</v>
      </c>
      <c r="BX11" s="18">
        <v>136</v>
      </c>
      <c r="BY11" s="18">
        <v>147</v>
      </c>
      <c r="CB11" s="18">
        <v>243</v>
      </c>
      <c r="CC11" s="18">
        <v>222</v>
      </c>
      <c r="CD11" s="18">
        <v>185</v>
      </c>
      <c r="CF11" s="18">
        <v>232</v>
      </c>
      <c r="CG11" s="18">
        <v>170</v>
      </c>
      <c r="CH11" s="18">
        <v>163</v>
      </c>
      <c r="CJ11" s="18">
        <v>174</v>
      </c>
      <c r="CK11" s="18">
        <v>172</v>
      </c>
      <c r="CL11" s="18">
        <v>120</v>
      </c>
      <c r="CO11" s="18">
        <v>232</v>
      </c>
      <c r="CP11" s="18">
        <v>235</v>
      </c>
      <c r="CQ11" s="18">
        <v>231</v>
      </c>
      <c r="CS11" s="18">
        <v>201</v>
      </c>
      <c r="CT11" s="18">
        <v>190</v>
      </c>
      <c r="CU11" s="18">
        <v>114</v>
      </c>
      <c r="CW11" s="18">
        <v>118</v>
      </c>
      <c r="CX11" s="18">
        <v>161</v>
      </c>
      <c r="CY11" s="18">
        <v>184</v>
      </c>
      <c r="DB11" s="18">
        <v>104</v>
      </c>
      <c r="DC11" s="18">
        <v>102</v>
      </c>
      <c r="DD11" s="18">
        <v>108</v>
      </c>
      <c r="DF11" s="18">
        <v>238</v>
      </c>
      <c r="DG11" s="18">
        <v>125</v>
      </c>
      <c r="DH11" s="18">
        <v>80</v>
      </c>
      <c r="DJ11" s="18">
        <v>210</v>
      </c>
      <c r="DK11" s="18">
        <v>221</v>
      </c>
      <c r="DL11" s="18">
        <v>222</v>
      </c>
      <c r="DO11" s="18">
        <v>89</v>
      </c>
      <c r="DP11" s="18">
        <v>135</v>
      </c>
      <c r="DQ11" s="18">
        <v>139</v>
      </c>
      <c r="DS11" s="18">
        <v>234</v>
      </c>
      <c r="DT11" s="18">
        <v>184</v>
      </c>
      <c r="DU11" s="18">
        <v>191</v>
      </c>
      <c r="DW11" s="18">
        <v>244</v>
      </c>
      <c r="DX11" s="18">
        <v>233</v>
      </c>
      <c r="DY11" s="18">
        <v>224</v>
      </c>
      <c r="EB11" s="18">
        <v>188</v>
      </c>
      <c r="EC11" s="18">
        <v>222</v>
      </c>
      <c r="ED11" s="18">
        <v>186</v>
      </c>
      <c r="EF11" s="18">
        <v>255</v>
      </c>
      <c r="EG11" s="18">
        <v>238</v>
      </c>
      <c r="EH11" s="18">
        <v>169</v>
      </c>
      <c r="EJ11" s="18">
        <v>123</v>
      </c>
      <c r="EK11" s="18">
        <v>171</v>
      </c>
      <c r="EL11" s="18">
        <v>219</v>
      </c>
      <c r="EO11" s="18">
        <v>227</v>
      </c>
      <c r="EP11" s="18">
        <v>181</v>
      </c>
      <c r="EQ11" s="18">
        <v>138</v>
      </c>
      <c r="ES11" s="18">
        <v>192</v>
      </c>
      <c r="ET11" s="18">
        <v>119</v>
      </c>
      <c r="EU11" s="18">
        <v>84</v>
      </c>
      <c r="EW11" s="18">
        <v>0</v>
      </c>
      <c r="EX11" s="18">
        <v>69</v>
      </c>
      <c r="EY11" s="18">
        <v>69</v>
      </c>
      <c r="FB11" s="18">
        <v>250</v>
      </c>
      <c r="FC11" s="18">
        <v>239</v>
      </c>
      <c r="FD11" s="18">
        <v>155</v>
      </c>
      <c r="FF11" s="18">
        <v>245</v>
      </c>
      <c r="FG11" s="18">
        <v>190</v>
      </c>
      <c r="FH11" s="18">
        <v>211</v>
      </c>
      <c r="FJ11" s="18">
        <v>227</v>
      </c>
      <c r="FK11" s="18">
        <v>215</v>
      </c>
      <c r="FL11" s="18">
        <v>233</v>
      </c>
      <c r="FO11" s="18">
        <v>98</v>
      </c>
      <c r="FP11" s="18">
        <v>192</v>
      </c>
      <c r="FQ11" s="18">
        <v>180</v>
      </c>
      <c r="FS11" s="18">
        <v>246</v>
      </c>
      <c r="FT11" s="18">
        <v>192</v>
      </c>
      <c r="FU11" s="18">
        <v>204</v>
      </c>
      <c r="FW11" s="18">
        <v>131</v>
      </c>
      <c r="FX11" s="18">
        <v>83</v>
      </c>
      <c r="FY11" s="18">
        <v>158</v>
      </c>
      <c r="GB11" s="18">
        <v>219</v>
      </c>
      <c r="GC11" s="18">
        <v>210</v>
      </c>
      <c r="GD11" s="18">
        <v>232</v>
      </c>
      <c r="GF11" s="18">
        <v>223</v>
      </c>
      <c r="GG11" s="18">
        <v>232</v>
      </c>
      <c r="GH11" s="18">
        <v>240</v>
      </c>
      <c r="GJ11" s="18">
        <v>255</v>
      </c>
      <c r="GK11" s="18">
        <v>246</v>
      </c>
      <c r="GL11" s="18">
        <v>255</v>
      </c>
      <c r="GO11" s="18">
        <v>219</v>
      </c>
      <c r="GP11" s="18">
        <v>226</v>
      </c>
      <c r="GQ11" s="18">
        <v>155</v>
      </c>
      <c r="GS11" s="18">
        <v>235</v>
      </c>
      <c r="GT11" s="18">
        <v>153</v>
      </c>
      <c r="GU11" s="18">
        <v>56</v>
      </c>
      <c r="GW11" s="18">
        <v>75</v>
      </c>
      <c r="GX11" s="18">
        <v>137</v>
      </c>
      <c r="GY11" s="18">
        <v>79</v>
      </c>
      <c r="HB11" s="18">
        <v>189</v>
      </c>
      <c r="HC11" s="18">
        <v>198</v>
      </c>
      <c r="HD11" s="18">
        <v>202</v>
      </c>
      <c r="HF11" s="18">
        <v>136</v>
      </c>
      <c r="HG11" s="18">
        <v>146</v>
      </c>
      <c r="HH11" s="18">
        <v>145</v>
      </c>
      <c r="HJ11" s="18">
        <v>50</v>
      </c>
      <c r="HK11" s="18">
        <v>73</v>
      </c>
      <c r="HL11" s="18">
        <v>95</v>
      </c>
    </row>
    <row r="12" spans="2:221" hidden="1" outlineLevel="1" x14ac:dyDescent="0.45">
      <c r="B12" s="78" t="s">
        <v>161</v>
      </c>
      <c r="C12" s="78"/>
      <c r="D12" s="78"/>
      <c r="E12" s="78"/>
      <c r="F12" s="78" t="s">
        <v>162</v>
      </c>
      <c r="G12" s="78"/>
      <c r="H12" s="78"/>
      <c r="I12" s="78"/>
      <c r="J12" s="78" t="s">
        <v>163</v>
      </c>
      <c r="K12" s="78"/>
      <c r="L12" s="78"/>
      <c r="M12" s="78"/>
      <c r="O12" s="78" t="s">
        <v>164</v>
      </c>
      <c r="P12" s="78"/>
      <c r="Q12" s="78"/>
      <c r="R12" s="78"/>
      <c r="S12" s="78" t="s">
        <v>165</v>
      </c>
      <c r="T12" s="78"/>
      <c r="U12" s="78"/>
      <c r="V12" s="78"/>
      <c r="W12" s="78" t="s">
        <v>166</v>
      </c>
      <c r="X12" s="78"/>
      <c r="Y12" s="78"/>
      <c r="Z12" s="78"/>
      <c r="AB12" s="78" t="s">
        <v>167</v>
      </c>
      <c r="AC12" s="78"/>
      <c r="AD12" s="78"/>
      <c r="AE12" s="78"/>
      <c r="AF12" s="78" t="s">
        <v>168</v>
      </c>
      <c r="AG12" s="78"/>
      <c r="AH12" s="78"/>
      <c r="AI12" s="78"/>
      <c r="AJ12" s="78" t="s">
        <v>169</v>
      </c>
      <c r="AK12" s="78"/>
      <c r="AL12" s="78"/>
      <c r="AM12" s="78"/>
      <c r="AO12" s="78" t="s">
        <v>170</v>
      </c>
      <c r="AP12" s="78"/>
      <c r="AQ12" s="78"/>
      <c r="AR12" s="78"/>
      <c r="AS12" s="78" t="s">
        <v>171</v>
      </c>
      <c r="AT12" s="78"/>
      <c r="AU12" s="78"/>
      <c r="AV12" s="78"/>
      <c r="AW12" s="78" t="s">
        <v>172</v>
      </c>
      <c r="AX12" s="78"/>
      <c r="AY12" s="78"/>
      <c r="AZ12" s="78"/>
      <c r="BB12" s="78" t="s">
        <v>173</v>
      </c>
      <c r="BC12" s="78"/>
      <c r="BD12" s="78"/>
      <c r="BE12" s="78"/>
      <c r="BF12" s="78" t="s">
        <v>174</v>
      </c>
      <c r="BG12" s="78"/>
      <c r="BH12" s="78"/>
      <c r="BI12" s="78"/>
      <c r="BJ12" s="78" t="s">
        <v>175</v>
      </c>
      <c r="BK12" s="78"/>
      <c r="BL12" s="78"/>
      <c r="BM12" s="78"/>
      <c r="BO12" s="78" t="s">
        <v>176</v>
      </c>
      <c r="BP12" s="78"/>
      <c r="BQ12" s="78"/>
      <c r="BR12" s="78"/>
      <c r="BS12" s="78" t="s">
        <v>177</v>
      </c>
      <c r="BT12" s="78"/>
      <c r="BU12" s="78"/>
      <c r="BV12" s="78"/>
      <c r="BW12" s="78" t="s">
        <v>178</v>
      </c>
      <c r="BX12" s="78"/>
      <c r="BY12" s="78"/>
      <c r="BZ12" s="78"/>
      <c r="CB12" s="78" t="s">
        <v>179</v>
      </c>
      <c r="CC12" s="78"/>
      <c r="CD12" s="78"/>
      <c r="CE12" s="78"/>
      <c r="CF12" s="78" t="s">
        <v>180</v>
      </c>
      <c r="CG12" s="78"/>
      <c r="CH12" s="78"/>
      <c r="CI12" s="78"/>
      <c r="CJ12" s="78" t="s">
        <v>181</v>
      </c>
      <c r="CK12" s="78"/>
      <c r="CL12" s="78"/>
      <c r="CM12" s="78"/>
      <c r="CO12" s="78" t="s">
        <v>182</v>
      </c>
      <c r="CP12" s="78"/>
      <c r="CQ12" s="78"/>
      <c r="CR12" s="78"/>
      <c r="CS12" s="78" t="s">
        <v>183</v>
      </c>
      <c r="CT12" s="78"/>
      <c r="CU12" s="78"/>
      <c r="CV12" s="78"/>
      <c r="CW12" s="78" t="s">
        <v>184</v>
      </c>
      <c r="CX12" s="78"/>
      <c r="CY12" s="78"/>
      <c r="CZ12" s="78"/>
      <c r="DB12" s="78" t="s">
        <v>185</v>
      </c>
      <c r="DC12" s="78"/>
      <c r="DD12" s="78"/>
      <c r="DE12" s="78"/>
      <c r="DF12" s="78" t="s">
        <v>186</v>
      </c>
      <c r="DG12" s="78"/>
      <c r="DH12" s="78"/>
      <c r="DI12" s="78"/>
      <c r="DJ12" s="78" t="s">
        <v>187</v>
      </c>
      <c r="DK12" s="78"/>
      <c r="DL12" s="78"/>
      <c r="DM12" s="78"/>
      <c r="DO12" s="78" t="s">
        <v>188</v>
      </c>
      <c r="DP12" s="78"/>
      <c r="DQ12" s="78"/>
      <c r="DR12" s="78"/>
      <c r="DS12" s="78" t="s">
        <v>189</v>
      </c>
      <c r="DT12" s="78"/>
      <c r="DU12" s="78"/>
      <c r="DV12" s="78"/>
      <c r="DW12" s="78" t="s">
        <v>190</v>
      </c>
      <c r="DX12" s="78"/>
      <c r="DY12" s="78"/>
      <c r="DZ12" s="78"/>
      <c r="EB12" s="78" t="s">
        <v>191</v>
      </c>
      <c r="EC12" s="78"/>
      <c r="ED12" s="78"/>
      <c r="EE12" s="78"/>
      <c r="EF12" s="78" t="s">
        <v>192</v>
      </c>
      <c r="EG12" s="78"/>
      <c r="EH12" s="78"/>
      <c r="EI12" s="78"/>
      <c r="EJ12" s="78" t="s">
        <v>193</v>
      </c>
      <c r="EK12" s="78"/>
      <c r="EL12" s="78"/>
      <c r="EM12" s="78"/>
      <c r="EO12" s="78" t="s">
        <v>194</v>
      </c>
      <c r="EP12" s="78"/>
      <c r="EQ12" s="78"/>
      <c r="ER12" s="78"/>
      <c r="ES12" s="78" t="s">
        <v>195</v>
      </c>
      <c r="ET12" s="78"/>
      <c r="EU12" s="78"/>
      <c r="EV12" s="78"/>
      <c r="EW12" s="78" t="s">
        <v>196</v>
      </c>
      <c r="EX12" s="78"/>
      <c r="EY12" s="78"/>
      <c r="EZ12" s="78"/>
      <c r="FB12" s="78" t="s">
        <v>197</v>
      </c>
      <c r="FC12" s="78"/>
      <c r="FD12" s="78"/>
      <c r="FE12" s="78"/>
      <c r="FF12" s="78" t="s">
        <v>198</v>
      </c>
      <c r="FG12" s="78"/>
      <c r="FH12" s="78"/>
      <c r="FI12" s="78"/>
      <c r="FJ12" s="78" t="s">
        <v>199</v>
      </c>
      <c r="FK12" s="78"/>
      <c r="FL12" s="78"/>
      <c r="FM12" s="78"/>
      <c r="FO12" s="78" t="s">
        <v>200</v>
      </c>
      <c r="FP12" s="78"/>
      <c r="FQ12" s="78"/>
      <c r="FR12" s="78"/>
      <c r="FS12" s="78" t="s">
        <v>201</v>
      </c>
      <c r="FT12" s="78"/>
      <c r="FU12" s="78"/>
      <c r="FV12" s="78"/>
      <c r="FW12" s="78" t="s">
        <v>202</v>
      </c>
      <c r="FX12" s="78"/>
      <c r="FY12" s="78"/>
      <c r="FZ12" s="78"/>
      <c r="GB12" s="78" t="s">
        <v>203</v>
      </c>
      <c r="GC12" s="78"/>
      <c r="GD12" s="78"/>
      <c r="GE12" s="78"/>
      <c r="GF12" s="78" t="s">
        <v>204</v>
      </c>
      <c r="GG12" s="78"/>
      <c r="GH12" s="78"/>
      <c r="GI12" s="78"/>
      <c r="GJ12" s="78" t="s">
        <v>205</v>
      </c>
      <c r="GK12" s="78"/>
      <c r="GL12" s="78"/>
      <c r="GM12" s="78"/>
      <c r="GO12" s="78" t="s">
        <v>206</v>
      </c>
      <c r="GP12" s="78"/>
      <c r="GQ12" s="78"/>
      <c r="GR12" s="78"/>
      <c r="GS12" s="78" t="s">
        <v>207</v>
      </c>
      <c r="GT12" s="78"/>
      <c r="GU12" s="78"/>
      <c r="GV12" s="78"/>
      <c r="GW12" s="78" t="s">
        <v>208</v>
      </c>
      <c r="GX12" s="78"/>
      <c r="GY12" s="78"/>
      <c r="GZ12" s="78"/>
      <c r="HB12" s="78" t="s">
        <v>209</v>
      </c>
      <c r="HC12" s="78"/>
      <c r="HD12" s="78"/>
      <c r="HE12" s="78"/>
      <c r="HF12" s="78" t="s">
        <v>210</v>
      </c>
      <c r="HG12" s="78"/>
      <c r="HH12" s="78"/>
      <c r="HI12" s="78"/>
      <c r="HJ12" s="78" t="s">
        <v>211</v>
      </c>
      <c r="HK12" s="78"/>
      <c r="HL12" s="78"/>
      <c r="HM12" s="78"/>
    </row>
    <row r="13" spans="2:221" hidden="1" outlineLevel="1" x14ac:dyDescent="0.45"/>
    <row r="14" spans="2:221" collapsed="1" x14ac:dyDescent="0.45">
      <c r="B14" s="78" t="s">
        <v>212</v>
      </c>
      <c r="C14" s="78"/>
      <c r="D14" s="78"/>
      <c r="E14" s="78"/>
      <c r="F14" s="78" t="s">
        <v>213</v>
      </c>
      <c r="G14" s="78"/>
      <c r="H14" s="78"/>
      <c r="I14" s="78"/>
      <c r="J14" s="78"/>
      <c r="K14" s="78"/>
      <c r="L14" s="78"/>
      <c r="M14" s="78"/>
      <c r="O14" s="78" t="s">
        <v>214</v>
      </c>
      <c r="P14" s="78"/>
      <c r="Q14" s="78"/>
      <c r="R14" s="78"/>
      <c r="S14" s="78" t="s">
        <v>215</v>
      </c>
      <c r="T14" s="78"/>
      <c r="U14" s="78"/>
      <c r="V14" s="78"/>
      <c r="W14" s="78"/>
      <c r="X14" s="78"/>
      <c r="Y14" s="78"/>
      <c r="Z14" s="78"/>
      <c r="AB14" s="78" t="s">
        <v>216</v>
      </c>
      <c r="AC14" s="78"/>
      <c r="AD14" s="78"/>
      <c r="AE14" s="78"/>
      <c r="AF14" s="78" t="s">
        <v>217</v>
      </c>
      <c r="AG14" s="78"/>
      <c r="AH14" s="78"/>
      <c r="AI14" s="78"/>
      <c r="AJ14" s="78"/>
      <c r="AK14" s="78"/>
      <c r="AL14" s="78"/>
      <c r="AM14" s="78"/>
      <c r="AO14" s="78" t="s">
        <v>218</v>
      </c>
      <c r="AP14" s="78"/>
      <c r="AQ14" s="78"/>
      <c r="AR14" s="78"/>
      <c r="AS14" s="78" t="s">
        <v>219</v>
      </c>
      <c r="AT14" s="78"/>
      <c r="AU14" s="78"/>
      <c r="AV14" s="78"/>
      <c r="AW14" s="78"/>
      <c r="AX14" s="78"/>
      <c r="AY14" s="78"/>
      <c r="AZ14" s="78"/>
      <c r="BB14" s="78" t="s">
        <v>220</v>
      </c>
      <c r="BC14" s="78"/>
      <c r="BD14" s="78"/>
      <c r="BE14" s="78"/>
      <c r="BF14" s="78" t="s">
        <v>221</v>
      </c>
      <c r="BG14" s="78"/>
      <c r="BH14" s="78"/>
      <c r="BI14" s="78"/>
      <c r="BJ14" s="78"/>
      <c r="BK14" s="78"/>
      <c r="BL14" s="78"/>
      <c r="BM14" s="78"/>
      <c r="BO14" s="78" t="s">
        <v>222</v>
      </c>
      <c r="BP14" s="78"/>
      <c r="BQ14" s="78"/>
      <c r="BR14" s="78"/>
      <c r="BS14" s="78" t="s">
        <v>223</v>
      </c>
      <c r="BT14" s="78"/>
      <c r="BU14" s="78"/>
      <c r="BV14" s="78"/>
      <c r="BW14" s="78"/>
      <c r="BX14" s="78"/>
      <c r="BY14" s="78"/>
      <c r="BZ14" s="78"/>
      <c r="CB14" s="78" t="s">
        <v>224</v>
      </c>
      <c r="CC14" s="78"/>
      <c r="CD14" s="78"/>
      <c r="CE14" s="78"/>
      <c r="CF14" s="78" t="s">
        <v>225</v>
      </c>
      <c r="CG14" s="78"/>
      <c r="CH14" s="78"/>
      <c r="CI14" s="78"/>
      <c r="CJ14" s="78"/>
      <c r="CK14" s="78"/>
      <c r="CL14" s="78"/>
      <c r="CM14" s="78"/>
      <c r="CO14" s="78" t="s">
        <v>226</v>
      </c>
      <c r="CP14" s="78"/>
      <c r="CQ14" s="78"/>
      <c r="CR14" s="78"/>
      <c r="CS14" s="78" t="s">
        <v>227</v>
      </c>
      <c r="CT14" s="78"/>
      <c r="CU14" s="78"/>
      <c r="CV14" s="78"/>
      <c r="CW14" s="78"/>
      <c r="CX14" s="78"/>
      <c r="CY14" s="78"/>
      <c r="CZ14" s="78"/>
      <c r="DB14" s="78" t="s">
        <v>228</v>
      </c>
      <c r="DC14" s="78"/>
      <c r="DD14" s="78"/>
      <c r="DE14" s="78"/>
      <c r="DF14" s="78" t="s">
        <v>229</v>
      </c>
      <c r="DG14" s="78"/>
      <c r="DH14" s="78"/>
      <c r="DI14" s="78"/>
      <c r="DJ14" s="78"/>
      <c r="DK14" s="78"/>
      <c r="DL14" s="78"/>
      <c r="DM14" s="78"/>
      <c r="DO14" s="78" t="s">
        <v>230</v>
      </c>
      <c r="DP14" s="78"/>
      <c r="DQ14" s="78"/>
      <c r="DR14" s="78"/>
      <c r="DS14" s="78" t="s">
        <v>231</v>
      </c>
      <c r="DT14" s="78"/>
      <c r="DU14" s="78"/>
      <c r="DV14" s="78"/>
      <c r="DW14" s="78"/>
      <c r="DX14" s="78"/>
      <c r="DY14" s="78"/>
      <c r="DZ14" s="78"/>
      <c r="EB14" s="78" t="s">
        <v>232</v>
      </c>
      <c r="EC14" s="78"/>
      <c r="ED14" s="78"/>
      <c r="EE14" s="78"/>
      <c r="EF14" s="78" t="s">
        <v>233</v>
      </c>
      <c r="EG14" s="78"/>
      <c r="EH14" s="78"/>
      <c r="EI14" s="78"/>
      <c r="EJ14" s="78"/>
      <c r="EK14" s="78"/>
      <c r="EL14" s="78"/>
      <c r="EM14" s="78"/>
      <c r="EO14" s="78" t="s">
        <v>234</v>
      </c>
      <c r="EP14" s="78"/>
      <c r="EQ14" s="78"/>
      <c r="ER14" s="78"/>
      <c r="ES14" s="78" t="s">
        <v>235</v>
      </c>
      <c r="ET14" s="78"/>
      <c r="EU14" s="78"/>
      <c r="EV14" s="78"/>
      <c r="EW14" s="78"/>
      <c r="EX14" s="78"/>
      <c r="EY14" s="78"/>
      <c r="EZ14" s="78"/>
      <c r="FB14" s="78" t="s">
        <v>236</v>
      </c>
      <c r="FC14" s="78"/>
      <c r="FD14" s="78"/>
      <c r="FE14" s="78"/>
      <c r="FF14" s="78" t="s">
        <v>237</v>
      </c>
      <c r="FG14" s="78"/>
      <c r="FH14" s="78"/>
      <c r="FI14" s="78"/>
      <c r="FJ14" s="78"/>
      <c r="FK14" s="78"/>
      <c r="FL14" s="78"/>
      <c r="FM14" s="78"/>
      <c r="FO14" s="78" t="s">
        <v>238</v>
      </c>
      <c r="FP14" s="78"/>
      <c r="FQ14" s="78"/>
      <c r="FR14" s="78"/>
      <c r="FS14" s="78" t="s">
        <v>239</v>
      </c>
      <c r="FT14" s="78"/>
      <c r="FU14" s="78"/>
      <c r="FV14" s="78"/>
      <c r="FW14" s="78"/>
      <c r="FX14" s="78"/>
      <c r="FY14" s="78"/>
      <c r="FZ14" s="78"/>
      <c r="GB14" s="78" t="s">
        <v>240</v>
      </c>
      <c r="GC14" s="78"/>
      <c r="GD14" s="78"/>
      <c r="GE14" s="78"/>
      <c r="GF14" s="78" t="s">
        <v>241</v>
      </c>
      <c r="GG14" s="78"/>
      <c r="GH14" s="78"/>
      <c r="GI14" s="78"/>
      <c r="GJ14" s="78"/>
      <c r="GK14" s="78"/>
      <c r="GL14" s="78"/>
      <c r="GM14" s="78"/>
      <c r="GO14" s="78" t="s">
        <v>242</v>
      </c>
      <c r="GP14" s="78"/>
      <c r="GQ14" s="78"/>
      <c r="GR14" s="78"/>
      <c r="GS14" s="78" t="s">
        <v>243</v>
      </c>
      <c r="GT14" s="78"/>
      <c r="GU14" s="78"/>
      <c r="GV14" s="78"/>
      <c r="GW14" s="78"/>
      <c r="GX14" s="78"/>
      <c r="GY14" s="78"/>
      <c r="GZ14" s="78"/>
      <c r="HB14" s="78" t="s">
        <v>244</v>
      </c>
      <c r="HC14" s="78"/>
      <c r="HD14" s="78"/>
      <c r="HE14" s="78"/>
      <c r="HF14" s="78" t="s">
        <v>245</v>
      </c>
      <c r="HG14" s="78"/>
      <c r="HH14" s="78"/>
      <c r="HI14" s="78"/>
      <c r="HJ14" s="78"/>
      <c r="HK14" s="78"/>
      <c r="HL14" s="78"/>
      <c r="HM14" s="78"/>
    </row>
    <row r="15" spans="2:221" ht="40.049999999999997" customHeight="1" x14ac:dyDescent="0.45">
      <c r="B15" s="542"/>
      <c r="C15" s="542"/>
      <c r="D15" s="542"/>
      <c r="E15" s="542"/>
      <c r="F15" s="543"/>
      <c r="G15" s="543"/>
      <c r="H15" s="543"/>
      <c r="I15" s="543"/>
      <c r="J15" s="544"/>
      <c r="K15" s="544"/>
      <c r="L15" s="544"/>
      <c r="M15" s="544"/>
      <c r="O15" s="545"/>
      <c r="P15" s="545"/>
      <c r="Q15" s="545"/>
      <c r="R15" s="545"/>
      <c r="S15" s="546"/>
      <c r="T15" s="546"/>
      <c r="U15" s="546"/>
      <c r="V15" s="546"/>
      <c r="W15" s="547"/>
      <c r="X15" s="547"/>
      <c r="Y15" s="547"/>
      <c r="Z15" s="547"/>
      <c r="AB15" s="548"/>
      <c r="AC15" s="548"/>
      <c r="AD15" s="548"/>
      <c r="AE15" s="548"/>
      <c r="AF15" s="549"/>
      <c r="AG15" s="549"/>
      <c r="AH15" s="549"/>
      <c r="AI15" s="549"/>
      <c r="AJ15" s="550"/>
      <c r="AK15" s="550"/>
      <c r="AL15" s="550"/>
      <c r="AM15" s="550"/>
      <c r="AO15" s="536"/>
      <c r="AP15" s="536"/>
      <c r="AQ15" s="536"/>
      <c r="AR15" s="536"/>
      <c r="AS15" s="537"/>
      <c r="AT15" s="537"/>
      <c r="AU15" s="537"/>
      <c r="AV15" s="537"/>
      <c r="AW15" s="538"/>
      <c r="AX15" s="538"/>
      <c r="AY15" s="538"/>
      <c r="AZ15" s="538"/>
      <c r="BB15" s="539"/>
      <c r="BC15" s="539"/>
      <c r="BD15" s="539"/>
      <c r="BE15" s="539"/>
      <c r="BF15" s="540"/>
      <c r="BG15" s="540"/>
      <c r="BH15" s="540"/>
      <c r="BI15" s="540"/>
      <c r="BJ15" s="541"/>
      <c r="BK15" s="541"/>
      <c r="BL15" s="541"/>
      <c r="BM15" s="541"/>
      <c r="BO15" s="530"/>
      <c r="BP15" s="530"/>
      <c r="BQ15" s="530"/>
      <c r="BR15" s="530"/>
      <c r="BS15" s="531"/>
      <c r="BT15" s="531"/>
      <c r="BU15" s="531"/>
      <c r="BV15" s="531"/>
      <c r="BW15" s="532"/>
      <c r="BX15" s="532"/>
      <c r="BY15" s="532"/>
      <c r="BZ15" s="532"/>
      <c r="CB15" s="533"/>
      <c r="CC15" s="533"/>
      <c r="CD15" s="533"/>
      <c r="CE15" s="533"/>
      <c r="CF15" s="534"/>
      <c r="CG15" s="534"/>
      <c r="CH15" s="534"/>
      <c r="CI15" s="534"/>
      <c r="CJ15" s="535"/>
      <c r="CK15" s="535"/>
      <c r="CL15" s="535"/>
      <c r="CM15" s="535"/>
      <c r="CO15" s="524"/>
      <c r="CP15" s="524"/>
      <c r="CQ15" s="524"/>
      <c r="CR15" s="524"/>
      <c r="CS15" s="525"/>
      <c r="CT15" s="525"/>
      <c r="CU15" s="525"/>
      <c r="CV15" s="525"/>
      <c r="CW15" s="526"/>
      <c r="CX15" s="526"/>
      <c r="CY15" s="526"/>
      <c r="CZ15" s="526"/>
      <c r="DB15" s="527"/>
      <c r="DC15" s="527"/>
      <c r="DD15" s="527"/>
      <c r="DE15" s="527"/>
      <c r="DF15" s="528"/>
      <c r="DG15" s="528"/>
      <c r="DH15" s="528"/>
      <c r="DI15" s="528"/>
      <c r="DJ15" s="529"/>
      <c r="DK15" s="529"/>
      <c r="DL15" s="529"/>
      <c r="DM15" s="529"/>
      <c r="DO15" s="518"/>
      <c r="DP15" s="518"/>
      <c r="DQ15" s="518"/>
      <c r="DR15" s="518"/>
      <c r="DS15" s="519"/>
      <c r="DT15" s="519"/>
      <c r="DU15" s="519"/>
      <c r="DV15" s="519"/>
      <c r="DW15" s="520"/>
      <c r="DX15" s="520"/>
      <c r="DY15" s="520"/>
      <c r="DZ15" s="520"/>
      <c r="EB15" s="521"/>
      <c r="EC15" s="521"/>
      <c r="ED15" s="521"/>
      <c r="EE15" s="521"/>
      <c r="EF15" s="522"/>
      <c r="EG15" s="522"/>
      <c r="EH15" s="522"/>
      <c r="EI15" s="522"/>
      <c r="EJ15" s="523"/>
      <c r="EK15" s="523"/>
      <c r="EL15" s="523"/>
      <c r="EM15" s="523"/>
      <c r="EO15" s="512"/>
      <c r="EP15" s="512"/>
      <c r="EQ15" s="512"/>
      <c r="ER15" s="512"/>
      <c r="ES15" s="513"/>
      <c r="ET15" s="513"/>
      <c r="EU15" s="513"/>
      <c r="EV15" s="513"/>
      <c r="EW15" s="514"/>
      <c r="EX15" s="514"/>
      <c r="EY15" s="514"/>
      <c r="EZ15" s="514"/>
      <c r="FB15" s="515"/>
      <c r="FC15" s="515"/>
      <c r="FD15" s="515"/>
      <c r="FE15" s="515"/>
      <c r="FF15" s="516"/>
      <c r="FG15" s="516"/>
      <c r="FH15" s="516"/>
      <c r="FI15" s="516"/>
      <c r="FJ15" s="517"/>
      <c r="FK15" s="517"/>
      <c r="FL15" s="517"/>
      <c r="FM15" s="517"/>
      <c r="FO15" s="507"/>
      <c r="FP15" s="507"/>
      <c r="FQ15" s="507"/>
      <c r="FR15" s="507"/>
      <c r="FS15" s="508"/>
      <c r="FT15" s="508"/>
      <c r="FU15" s="508"/>
      <c r="FV15" s="508"/>
      <c r="FW15" s="509"/>
      <c r="FX15" s="509"/>
      <c r="FY15" s="509"/>
      <c r="FZ15" s="509"/>
      <c r="GB15" s="213"/>
      <c r="GC15" s="213"/>
      <c r="GD15" s="213"/>
      <c r="GE15" s="213"/>
      <c r="GF15" s="510"/>
      <c r="GG15" s="510"/>
      <c r="GH15" s="510"/>
      <c r="GI15" s="510"/>
      <c r="GJ15" s="511"/>
      <c r="GK15" s="511"/>
      <c r="GL15" s="511"/>
      <c r="GM15" s="511"/>
      <c r="GO15" s="501"/>
      <c r="GP15" s="501"/>
      <c r="GQ15" s="501"/>
      <c r="GR15" s="501"/>
      <c r="GS15" s="502"/>
      <c r="GT15" s="502"/>
      <c r="GU15" s="502"/>
      <c r="GV15" s="502"/>
      <c r="GW15" s="503"/>
      <c r="GX15" s="503"/>
      <c r="GY15" s="503"/>
      <c r="GZ15" s="503"/>
      <c r="HB15" s="504"/>
      <c r="HC15" s="504"/>
      <c r="HD15" s="504"/>
      <c r="HE15" s="504"/>
      <c r="HF15" s="505"/>
      <c r="HG15" s="505"/>
      <c r="HH15" s="505"/>
      <c r="HI15" s="505"/>
      <c r="HJ15" s="506"/>
      <c r="HK15" s="506"/>
      <c r="HL15" s="506"/>
      <c r="HM15" s="506"/>
    </row>
    <row r="16" spans="2:221" hidden="1" outlineLevel="1" x14ac:dyDescent="0.45">
      <c r="B16" s="18" t="s">
        <v>73</v>
      </c>
      <c r="C16" s="18" t="s">
        <v>74</v>
      </c>
      <c r="D16" s="18" t="s">
        <v>75</v>
      </c>
      <c r="F16" s="18" t="s">
        <v>73</v>
      </c>
      <c r="G16" s="18" t="s">
        <v>74</v>
      </c>
      <c r="H16" s="18" t="s">
        <v>75</v>
      </c>
      <c r="J16" s="18" t="s">
        <v>73</v>
      </c>
      <c r="K16" s="18" t="s">
        <v>74</v>
      </c>
      <c r="L16" s="18" t="s">
        <v>75</v>
      </c>
      <c r="O16" s="18" t="s">
        <v>73</v>
      </c>
      <c r="P16" s="18" t="s">
        <v>74</v>
      </c>
      <c r="Q16" s="18" t="s">
        <v>75</v>
      </c>
      <c r="S16" s="18" t="s">
        <v>73</v>
      </c>
      <c r="T16" s="18" t="s">
        <v>74</v>
      </c>
      <c r="U16" s="18" t="s">
        <v>75</v>
      </c>
      <c r="W16" s="18" t="s">
        <v>73</v>
      </c>
      <c r="X16" s="18" t="s">
        <v>74</v>
      </c>
      <c r="Y16" s="18" t="s">
        <v>75</v>
      </c>
      <c r="AB16" s="18" t="s">
        <v>73</v>
      </c>
      <c r="AC16" s="18" t="s">
        <v>74</v>
      </c>
      <c r="AD16" s="18" t="s">
        <v>75</v>
      </c>
      <c r="AF16" s="18" t="s">
        <v>73</v>
      </c>
      <c r="AG16" s="18" t="s">
        <v>74</v>
      </c>
      <c r="AH16" s="18" t="s">
        <v>75</v>
      </c>
      <c r="AJ16" s="18" t="s">
        <v>73</v>
      </c>
      <c r="AK16" s="18" t="s">
        <v>74</v>
      </c>
      <c r="AL16" s="18" t="s">
        <v>75</v>
      </c>
      <c r="AO16" s="18" t="s">
        <v>73</v>
      </c>
      <c r="AP16" s="18" t="s">
        <v>74</v>
      </c>
      <c r="AQ16" s="18" t="s">
        <v>75</v>
      </c>
      <c r="AS16" s="18" t="s">
        <v>73</v>
      </c>
      <c r="AT16" s="18" t="s">
        <v>74</v>
      </c>
      <c r="AU16" s="18" t="s">
        <v>75</v>
      </c>
      <c r="AW16" s="18" t="s">
        <v>73</v>
      </c>
      <c r="AX16" s="18" t="s">
        <v>74</v>
      </c>
      <c r="AY16" s="18" t="s">
        <v>75</v>
      </c>
      <c r="BB16" s="18" t="s">
        <v>73</v>
      </c>
      <c r="BC16" s="18" t="s">
        <v>74</v>
      </c>
      <c r="BD16" s="18" t="s">
        <v>75</v>
      </c>
      <c r="BF16" s="18" t="s">
        <v>73</v>
      </c>
      <c r="BG16" s="18" t="s">
        <v>74</v>
      </c>
      <c r="BH16" s="18" t="s">
        <v>75</v>
      </c>
      <c r="BJ16" s="18" t="s">
        <v>73</v>
      </c>
      <c r="BK16" s="18" t="s">
        <v>74</v>
      </c>
      <c r="BL16" s="18" t="s">
        <v>75</v>
      </c>
      <c r="BO16" s="18" t="s">
        <v>73</v>
      </c>
      <c r="BP16" s="18" t="s">
        <v>74</v>
      </c>
      <c r="BQ16" s="18" t="s">
        <v>75</v>
      </c>
      <c r="BS16" s="18" t="s">
        <v>73</v>
      </c>
      <c r="BT16" s="18" t="s">
        <v>74</v>
      </c>
      <c r="BU16" s="18" t="s">
        <v>75</v>
      </c>
      <c r="BW16" s="18" t="s">
        <v>73</v>
      </c>
      <c r="BX16" s="18" t="s">
        <v>74</v>
      </c>
      <c r="BY16" s="18" t="s">
        <v>75</v>
      </c>
      <c r="CB16" s="18" t="s">
        <v>73</v>
      </c>
      <c r="CC16" s="18" t="s">
        <v>74</v>
      </c>
      <c r="CD16" s="18" t="s">
        <v>75</v>
      </c>
      <c r="CF16" s="18" t="s">
        <v>73</v>
      </c>
      <c r="CG16" s="18" t="s">
        <v>74</v>
      </c>
      <c r="CH16" s="18" t="s">
        <v>75</v>
      </c>
      <c r="CJ16" s="18" t="s">
        <v>73</v>
      </c>
      <c r="CK16" s="18" t="s">
        <v>74</v>
      </c>
      <c r="CL16" s="18" t="s">
        <v>75</v>
      </c>
      <c r="CO16" s="18" t="s">
        <v>73</v>
      </c>
      <c r="CP16" s="18" t="s">
        <v>74</v>
      </c>
      <c r="CQ16" s="18" t="s">
        <v>75</v>
      </c>
      <c r="CS16" s="18" t="s">
        <v>73</v>
      </c>
      <c r="CT16" s="18" t="s">
        <v>74</v>
      </c>
      <c r="CU16" s="18" t="s">
        <v>75</v>
      </c>
      <c r="CW16" s="18" t="s">
        <v>73</v>
      </c>
      <c r="CX16" s="18" t="s">
        <v>74</v>
      </c>
      <c r="CY16" s="18" t="s">
        <v>75</v>
      </c>
      <c r="DB16" s="18" t="s">
        <v>73</v>
      </c>
      <c r="DC16" s="18" t="s">
        <v>74</v>
      </c>
      <c r="DD16" s="18" t="s">
        <v>75</v>
      </c>
      <c r="DF16" s="18" t="s">
        <v>73</v>
      </c>
      <c r="DG16" s="18" t="s">
        <v>74</v>
      </c>
      <c r="DH16" s="18" t="s">
        <v>75</v>
      </c>
      <c r="DJ16" s="18" t="s">
        <v>73</v>
      </c>
      <c r="DK16" s="18" t="s">
        <v>74</v>
      </c>
      <c r="DL16" s="18" t="s">
        <v>75</v>
      </c>
      <c r="DO16" s="18" t="s">
        <v>73</v>
      </c>
      <c r="DP16" s="18" t="s">
        <v>74</v>
      </c>
      <c r="DQ16" s="18" t="s">
        <v>75</v>
      </c>
      <c r="DS16" s="18" t="s">
        <v>73</v>
      </c>
      <c r="DT16" s="18" t="s">
        <v>74</v>
      </c>
      <c r="DU16" s="18" t="s">
        <v>75</v>
      </c>
      <c r="DW16" s="18" t="s">
        <v>73</v>
      </c>
      <c r="DX16" s="18" t="s">
        <v>74</v>
      </c>
      <c r="DY16" s="18" t="s">
        <v>75</v>
      </c>
      <c r="EB16" s="18" t="s">
        <v>73</v>
      </c>
      <c r="EC16" s="18" t="s">
        <v>74</v>
      </c>
      <c r="ED16" s="18" t="s">
        <v>75</v>
      </c>
      <c r="EF16" s="18" t="s">
        <v>73</v>
      </c>
      <c r="EG16" s="18" t="s">
        <v>74</v>
      </c>
      <c r="EH16" s="18" t="s">
        <v>75</v>
      </c>
      <c r="EJ16" s="18" t="s">
        <v>73</v>
      </c>
      <c r="EK16" s="18" t="s">
        <v>74</v>
      </c>
      <c r="EL16" s="18" t="s">
        <v>75</v>
      </c>
      <c r="EO16" s="18" t="s">
        <v>73</v>
      </c>
      <c r="EP16" s="18" t="s">
        <v>74</v>
      </c>
      <c r="EQ16" s="18" t="s">
        <v>75</v>
      </c>
      <c r="ES16" s="18" t="s">
        <v>73</v>
      </c>
      <c r="ET16" s="18" t="s">
        <v>74</v>
      </c>
      <c r="EU16" s="18" t="s">
        <v>75</v>
      </c>
      <c r="EW16" s="18" t="s">
        <v>73</v>
      </c>
      <c r="EX16" s="18" t="s">
        <v>74</v>
      </c>
      <c r="EY16" s="18" t="s">
        <v>75</v>
      </c>
      <c r="FB16" s="18" t="s">
        <v>73</v>
      </c>
      <c r="FC16" s="18" t="s">
        <v>74</v>
      </c>
      <c r="FD16" s="18" t="s">
        <v>75</v>
      </c>
      <c r="FF16" s="18" t="s">
        <v>73</v>
      </c>
      <c r="FG16" s="18" t="s">
        <v>74</v>
      </c>
      <c r="FH16" s="18" t="s">
        <v>75</v>
      </c>
      <c r="FJ16" s="18" t="s">
        <v>73</v>
      </c>
      <c r="FK16" s="18" t="s">
        <v>74</v>
      </c>
      <c r="FL16" s="18" t="s">
        <v>75</v>
      </c>
      <c r="FO16" s="18" t="s">
        <v>73</v>
      </c>
      <c r="FP16" s="18" t="s">
        <v>74</v>
      </c>
      <c r="FQ16" s="18" t="s">
        <v>75</v>
      </c>
      <c r="FS16" s="18" t="s">
        <v>73</v>
      </c>
      <c r="FT16" s="18" t="s">
        <v>74</v>
      </c>
      <c r="FU16" s="18" t="s">
        <v>75</v>
      </c>
      <c r="FW16" s="18" t="s">
        <v>73</v>
      </c>
      <c r="FX16" s="18" t="s">
        <v>74</v>
      </c>
      <c r="FY16" s="18" t="s">
        <v>75</v>
      </c>
      <c r="GB16" s="18" t="s">
        <v>73</v>
      </c>
      <c r="GC16" s="18" t="s">
        <v>74</v>
      </c>
      <c r="GD16" s="18" t="s">
        <v>75</v>
      </c>
      <c r="GF16" s="18" t="s">
        <v>73</v>
      </c>
      <c r="GG16" s="18" t="s">
        <v>74</v>
      </c>
      <c r="GH16" s="18" t="s">
        <v>75</v>
      </c>
      <c r="GJ16" s="18" t="s">
        <v>73</v>
      </c>
      <c r="GK16" s="18" t="s">
        <v>74</v>
      </c>
      <c r="GL16" s="18" t="s">
        <v>75</v>
      </c>
      <c r="GO16" s="18" t="s">
        <v>73</v>
      </c>
      <c r="GP16" s="18" t="s">
        <v>74</v>
      </c>
      <c r="GQ16" s="18" t="s">
        <v>75</v>
      </c>
      <c r="GS16" s="18" t="s">
        <v>73</v>
      </c>
      <c r="GT16" s="18" t="s">
        <v>74</v>
      </c>
      <c r="GU16" s="18" t="s">
        <v>75</v>
      </c>
      <c r="GW16" s="18" t="s">
        <v>73</v>
      </c>
      <c r="GX16" s="18" t="s">
        <v>74</v>
      </c>
      <c r="GY16" s="18" t="s">
        <v>75</v>
      </c>
      <c r="HB16" s="18" t="s">
        <v>73</v>
      </c>
      <c r="HC16" s="18" t="s">
        <v>74</v>
      </c>
      <c r="HD16" s="18" t="s">
        <v>75</v>
      </c>
      <c r="HF16" s="18" t="s">
        <v>73</v>
      </c>
      <c r="HG16" s="18" t="s">
        <v>74</v>
      </c>
      <c r="HH16" s="18" t="s">
        <v>75</v>
      </c>
      <c r="HJ16" s="18" t="s">
        <v>73</v>
      </c>
      <c r="HK16" s="18" t="s">
        <v>74</v>
      </c>
      <c r="HL16" s="18" t="s">
        <v>75</v>
      </c>
    </row>
    <row r="17" spans="2:221" hidden="1" outlineLevel="1" x14ac:dyDescent="0.45">
      <c r="B17" s="18">
        <v>248</v>
      </c>
      <c r="C17" s="18">
        <v>248</v>
      </c>
      <c r="D17" s="18">
        <v>240</v>
      </c>
      <c r="F17" s="18">
        <v>220</v>
      </c>
      <c r="G17" s="18">
        <v>235</v>
      </c>
      <c r="H17" s="18">
        <v>197</v>
      </c>
      <c r="J17" s="18">
        <v>205</v>
      </c>
      <c r="K17" s="18">
        <v>230</v>
      </c>
      <c r="L17" s="18">
        <v>184</v>
      </c>
      <c r="O17" s="18">
        <v>239</v>
      </c>
      <c r="P17" s="18">
        <v>212</v>
      </c>
      <c r="Q17" s="18">
        <v>205</v>
      </c>
      <c r="S17" s="18">
        <v>96</v>
      </c>
      <c r="T17" s="18">
        <v>68</v>
      </c>
      <c r="U17" s="18">
        <v>97</v>
      </c>
      <c r="W17" s="18">
        <v>185</v>
      </c>
      <c r="X17" s="18">
        <v>205</v>
      </c>
      <c r="Y17" s="18">
        <v>191</v>
      </c>
      <c r="AB17" s="18">
        <v>255</v>
      </c>
      <c r="AC17" s="18">
        <v>238</v>
      </c>
      <c r="AD17" s="18">
        <v>125</v>
      </c>
      <c r="AF17" s="18">
        <v>244</v>
      </c>
      <c r="AG17" s="18">
        <v>156</v>
      </c>
      <c r="AH17" s="18">
        <v>45</v>
      </c>
      <c r="AJ17" s="18">
        <v>196</v>
      </c>
      <c r="AK17" s="18">
        <v>215</v>
      </c>
      <c r="AL17" s="18">
        <v>0</v>
      </c>
      <c r="AO17" s="18">
        <v>238</v>
      </c>
      <c r="AP17" s="18">
        <v>226</v>
      </c>
      <c r="AQ17" s="18">
        <v>211</v>
      </c>
      <c r="AS17" s="18">
        <v>195</v>
      </c>
      <c r="AT17" s="18">
        <v>156</v>
      </c>
      <c r="AU17" s="18">
        <v>137</v>
      </c>
      <c r="AW17" s="18">
        <v>231</v>
      </c>
      <c r="AX17" s="18">
        <v>176</v>
      </c>
      <c r="AY17" s="18">
        <v>159</v>
      </c>
      <c r="BB17" s="18">
        <v>21</v>
      </c>
      <c r="BC17" s="18">
        <v>2</v>
      </c>
      <c r="BD17" s="18">
        <v>1</v>
      </c>
      <c r="BF17" s="18">
        <v>206</v>
      </c>
      <c r="BG17" s="18">
        <v>226</v>
      </c>
      <c r="BH17" s="18">
        <v>223</v>
      </c>
      <c r="BJ17" s="18">
        <v>0</v>
      </c>
      <c r="BK17" s="18">
        <v>33</v>
      </c>
      <c r="BL17" s="18">
        <v>59</v>
      </c>
      <c r="BO17" s="18">
        <v>245</v>
      </c>
      <c r="BP17" s="18">
        <v>181</v>
      </c>
      <c r="BQ17" s="18">
        <v>167</v>
      </c>
      <c r="BS17" s="18">
        <v>189</v>
      </c>
      <c r="BT17" s="18">
        <v>225</v>
      </c>
      <c r="BU17" s="18">
        <v>218</v>
      </c>
      <c r="BW17" s="18">
        <v>254</v>
      </c>
      <c r="BX17" s="18">
        <v>238</v>
      </c>
      <c r="BY17" s="18">
        <v>220</v>
      </c>
      <c r="CB17" s="18">
        <v>233</v>
      </c>
      <c r="CC17" s="18">
        <v>71</v>
      </c>
      <c r="CD17" s="18">
        <v>9</v>
      </c>
      <c r="CF17" s="18">
        <v>183</v>
      </c>
      <c r="CG17" s="18">
        <v>205</v>
      </c>
      <c r="CH17" s="18">
        <v>218</v>
      </c>
      <c r="CJ17" s="18">
        <v>193</v>
      </c>
      <c r="CK17" s="18">
        <v>168</v>
      </c>
      <c r="CL17" s="18">
        <v>88</v>
      </c>
      <c r="CO17" s="18">
        <v>170</v>
      </c>
      <c r="CP17" s="18">
        <v>153</v>
      </c>
      <c r="CQ17" s="18">
        <v>138</v>
      </c>
      <c r="CS17" s="18">
        <v>234</v>
      </c>
      <c r="CT17" s="18">
        <v>223</v>
      </c>
      <c r="CU17" s="18">
        <v>202</v>
      </c>
      <c r="CW17" s="18">
        <v>158</v>
      </c>
      <c r="CX17" s="18">
        <v>195</v>
      </c>
      <c r="CY17" s="18">
        <v>188</v>
      </c>
      <c r="DB17" s="18">
        <v>212</v>
      </c>
      <c r="DC17" s="18">
        <v>236</v>
      </c>
      <c r="DD17" s="18">
        <v>234</v>
      </c>
      <c r="DF17" s="18">
        <v>99</v>
      </c>
      <c r="DG17" s="18">
        <v>166</v>
      </c>
      <c r="DH17" s="18">
        <v>219</v>
      </c>
      <c r="DJ17" s="18">
        <v>167</v>
      </c>
      <c r="DK17" s="18">
        <v>210</v>
      </c>
      <c r="DL17" s="18">
        <v>143</v>
      </c>
      <c r="DO17" s="18">
        <v>116</v>
      </c>
      <c r="DP17" s="18">
        <v>195</v>
      </c>
      <c r="DQ17" s="18">
        <v>198</v>
      </c>
      <c r="DS17" s="18">
        <v>232</v>
      </c>
      <c r="DT17" s="18">
        <v>226</v>
      </c>
      <c r="DU17" s="18">
        <v>214</v>
      </c>
      <c r="DW17" s="18">
        <v>246</v>
      </c>
      <c r="DX17" s="18">
        <v>250</v>
      </c>
      <c r="DY17" s="18">
        <v>246</v>
      </c>
      <c r="EB17" s="18">
        <v>238</v>
      </c>
      <c r="EC17" s="18">
        <v>128</v>
      </c>
      <c r="ED17" s="18">
        <v>106</v>
      </c>
      <c r="EF17" s="18">
        <v>255</v>
      </c>
      <c r="EG17" s="18">
        <v>225</v>
      </c>
      <c r="EH17" s="18">
        <v>83</v>
      </c>
      <c r="EJ17" s="18">
        <v>145</v>
      </c>
      <c r="EK17" s="18">
        <v>211</v>
      </c>
      <c r="EL17" s="18">
        <v>234</v>
      </c>
      <c r="EO17" s="18">
        <v>141</v>
      </c>
      <c r="EP17" s="18">
        <v>0</v>
      </c>
      <c r="EQ17" s="18">
        <v>29</v>
      </c>
      <c r="ES17" s="18">
        <v>117</v>
      </c>
      <c r="ET17" s="18">
        <v>148</v>
      </c>
      <c r="EU17" s="18">
        <v>136</v>
      </c>
      <c r="EW17" s="18">
        <v>226</v>
      </c>
      <c r="EX17" s="18">
        <v>219</v>
      </c>
      <c r="EY17" s="18">
        <v>189</v>
      </c>
      <c r="FB17" s="18">
        <v>252</v>
      </c>
      <c r="FC17" s="18">
        <v>214</v>
      </c>
      <c r="FD17" s="18">
        <v>142</v>
      </c>
      <c r="FF17" s="18">
        <v>255</v>
      </c>
      <c r="FG17" s="18">
        <v>247</v>
      </c>
      <c r="FH17" s="18">
        <v>255</v>
      </c>
      <c r="FJ17" s="18">
        <v>212</v>
      </c>
      <c r="FK17" s="18">
        <v>194</v>
      </c>
      <c r="FL17" s="18">
        <v>219</v>
      </c>
      <c r="FO17" s="18">
        <v>251</v>
      </c>
      <c r="FP17" s="18">
        <v>219</v>
      </c>
      <c r="FQ17" s="18">
        <v>212</v>
      </c>
      <c r="FS17" s="18">
        <v>76</v>
      </c>
      <c r="FT17" s="18">
        <v>79</v>
      </c>
      <c r="FU17" s="18">
        <v>154</v>
      </c>
      <c r="FW17" s="18">
        <v>210</v>
      </c>
      <c r="FX17" s="18">
        <v>131</v>
      </c>
      <c r="FY17" s="18">
        <v>180</v>
      </c>
      <c r="GB17" s="18">
        <v>249</v>
      </c>
      <c r="GC17" s="18">
        <v>207</v>
      </c>
      <c r="GD17" s="18">
        <v>209</v>
      </c>
      <c r="GF17" s="18">
        <v>233</v>
      </c>
      <c r="GG17" s="18">
        <v>244</v>
      </c>
      <c r="GH17" s="18">
        <v>240</v>
      </c>
      <c r="GJ17" s="18">
        <v>238</v>
      </c>
      <c r="GK17" s="18">
        <v>134</v>
      </c>
      <c r="GL17" s="18">
        <v>154</v>
      </c>
      <c r="GO17" s="18">
        <v>224</v>
      </c>
      <c r="GP17" s="18">
        <v>195</v>
      </c>
      <c r="GQ17" s="18">
        <v>164</v>
      </c>
      <c r="GS17" s="18">
        <v>179</v>
      </c>
      <c r="GT17" s="18">
        <v>138</v>
      </c>
      <c r="GU17" s="18">
        <v>107</v>
      </c>
      <c r="GW17" s="18">
        <v>109</v>
      </c>
      <c r="GX17" s="18">
        <v>115</v>
      </c>
      <c r="GY17" s="18">
        <v>98</v>
      </c>
      <c r="HB17" s="18">
        <v>38</v>
      </c>
      <c r="HC17" s="18">
        <v>55</v>
      </c>
      <c r="HD17" s="18">
        <v>95</v>
      </c>
      <c r="HF17" s="18">
        <v>221</v>
      </c>
      <c r="HG17" s="18">
        <v>190</v>
      </c>
      <c r="HH17" s="18">
        <v>191</v>
      </c>
      <c r="HJ17" s="18">
        <v>216</v>
      </c>
      <c r="HK17" s="18">
        <v>125</v>
      </c>
      <c r="HL17" s="18">
        <v>92</v>
      </c>
    </row>
    <row r="18" spans="2:221" hidden="1" outlineLevel="1" x14ac:dyDescent="0.45">
      <c r="B18" s="78" t="s">
        <v>246</v>
      </c>
      <c r="C18" s="78"/>
      <c r="D18" s="78"/>
      <c r="E18" s="78"/>
      <c r="F18" s="78" t="s">
        <v>247</v>
      </c>
      <c r="G18" s="78"/>
      <c r="H18" s="78"/>
      <c r="I18" s="78"/>
      <c r="J18" s="78" t="s">
        <v>248</v>
      </c>
      <c r="K18" s="78"/>
      <c r="L18" s="78"/>
      <c r="M18" s="78"/>
      <c r="O18" s="78" t="s">
        <v>249</v>
      </c>
      <c r="P18" s="78"/>
      <c r="Q18" s="78"/>
      <c r="R18" s="78"/>
      <c r="S18" s="78" t="s">
        <v>250</v>
      </c>
      <c r="T18" s="78"/>
      <c r="U18" s="78"/>
      <c r="V18" s="78"/>
      <c r="W18" s="78" t="s">
        <v>251</v>
      </c>
      <c r="X18" s="78"/>
      <c r="Y18" s="78"/>
      <c r="Z18" s="78"/>
      <c r="AB18" s="78" t="s">
        <v>252</v>
      </c>
      <c r="AC18" s="78"/>
      <c r="AD18" s="78"/>
      <c r="AE18" s="78"/>
      <c r="AF18" s="78" t="s">
        <v>253</v>
      </c>
      <c r="AG18" s="78"/>
      <c r="AH18" s="78"/>
      <c r="AI18" s="78"/>
      <c r="AJ18" s="78" t="s">
        <v>254</v>
      </c>
      <c r="AK18" s="78"/>
      <c r="AL18" s="78"/>
      <c r="AM18" s="78"/>
      <c r="AO18" s="78" t="s">
        <v>255</v>
      </c>
      <c r="AP18" s="78"/>
      <c r="AQ18" s="78"/>
      <c r="AR18" s="78"/>
      <c r="AS18" s="78" t="s">
        <v>256</v>
      </c>
      <c r="AT18" s="78"/>
      <c r="AU18" s="78"/>
      <c r="AV18" s="78"/>
      <c r="AW18" s="78" t="s">
        <v>257</v>
      </c>
      <c r="AX18" s="78"/>
      <c r="AY18" s="78"/>
      <c r="AZ18" s="78"/>
      <c r="BB18" s="78" t="s">
        <v>258</v>
      </c>
      <c r="BC18" s="78"/>
      <c r="BD18" s="78"/>
      <c r="BE18" s="78"/>
      <c r="BF18" s="78" t="s">
        <v>259</v>
      </c>
      <c r="BG18" s="78"/>
      <c r="BH18" s="78"/>
      <c r="BI18" s="78"/>
      <c r="BJ18" s="78" t="s">
        <v>260</v>
      </c>
      <c r="BK18" s="78"/>
      <c r="BL18" s="78"/>
      <c r="BM18" s="78"/>
      <c r="BO18" s="78" t="s">
        <v>261</v>
      </c>
      <c r="BP18" s="78"/>
      <c r="BQ18" s="78"/>
      <c r="BR18" s="78"/>
      <c r="BS18" s="78" t="s">
        <v>262</v>
      </c>
      <c r="BT18" s="78"/>
      <c r="BU18" s="78"/>
      <c r="BV18" s="78"/>
      <c r="BW18" s="78" t="s">
        <v>263</v>
      </c>
      <c r="BX18" s="78"/>
      <c r="BY18" s="78"/>
      <c r="BZ18" s="78"/>
      <c r="CB18" s="78" t="s">
        <v>264</v>
      </c>
      <c r="CC18" s="78"/>
      <c r="CD18" s="78"/>
      <c r="CE18" s="78"/>
      <c r="CF18" s="78" t="s">
        <v>265</v>
      </c>
      <c r="CG18" s="78"/>
      <c r="CH18" s="78"/>
      <c r="CI18" s="78"/>
      <c r="CJ18" s="78" t="s">
        <v>266</v>
      </c>
      <c r="CK18" s="78"/>
      <c r="CL18" s="78"/>
      <c r="CM18" s="78"/>
      <c r="CO18" s="78" t="s">
        <v>267</v>
      </c>
      <c r="CP18" s="78"/>
      <c r="CQ18" s="78"/>
      <c r="CR18" s="78"/>
      <c r="CS18" s="78" t="s">
        <v>268</v>
      </c>
      <c r="CT18" s="78"/>
      <c r="CU18" s="78"/>
      <c r="CV18" s="78"/>
      <c r="CW18" s="78" t="s">
        <v>269</v>
      </c>
      <c r="CX18" s="78"/>
      <c r="CY18" s="78"/>
      <c r="CZ18" s="78"/>
      <c r="DB18" s="78" t="s">
        <v>270</v>
      </c>
      <c r="DC18" s="78"/>
      <c r="DD18" s="78"/>
      <c r="DE18" s="78"/>
      <c r="DF18" s="78" t="s">
        <v>271</v>
      </c>
      <c r="DG18" s="78"/>
      <c r="DH18" s="78"/>
      <c r="DI18" s="78"/>
      <c r="DJ18" s="78" t="s">
        <v>272</v>
      </c>
      <c r="DK18" s="78"/>
      <c r="DL18" s="78"/>
      <c r="DM18" s="78"/>
      <c r="DO18" s="78" t="s">
        <v>273</v>
      </c>
      <c r="DP18" s="78"/>
      <c r="DQ18" s="78"/>
      <c r="DR18" s="78"/>
      <c r="DS18" s="78" t="s">
        <v>274</v>
      </c>
      <c r="DT18" s="78"/>
      <c r="DU18" s="78"/>
      <c r="DV18" s="78"/>
      <c r="DW18" s="78" t="s">
        <v>275</v>
      </c>
      <c r="DX18" s="78"/>
      <c r="DY18" s="78"/>
      <c r="DZ18" s="78"/>
      <c r="EB18" s="78" t="s">
        <v>276</v>
      </c>
      <c r="EC18" s="78"/>
      <c r="ED18" s="78"/>
      <c r="EE18" s="78"/>
      <c r="EF18" s="78" t="s">
        <v>277</v>
      </c>
      <c r="EG18" s="78"/>
      <c r="EH18" s="78"/>
      <c r="EI18" s="78"/>
      <c r="EJ18" s="78" t="s">
        <v>278</v>
      </c>
      <c r="EK18" s="78"/>
      <c r="EL18" s="78"/>
      <c r="EM18" s="78"/>
      <c r="EO18" s="78" t="s">
        <v>279</v>
      </c>
      <c r="EP18" s="78"/>
      <c r="EQ18" s="78"/>
      <c r="ER18" s="78"/>
      <c r="ES18" s="78" t="s">
        <v>280</v>
      </c>
      <c r="ET18" s="78"/>
      <c r="EU18" s="78"/>
      <c r="EV18" s="78"/>
      <c r="EW18" s="78" t="s">
        <v>281</v>
      </c>
      <c r="EX18" s="78"/>
      <c r="EY18" s="78"/>
      <c r="EZ18" s="78"/>
      <c r="FB18" s="78" t="s">
        <v>282</v>
      </c>
      <c r="FC18" s="78"/>
      <c r="FD18" s="78"/>
      <c r="FE18" s="78"/>
      <c r="FF18" s="78" t="s">
        <v>283</v>
      </c>
      <c r="FG18" s="78"/>
      <c r="FH18" s="78"/>
      <c r="FI18" s="78"/>
      <c r="FJ18" s="78" t="s">
        <v>284</v>
      </c>
      <c r="FK18" s="78"/>
      <c r="FL18" s="78"/>
      <c r="FM18" s="78"/>
      <c r="FO18" s="78" t="s">
        <v>285</v>
      </c>
      <c r="FP18" s="78"/>
      <c r="FQ18" s="78"/>
      <c r="FR18" s="78"/>
      <c r="FS18" s="78" t="s">
        <v>286</v>
      </c>
      <c r="FT18" s="78"/>
      <c r="FU18" s="78"/>
      <c r="FV18" s="78"/>
      <c r="FW18" s="78" t="s">
        <v>287</v>
      </c>
      <c r="FX18" s="78"/>
      <c r="FY18" s="78"/>
      <c r="FZ18" s="78"/>
      <c r="GB18" s="78" t="s">
        <v>288</v>
      </c>
      <c r="GC18" s="78"/>
      <c r="GD18" s="78"/>
      <c r="GE18" s="78"/>
      <c r="GF18" s="78" t="s">
        <v>289</v>
      </c>
      <c r="GG18" s="78"/>
      <c r="GH18" s="78"/>
      <c r="GI18" s="78"/>
      <c r="GJ18" s="78" t="s">
        <v>290</v>
      </c>
      <c r="GK18" s="78"/>
      <c r="GL18" s="78"/>
      <c r="GM18" s="78"/>
      <c r="GO18" s="78" t="s">
        <v>291</v>
      </c>
      <c r="GP18" s="78"/>
      <c r="GQ18" s="78"/>
      <c r="GR18" s="78"/>
      <c r="GS18" s="78" t="s">
        <v>292</v>
      </c>
      <c r="GT18" s="78"/>
      <c r="GU18" s="78"/>
      <c r="GV18" s="78"/>
      <c r="GW18" s="78" t="s">
        <v>293</v>
      </c>
      <c r="GX18" s="78"/>
      <c r="GY18" s="78"/>
      <c r="GZ18" s="78"/>
      <c r="HB18" s="78" t="s">
        <v>294</v>
      </c>
      <c r="HC18" s="78"/>
      <c r="HD18" s="78"/>
      <c r="HE18" s="78"/>
      <c r="HF18" s="78" t="s">
        <v>295</v>
      </c>
      <c r="HG18" s="78"/>
      <c r="HH18" s="78"/>
      <c r="HI18" s="78"/>
      <c r="HJ18" s="78" t="s">
        <v>296</v>
      </c>
      <c r="HK18" s="78"/>
      <c r="HL18" s="78"/>
      <c r="HM18" s="78"/>
    </row>
    <row r="19" spans="2:221" hidden="1" outlineLevel="1" x14ac:dyDescent="0.45"/>
    <row r="20" spans="2:221" collapsed="1" x14ac:dyDescent="0.45">
      <c r="B20" s="78" t="s">
        <v>297</v>
      </c>
      <c r="C20" s="78"/>
      <c r="D20" s="78"/>
      <c r="E20" s="78"/>
      <c r="F20" s="78" t="s">
        <v>298</v>
      </c>
      <c r="G20" s="78"/>
      <c r="H20" s="78"/>
      <c r="I20" s="78"/>
      <c r="J20" s="78"/>
      <c r="K20" s="78"/>
      <c r="L20" s="78"/>
      <c r="M20" s="78"/>
      <c r="O20" s="78" t="s">
        <v>299</v>
      </c>
      <c r="P20" s="78"/>
      <c r="Q20" s="78"/>
      <c r="R20" s="78"/>
      <c r="S20" s="78" t="s">
        <v>300</v>
      </c>
      <c r="T20" s="78"/>
      <c r="U20" s="78"/>
      <c r="V20" s="78"/>
      <c r="W20" s="78"/>
      <c r="X20" s="78"/>
      <c r="Y20" s="78"/>
      <c r="Z20" s="78"/>
      <c r="AB20" s="78" t="s">
        <v>301</v>
      </c>
      <c r="AC20" s="78"/>
      <c r="AD20" s="78"/>
      <c r="AE20" s="78"/>
      <c r="AF20" s="78" t="s">
        <v>302</v>
      </c>
      <c r="AG20" s="78"/>
      <c r="AH20" s="78"/>
      <c r="AI20" s="78"/>
      <c r="AJ20" s="78"/>
      <c r="AK20" s="78"/>
      <c r="AL20" s="78"/>
      <c r="AM20" s="78"/>
      <c r="AO20" s="78" t="s">
        <v>303</v>
      </c>
      <c r="AP20" s="78"/>
      <c r="AQ20" s="78"/>
      <c r="AR20" s="78"/>
      <c r="AS20" s="78" t="s">
        <v>304</v>
      </c>
      <c r="AT20" s="78"/>
      <c r="AU20" s="78"/>
      <c r="AV20" s="78"/>
      <c r="AW20" s="78"/>
      <c r="AX20" s="78"/>
      <c r="AY20" s="78"/>
      <c r="AZ20" s="78"/>
      <c r="BB20" s="78" t="s">
        <v>305</v>
      </c>
      <c r="BC20" s="78"/>
      <c r="BD20" s="78"/>
      <c r="BE20" s="78"/>
      <c r="BF20" s="78" t="s">
        <v>306</v>
      </c>
      <c r="BG20" s="78"/>
      <c r="BH20" s="78"/>
      <c r="BI20" s="78"/>
      <c r="BJ20" s="78"/>
      <c r="BK20" s="78"/>
      <c r="BL20" s="78"/>
      <c r="BM20" s="78"/>
      <c r="BO20" s="78" t="s">
        <v>307</v>
      </c>
      <c r="BP20" s="78"/>
      <c r="BQ20" s="78"/>
      <c r="BR20" s="78"/>
      <c r="BS20" s="78" t="s">
        <v>308</v>
      </c>
      <c r="BT20" s="78"/>
      <c r="BU20" s="78"/>
      <c r="BV20" s="78"/>
      <c r="BW20" s="78"/>
      <c r="BX20" s="78"/>
      <c r="BY20" s="78"/>
      <c r="BZ20" s="78"/>
      <c r="CB20" s="78" t="s">
        <v>309</v>
      </c>
      <c r="CC20" s="78"/>
      <c r="CD20" s="78"/>
      <c r="CE20" s="78"/>
      <c r="CF20" s="78" t="s">
        <v>310</v>
      </c>
      <c r="CG20" s="78"/>
      <c r="CH20" s="78"/>
      <c r="CI20" s="78"/>
      <c r="CJ20" s="78"/>
      <c r="CK20" s="78"/>
      <c r="CL20" s="78"/>
      <c r="CM20" s="78"/>
      <c r="CO20" s="78" t="s">
        <v>311</v>
      </c>
      <c r="CP20" s="78"/>
      <c r="CQ20" s="78"/>
      <c r="CR20" s="78"/>
      <c r="CS20" s="78" t="s">
        <v>312</v>
      </c>
      <c r="CT20" s="78"/>
      <c r="CU20" s="78"/>
      <c r="CV20" s="78"/>
      <c r="CW20" s="78"/>
      <c r="CX20" s="78"/>
      <c r="CY20" s="78"/>
      <c r="CZ20" s="78"/>
      <c r="DB20" s="78" t="s">
        <v>313</v>
      </c>
      <c r="DC20" s="78"/>
      <c r="DD20" s="78"/>
      <c r="DE20" s="78"/>
      <c r="DF20" s="78" t="s">
        <v>314</v>
      </c>
      <c r="DG20" s="78"/>
      <c r="DH20" s="78"/>
      <c r="DI20" s="78"/>
      <c r="DJ20" s="78"/>
      <c r="DK20" s="78"/>
      <c r="DL20" s="78"/>
      <c r="DM20" s="78"/>
      <c r="DO20" s="78" t="s">
        <v>315</v>
      </c>
      <c r="DP20" s="78"/>
      <c r="DQ20" s="78"/>
      <c r="DR20" s="78"/>
      <c r="DS20" s="78" t="s">
        <v>316</v>
      </c>
      <c r="DT20" s="78"/>
      <c r="DU20" s="78"/>
      <c r="DV20" s="78"/>
      <c r="DW20" s="78"/>
      <c r="DX20" s="78"/>
      <c r="DY20" s="78"/>
      <c r="DZ20" s="78"/>
      <c r="EB20" s="78" t="s">
        <v>317</v>
      </c>
      <c r="EC20" s="78"/>
      <c r="ED20" s="78"/>
      <c r="EE20" s="78"/>
      <c r="EF20" s="78" t="s">
        <v>318</v>
      </c>
      <c r="EG20" s="78"/>
      <c r="EH20" s="78"/>
      <c r="EI20" s="78"/>
      <c r="EJ20" s="78"/>
      <c r="EK20" s="78"/>
      <c r="EL20" s="78"/>
      <c r="EM20" s="78"/>
      <c r="EO20" s="78" t="s">
        <v>319</v>
      </c>
      <c r="EP20" s="78"/>
      <c r="EQ20" s="78"/>
      <c r="ER20" s="78"/>
      <c r="ES20" s="78" t="s">
        <v>320</v>
      </c>
      <c r="ET20" s="78"/>
      <c r="EU20" s="78"/>
      <c r="EV20" s="78"/>
      <c r="EW20" s="78"/>
      <c r="EX20" s="78"/>
      <c r="EY20" s="78"/>
      <c r="EZ20" s="78"/>
      <c r="FB20" s="78" t="s">
        <v>321</v>
      </c>
      <c r="FC20" s="78"/>
      <c r="FD20" s="78"/>
      <c r="FE20" s="78"/>
      <c r="FF20" s="78" t="s">
        <v>322</v>
      </c>
      <c r="FG20" s="78"/>
      <c r="FH20" s="78"/>
      <c r="FI20" s="78"/>
      <c r="FJ20" s="78"/>
      <c r="FK20" s="78"/>
      <c r="FL20" s="78"/>
      <c r="FM20" s="78"/>
      <c r="FO20" s="78" t="s">
        <v>323</v>
      </c>
      <c r="FP20" s="78"/>
      <c r="FQ20" s="78"/>
      <c r="FR20" s="78"/>
      <c r="FS20" s="78" t="s">
        <v>324</v>
      </c>
      <c r="FT20" s="78"/>
      <c r="FU20" s="78"/>
      <c r="FV20" s="78"/>
      <c r="FW20" s="78"/>
      <c r="FX20" s="78"/>
      <c r="FY20" s="78"/>
      <c r="FZ20" s="78"/>
      <c r="GB20" s="78" t="s">
        <v>325</v>
      </c>
      <c r="GC20" s="78"/>
      <c r="GD20" s="78"/>
      <c r="GE20" s="78"/>
      <c r="GF20" s="78" t="s">
        <v>326</v>
      </c>
      <c r="GG20" s="78"/>
      <c r="GH20" s="78"/>
      <c r="GI20" s="78"/>
      <c r="GJ20" s="78"/>
      <c r="GK20" s="78"/>
      <c r="GL20" s="78"/>
      <c r="GM20" s="78"/>
      <c r="GO20" s="78" t="s">
        <v>327</v>
      </c>
      <c r="GP20" s="78"/>
      <c r="GQ20" s="78"/>
      <c r="GR20" s="78"/>
      <c r="GS20" s="78" t="s">
        <v>328</v>
      </c>
      <c r="GT20" s="78"/>
      <c r="GU20" s="78"/>
      <c r="GV20" s="78"/>
      <c r="GW20" s="78"/>
      <c r="GX20" s="78"/>
      <c r="GY20" s="78"/>
      <c r="GZ20" s="78"/>
      <c r="HB20" s="78" t="s">
        <v>329</v>
      </c>
      <c r="HC20" s="78"/>
      <c r="HD20" s="78"/>
      <c r="HE20" s="78"/>
      <c r="HF20" s="78" t="s">
        <v>330</v>
      </c>
      <c r="HG20" s="78"/>
      <c r="HH20" s="78"/>
      <c r="HI20" s="78"/>
      <c r="HJ20" s="78"/>
      <c r="HK20" s="78"/>
      <c r="HL20" s="78"/>
      <c r="HM20" s="78"/>
    </row>
    <row r="21" spans="2:221" ht="40.049999999999997" customHeight="1" x14ac:dyDescent="0.45">
      <c r="B21" s="495"/>
      <c r="C21" s="495"/>
      <c r="D21" s="495"/>
      <c r="E21" s="495"/>
      <c r="F21" s="496"/>
      <c r="G21" s="496"/>
      <c r="H21" s="496"/>
      <c r="I21" s="496"/>
      <c r="J21" s="240"/>
      <c r="K21" s="240"/>
      <c r="L21" s="240"/>
      <c r="M21" s="240"/>
      <c r="O21" s="497"/>
      <c r="P21" s="497"/>
      <c r="Q21" s="497"/>
      <c r="R21" s="497"/>
      <c r="S21" s="498"/>
      <c r="T21" s="498"/>
      <c r="U21" s="498"/>
      <c r="V21" s="498"/>
      <c r="W21" s="499"/>
      <c r="X21" s="499"/>
      <c r="Y21" s="499"/>
      <c r="Z21" s="499"/>
      <c r="AB21" s="500"/>
      <c r="AC21" s="500"/>
      <c r="AD21" s="500"/>
      <c r="AE21" s="500"/>
      <c r="AF21" s="489"/>
      <c r="AG21" s="489"/>
      <c r="AH21" s="489"/>
      <c r="AI21" s="489"/>
      <c r="AJ21" s="490"/>
      <c r="AK21" s="490"/>
      <c r="AL21" s="490"/>
      <c r="AM21" s="490"/>
      <c r="AO21" s="491"/>
      <c r="AP21" s="491"/>
      <c r="AQ21" s="491"/>
      <c r="AR21" s="491"/>
      <c r="AS21" s="492"/>
      <c r="AT21" s="492"/>
      <c r="AU21" s="492"/>
      <c r="AV21" s="492"/>
      <c r="AW21" s="493"/>
      <c r="AX21" s="493"/>
      <c r="AY21" s="493"/>
      <c r="AZ21" s="493"/>
      <c r="BB21" s="494"/>
      <c r="BC21" s="494"/>
      <c r="BD21" s="494"/>
      <c r="BE21" s="494"/>
      <c r="BF21" s="483"/>
      <c r="BG21" s="483"/>
      <c r="BH21" s="483"/>
      <c r="BI21" s="483"/>
      <c r="BJ21" s="484"/>
      <c r="BK21" s="484"/>
      <c r="BL21" s="484"/>
      <c r="BM21" s="484"/>
      <c r="BO21" s="485"/>
      <c r="BP21" s="485"/>
      <c r="BQ21" s="485"/>
      <c r="BR21" s="485"/>
      <c r="BS21" s="486"/>
      <c r="BT21" s="486"/>
      <c r="BU21" s="486"/>
      <c r="BV21" s="486"/>
      <c r="BW21" s="487"/>
      <c r="BX21" s="487"/>
      <c r="BY21" s="487"/>
      <c r="BZ21" s="487"/>
      <c r="CB21" s="488"/>
      <c r="CC21" s="488"/>
      <c r="CD21" s="488"/>
      <c r="CE21" s="488"/>
      <c r="CF21" s="477"/>
      <c r="CG21" s="477"/>
      <c r="CH21" s="477"/>
      <c r="CI21" s="477"/>
      <c r="CJ21" s="478"/>
      <c r="CK21" s="478"/>
      <c r="CL21" s="478"/>
      <c r="CM21" s="478"/>
      <c r="CO21" s="479"/>
      <c r="CP21" s="479"/>
      <c r="CQ21" s="479"/>
      <c r="CR21" s="479"/>
      <c r="CS21" s="480"/>
      <c r="CT21" s="480"/>
      <c r="CU21" s="480"/>
      <c r="CV21" s="480"/>
      <c r="CW21" s="481"/>
      <c r="CX21" s="481"/>
      <c r="CY21" s="481"/>
      <c r="CZ21" s="481"/>
      <c r="DB21" s="482"/>
      <c r="DC21" s="482"/>
      <c r="DD21" s="482"/>
      <c r="DE21" s="482"/>
      <c r="DF21" s="471"/>
      <c r="DG21" s="471"/>
      <c r="DH21" s="471"/>
      <c r="DI21" s="471"/>
      <c r="DJ21" s="472"/>
      <c r="DK21" s="472"/>
      <c r="DL21" s="472"/>
      <c r="DM21" s="472"/>
      <c r="DO21" s="473"/>
      <c r="DP21" s="473"/>
      <c r="DQ21" s="473"/>
      <c r="DR21" s="473"/>
      <c r="DS21" s="474"/>
      <c r="DT21" s="474"/>
      <c r="DU21" s="474"/>
      <c r="DV21" s="474"/>
      <c r="DW21" s="475"/>
      <c r="DX21" s="475"/>
      <c r="DY21" s="475"/>
      <c r="DZ21" s="475"/>
      <c r="EB21" s="476"/>
      <c r="EC21" s="476"/>
      <c r="ED21" s="476"/>
      <c r="EE21" s="476"/>
      <c r="EF21" s="465"/>
      <c r="EG21" s="465"/>
      <c r="EH21" s="465"/>
      <c r="EI21" s="465"/>
      <c r="EJ21" s="466"/>
      <c r="EK21" s="466"/>
      <c r="EL21" s="466"/>
      <c r="EM21" s="466"/>
      <c r="EO21" s="467"/>
      <c r="EP21" s="467"/>
      <c r="EQ21" s="467"/>
      <c r="ER21" s="467"/>
      <c r="ES21" s="468"/>
      <c r="ET21" s="468"/>
      <c r="EU21" s="468"/>
      <c r="EV21" s="468"/>
      <c r="EW21" s="469"/>
      <c r="EX21" s="469"/>
      <c r="EY21" s="469"/>
      <c r="EZ21" s="469"/>
      <c r="FB21" s="470"/>
      <c r="FC21" s="470"/>
      <c r="FD21" s="470"/>
      <c r="FE21" s="470"/>
      <c r="FF21" s="459"/>
      <c r="FG21" s="459"/>
      <c r="FH21" s="459"/>
      <c r="FI21" s="459"/>
      <c r="FJ21" s="460"/>
      <c r="FK21" s="460"/>
      <c r="FL21" s="460"/>
      <c r="FM21" s="460"/>
      <c r="FO21" s="461"/>
      <c r="FP21" s="461"/>
      <c r="FQ21" s="461"/>
      <c r="FR21" s="461"/>
      <c r="FS21" s="462"/>
      <c r="FT21" s="462"/>
      <c r="FU21" s="462"/>
      <c r="FV21" s="462"/>
      <c r="FW21" s="463"/>
      <c r="FX21" s="463"/>
      <c r="FY21" s="463"/>
      <c r="FZ21" s="463"/>
      <c r="GB21" s="464"/>
      <c r="GC21" s="464"/>
      <c r="GD21" s="464"/>
      <c r="GE21" s="464"/>
      <c r="GF21" s="453"/>
      <c r="GG21" s="453"/>
      <c r="GH21" s="453"/>
      <c r="GI21" s="453"/>
      <c r="GJ21" s="454"/>
      <c r="GK21" s="454"/>
      <c r="GL21" s="454"/>
      <c r="GM21" s="454"/>
      <c r="GO21" s="455"/>
      <c r="GP21" s="455"/>
      <c r="GQ21" s="455"/>
      <c r="GR21" s="455"/>
      <c r="GS21" s="456"/>
      <c r="GT21" s="456"/>
      <c r="GU21" s="456"/>
      <c r="GV21" s="456"/>
      <c r="GW21" s="457"/>
      <c r="GX21" s="457"/>
      <c r="GY21" s="457"/>
      <c r="GZ21" s="457"/>
      <c r="HB21" s="458"/>
      <c r="HC21" s="458"/>
      <c r="HD21" s="458"/>
      <c r="HE21" s="458"/>
      <c r="HF21" s="451"/>
      <c r="HG21" s="451"/>
      <c r="HH21" s="451"/>
      <c r="HI21" s="451"/>
      <c r="HJ21" s="452"/>
      <c r="HK21" s="452"/>
      <c r="HL21" s="452"/>
      <c r="HM21" s="452"/>
    </row>
    <row r="22" spans="2:221" hidden="1" outlineLevel="1" x14ac:dyDescent="0.45">
      <c r="B22" s="18" t="s">
        <v>73</v>
      </c>
      <c r="C22" s="18" t="s">
        <v>74</v>
      </c>
      <c r="D22" s="18" t="s">
        <v>75</v>
      </c>
      <c r="F22" s="18" t="s">
        <v>73</v>
      </c>
      <c r="G22" s="18" t="s">
        <v>74</v>
      </c>
      <c r="H22" s="18" t="s">
        <v>75</v>
      </c>
      <c r="J22" s="18" t="s">
        <v>73</v>
      </c>
      <c r="K22" s="18" t="s">
        <v>74</v>
      </c>
      <c r="L22" s="18" t="s">
        <v>75</v>
      </c>
      <c r="O22" s="18" t="s">
        <v>73</v>
      </c>
      <c r="P22" s="18" t="s">
        <v>74</v>
      </c>
      <c r="Q22" s="18" t="s">
        <v>75</v>
      </c>
      <c r="S22" s="18" t="s">
        <v>73</v>
      </c>
      <c r="T22" s="18" t="s">
        <v>74</v>
      </c>
      <c r="U22" s="18" t="s">
        <v>75</v>
      </c>
      <c r="W22" s="18" t="s">
        <v>73</v>
      </c>
      <c r="X22" s="18" t="s">
        <v>74</v>
      </c>
      <c r="Y22" s="18" t="s">
        <v>75</v>
      </c>
      <c r="AB22" s="18" t="s">
        <v>73</v>
      </c>
      <c r="AC22" s="18" t="s">
        <v>74</v>
      </c>
      <c r="AD22" s="18" t="s">
        <v>75</v>
      </c>
      <c r="AF22" s="18" t="s">
        <v>73</v>
      </c>
      <c r="AG22" s="18" t="s">
        <v>74</v>
      </c>
      <c r="AH22" s="18" t="s">
        <v>75</v>
      </c>
      <c r="AJ22" s="18" t="s">
        <v>73</v>
      </c>
      <c r="AK22" s="18" t="s">
        <v>74</v>
      </c>
      <c r="AL22" s="18" t="s">
        <v>75</v>
      </c>
      <c r="AO22" s="18" t="s">
        <v>73</v>
      </c>
      <c r="AP22" s="18" t="s">
        <v>74</v>
      </c>
      <c r="AQ22" s="18" t="s">
        <v>75</v>
      </c>
      <c r="AS22" s="18" t="s">
        <v>73</v>
      </c>
      <c r="AT22" s="18" t="s">
        <v>74</v>
      </c>
      <c r="AU22" s="18" t="s">
        <v>75</v>
      </c>
      <c r="AW22" s="18" t="s">
        <v>73</v>
      </c>
      <c r="AX22" s="18" t="s">
        <v>74</v>
      </c>
      <c r="AY22" s="18" t="s">
        <v>75</v>
      </c>
      <c r="BB22" s="18" t="s">
        <v>73</v>
      </c>
      <c r="BC22" s="18" t="s">
        <v>74</v>
      </c>
      <c r="BD22" s="18" t="s">
        <v>75</v>
      </c>
      <c r="BF22" s="18" t="s">
        <v>73</v>
      </c>
      <c r="BG22" s="18" t="s">
        <v>74</v>
      </c>
      <c r="BH22" s="18" t="s">
        <v>75</v>
      </c>
      <c r="BJ22" s="18" t="s">
        <v>73</v>
      </c>
      <c r="BK22" s="18" t="s">
        <v>74</v>
      </c>
      <c r="BL22" s="18" t="s">
        <v>75</v>
      </c>
      <c r="BO22" s="18" t="s">
        <v>73</v>
      </c>
      <c r="BP22" s="18" t="s">
        <v>74</v>
      </c>
      <c r="BQ22" s="18" t="s">
        <v>75</v>
      </c>
      <c r="BS22" s="18" t="s">
        <v>73</v>
      </c>
      <c r="BT22" s="18" t="s">
        <v>74</v>
      </c>
      <c r="BU22" s="18" t="s">
        <v>75</v>
      </c>
      <c r="BW22" s="18" t="s">
        <v>73</v>
      </c>
      <c r="BX22" s="18" t="s">
        <v>74</v>
      </c>
      <c r="BY22" s="18" t="s">
        <v>75</v>
      </c>
      <c r="CB22" s="18" t="s">
        <v>73</v>
      </c>
      <c r="CC22" s="18" t="s">
        <v>74</v>
      </c>
      <c r="CD22" s="18" t="s">
        <v>75</v>
      </c>
      <c r="CF22" s="18" t="s">
        <v>73</v>
      </c>
      <c r="CG22" s="18" t="s">
        <v>74</v>
      </c>
      <c r="CH22" s="18" t="s">
        <v>75</v>
      </c>
      <c r="CJ22" s="18" t="s">
        <v>73</v>
      </c>
      <c r="CK22" s="18" t="s">
        <v>74</v>
      </c>
      <c r="CL22" s="18" t="s">
        <v>75</v>
      </c>
      <c r="CO22" s="18" t="s">
        <v>73</v>
      </c>
      <c r="CP22" s="18" t="s">
        <v>74</v>
      </c>
      <c r="CQ22" s="18" t="s">
        <v>75</v>
      </c>
      <c r="CS22" s="18" t="s">
        <v>73</v>
      </c>
      <c r="CT22" s="18" t="s">
        <v>74</v>
      </c>
      <c r="CU22" s="18" t="s">
        <v>75</v>
      </c>
      <c r="CW22" s="18" t="s">
        <v>73</v>
      </c>
      <c r="CX22" s="18" t="s">
        <v>74</v>
      </c>
      <c r="CY22" s="18" t="s">
        <v>75</v>
      </c>
      <c r="DB22" s="18" t="s">
        <v>73</v>
      </c>
      <c r="DC22" s="18" t="s">
        <v>74</v>
      </c>
      <c r="DD22" s="18" t="s">
        <v>75</v>
      </c>
      <c r="DF22" s="18" t="s">
        <v>73</v>
      </c>
      <c r="DG22" s="18" t="s">
        <v>74</v>
      </c>
      <c r="DH22" s="18" t="s">
        <v>75</v>
      </c>
      <c r="DJ22" s="18" t="s">
        <v>73</v>
      </c>
      <c r="DK22" s="18" t="s">
        <v>74</v>
      </c>
      <c r="DL22" s="18" t="s">
        <v>75</v>
      </c>
      <c r="DO22" s="18" t="s">
        <v>73</v>
      </c>
      <c r="DP22" s="18" t="s">
        <v>74</v>
      </c>
      <c r="DQ22" s="18" t="s">
        <v>75</v>
      </c>
      <c r="DS22" s="18" t="s">
        <v>73</v>
      </c>
      <c r="DT22" s="18" t="s">
        <v>74</v>
      </c>
      <c r="DU22" s="18" t="s">
        <v>75</v>
      </c>
      <c r="DW22" s="18" t="s">
        <v>73</v>
      </c>
      <c r="DX22" s="18" t="s">
        <v>74</v>
      </c>
      <c r="DY22" s="18" t="s">
        <v>75</v>
      </c>
      <c r="EB22" s="18" t="s">
        <v>73</v>
      </c>
      <c r="EC22" s="18" t="s">
        <v>74</v>
      </c>
      <c r="ED22" s="18" t="s">
        <v>75</v>
      </c>
      <c r="EF22" s="18" t="s">
        <v>73</v>
      </c>
      <c r="EG22" s="18" t="s">
        <v>74</v>
      </c>
      <c r="EH22" s="18" t="s">
        <v>75</v>
      </c>
      <c r="EJ22" s="18" t="s">
        <v>73</v>
      </c>
      <c r="EK22" s="18" t="s">
        <v>74</v>
      </c>
      <c r="EL22" s="18" t="s">
        <v>75</v>
      </c>
      <c r="EO22" s="18" t="s">
        <v>73</v>
      </c>
      <c r="EP22" s="18" t="s">
        <v>74</v>
      </c>
      <c r="EQ22" s="18" t="s">
        <v>75</v>
      </c>
      <c r="ES22" s="18" t="s">
        <v>73</v>
      </c>
      <c r="ET22" s="18" t="s">
        <v>74</v>
      </c>
      <c r="EU22" s="18" t="s">
        <v>75</v>
      </c>
      <c r="EW22" s="18" t="s">
        <v>73</v>
      </c>
      <c r="EX22" s="18" t="s">
        <v>74</v>
      </c>
      <c r="EY22" s="18" t="s">
        <v>75</v>
      </c>
      <c r="FB22" s="18" t="s">
        <v>73</v>
      </c>
      <c r="FC22" s="18" t="s">
        <v>74</v>
      </c>
      <c r="FD22" s="18" t="s">
        <v>75</v>
      </c>
      <c r="FF22" s="18" t="s">
        <v>73</v>
      </c>
      <c r="FG22" s="18" t="s">
        <v>74</v>
      </c>
      <c r="FH22" s="18" t="s">
        <v>75</v>
      </c>
      <c r="FJ22" s="18" t="s">
        <v>73</v>
      </c>
      <c r="FK22" s="18" t="s">
        <v>74</v>
      </c>
      <c r="FL22" s="18" t="s">
        <v>75</v>
      </c>
      <c r="FO22" s="18" t="s">
        <v>73</v>
      </c>
      <c r="FP22" s="18" t="s">
        <v>74</v>
      </c>
      <c r="FQ22" s="18" t="s">
        <v>75</v>
      </c>
      <c r="FS22" s="18" t="s">
        <v>73</v>
      </c>
      <c r="FT22" s="18" t="s">
        <v>74</v>
      </c>
      <c r="FU22" s="18" t="s">
        <v>75</v>
      </c>
      <c r="FW22" s="18" t="s">
        <v>73</v>
      </c>
      <c r="FX22" s="18" t="s">
        <v>74</v>
      </c>
      <c r="FY22" s="18" t="s">
        <v>75</v>
      </c>
      <c r="GB22" s="18" t="s">
        <v>73</v>
      </c>
      <c r="GC22" s="18" t="s">
        <v>74</v>
      </c>
      <c r="GD22" s="18" t="s">
        <v>75</v>
      </c>
      <c r="GF22" s="18" t="s">
        <v>73</v>
      </c>
      <c r="GG22" s="18" t="s">
        <v>74</v>
      </c>
      <c r="GH22" s="18" t="s">
        <v>75</v>
      </c>
      <c r="GJ22" s="18" t="s">
        <v>73</v>
      </c>
      <c r="GK22" s="18" t="s">
        <v>74</v>
      </c>
      <c r="GL22" s="18" t="s">
        <v>75</v>
      </c>
      <c r="GO22" s="18" t="s">
        <v>73</v>
      </c>
      <c r="GP22" s="18" t="s">
        <v>74</v>
      </c>
      <c r="GQ22" s="18" t="s">
        <v>75</v>
      </c>
      <c r="GS22" s="18" t="s">
        <v>73</v>
      </c>
      <c r="GT22" s="18" t="s">
        <v>74</v>
      </c>
      <c r="GU22" s="18" t="s">
        <v>75</v>
      </c>
      <c r="GW22" s="18" t="s">
        <v>73</v>
      </c>
      <c r="GX22" s="18" t="s">
        <v>74</v>
      </c>
      <c r="GY22" s="18" t="s">
        <v>75</v>
      </c>
      <c r="HB22" s="18" t="s">
        <v>73</v>
      </c>
      <c r="HC22" s="18" t="s">
        <v>74</v>
      </c>
      <c r="HD22" s="18" t="s">
        <v>75</v>
      </c>
      <c r="HF22" s="18" t="s">
        <v>73</v>
      </c>
      <c r="HG22" s="18" t="s">
        <v>74</v>
      </c>
      <c r="HH22" s="18" t="s">
        <v>75</v>
      </c>
      <c r="HJ22" s="18" t="s">
        <v>73</v>
      </c>
      <c r="HK22" s="18" t="s">
        <v>74</v>
      </c>
      <c r="HL22" s="18" t="s">
        <v>75</v>
      </c>
    </row>
    <row r="23" spans="2:221" hidden="1" outlineLevel="1" x14ac:dyDescent="0.45">
      <c r="B23" s="18">
        <v>242</v>
      </c>
      <c r="C23" s="18">
        <v>80</v>
      </c>
      <c r="D23" s="18">
        <v>34</v>
      </c>
      <c r="F23" s="18">
        <v>127</v>
      </c>
      <c r="G23" s="18">
        <v>186</v>
      </c>
      <c r="H23" s="18">
        <v>0</v>
      </c>
      <c r="J23" s="18">
        <v>255</v>
      </c>
      <c r="K23" s="18">
        <v>255</v>
      </c>
      <c r="L23" s="18">
        <v>255</v>
      </c>
      <c r="O23" s="18">
        <v>230</v>
      </c>
      <c r="P23" s="18">
        <v>197</v>
      </c>
      <c r="Q23" s="18">
        <v>207</v>
      </c>
      <c r="S23" s="18">
        <v>189</v>
      </c>
      <c r="T23" s="18">
        <v>216</v>
      </c>
      <c r="U23" s="18">
        <v>221</v>
      </c>
      <c r="W23" s="18">
        <v>175</v>
      </c>
      <c r="X23" s="18">
        <v>157</v>
      </c>
      <c r="Y23" s="18">
        <v>192</v>
      </c>
      <c r="AB23" s="18">
        <v>235</v>
      </c>
      <c r="AC23" s="18">
        <v>216</v>
      </c>
      <c r="AD23" s="18">
        <v>128</v>
      </c>
      <c r="AF23" s="18">
        <v>192</v>
      </c>
      <c r="AG23" s="18">
        <v>54</v>
      </c>
      <c r="AH23" s="18">
        <v>25</v>
      </c>
      <c r="AJ23" s="18">
        <v>0</v>
      </c>
      <c r="AK23" s="18">
        <v>151</v>
      </c>
      <c r="AL23" s="18">
        <v>155</v>
      </c>
      <c r="AO23" s="18">
        <v>212</v>
      </c>
      <c r="AP23" s="18">
        <v>181</v>
      </c>
      <c r="AQ23" s="18">
        <v>114</v>
      </c>
      <c r="AS23" s="18">
        <v>0</v>
      </c>
      <c r="AT23" s="18">
        <v>55</v>
      </c>
      <c r="AU23" s="18">
        <v>64</v>
      </c>
      <c r="AW23" s="18">
        <v>177</v>
      </c>
      <c r="AX23" s="18">
        <v>90</v>
      </c>
      <c r="AY23" s="18">
        <v>94</v>
      </c>
      <c r="BB23" s="18">
        <v>203</v>
      </c>
      <c r="BC23" s="18">
        <v>127</v>
      </c>
      <c r="BD23" s="18">
        <v>105</v>
      </c>
      <c r="BF23" s="18">
        <v>215</v>
      </c>
      <c r="BG23" s="18">
        <v>182</v>
      </c>
      <c r="BH23" s="18">
        <v>61</v>
      </c>
      <c r="BJ23" s="18">
        <v>248</v>
      </c>
      <c r="BK23" s="18">
        <v>236</v>
      </c>
      <c r="BL23" s="18">
        <v>186</v>
      </c>
      <c r="BO23" s="18">
        <v>253</v>
      </c>
      <c r="BP23" s="18">
        <v>208</v>
      </c>
      <c r="BQ23" s="18">
        <v>0</v>
      </c>
      <c r="BS23" s="18">
        <v>0</v>
      </c>
      <c r="BT23" s="18">
        <v>104</v>
      </c>
      <c r="BU23" s="18">
        <v>183</v>
      </c>
      <c r="BW23" s="18">
        <v>159</v>
      </c>
      <c r="BX23" s="18">
        <v>217</v>
      </c>
      <c r="BY23" s="18">
        <v>246</v>
      </c>
      <c r="CB23" s="18">
        <v>179</v>
      </c>
      <c r="CC23" s="18">
        <v>36</v>
      </c>
      <c r="CD23" s="18">
        <v>37</v>
      </c>
      <c r="CF23" s="18">
        <v>255</v>
      </c>
      <c r="CG23" s="18">
        <v>253</v>
      </c>
      <c r="CH23" s="18">
        <v>225</v>
      </c>
      <c r="CJ23" s="18">
        <v>214</v>
      </c>
      <c r="CK23" s="18">
        <v>184</v>
      </c>
      <c r="CL23" s="18">
        <v>69</v>
      </c>
      <c r="CO23" s="18">
        <v>53</v>
      </c>
      <c r="CP23" s="18">
        <v>181</v>
      </c>
      <c r="CQ23" s="18">
        <v>210</v>
      </c>
      <c r="CS23" s="18">
        <v>254</v>
      </c>
      <c r="CT23" s="18">
        <v>213</v>
      </c>
      <c r="CU23" s="18">
        <v>43</v>
      </c>
      <c r="CW23" s="18">
        <v>244</v>
      </c>
      <c r="CX23" s="18">
        <v>172</v>
      </c>
      <c r="CY23" s="18">
        <v>146</v>
      </c>
      <c r="DB23" s="18">
        <v>95</v>
      </c>
      <c r="DC23" s="18">
        <v>193</v>
      </c>
      <c r="DD23" s="18">
        <v>199</v>
      </c>
      <c r="DF23" s="18">
        <v>230</v>
      </c>
      <c r="DG23" s="18">
        <v>229</v>
      </c>
      <c r="DH23" s="18">
        <v>0</v>
      </c>
      <c r="DJ23" s="18">
        <v>29</v>
      </c>
      <c r="DK23" s="18">
        <v>71</v>
      </c>
      <c r="DL23" s="18">
        <v>99</v>
      </c>
      <c r="DO23" s="18">
        <v>231</v>
      </c>
      <c r="DP23" s="18">
        <v>229</v>
      </c>
      <c r="DQ23" s="18">
        <v>227</v>
      </c>
      <c r="DS23" s="18">
        <v>183</v>
      </c>
      <c r="DT23" s="18">
        <v>204</v>
      </c>
      <c r="DU23" s="18">
        <v>221</v>
      </c>
      <c r="DW23" s="18">
        <v>82</v>
      </c>
      <c r="DX23" s="18">
        <v>109</v>
      </c>
      <c r="DY23" s="18">
        <v>152</v>
      </c>
      <c r="EB23" s="18">
        <v>28</v>
      </c>
      <c r="EC23" s="18">
        <v>140</v>
      </c>
      <c r="ED23" s="18">
        <v>205</v>
      </c>
      <c r="EF23" s="18">
        <v>240</v>
      </c>
      <c r="EG23" s="18">
        <v>144</v>
      </c>
      <c r="EH23" s="18">
        <v>127</v>
      </c>
      <c r="EJ23" s="18">
        <v>246</v>
      </c>
      <c r="EK23" s="18">
        <v>250</v>
      </c>
      <c r="EL23" s="18">
        <v>243</v>
      </c>
      <c r="EO23" s="18">
        <v>221</v>
      </c>
      <c r="EP23" s="18">
        <v>209</v>
      </c>
      <c r="EQ23" s="18">
        <v>207</v>
      </c>
      <c r="ES23" s="18">
        <v>56</v>
      </c>
      <c r="ET23" s="18">
        <v>36</v>
      </c>
      <c r="EU23" s="18">
        <v>34</v>
      </c>
      <c r="EW23" s="18">
        <v>116</v>
      </c>
      <c r="EX23" s="18">
        <v>55</v>
      </c>
      <c r="EY23" s="18">
        <v>49</v>
      </c>
      <c r="FB23" s="18">
        <v>218</v>
      </c>
      <c r="FC23" s="18">
        <v>198</v>
      </c>
      <c r="FD23" s="18">
        <v>217</v>
      </c>
      <c r="FF23" s="18">
        <v>242</v>
      </c>
      <c r="FG23" s="18">
        <v>238</v>
      </c>
      <c r="FH23" s="18">
        <v>236</v>
      </c>
      <c r="FJ23" s="18">
        <v>152</v>
      </c>
      <c r="FK23" s="18">
        <v>188</v>
      </c>
      <c r="FL23" s="18">
        <v>223</v>
      </c>
      <c r="FO23" s="18">
        <v>238</v>
      </c>
      <c r="FP23" s="18">
        <v>239</v>
      </c>
      <c r="FQ23" s="18">
        <v>211</v>
      </c>
      <c r="FS23" s="18">
        <v>111</v>
      </c>
      <c r="FT23" s="18">
        <v>117</v>
      </c>
      <c r="FU23" s="18">
        <v>110</v>
      </c>
      <c r="FW23" s="18">
        <v>200</v>
      </c>
      <c r="FX23" s="18">
        <v>172</v>
      </c>
      <c r="FY23" s="18">
        <v>82</v>
      </c>
      <c r="GB23" s="18">
        <v>152</v>
      </c>
      <c r="GC23" s="18">
        <v>211</v>
      </c>
      <c r="GD23" s="18">
        <v>231</v>
      </c>
      <c r="GF23" s="18">
        <v>212</v>
      </c>
      <c r="GG23" s="18">
        <v>236</v>
      </c>
      <c r="GH23" s="18">
        <v>241</v>
      </c>
      <c r="GJ23" s="18">
        <v>255</v>
      </c>
      <c r="GK23" s="18">
        <v>240</v>
      </c>
      <c r="GL23" s="18">
        <v>89</v>
      </c>
      <c r="GO23" s="18">
        <v>153</v>
      </c>
      <c r="GP23" s="18">
        <v>175</v>
      </c>
      <c r="GQ23" s="18">
        <v>135</v>
      </c>
      <c r="GS23" s="18">
        <v>74</v>
      </c>
      <c r="GT23" s="18">
        <v>107</v>
      </c>
      <c r="GU23" s="18">
        <v>68</v>
      </c>
      <c r="GW23" s="18">
        <v>75</v>
      </c>
      <c r="GX23" s="18">
        <v>73</v>
      </c>
      <c r="GY23" s="18">
        <v>54</v>
      </c>
      <c r="HB23" s="18">
        <v>115</v>
      </c>
      <c r="HC23" s="18">
        <v>139</v>
      </c>
      <c r="HD23" s="18">
        <v>147</v>
      </c>
      <c r="HF23" s="18">
        <v>82</v>
      </c>
      <c r="HG23" s="18">
        <v>190</v>
      </c>
      <c r="HH23" s="18">
        <v>198</v>
      </c>
      <c r="HJ23" s="18">
        <v>225</v>
      </c>
      <c r="HK23" s="18">
        <v>237</v>
      </c>
      <c r="HL23" s="18">
        <v>246</v>
      </c>
    </row>
    <row r="24" spans="2:221" hidden="1" outlineLevel="1" x14ac:dyDescent="0.45">
      <c r="B24" s="78" t="s">
        <v>331</v>
      </c>
      <c r="C24" s="78"/>
      <c r="D24" s="78"/>
      <c r="E24" s="78"/>
      <c r="F24" s="78" t="s">
        <v>332</v>
      </c>
      <c r="G24" s="78"/>
      <c r="H24" s="78"/>
      <c r="I24" s="78"/>
      <c r="J24" s="78" t="s">
        <v>163</v>
      </c>
      <c r="K24" s="78"/>
      <c r="L24" s="78"/>
      <c r="M24" s="78"/>
      <c r="O24" s="78" t="s">
        <v>333</v>
      </c>
      <c r="P24" s="78"/>
      <c r="Q24" s="78"/>
      <c r="R24" s="78"/>
      <c r="S24" s="78" t="s">
        <v>334</v>
      </c>
      <c r="T24" s="78"/>
      <c r="U24" s="78"/>
      <c r="V24" s="78"/>
      <c r="W24" s="78" t="s">
        <v>335</v>
      </c>
      <c r="X24" s="78"/>
      <c r="Y24" s="78"/>
      <c r="Z24" s="78"/>
      <c r="AB24" s="78" t="s">
        <v>336</v>
      </c>
      <c r="AC24" s="78"/>
      <c r="AD24" s="78"/>
      <c r="AE24" s="78"/>
      <c r="AF24" s="78" t="s">
        <v>337</v>
      </c>
      <c r="AG24" s="78"/>
      <c r="AH24" s="78"/>
      <c r="AI24" s="78"/>
      <c r="AJ24" s="78" t="s">
        <v>338</v>
      </c>
      <c r="AK24" s="78"/>
      <c r="AL24" s="78"/>
      <c r="AM24" s="78"/>
      <c r="AO24" s="78" t="s">
        <v>339</v>
      </c>
      <c r="AP24" s="78"/>
      <c r="AQ24" s="78"/>
      <c r="AR24" s="78"/>
      <c r="AS24" s="78" t="s">
        <v>340</v>
      </c>
      <c r="AT24" s="78"/>
      <c r="AU24" s="78"/>
      <c r="AV24" s="78"/>
      <c r="AW24" s="78" t="s">
        <v>341</v>
      </c>
      <c r="AX24" s="78"/>
      <c r="AY24" s="78"/>
      <c r="AZ24" s="78"/>
      <c r="BB24" s="78" t="s">
        <v>342</v>
      </c>
      <c r="BC24" s="78"/>
      <c r="BD24" s="78"/>
      <c r="BE24" s="78"/>
      <c r="BF24" s="78" t="s">
        <v>343</v>
      </c>
      <c r="BG24" s="78"/>
      <c r="BH24" s="78"/>
      <c r="BI24" s="78"/>
      <c r="BJ24" s="78" t="s">
        <v>344</v>
      </c>
      <c r="BK24" s="78"/>
      <c r="BL24" s="78"/>
      <c r="BM24" s="78"/>
      <c r="BO24" s="78" t="s">
        <v>345</v>
      </c>
      <c r="BP24" s="78"/>
      <c r="BQ24" s="78"/>
      <c r="BR24" s="78"/>
      <c r="BS24" s="78" t="s">
        <v>346</v>
      </c>
      <c r="BT24" s="78"/>
      <c r="BU24" s="78"/>
      <c r="BV24" s="78"/>
      <c r="BW24" s="78" t="s">
        <v>347</v>
      </c>
      <c r="BX24" s="78"/>
      <c r="BY24" s="78"/>
      <c r="BZ24" s="78"/>
      <c r="CB24" s="78" t="s">
        <v>348</v>
      </c>
      <c r="CC24" s="78"/>
      <c r="CD24" s="78"/>
      <c r="CE24" s="78"/>
      <c r="CF24" s="78" t="s">
        <v>349</v>
      </c>
      <c r="CG24" s="78"/>
      <c r="CH24" s="78"/>
      <c r="CI24" s="78"/>
      <c r="CJ24" s="78" t="s">
        <v>350</v>
      </c>
      <c r="CK24" s="78"/>
      <c r="CL24" s="78"/>
      <c r="CM24" s="78"/>
      <c r="CO24" s="78" t="s">
        <v>351</v>
      </c>
      <c r="CP24" s="78"/>
      <c r="CQ24" s="78"/>
      <c r="CR24" s="78"/>
      <c r="CS24" s="78" t="s">
        <v>352</v>
      </c>
      <c r="CT24" s="78"/>
      <c r="CU24" s="78"/>
      <c r="CV24" s="78"/>
      <c r="CW24" s="78" t="s">
        <v>353</v>
      </c>
      <c r="CX24" s="78"/>
      <c r="CY24" s="78"/>
      <c r="CZ24" s="78"/>
      <c r="DB24" s="78" t="s">
        <v>354</v>
      </c>
      <c r="DC24" s="78"/>
      <c r="DD24" s="78"/>
      <c r="DE24" s="78"/>
      <c r="DF24" s="78" t="s">
        <v>355</v>
      </c>
      <c r="DG24" s="78"/>
      <c r="DH24" s="78"/>
      <c r="DI24" s="78"/>
      <c r="DJ24" s="78" t="s">
        <v>356</v>
      </c>
      <c r="DK24" s="78"/>
      <c r="DL24" s="78"/>
      <c r="DM24" s="78"/>
      <c r="DO24" s="78" t="s">
        <v>357</v>
      </c>
      <c r="DP24" s="78"/>
      <c r="DQ24" s="78"/>
      <c r="DR24" s="78"/>
      <c r="DS24" s="78" t="s">
        <v>358</v>
      </c>
      <c r="DT24" s="78"/>
      <c r="DU24" s="78"/>
      <c r="DV24" s="78"/>
      <c r="DW24" s="78" t="s">
        <v>359</v>
      </c>
      <c r="DX24" s="78"/>
      <c r="DY24" s="78"/>
      <c r="DZ24" s="78"/>
      <c r="EB24" s="78" t="s">
        <v>360</v>
      </c>
      <c r="EC24" s="78"/>
      <c r="ED24" s="78"/>
      <c r="EE24" s="78"/>
      <c r="EF24" s="78" t="s">
        <v>361</v>
      </c>
      <c r="EG24" s="78"/>
      <c r="EH24" s="78"/>
      <c r="EI24" s="78"/>
      <c r="EJ24" s="78" t="s">
        <v>362</v>
      </c>
      <c r="EK24" s="78"/>
      <c r="EL24" s="78"/>
      <c r="EM24" s="78"/>
      <c r="EO24" s="78" t="s">
        <v>363</v>
      </c>
      <c r="EP24" s="78"/>
      <c r="EQ24" s="78"/>
      <c r="ER24" s="78"/>
      <c r="ES24" s="78" t="s">
        <v>364</v>
      </c>
      <c r="ET24" s="78"/>
      <c r="EU24" s="78"/>
      <c r="EV24" s="78"/>
      <c r="EW24" s="78" t="s">
        <v>365</v>
      </c>
      <c r="EX24" s="78"/>
      <c r="EY24" s="78"/>
      <c r="EZ24" s="78"/>
      <c r="FB24" s="78" t="s">
        <v>366</v>
      </c>
      <c r="FC24" s="78"/>
      <c r="FD24" s="78"/>
      <c r="FE24" s="78"/>
      <c r="FF24" s="78" t="s">
        <v>367</v>
      </c>
      <c r="FG24" s="78"/>
      <c r="FH24" s="78"/>
      <c r="FI24" s="78"/>
      <c r="FJ24" s="78" t="s">
        <v>368</v>
      </c>
      <c r="FK24" s="78"/>
      <c r="FL24" s="78"/>
      <c r="FM24" s="78"/>
      <c r="FO24" s="78" t="s">
        <v>369</v>
      </c>
      <c r="FP24" s="78"/>
      <c r="FQ24" s="78"/>
      <c r="FR24" s="78"/>
      <c r="FS24" s="78" t="s">
        <v>370</v>
      </c>
      <c r="FT24" s="78"/>
      <c r="FU24" s="78"/>
      <c r="FV24" s="78"/>
      <c r="FW24" s="78" t="s">
        <v>371</v>
      </c>
      <c r="FX24" s="78"/>
      <c r="FY24" s="78"/>
      <c r="FZ24" s="78"/>
      <c r="GB24" s="78" t="s">
        <v>372</v>
      </c>
      <c r="GC24" s="78"/>
      <c r="GD24" s="78"/>
      <c r="GE24" s="78"/>
      <c r="GF24" s="78" t="s">
        <v>373</v>
      </c>
      <c r="GG24" s="78"/>
      <c r="GH24" s="78"/>
      <c r="GI24" s="78"/>
      <c r="GJ24" s="78" t="s">
        <v>374</v>
      </c>
      <c r="GK24" s="78"/>
      <c r="GL24" s="78"/>
      <c r="GM24" s="78"/>
      <c r="GO24" s="78" t="s">
        <v>375</v>
      </c>
      <c r="GP24" s="78"/>
      <c r="GQ24" s="78"/>
      <c r="GR24" s="78"/>
      <c r="GS24" s="78" t="s">
        <v>376</v>
      </c>
      <c r="GT24" s="78"/>
      <c r="GU24" s="78"/>
      <c r="GV24" s="78"/>
      <c r="GW24" s="78" t="s">
        <v>377</v>
      </c>
      <c r="GX24" s="78"/>
      <c r="GY24" s="78"/>
      <c r="GZ24" s="78"/>
      <c r="HB24" s="78" t="s">
        <v>378</v>
      </c>
      <c r="HC24" s="78"/>
      <c r="HD24" s="78"/>
      <c r="HE24" s="78"/>
      <c r="HF24" s="78" t="s">
        <v>379</v>
      </c>
      <c r="HG24" s="78"/>
      <c r="HH24" s="78"/>
      <c r="HI24" s="78"/>
      <c r="HJ24" s="78" t="s">
        <v>380</v>
      </c>
      <c r="HK24" s="78"/>
      <c r="HL24" s="78"/>
      <c r="HM24" s="78"/>
    </row>
    <row r="25" spans="2:221" hidden="1" outlineLevel="1" x14ac:dyDescent="0.45"/>
    <row r="26" spans="2:221" collapsed="1" x14ac:dyDescent="0.45">
      <c r="B26" s="78" t="s">
        <v>381</v>
      </c>
      <c r="C26" s="78"/>
      <c r="D26" s="78"/>
      <c r="E26" s="78"/>
      <c r="F26" s="78" t="s">
        <v>382</v>
      </c>
      <c r="G26" s="78"/>
      <c r="H26" s="78"/>
      <c r="I26" s="78"/>
      <c r="J26" s="78"/>
      <c r="K26" s="78"/>
      <c r="L26" s="78"/>
      <c r="M26" s="78"/>
      <c r="O26" s="78" t="s">
        <v>383</v>
      </c>
      <c r="P26" s="78"/>
      <c r="Q26" s="78"/>
      <c r="R26" s="78"/>
      <c r="S26" s="78" t="s">
        <v>384</v>
      </c>
      <c r="T26" s="78"/>
      <c r="U26" s="78"/>
      <c r="V26" s="78"/>
      <c r="W26" s="78"/>
      <c r="X26" s="78"/>
      <c r="Y26" s="78"/>
      <c r="Z26" s="78"/>
      <c r="AB26" s="78" t="s">
        <v>385</v>
      </c>
      <c r="AC26" s="78"/>
      <c r="AD26" s="78"/>
      <c r="AE26" s="78"/>
      <c r="AF26" s="78" t="s">
        <v>386</v>
      </c>
      <c r="AG26" s="78"/>
      <c r="AH26" s="78"/>
      <c r="AI26" s="78"/>
      <c r="AJ26" s="78"/>
      <c r="AK26" s="78"/>
      <c r="AL26" s="78"/>
      <c r="AM26" s="78"/>
      <c r="AO26" s="78" t="s">
        <v>387</v>
      </c>
      <c r="AP26" s="78"/>
      <c r="AQ26" s="78"/>
      <c r="AR26" s="78"/>
      <c r="AS26" s="78" t="s">
        <v>388</v>
      </c>
      <c r="AT26" s="78"/>
      <c r="AU26" s="78"/>
      <c r="AV26" s="78"/>
      <c r="AW26" s="78"/>
      <c r="AX26" s="78"/>
      <c r="AY26" s="78"/>
      <c r="AZ26" s="78"/>
      <c r="BB26" s="78" t="s">
        <v>389</v>
      </c>
      <c r="BC26" s="78"/>
      <c r="BD26" s="78"/>
      <c r="BE26" s="78"/>
      <c r="BF26" s="78" t="s">
        <v>390</v>
      </c>
      <c r="BG26" s="78"/>
      <c r="BH26" s="78"/>
      <c r="BI26" s="78"/>
      <c r="BJ26" s="78"/>
      <c r="BK26" s="78"/>
      <c r="BL26" s="78"/>
      <c r="BM26" s="78"/>
      <c r="BO26" s="78" t="s">
        <v>391</v>
      </c>
      <c r="BP26" s="78"/>
      <c r="BQ26" s="78"/>
      <c r="BR26" s="78"/>
      <c r="BS26" s="78" t="s">
        <v>392</v>
      </c>
      <c r="BT26" s="78"/>
      <c r="BU26" s="78"/>
      <c r="BV26" s="78"/>
      <c r="BW26" s="78"/>
      <c r="BX26" s="78"/>
      <c r="BY26" s="78"/>
      <c r="BZ26" s="78"/>
      <c r="CB26" s="78" t="s">
        <v>393</v>
      </c>
      <c r="CC26" s="78"/>
      <c r="CD26" s="78"/>
      <c r="CE26" s="78"/>
      <c r="CF26" s="78" t="s">
        <v>394</v>
      </c>
      <c r="CG26" s="78"/>
      <c r="CH26" s="78"/>
      <c r="CI26" s="78"/>
      <c r="CJ26" s="78"/>
      <c r="CK26" s="78"/>
      <c r="CL26" s="78"/>
      <c r="CM26" s="78"/>
      <c r="CO26" s="78" t="s">
        <v>395</v>
      </c>
      <c r="CP26" s="78"/>
      <c r="CQ26" s="78"/>
      <c r="CR26" s="78"/>
      <c r="CS26" s="78" t="s">
        <v>396</v>
      </c>
      <c r="CT26" s="78"/>
      <c r="CU26" s="78"/>
      <c r="CV26" s="78"/>
      <c r="CW26" s="78"/>
      <c r="CX26" s="78"/>
      <c r="CY26" s="78"/>
      <c r="CZ26" s="78"/>
      <c r="DB26" s="78" t="s">
        <v>397</v>
      </c>
      <c r="DC26" s="78"/>
      <c r="DD26" s="78"/>
      <c r="DE26" s="78"/>
      <c r="DF26" s="78" t="s">
        <v>398</v>
      </c>
      <c r="DG26" s="78"/>
      <c r="DH26" s="78"/>
      <c r="DI26" s="78"/>
      <c r="DJ26" s="78"/>
      <c r="DK26" s="78"/>
      <c r="DL26" s="78"/>
      <c r="DM26" s="78"/>
      <c r="DO26" s="78" t="s">
        <v>399</v>
      </c>
      <c r="DP26" s="78"/>
      <c r="DQ26" s="78"/>
      <c r="DR26" s="78"/>
      <c r="DS26" s="78" t="s">
        <v>400</v>
      </c>
      <c r="DT26" s="78"/>
      <c r="DU26" s="78"/>
      <c r="DV26" s="78"/>
      <c r="DW26" s="78"/>
      <c r="DX26" s="78"/>
      <c r="DY26" s="78"/>
      <c r="DZ26" s="78"/>
      <c r="EB26" s="78" t="s">
        <v>401</v>
      </c>
      <c r="EC26" s="78"/>
      <c r="ED26" s="78"/>
      <c r="EE26" s="78"/>
      <c r="EF26" s="78" t="s">
        <v>402</v>
      </c>
      <c r="EG26" s="78"/>
      <c r="EH26" s="78"/>
      <c r="EI26" s="78"/>
      <c r="EJ26" s="78"/>
      <c r="EK26" s="78"/>
      <c r="EL26" s="78"/>
      <c r="EM26" s="78"/>
      <c r="EO26" s="78" t="s">
        <v>403</v>
      </c>
      <c r="EP26" s="78"/>
      <c r="EQ26" s="78"/>
      <c r="ER26" s="78"/>
      <c r="ES26" s="78" t="s">
        <v>404</v>
      </c>
      <c r="ET26" s="78"/>
      <c r="EU26" s="78"/>
      <c r="EV26" s="78"/>
      <c r="EW26" s="78"/>
      <c r="EX26" s="78"/>
      <c r="EY26" s="78"/>
      <c r="EZ26" s="78"/>
      <c r="FB26" s="78" t="s">
        <v>405</v>
      </c>
      <c r="FC26" s="78"/>
      <c r="FD26" s="78"/>
      <c r="FE26" s="78"/>
      <c r="FF26" s="78" t="s">
        <v>406</v>
      </c>
      <c r="FG26" s="78"/>
      <c r="FH26" s="78"/>
      <c r="FI26" s="78"/>
      <c r="FJ26" s="78"/>
      <c r="FK26" s="78"/>
      <c r="FL26" s="78"/>
      <c r="FM26" s="78"/>
      <c r="FO26" s="78" t="s">
        <v>407</v>
      </c>
      <c r="FP26" s="78"/>
      <c r="FQ26" s="78"/>
      <c r="FR26" s="78"/>
      <c r="FS26" s="78" t="s">
        <v>408</v>
      </c>
      <c r="FT26" s="78"/>
      <c r="FU26" s="78"/>
      <c r="FV26" s="78"/>
      <c r="FW26" s="78"/>
      <c r="FX26" s="78"/>
      <c r="FY26" s="78"/>
      <c r="FZ26" s="78"/>
      <c r="GB26" s="78" t="s">
        <v>409</v>
      </c>
      <c r="GC26" s="78"/>
      <c r="GD26" s="78"/>
      <c r="GE26" s="78"/>
      <c r="GF26" s="78" t="s">
        <v>410</v>
      </c>
      <c r="GG26" s="78"/>
      <c r="GH26" s="78"/>
      <c r="GI26" s="78"/>
      <c r="GJ26" s="78"/>
      <c r="GK26" s="78"/>
      <c r="GL26" s="78"/>
      <c r="GM26" s="78"/>
      <c r="GO26" s="78" t="s">
        <v>411</v>
      </c>
      <c r="GP26" s="78"/>
      <c r="GQ26" s="78"/>
      <c r="GR26" s="78"/>
      <c r="GS26" s="78" t="s">
        <v>412</v>
      </c>
      <c r="GT26" s="78"/>
      <c r="GU26" s="78"/>
      <c r="GV26" s="78"/>
      <c r="GW26" s="78"/>
      <c r="GX26" s="78"/>
      <c r="GY26" s="78"/>
      <c r="GZ26" s="78"/>
      <c r="HB26" s="78" t="s">
        <v>413</v>
      </c>
      <c r="HC26" s="78"/>
      <c r="HD26" s="78"/>
      <c r="HE26" s="78"/>
      <c r="HF26" s="78" t="s">
        <v>414</v>
      </c>
      <c r="HG26" s="78"/>
      <c r="HH26" s="78"/>
      <c r="HI26" s="78"/>
      <c r="HJ26" s="78"/>
      <c r="HK26" s="78"/>
      <c r="HL26" s="78"/>
      <c r="HM26" s="78"/>
    </row>
    <row r="27" spans="2:221" ht="40.049999999999997" customHeight="1" x14ac:dyDescent="0.45">
      <c r="B27" s="444"/>
      <c r="C27" s="444"/>
      <c r="D27" s="444"/>
      <c r="E27" s="444"/>
      <c r="F27" s="445"/>
      <c r="G27" s="445"/>
      <c r="H27" s="445"/>
      <c r="I27" s="445"/>
      <c r="J27" s="240"/>
      <c r="K27" s="240"/>
      <c r="L27" s="240"/>
      <c r="M27" s="240"/>
      <c r="O27" s="446"/>
      <c r="P27" s="446"/>
      <c r="Q27" s="446"/>
      <c r="R27" s="446"/>
      <c r="S27" s="447"/>
      <c r="T27" s="447"/>
      <c r="U27" s="447"/>
      <c r="V27" s="447"/>
      <c r="W27" s="85"/>
      <c r="X27" s="85"/>
      <c r="Y27" s="85"/>
      <c r="Z27" s="85"/>
      <c r="AB27" s="448"/>
      <c r="AC27" s="448"/>
      <c r="AD27" s="448"/>
      <c r="AE27" s="448"/>
      <c r="AF27" s="449"/>
      <c r="AG27" s="449"/>
      <c r="AH27" s="449"/>
      <c r="AI27" s="449"/>
      <c r="AJ27" s="450"/>
      <c r="AK27" s="450"/>
      <c r="AL27" s="450"/>
      <c r="AM27" s="450"/>
      <c r="AO27" s="438"/>
      <c r="AP27" s="438"/>
      <c r="AQ27" s="438"/>
      <c r="AR27" s="438"/>
      <c r="AS27" s="439"/>
      <c r="AT27" s="439"/>
      <c r="AU27" s="439"/>
      <c r="AV27" s="439"/>
      <c r="AW27" s="440"/>
      <c r="AX27" s="440"/>
      <c r="AY27" s="440"/>
      <c r="AZ27" s="440"/>
      <c r="BB27" s="441"/>
      <c r="BC27" s="441"/>
      <c r="BD27" s="441"/>
      <c r="BE27" s="441"/>
      <c r="BF27" s="442"/>
      <c r="BG27" s="442"/>
      <c r="BH27" s="442"/>
      <c r="BI27" s="442"/>
      <c r="BJ27" s="443"/>
      <c r="BK27" s="443"/>
      <c r="BL27" s="443"/>
      <c r="BM27" s="443"/>
      <c r="BO27" s="432"/>
      <c r="BP27" s="432"/>
      <c r="BQ27" s="432"/>
      <c r="BR27" s="432"/>
      <c r="BS27" s="433"/>
      <c r="BT27" s="433"/>
      <c r="BU27" s="433"/>
      <c r="BV27" s="433"/>
      <c r="BW27" s="434"/>
      <c r="BX27" s="434"/>
      <c r="BY27" s="434"/>
      <c r="BZ27" s="434"/>
      <c r="CB27" s="435"/>
      <c r="CC27" s="435"/>
      <c r="CD27" s="435"/>
      <c r="CE27" s="435"/>
      <c r="CF27" s="436"/>
      <c r="CG27" s="436"/>
      <c r="CH27" s="436"/>
      <c r="CI27" s="436"/>
      <c r="CJ27" s="437"/>
      <c r="CK27" s="437"/>
      <c r="CL27" s="437"/>
      <c r="CM27" s="437"/>
      <c r="CO27" s="427"/>
      <c r="CP27" s="427"/>
      <c r="CQ27" s="427"/>
      <c r="CR27" s="427"/>
      <c r="CS27" s="428"/>
      <c r="CT27" s="428"/>
      <c r="CU27" s="428"/>
      <c r="CV27" s="428"/>
      <c r="CW27" s="429"/>
      <c r="CX27" s="429"/>
      <c r="CY27" s="429"/>
      <c r="CZ27" s="429"/>
      <c r="DB27" s="430"/>
      <c r="DC27" s="430"/>
      <c r="DD27" s="430"/>
      <c r="DE27" s="430"/>
      <c r="DF27" s="236"/>
      <c r="DG27" s="236"/>
      <c r="DH27" s="236"/>
      <c r="DI27" s="236"/>
      <c r="DJ27" s="431"/>
      <c r="DK27" s="431"/>
      <c r="DL27" s="431"/>
      <c r="DM27" s="431"/>
      <c r="DO27" s="421"/>
      <c r="DP27" s="421"/>
      <c r="DQ27" s="421"/>
      <c r="DR27" s="421"/>
      <c r="DS27" s="422"/>
      <c r="DT27" s="422"/>
      <c r="DU27" s="422"/>
      <c r="DV27" s="422"/>
      <c r="DW27" s="423"/>
      <c r="DX27" s="423"/>
      <c r="DY27" s="423"/>
      <c r="DZ27" s="423"/>
      <c r="EB27" s="424"/>
      <c r="EC27" s="424"/>
      <c r="ED27" s="424"/>
      <c r="EE27" s="424"/>
      <c r="EF27" s="425"/>
      <c r="EG27" s="425"/>
      <c r="EH27" s="425"/>
      <c r="EI27" s="425"/>
      <c r="EJ27" s="426"/>
      <c r="EK27" s="426"/>
      <c r="EL27" s="426"/>
      <c r="EM27" s="426"/>
      <c r="EO27" s="415"/>
      <c r="EP27" s="415"/>
      <c r="EQ27" s="415"/>
      <c r="ER27" s="415"/>
      <c r="ES27" s="416"/>
      <c r="ET27" s="416"/>
      <c r="EU27" s="416"/>
      <c r="EV27" s="416"/>
      <c r="EW27" s="417"/>
      <c r="EX27" s="417"/>
      <c r="EY27" s="417"/>
      <c r="EZ27" s="417"/>
      <c r="FB27" s="418"/>
      <c r="FC27" s="418"/>
      <c r="FD27" s="418"/>
      <c r="FE27" s="418"/>
      <c r="FF27" s="419"/>
      <c r="FG27" s="419"/>
      <c r="FH27" s="419"/>
      <c r="FI27" s="419"/>
      <c r="FJ27" s="420"/>
      <c r="FK27" s="420"/>
      <c r="FL27" s="420"/>
      <c r="FM27" s="420"/>
      <c r="FO27" s="409"/>
      <c r="FP27" s="409"/>
      <c r="FQ27" s="409"/>
      <c r="FR27" s="409"/>
      <c r="FS27" s="410"/>
      <c r="FT27" s="410"/>
      <c r="FU27" s="410"/>
      <c r="FV27" s="410"/>
      <c r="FW27" s="411"/>
      <c r="FX27" s="411"/>
      <c r="FY27" s="411"/>
      <c r="FZ27" s="411"/>
      <c r="GB27" s="412"/>
      <c r="GC27" s="412"/>
      <c r="GD27" s="412"/>
      <c r="GE27" s="412"/>
      <c r="GF27" s="413"/>
      <c r="GG27" s="413"/>
      <c r="GH27" s="413"/>
      <c r="GI27" s="413"/>
      <c r="GJ27" s="414"/>
      <c r="GK27" s="414"/>
      <c r="GL27" s="414"/>
      <c r="GM27" s="414"/>
      <c r="GO27" s="403"/>
      <c r="GP27" s="403"/>
      <c r="GQ27" s="403"/>
      <c r="GR27" s="403"/>
      <c r="GS27" s="404"/>
      <c r="GT27" s="404"/>
      <c r="GU27" s="404"/>
      <c r="GV27" s="404"/>
      <c r="GW27" s="405"/>
      <c r="GX27" s="405"/>
      <c r="GY27" s="405"/>
      <c r="GZ27" s="405"/>
      <c r="HB27" s="406"/>
      <c r="HC27" s="406"/>
      <c r="HD27" s="406"/>
      <c r="HE27" s="406"/>
      <c r="HF27" s="407"/>
      <c r="HG27" s="407"/>
      <c r="HH27" s="407"/>
      <c r="HI27" s="407"/>
      <c r="HJ27" s="408"/>
      <c r="HK27" s="408"/>
      <c r="HL27" s="408"/>
      <c r="HM27" s="408"/>
    </row>
    <row r="28" spans="2:221" hidden="1" outlineLevel="1" x14ac:dyDescent="0.45">
      <c r="B28" s="18" t="s">
        <v>73</v>
      </c>
      <c r="C28" s="18" t="s">
        <v>74</v>
      </c>
      <c r="D28" s="18" t="s">
        <v>75</v>
      </c>
      <c r="F28" s="18" t="s">
        <v>73</v>
      </c>
      <c r="G28" s="18" t="s">
        <v>74</v>
      </c>
      <c r="H28" s="18" t="s">
        <v>75</v>
      </c>
      <c r="J28" s="18" t="s">
        <v>73</v>
      </c>
      <c r="K28" s="18" t="s">
        <v>74</v>
      </c>
      <c r="L28" s="18" t="s">
        <v>75</v>
      </c>
      <c r="O28" s="18" t="s">
        <v>73</v>
      </c>
      <c r="P28" s="18" t="s">
        <v>74</v>
      </c>
      <c r="Q28" s="18" t="s">
        <v>75</v>
      </c>
      <c r="S28" s="18" t="s">
        <v>73</v>
      </c>
      <c r="T28" s="18" t="s">
        <v>74</v>
      </c>
      <c r="U28" s="18" t="s">
        <v>75</v>
      </c>
      <c r="W28" s="18" t="s">
        <v>73</v>
      </c>
      <c r="X28" s="18" t="s">
        <v>74</v>
      </c>
      <c r="Y28" s="18" t="s">
        <v>75</v>
      </c>
      <c r="AB28" s="18" t="s">
        <v>73</v>
      </c>
      <c r="AC28" s="18" t="s">
        <v>74</v>
      </c>
      <c r="AD28" s="18" t="s">
        <v>75</v>
      </c>
      <c r="AF28" s="18" t="s">
        <v>73</v>
      </c>
      <c r="AG28" s="18" t="s">
        <v>74</v>
      </c>
      <c r="AH28" s="18" t="s">
        <v>75</v>
      </c>
      <c r="AJ28" s="18" t="s">
        <v>73</v>
      </c>
      <c r="AK28" s="18" t="s">
        <v>74</v>
      </c>
      <c r="AL28" s="18" t="s">
        <v>75</v>
      </c>
      <c r="AO28" s="18" t="s">
        <v>73</v>
      </c>
      <c r="AP28" s="18" t="s">
        <v>74</v>
      </c>
      <c r="AQ28" s="18" t="s">
        <v>75</v>
      </c>
      <c r="AS28" s="18" t="s">
        <v>73</v>
      </c>
      <c r="AT28" s="18" t="s">
        <v>74</v>
      </c>
      <c r="AU28" s="18" t="s">
        <v>75</v>
      </c>
      <c r="AW28" s="18" t="s">
        <v>73</v>
      </c>
      <c r="AX28" s="18" t="s">
        <v>74</v>
      </c>
      <c r="AY28" s="18" t="s">
        <v>75</v>
      </c>
      <c r="BB28" s="18" t="s">
        <v>73</v>
      </c>
      <c r="BC28" s="18" t="s">
        <v>74</v>
      </c>
      <c r="BD28" s="18" t="s">
        <v>75</v>
      </c>
      <c r="BF28" s="18" t="s">
        <v>73</v>
      </c>
      <c r="BG28" s="18" t="s">
        <v>74</v>
      </c>
      <c r="BH28" s="18" t="s">
        <v>75</v>
      </c>
      <c r="BJ28" s="18" t="s">
        <v>73</v>
      </c>
      <c r="BK28" s="18" t="s">
        <v>74</v>
      </c>
      <c r="BL28" s="18" t="s">
        <v>75</v>
      </c>
      <c r="BO28" s="18" t="s">
        <v>73</v>
      </c>
      <c r="BP28" s="18" t="s">
        <v>74</v>
      </c>
      <c r="BQ28" s="18" t="s">
        <v>75</v>
      </c>
      <c r="BS28" s="18" t="s">
        <v>73</v>
      </c>
      <c r="BT28" s="18" t="s">
        <v>74</v>
      </c>
      <c r="BU28" s="18" t="s">
        <v>75</v>
      </c>
      <c r="BW28" s="18" t="s">
        <v>73</v>
      </c>
      <c r="BX28" s="18" t="s">
        <v>74</v>
      </c>
      <c r="BY28" s="18" t="s">
        <v>75</v>
      </c>
      <c r="CB28" s="18" t="s">
        <v>73</v>
      </c>
      <c r="CC28" s="18" t="s">
        <v>74</v>
      </c>
      <c r="CD28" s="18" t="s">
        <v>75</v>
      </c>
      <c r="CF28" s="18" t="s">
        <v>73</v>
      </c>
      <c r="CG28" s="18" t="s">
        <v>74</v>
      </c>
      <c r="CH28" s="18" t="s">
        <v>75</v>
      </c>
      <c r="CJ28" s="18" t="s">
        <v>73</v>
      </c>
      <c r="CK28" s="18" t="s">
        <v>74</v>
      </c>
      <c r="CL28" s="18" t="s">
        <v>75</v>
      </c>
      <c r="CO28" s="18" t="s">
        <v>73</v>
      </c>
      <c r="CP28" s="18" t="s">
        <v>74</v>
      </c>
      <c r="CQ28" s="18" t="s">
        <v>75</v>
      </c>
      <c r="CS28" s="18" t="s">
        <v>73</v>
      </c>
      <c r="CT28" s="18" t="s">
        <v>74</v>
      </c>
      <c r="CU28" s="18" t="s">
        <v>75</v>
      </c>
      <c r="CW28" s="18" t="s">
        <v>73</v>
      </c>
      <c r="CX28" s="18" t="s">
        <v>74</v>
      </c>
      <c r="CY28" s="18" t="s">
        <v>75</v>
      </c>
      <c r="DB28" s="18" t="s">
        <v>73</v>
      </c>
      <c r="DC28" s="18" t="s">
        <v>74</v>
      </c>
      <c r="DD28" s="18" t="s">
        <v>75</v>
      </c>
      <c r="DF28" s="18" t="s">
        <v>73</v>
      </c>
      <c r="DG28" s="18" t="s">
        <v>74</v>
      </c>
      <c r="DH28" s="18" t="s">
        <v>75</v>
      </c>
      <c r="DJ28" s="18" t="s">
        <v>73</v>
      </c>
      <c r="DK28" s="18" t="s">
        <v>74</v>
      </c>
      <c r="DL28" s="18" t="s">
        <v>75</v>
      </c>
      <c r="DO28" s="18" t="s">
        <v>73</v>
      </c>
      <c r="DP28" s="18" t="s">
        <v>74</v>
      </c>
      <c r="DQ28" s="18" t="s">
        <v>75</v>
      </c>
      <c r="DS28" s="18" t="s">
        <v>73</v>
      </c>
      <c r="DT28" s="18" t="s">
        <v>74</v>
      </c>
      <c r="DU28" s="18" t="s">
        <v>75</v>
      </c>
      <c r="DW28" s="18" t="s">
        <v>73</v>
      </c>
      <c r="DX28" s="18" t="s">
        <v>74</v>
      </c>
      <c r="DY28" s="18" t="s">
        <v>75</v>
      </c>
      <c r="EB28" s="18" t="s">
        <v>73</v>
      </c>
      <c r="EC28" s="18" t="s">
        <v>74</v>
      </c>
      <c r="ED28" s="18" t="s">
        <v>75</v>
      </c>
      <c r="EF28" s="18" t="s">
        <v>73</v>
      </c>
      <c r="EG28" s="18" t="s">
        <v>74</v>
      </c>
      <c r="EH28" s="18" t="s">
        <v>75</v>
      </c>
      <c r="EJ28" s="18" t="s">
        <v>73</v>
      </c>
      <c r="EK28" s="18" t="s">
        <v>74</v>
      </c>
      <c r="EL28" s="18" t="s">
        <v>75</v>
      </c>
      <c r="EO28" s="18" t="s">
        <v>73</v>
      </c>
      <c r="EP28" s="18" t="s">
        <v>74</v>
      </c>
      <c r="EQ28" s="18" t="s">
        <v>75</v>
      </c>
      <c r="ES28" s="18" t="s">
        <v>73</v>
      </c>
      <c r="ET28" s="18" t="s">
        <v>74</v>
      </c>
      <c r="EU28" s="18" t="s">
        <v>75</v>
      </c>
      <c r="EW28" s="18" t="s">
        <v>73</v>
      </c>
      <c r="EX28" s="18" t="s">
        <v>74</v>
      </c>
      <c r="EY28" s="18" t="s">
        <v>75</v>
      </c>
      <c r="FB28" s="18" t="s">
        <v>73</v>
      </c>
      <c r="FC28" s="18" t="s">
        <v>74</v>
      </c>
      <c r="FD28" s="18" t="s">
        <v>75</v>
      </c>
      <c r="FF28" s="18" t="s">
        <v>73</v>
      </c>
      <c r="FG28" s="18" t="s">
        <v>74</v>
      </c>
      <c r="FH28" s="18" t="s">
        <v>75</v>
      </c>
      <c r="FJ28" s="18" t="s">
        <v>73</v>
      </c>
      <c r="FK28" s="18" t="s">
        <v>74</v>
      </c>
      <c r="FL28" s="18" t="s">
        <v>75</v>
      </c>
      <c r="FO28" s="18" t="s">
        <v>73</v>
      </c>
      <c r="FP28" s="18" t="s">
        <v>74</v>
      </c>
      <c r="FQ28" s="18" t="s">
        <v>75</v>
      </c>
      <c r="FS28" s="18" t="s">
        <v>73</v>
      </c>
      <c r="FT28" s="18" t="s">
        <v>74</v>
      </c>
      <c r="FU28" s="18" t="s">
        <v>75</v>
      </c>
      <c r="FW28" s="18" t="s">
        <v>73</v>
      </c>
      <c r="FX28" s="18" t="s">
        <v>74</v>
      </c>
      <c r="FY28" s="18" t="s">
        <v>75</v>
      </c>
      <c r="GB28" s="18" t="s">
        <v>73</v>
      </c>
      <c r="GC28" s="18" t="s">
        <v>74</v>
      </c>
      <c r="GD28" s="18" t="s">
        <v>75</v>
      </c>
      <c r="GF28" s="18" t="s">
        <v>73</v>
      </c>
      <c r="GG28" s="18" t="s">
        <v>74</v>
      </c>
      <c r="GH28" s="18" t="s">
        <v>75</v>
      </c>
      <c r="GJ28" s="18" t="s">
        <v>73</v>
      </c>
      <c r="GK28" s="18" t="s">
        <v>74</v>
      </c>
      <c r="GL28" s="18" t="s">
        <v>75</v>
      </c>
      <c r="GO28" s="18" t="s">
        <v>73</v>
      </c>
      <c r="GP28" s="18" t="s">
        <v>74</v>
      </c>
      <c r="GQ28" s="18" t="s">
        <v>75</v>
      </c>
      <c r="GS28" s="18" t="s">
        <v>73</v>
      </c>
      <c r="GT28" s="18" t="s">
        <v>74</v>
      </c>
      <c r="GU28" s="18" t="s">
        <v>75</v>
      </c>
      <c r="GW28" s="18" t="s">
        <v>73</v>
      </c>
      <c r="GX28" s="18" t="s">
        <v>74</v>
      </c>
      <c r="GY28" s="18" t="s">
        <v>75</v>
      </c>
      <c r="HB28" s="18" t="s">
        <v>73</v>
      </c>
      <c r="HC28" s="18" t="s">
        <v>74</v>
      </c>
      <c r="HD28" s="18" t="s">
        <v>75</v>
      </c>
      <c r="HF28" s="18" t="s">
        <v>73</v>
      </c>
      <c r="HG28" s="18" t="s">
        <v>74</v>
      </c>
      <c r="HH28" s="18" t="s">
        <v>75</v>
      </c>
      <c r="HJ28" s="18" t="s">
        <v>73</v>
      </c>
      <c r="HK28" s="18" t="s">
        <v>74</v>
      </c>
      <c r="HL28" s="18" t="s">
        <v>75</v>
      </c>
    </row>
    <row r="29" spans="2:221" hidden="1" outlineLevel="1" x14ac:dyDescent="0.45">
      <c r="B29" s="18">
        <v>0</v>
      </c>
      <c r="C29" s="18">
        <v>164</v>
      </c>
      <c r="D29" s="18">
        <v>239</v>
      </c>
      <c r="F29" s="18">
        <v>255</v>
      </c>
      <c r="G29" s="18">
        <v>185</v>
      </c>
      <c r="H29" s="18">
        <v>0</v>
      </c>
      <c r="J29" s="18">
        <v>255</v>
      </c>
      <c r="K29" s="18">
        <v>255</v>
      </c>
      <c r="L29" s="18">
        <v>255</v>
      </c>
      <c r="O29" s="18">
        <v>255</v>
      </c>
      <c r="P29" s="18">
        <v>247</v>
      </c>
      <c r="Q29" s="18">
        <v>201</v>
      </c>
      <c r="S29" s="18">
        <v>247</v>
      </c>
      <c r="T29" s="18">
        <v>196</v>
      </c>
      <c r="U29" s="18">
        <v>212</v>
      </c>
      <c r="W29" s="18">
        <v>192</v>
      </c>
      <c r="X29" s="18">
        <v>228</v>
      </c>
      <c r="Y29" s="18">
        <v>242</v>
      </c>
      <c r="AB29" s="18">
        <v>46</v>
      </c>
      <c r="AC29" s="18">
        <v>73</v>
      </c>
      <c r="AD29" s="18">
        <v>157</v>
      </c>
      <c r="AF29" s="18">
        <v>255</v>
      </c>
      <c r="AG29" s="18">
        <v>222</v>
      </c>
      <c r="AH29" s="18">
        <v>0</v>
      </c>
      <c r="AJ29" s="18">
        <v>209</v>
      </c>
      <c r="AK29" s="18">
        <v>50</v>
      </c>
      <c r="AL29" s="18">
        <v>9</v>
      </c>
      <c r="AO29" s="18">
        <v>255</v>
      </c>
      <c r="AP29" s="18">
        <v>245</v>
      </c>
      <c r="AQ29" s="18">
        <v>224</v>
      </c>
      <c r="AS29" s="18">
        <v>26</v>
      </c>
      <c r="AT29" s="18">
        <v>11</v>
      </c>
      <c r="AU29" s="18">
        <v>8</v>
      </c>
      <c r="AW29" s="18">
        <v>227</v>
      </c>
      <c r="AX29" s="18">
        <v>223</v>
      </c>
      <c r="AY29" s="18">
        <v>220</v>
      </c>
      <c r="BB29" s="18">
        <v>242</v>
      </c>
      <c r="BC29" s="18">
        <v>161</v>
      </c>
      <c r="BD29" s="18">
        <v>166</v>
      </c>
      <c r="BF29" s="18">
        <v>57</v>
      </c>
      <c r="BG29" s="18">
        <v>188</v>
      </c>
      <c r="BH29" s="18">
        <v>221</v>
      </c>
      <c r="BJ29" s="18">
        <v>0</v>
      </c>
      <c r="BK29" s="18">
        <v>164</v>
      </c>
      <c r="BL29" s="18">
        <v>121</v>
      </c>
      <c r="BO29" s="18">
        <v>246</v>
      </c>
      <c r="BP29" s="18">
        <v>186</v>
      </c>
      <c r="BQ29" s="18">
        <v>178</v>
      </c>
      <c r="BS29" s="18">
        <v>255</v>
      </c>
      <c r="BT29" s="18">
        <v>229</v>
      </c>
      <c r="BU29" s="18">
        <v>109</v>
      </c>
      <c r="BW29" s="18">
        <v>116</v>
      </c>
      <c r="BX29" s="18">
        <v>181</v>
      </c>
      <c r="BY29" s="18">
        <v>228</v>
      </c>
      <c r="CB29" s="18">
        <v>21</v>
      </c>
      <c r="CC29" s="18">
        <v>12</v>
      </c>
      <c r="CD29" s="18">
        <v>21</v>
      </c>
      <c r="CF29" s="18">
        <v>154</v>
      </c>
      <c r="CG29" s="18">
        <v>17</v>
      </c>
      <c r="CH29" s="18">
        <v>23</v>
      </c>
      <c r="CJ29" s="18">
        <v>145</v>
      </c>
      <c r="CK29" s="18">
        <v>124</v>
      </c>
      <c r="CL29" s="18">
        <v>80</v>
      </c>
      <c r="CO29" s="18">
        <v>234</v>
      </c>
      <c r="CP29" s="18">
        <v>85</v>
      </c>
      <c r="CQ29" s="18">
        <v>32</v>
      </c>
      <c r="CS29" s="18">
        <v>25</v>
      </c>
      <c r="CT29" s="18">
        <v>139</v>
      </c>
      <c r="CU29" s="18">
        <v>134</v>
      </c>
      <c r="CW29" s="18">
        <v>246</v>
      </c>
      <c r="CX29" s="18">
        <v>214</v>
      </c>
      <c r="CY29" s="18">
        <v>15</v>
      </c>
      <c r="DB29" s="18">
        <v>30</v>
      </c>
      <c r="DC29" s="18">
        <v>18</v>
      </c>
      <c r="DD29" s="18">
        <v>16</v>
      </c>
      <c r="DF29" s="18">
        <v>255</v>
      </c>
      <c r="DG29" s="18">
        <v>226</v>
      </c>
      <c r="DH29" s="18">
        <v>0</v>
      </c>
      <c r="DJ29" s="18">
        <v>195</v>
      </c>
      <c r="DK29" s="18">
        <v>216</v>
      </c>
      <c r="DL29" s="18">
        <v>45</v>
      </c>
      <c r="DO29" s="18">
        <v>235</v>
      </c>
      <c r="DP29" s="18">
        <v>203</v>
      </c>
      <c r="DQ29" s="18">
        <v>67</v>
      </c>
      <c r="DS29" s="18">
        <v>219</v>
      </c>
      <c r="DT29" s="18">
        <v>171</v>
      </c>
      <c r="DU29" s="18">
        <v>134</v>
      </c>
      <c r="DW29" s="18">
        <v>122</v>
      </c>
      <c r="DX29" s="18">
        <v>91</v>
      </c>
      <c r="DY29" s="18">
        <v>84</v>
      </c>
      <c r="EB29" s="18">
        <v>171</v>
      </c>
      <c r="EC29" s="18">
        <v>218</v>
      </c>
      <c r="ED29" s="18">
        <v>209</v>
      </c>
      <c r="EF29" s="18">
        <v>250</v>
      </c>
      <c r="EG29" s="18">
        <v>238</v>
      </c>
      <c r="EH29" s="18">
        <v>198</v>
      </c>
      <c r="EJ29" s="18">
        <v>244</v>
      </c>
      <c r="EK29" s="18">
        <v>164</v>
      </c>
      <c r="EL29" s="18">
        <v>96</v>
      </c>
      <c r="EO29" s="18">
        <v>242</v>
      </c>
      <c r="EP29" s="18">
        <v>218</v>
      </c>
      <c r="EQ29" s="18">
        <v>213</v>
      </c>
      <c r="ES29" s="18">
        <v>204</v>
      </c>
      <c r="ET29" s="18">
        <v>170</v>
      </c>
      <c r="EU29" s="18">
        <v>107</v>
      </c>
      <c r="EW29" s="18">
        <v>16</v>
      </c>
      <c r="EX29" s="18">
        <v>79</v>
      </c>
      <c r="EY29" s="18">
        <v>89</v>
      </c>
      <c r="FB29" s="18">
        <v>235</v>
      </c>
      <c r="FC29" s="18">
        <v>165</v>
      </c>
      <c r="FD29" s="18">
        <v>172</v>
      </c>
      <c r="FF29" s="18">
        <v>246</v>
      </c>
      <c r="FG29" s="18">
        <v>223</v>
      </c>
      <c r="FH29" s="18">
        <v>222</v>
      </c>
      <c r="FJ29" s="18">
        <v>158</v>
      </c>
      <c r="FK29" s="18">
        <v>209</v>
      </c>
      <c r="FL29" s="18">
        <v>200</v>
      </c>
      <c r="FO29" s="18">
        <v>194</v>
      </c>
      <c r="FP29" s="18">
        <v>218</v>
      </c>
      <c r="FQ29" s="18">
        <v>218</v>
      </c>
      <c r="FS29" s="18">
        <v>243</v>
      </c>
      <c r="FT29" s="18">
        <v>243</v>
      </c>
      <c r="FU29" s="18">
        <v>237</v>
      </c>
      <c r="FW29" s="18">
        <v>202</v>
      </c>
      <c r="FX29" s="18">
        <v>174</v>
      </c>
      <c r="FY29" s="18">
        <v>103</v>
      </c>
      <c r="GB29" s="18">
        <v>127</v>
      </c>
      <c r="GC29" s="18">
        <v>169</v>
      </c>
      <c r="GD29" s="18">
        <v>217</v>
      </c>
      <c r="GF29" s="18">
        <v>208</v>
      </c>
      <c r="GG29" s="18">
        <v>233</v>
      </c>
      <c r="GH29" s="18">
        <v>221</v>
      </c>
      <c r="GJ29" s="18">
        <v>242</v>
      </c>
      <c r="GK29" s="18">
        <v>162</v>
      </c>
      <c r="GL29" s="18">
        <v>182</v>
      </c>
      <c r="GO29" s="18">
        <v>36</v>
      </c>
      <c r="GP29" s="18">
        <v>163</v>
      </c>
      <c r="GQ29" s="18">
        <v>104</v>
      </c>
      <c r="GS29" s="18">
        <v>166</v>
      </c>
      <c r="GT29" s="18">
        <v>197</v>
      </c>
      <c r="GU29" s="18">
        <v>68</v>
      </c>
      <c r="GW29" s="18">
        <v>246</v>
      </c>
      <c r="GX29" s="18">
        <v>237</v>
      </c>
      <c r="GY29" s="18">
        <v>179</v>
      </c>
      <c r="HB29" s="18">
        <v>190</v>
      </c>
      <c r="HC29" s="18">
        <v>217</v>
      </c>
      <c r="HD29" s="18">
        <v>138</v>
      </c>
      <c r="HF29" s="18">
        <v>238</v>
      </c>
      <c r="HG29" s="18">
        <v>246</v>
      </c>
      <c r="HH29" s="18">
        <v>241</v>
      </c>
      <c r="HJ29" s="18">
        <v>139</v>
      </c>
      <c r="HK29" s="18">
        <v>157</v>
      </c>
      <c r="HL29" s="18">
        <v>208</v>
      </c>
    </row>
    <row r="30" spans="2:221" hidden="1" outlineLevel="1" x14ac:dyDescent="0.45">
      <c r="B30" s="78" t="s">
        <v>415</v>
      </c>
      <c r="C30" s="78"/>
      <c r="D30" s="78"/>
      <c r="E30" s="78"/>
      <c r="F30" s="78" t="s">
        <v>416</v>
      </c>
      <c r="G30" s="78"/>
      <c r="H30" s="78"/>
      <c r="I30" s="78"/>
      <c r="J30" s="78" t="s">
        <v>163</v>
      </c>
      <c r="K30" s="78"/>
      <c r="L30" s="78"/>
      <c r="M30" s="78"/>
      <c r="O30" s="78" t="s">
        <v>417</v>
      </c>
      <c r="P30" s="78"/>
      <c r="Q30" s="78"/>
      <c r="R30" s="78"/>
      <c r="S30" s="78" t="s">
        <v>418</v>
      </c>
      <c r="T30" s="78"/>
      <c r="U30" s="78"/>
      <c r="V30" s="78"/>
      <c r="W30" s="78" t="s">
        <v>419</v>
      </c>
      <c r="X30" s="78"/>
      <c r="Y30" s="78"/>
      <c r="Z30" s="78"/>
      <c r="AB30" s="78" t="s">
        <v>420</v>
      </c>
      <c r="AC30" s="78"/>
      <c r="AD30" s="78"/>
      <c r="AE30" s="78"/>
      <c r="AF30" s="78" t="s">
        <v>421</v>
      </c>
      <c r="AG30" s="78"/>
      <c r="AH30" s="78"/>
      <c r="AI30" s="78"/>
      <c r="AJ30" s="78" t="s">
        <v>422</v>
      </c>
      <c r="AK30" s="78"/>
      <c r="AL30" s="78"/>
      <c r="AM30" s="78"/>
      <c r="AO30" s="78" t="s">
        <v>423</v>
      </c>
      <c r="AP30" s="78"/>
      <c r="AQ30" s="78"/>
      <c r="AR30" s="78"/>
      <c r="AS30" s="78" t="s">
        <v>424</v>
      </c>
      <c r="AT30" s="78"/>
      <c r="AU30" s="78"/>
      <c r="AV30" s="78"/>
      <c r="AW30" s="78" t="s">
        <v>425</v>
      </c>
      <c r="AX30" s="78"/>
      <c r="AY30" s="78"/>
      <c r="AZ30" s="78"/>
      <c r="BB30" s="78" t="s">
        <v>426</v>
      </c>
      <c r="BC30" s="78"/>
      <c r="BD30" s="78"/>
      <c r="BE30" s="78"/>
      <c r="BF30" s="78" t="s">
        <v>427</v>
      </c>
      <c r="BG30" s="78"/>
      <c r="BH30" s="78"/>
      <c r="BI30" s="78"/>
      <c r="BJ30" s="78" t="s">
        <v>428</v>
      </c>
      <c r="BK30" s="78"/>
      <c r="BL30" s="78"/>
      <c r="BM30" s="78"/>
      <c r="BO30" s="78" t="s">
        <v>429</v>
      </c>
      <c r="BP30" s="78"/>
      <c r="BQ30" s="78"/>
      <c r="BR30" s="78"/>
      <c r="BS30" s="78" t="s">
        <v>430</v>
      </c>
      <c r="BT30" s="78"/>
      <c r="BU30" s="78"/>
      <c r="BV30" s="78"/>
      <c r="BW30" s="78" t="s">
        <v>431</v>
      </c>
      <c r="BX30" s="78"/>
      <c r="BY30" s="78"/>
      <c r="BZ30" s="78"/>
      <c r="CB30" s="78" t="s">
        <v>432</v>
      </c>
      <c r="CC30" s="78"/>
      <c r="CD30" s="78"/>
      <c r="CE30" s="78"/>
      <c r="CF30" s="78" t="s">
        <v>433</v>
      </c>
      <c r="CG30" s="78"/>
      <c r="CH30" s="78"/>
      <c r="CI30" s="78"/>
      <c r="CJ30" s="78" t="s">
        <v>434</v>
      </c>
      <c r="CK30" s="78"/>
      <c r="CL30" s="78"/>
      <c r="CM30" s="78"/>
      <c r="CO30" s="78" t="s">
        <v>435</v>
      </c>
      <c r="CP30" s="78"/>
      <c r="CQ30" s="78"/>
      <c r="CR30" s="78"/>
      <c r="CS30" s="78" t="s">
        <v>436</v>
      </c>
      <c r="CT30" s="78"/>
      <c r="CU30" s="78"/>
      <c r="CV30" s="78"/>
      <c r="CW30" s="78" t="s">
        <v>437</v>
      </c>
      <c r="CX30" s="78"/>
      <c r="CY30" s="78"/>
      <c r="CZ30" s="78"/>
      <c r="DB30" s="78" t="s">
        <v>438</v>
      </c>
      <c r="DC30" s="78"/>
      <c r="DD30" s="78"/>
      <c r="DE30" s="78"/>
      <c r="DF30" s="78" t="s">
        <v>439</v>
      </c>
      <c r="DG30" s="78"/>
      <c r="DH30" s="78"/>
      <c r="DI30" s="78"/>
      <c r="DJ30" s="78" t="s">
        <v>440</v>
      </c>
      <c r="DK30" s="78"/>
      <c r="DL30" s="78"/>
      <c r="DM30" s="78"/>
      <c r="DO30" s="78" t="s">
        <v>441</v>
      </c>
      <c r="DP30" s="78"/>
      <c r="DQ30" s="78"/>
      <c r="DR30" s="78"/>
      <c r="DS30" s="78" t="s">
        <v>442</v>
      </c>
      <c r="DT30" s="78"/>
      <c r="DU30" s="78"/>
      <c r="DV30" s="78"/>
      <c r="DW30" s="78" t="s">
        <v>443</v>
      </c>
      <c r="DX30" s="78"/>
      <c r="DY30" s="78"/>
      <c r="DZ30" s="78"/>
      <c r="EB30" s="78" t="s">
        <v>444</v>
      </c>
      <c r="EC30" s="78"/>
      <c r="ED30" s="78"/>
      <c r="EE30" s="78"/>
      <c r="EF30" s="78" t="s">
        <v>445</v>
      </c>
      <c r="EG30" s="78"/>
      <c r="EH30" s="78"/>
      <c r="EI30" s="78"/>
      <c r="EJ30" s="78" t="s">
        <v>446</v>
      </c>
      <c r="EK30" s="78"/>
      <c r="EL30" s="78"/>
      <c r="EM30" s="78"/>
      <c r="EO30" s="78" t="s">
        <v>447</v>
      </c>
      <c r="EP30" s="78"/>
      <c r="EQ30" s="78"/>
      <c r="ER30" s="78"/>
      <c r="ES30" s="78" t="s">
        <v>448</v>
      </c>
      <c r="ET30" s="78"/>
      <c r="EU30" s="78"/>
      <c r="EV30" s="78"/>
      <c r="EW30" s="78" t="s">
        <v>449</v>
      </c>
      <c r="EX30" s="78"/>
      <c r="EY30" s="78"/>
      <c r="EZ30" s="78"/>
      <c r="FB30" s="78" t="s">
        <v>450</v>
      </c>
      <c r="FC30" s="78"/>
      <c r="FD30" s="78"/>
      <c r="FE30" s="78"/>
      <c r="FF30" s="78" t="s">
        <v>451</v>
      </c>
      <c r="FG30" s="78"/>
      <c r="FH30" s="78"/>
      <c r="FI30" s="78"/>
      <c r="FJ30" s="78" t="s">
        <v>452</v>
      </c>
      <c r="FK30" s="78"/>
      <c r="FL30" s="78"/>
      <c r="FM30" s="78"/>
      <c r="FO30" s="78" t="s">
        <v>453</v>
      </c>
      <c r="FP30" s="78"/>
      <c r="FQ30" s="78"/>
      <c r="FR30" s="78"/>
      <c r="FS30" s="78" t="s">
        <v>454</v>
      </c>
      <c r="FT30" s="78"/>
      <c r="FU30" s="78"/>
      <c r="FV30" s="78"/>
      <c r="FW30" s="78" t="s">
        <v>455</v>
      </c>
      <c r="FX30" s="78"/>
      <c r="FY30" s="78"/>
      <c r="FZ30" s="78"/>
      <c r="GB30" s="78" t="s">
        <v>456</v>
      </c>
      <c r="GC30" s="78"/>
      <c r="GD30" s="78"/>
      <c r="GE30" s="78"/>
      <c r="GF30" s="78" t="s">
        <v>457</v>
      </c>
      <c r="GG30" s="78"/>
      <c r="GH30" s="78"/>
      <c r="GI30" s="78"/>
      <c r="GJ30" s="78" t="s">
        <v>458</v>
      </c>
      <c r="GK30" s="78"/>
      <c r="GL30" s="78"/>
      <c r="GM30" s="78"/>
      <c r="GO30" s="78" t="s">
        <v>459</v>
      </c>
      <c r="GP30" s="78"/>
      <c r="GQ30" s="78"/>
      <c r="GR30" s="78"/>
      <c r="GS30" s="78" t="s">
        <v>460</v>
      </c>
      <c r="GT30" s="78"/>
      <c r="GU30" s="78"/>
      <c r="GV30" s="78"/>
      <c r="GW30" s="78" t="s">
        <v>461</v>
      </c>
      <c r="GX30" s="78"/>
      <c r="GY30" s="78"/>
      <c r="GZ30" s="78"/>
      <c r="HB30" s="78" t="s">
        <v>462</v>
      </c>
      <c r="HC30" s="78"/>
      <c r="HD30" s="78"/>
      <c r="HE30" s="78"/>
      <c r="HF30" s="78" t="s">
        <v>463</v>
      </c>
      <c r="HG30" s="78"/>
      <c r="HH30" s="78"/>
      <c r="HI30" s="78"/>
      <c r="HJ30" s="78" t="s">
        <v>464</v>
      </c>
      <c r="HK30" s="78"/>
      <c r="HL30" s="78"/>
      <c r="HM30" s="78"/>
    </row>
    <row r="31" spans="2:221" hidden="1" outlineLevel="1" x14ac:dyDescent="0.45"/>
    <row r="32" spans="2:221" collapsed="1" x14ac:dyDescent="0.45">
      <c r="B32" s="78" t="s">
        <v>465</v>
      </c>
      <c r="C32" s="78"/>
      <c r="D32" s="78"/>
      <c r="E32" s="78"/>
      <c r="F32" s="78" t="s">
        <v>466</v>
      </c>
      <c r="G32" s="78"/>
      <c r="H32" s="78"/>
      <c r="I32" s="78"/>
      <c r="J32" s="78"/>
      <c r="K32" s="78"/>
      <c r="L32" s="78"/>
      <c r="M32" s="78"/>
      <c r="O32" s="78" t="s">
        <v>467</v>
      </c>
      <c r="P32" s="78"/>
      <c r="Q32" s="78"/>
      <c r="R32" s="78"/>
      <c r="S32" s="78" t="s">
        <v>468</v>
      </c>
      <c r="T32" s="78"/>
      <c r="U32" s="78"/>
      <c r="V32" s="78"/>
      <c r="W32" s="78"/>
      <c r="X32" s="78"/>
      <c r="Y32" s="78"/>
      <c r="Z32" s="78"/>
      <c r="AB32" s="78" t="s">
        <v>469</v>
      </c>
      <c r="AC32" s="78"/>
      <c r="AD32" s="78"/>
      <c r="AE32" s="78"/>
      <c r="AF32" s="78" t="s">
        <v>470</v>
      </c>
      <c r="AG32" s="78"/>
      <c r="AH32" s="78"/>
      <c r="AI32" s="78"/>
      <c r="AJ32" s="78"/>
      <c r="AK32" s="78"/>
      <c r="AL32" s="78"/>
      <c r="AM32" s="78"/>
      <c r="AO32" s="78" t="s">
        <v>471</v>
      </c>
      <c r="AP32" s="78"/>
      <c r="AQ32" s="78"/>
      <c r="AR32" s="78"/>
      <c r="AS32" s="78" t="s">
        <v>472</v>
      </c>
      <c r="AT32" s="78"/>
      <c r="AU32" s="78"/>
      <c r="AV32" s="78"/>
      <c r="AW32" s="78"/>
      <c r="AX32" s="78"/>
      <c r="AY32" s="78"/>
      <c r="AZ32" s="78"/>
      <c r="BB32" s="78" t="s">
        <v>473</v>
      </c>
      <c r="BC32" s="78"/>
      <c r="BD32" s="78"/>
      <c r="BE32" s="78"/>
      <c r="BF32" s="78" t="s">
        <v>474</v>
      </c>
      <c r="BG32" s="78"/>
      <c r="BH32" s="78"/>
      <c r="BI32" s="78"/>
      <c r="BJ32" s="78"/>
      <c r="BK32" s="78"/>
      <c r="BL32" s="78"/>
      <c r="BM32" s="78"/>
      <c r="BO32" s="78" t="s">
        <v>475</v>
      </c>
      <c r="BP32" s="78"/>
      <c r="BQ32" s="78"/>
      <c r="BR32" s="78"/>
      <c r="BS32" s="78" t="s">
        <v>476</v>
      </c>
      <c r="BT32" s="78"/>
      <c r="BU32" s="78"/>
      <c r="BV32" s="78"/>
      <c r="BW32" s="78"/>
      <c r="BX32" s="78"/>
      <c r="BY32" s="78"/>
      <c r="BZ32" s="78"/>
      <c r="CB32" s="78" t="s">
        <v>477</v>
      </c>
      <c r="CC32" s="78"/>
      <c r="CD32" s="78"/>
      <c r="CE32" s="78"/>
      <c r="CF32" s="78" t="s">
        <v>478</v>
      </c>
      <c r="CG32" s="78"/>
      <c r="CH32" s="78"/>
      <c r="CI32" s="78"/>
      <c r="CJ32" s="78"/>
      <c r="CK32" s="78"/>
      <c r="CL32" s="78"/>
      <c r="CM32" s="78"/>
      <c r="CO32" s="78" t="s">
        <v>479</v>
      </c>
      <c r="CP32" s="78"/>
      <c r="CQ32" s="78"/>
      <c r="CR32" s="78"/>
      <c r="CS32" s="78" t="s">
        <v>480</v>
      </c>
      <c r="CT32" s="78"/>
      <c r="CU32" s="78"/>
      <c r="CV32" s="78"/>
      <c r="CW32" s="78"/>
      <c r="CX32" s="78"/>
      <c r="CY32" s="78"/>
      <c r="CZ32" s="78"/>
      <c r="DB32" s="78" t="s">
        <v>481</v>
      </c>
      <c r="DC32" s="78"/>
      <c r="DD32" s="78"/>
      <c r="DE32" s="78"/>
      <c r="DF32" s="78" t="s">
        <v>482</v>
      </c>
      <c r="DG32" s="78"/>
      <c r="DH32" s="78"/>
      <c r="DI32" s="78"/>
      <c r="DJ32" s="78"/>
      <c r="DK32" s="78"/>
      <c r="DL32" s="78"/>
      <c r="DM32" s="78"/>
      <c r="DO32" s="78" t="s">
        <v>483</v>
      </c>
      <c r="DP32" s="78"/>
      <c r="DQ32" s="78"/>
      <c r="DR32" s="78"/>
      <c r="DS32" s="78" t="s">
        <v>484</v>
      </c>
      <c r="DT32" s="78"/>
      <c r="DU32" s="78"/>
      <c r="DV32" s="78"/>
      <c r="DW32" s="78"/>
      <c r="DX32" s="78"/>
      <c r="DY32" s="78"/>
      <c r="DZ32" s="78"/>
      <c r="EB32" s="78" t="s">
        <v>485</v>
      </c>
      <c r="EC32" s="78"/>
      <c r="ED32" s="78"/>
      <c r="EE32" s="78"/>
      <c r="EF32" s="78" t="s">
        <v>486</v>
      </c>
      <c r="EG32" s="78"/>
      <c r="EH32" s="78"/>
      <c r="EI32" s="78"/>
      <c r="EJ32" s="78"/>
      <c r="EK32" s="78"/>
      <c r="EL32" s="78"/>
      <c r="EM32" s="78"/>
      <c r="EO32" s="78" t="s">
        <v>487</v>
      </c>
      <c r="EP32" s="78"/>
      <c r="EQ32" s="78"/>
      <c r="ER32" s="78"/>
      <c r="ES32" s="78" t="s">
        <v>488</v>
      </c>
      <c r="ET32" s="78"/>
      <c r="EU32" s="78"/>
      <c r="EV32" s="78"/>
      <c r="EW32" s="78"/>
      <c r="EX32" s="78"/>
      <c r="EY32" s="78"/>
      <c r="EZ32" s="78"/>
      <c r="FB32" s="78" t="s">
        <v>489</v>
      </c>
      <c r="FC32" s="78"/>
      <c r="FD32" s="78"/>
      <c r="FE32" s="78"/>
      <c r="FF32" s="78" t="s">
        <v>490</v>
      </c>
      <c r="FG32" s="78"/>
      <c r="FH32" s="78"/>
      <c r="FI32" s="78"/>
      <c r="FJ32" s="78"/>
      <c r="FK32" s="78"/>
      <c r="FL32" s="78"/>
      <c r="FM32" s="78"/>
      <c r="FO32" s="78" t="s">
        <v>491</v>
      </c>
      <c r="FP32" s="78"/>
      <c r="FQ32" s="78"/>
      <c r="FR32" s="78"/>
      <c r="FS32" s="78" t="s">
        <v>492</v>
      </c>
      <c r="FT32" s="78"/>
      <c r="FU32" s="78"/>
      <c r="FV32" s="78"/>
      <c r="FW32" s="78"/>
      <c r="FX32" s="78"/>
      <c r="FY32" s="78"/>
      <c r="FZ32" s="78"/>
      <c r="GB32" s="78" t="s">
        <v>493</v>
      </c>
      <c r="GC32" s="78"/>
      <c r="GD32" s="78"/>
      <c r="GE32" s="78"/>
      <c r="GF32" s="78" t="s">
        <v>494</v>
      </c>
      <c r="GG32" s="78"/>
      <c r="GH32" s="78"/>
      <c r="GI32" s="78"/>
      <c r="GJ32" s="78"/>
      <c r="GK32" s="78"/>
      <c r="GL32" s="78"/>
      <c r="GM32" s="78"/>
      <c r="GO32" s="78" t="s">
        <v>495</v>
      </c>
      <c r="GP32" s="78"/>
      <c r="GQ32" s="78"/>
      <c r="GR32" s="78"/>
      <c r="GS32" s="78" t="s">
        <v>496</v>
      </c>
      <c r="GT32" s="78"/>
      <c r="GU32" s="78"/>
      <c r="GV32" s="78"/>
      <c r="GW32" s="78"/>
      <c r="GX32" s="78"/>
      <c r="GY32" s="78"/>
      <c r="GZ32" s="78"/>
      <c r="HB32" s="78" t="s">
        <v>497</v>
      </c>
      <c r="HC32" s="78"/>
      <c r="HD32" s="78"/>
      <c r="HE32" s="78"/>
      <c r="HF32" s="78" t="s">
        <v>498</v>
      </c>
      <c r="HG32" s="78"/>
      <c r="HH32" s="78"/>
      <c r="HI32" s="78"/>
      <c r="HJ32" s="78"/>
      <c r="HK32" s="78"/>
      <c r="HL32" s="78"/>
      <c r="HM32" s="78"/>
    </row>
    <row r="33" spans="2:221" ht="40.049999999999997" customHeight="1" x14ac:dyDescent="0.45">
      <c r="B33" s="396"/>
      <c r="C33" s="396"/>
      <c r="D33" s="396"/>
      <c r="E33" s="396"/>
      <c r="F33" s="397"/>
      <c r="G33" s="397"/>
      <c r="H33" s="397"/>
      <c r="I33" s="397"/>
      <c r="J33" s="398"/>
      <c r="K33" s="398"/>
      <c r="L33" s="398"/>
      <c r="M33" s="398"/>
      <c r="O33" s="399"/>
      <c r="P33" s="399"/>
      <c r="Q33" s="399"/>
      <c r="R33" s="399"/>
      <c r="S33" s="400"/>
      <c r="T33" s="400"/>
      <c r="U33" s="400"/>
      <c r="V33" s="400"/>
      <c r="W33" s="401"/>
      <c r="X33" s="401"/>
      <c r="Y33" s="401"/>
      <c r="Z33" s="401"/>
      <c r="AB33" s="402"/>
      <c r="AC33" s="402"/>
      <c r="AD33" s="402"/>
      <c r="AE33" s="402"/>
      <c r="AF33" s="390"/>
      <c r="AG33" s="390"/>
      <c r="AH33" s="390"/>
      <c r="AI33" s="390"/>
      <c r="AJ33" s="391"/>
      <c r="AK33" s="391"/>
      <c r="AL33" s="391"/>
      <c r="AM33" s="391"/>
      <c r="AO33" s="392"/>
      <c r="AP33" s="392"/>
      <c r="AQ33" s="392"/>
      <c r="AR33" s="392"/>
      <c r="AS33" s="393"/>
      <c r="AT33" s="393"/>
      <c r="AU33" s="393"/>
      <c r="AV33" s="393"/>
      <c r="AW33" s="394"/>
      <c r="AX33" s="394"/>
      <c r="AY33" s="394"/>
      <c r="AZ33" s="394"/>
      <c r="BB33" s="395"/>
      <c r="BC33" s="395"/>
      <c r="BD33" s="395"/>
      <c r="BE33" s="395"/>
      <c r="BF33" s="384"/>
      <c r="BG33" s="384"/>
      <c r="BH33" s="384"/>
      <c r="BI33" s="384"/>
      <c r="BJ33" s="385"/>
      <c r="BK33" s="385"/>
      <c r="BL33" s="385"/>
      <c r="BM33" s="385"/>
      <c r="BO33" s="386"/>
      <c r="BP33" s="386"/>
      <c r="BQ33" s="386"/>
      <c r="BR33" s="386"/>
      <c r="BS33" s="387"/>
      <c r="BT33" s="387"/>
      <c r="BU33" s="387"/>
      <c r="BV33" s="387"/>
      <c r="BW33" s="388"/>
      <c r="BX33" s="388"/>
      <c r="BY33" s="388"/>
      <c r="BZ33" s="388"/>
      <c r="CB33" s="389"/>
      <c r="CC33" s="389"/>
      <c r="CD33" s="389"/>
      <c r="CE33" s="389"/>
      <c r="CF33" s="378"/>
      <c r="CG33" s="378"/>
      <c r="CH33" s="378"/>
      <c r="CI33" s="378"/>
      <c r="CJ33" s="379"/>
      <c r="CK33" s="379"/>
      <c r="CL33" s="379"/>
      <c r="CM33" s="379"/>
      <c r="CO33" s="380"/>
      <c r="CP33" s="380"/>
      <c r="CQ33" s="380"/>
      <c r="CR33" s="380"/>
      <c r="CS33" s="381"/>
      <c r="CT33" s="381"/>
      <c r="CU33" s="381"/>
      <c r="CV33" s="381"/>
      <c r="CW33" s="382"/>
      <c r="CX33" s="382"/>
      <c r="CY33" s="382"/>
      <c r="CZ33" s="382"/>
      <c r="DB33" s="383"/>
      <c r="DC33" s="383"/>
      <c r="DD33" s="383"/>
      <c r="DE33" s="383"/>
      <c r="DF33" s="372"/>
      <c r="DG33" s="372"/>
      <c r="DH33" s="372"/>
      <c r="DI33" s="372"/>
      <c r="DJ33" s="373"/>
      <c r="DK33" s="373"/>
      <c r="DL33" s="373"/>
      <c r="DM33" s="373"/>
      <c r="DO33" s="374"/>
      <c r="DP33" s="374"/>
      <c r="DQ33" s="374"/>
      <c r="DR33" s="374"/>
      <c r="DS33" s="375"/>
      <c r="DT33" s="375"/>
      <c r="DU33" s="375"/>
      <c r="DV33" s="375"/>
      <c r="DW33" s="376"/>
      <c r="DX33" s="376"/>
      <c r="DY33" s="376"/>
      <c r="DZ33" s="376"/>
      <c r="EB33" s="377"/>
      <c r="EC33" s="377"/>
      <c r="ED33" s="377"/>
      <c r="EE33" s="377"/>
      <c r="EF33" s="366"/>
      <c r="EG33" s="366"/>
      <c r="EH33" s="366"/>
      <c r="EI33" s="366"/>
      <c r="EJ33" s="367"/>
      <c r="EK33" s="367"/>
      <c r="EL33" s="367"/>
      <c r="EM33" s="367"/>
      <c r="EO33" s="368"/>
      <c r="EP33" s="368"/>
      <c r="EQ33" s="368"/>
      <c r="ER33" s="368"/>
      <c r="ES33" s="369"/>
      <c r="ET33" s="369"/>
      <c r="EU33" s="369"/>
      <c r="EV33" s="369"/>
      <c r="EW33" s="370"/>
      <c r="EX33" s="370"/>
      <c r="EY33" s="370"/>
      <c r="EZ33" s="370"/>
      <c r="FB33" s="371"/>
      <c r="FC33" s="371"/>
      <c r="FD33" s="371"/>
      <c r="FE33" s="371"/>
      <c r="FF33" s="360"/>
      <c r="FG33" s="360"/>
      <c r="FH33" s="360"/>
      <c r="FI33" s="360"/>
      <c r="FJ33" s="361"/>
      <c r="FK33" s="361"/>
      <c r="FL33" s="361"/>
      <c r="FM33" s="361"/>
      <c r="FO33" s="362"/>
      <c r="FP33" s="362"/>
      <c r="FQ33" s="362"/>
      <c r="FR33" s="362"/>
      <c r="FS33" s="363"/>
      <c r="FT33" s="363"/>
      <c r="FU33" s="363"/>
      <c r="FV33" s="363"/>
      <c r="FW33" s="364"/>
      <c r="FX33" s="364"/>
      <c r="FY33" s="364"/>
      <c r="FZ33" s="364"/>
      <c r="GB33" s="365"/>
      <c r="GC33" s="365"/>
      <c r="GD33" s="365"/>
      <c r="GE33" s="365"/>
      <c r="GF33" s="354"/>
      <c r="GG33" s="354"/>
      <c r="GH33" s="354"/>
      <c r="GI33" s="354"/>
      <c r="GJ33" s="355"/>
      <c r="GK33" s="355"/>
      <c r="GL33" s="355"/>
      <c r="GM33" s="355"/>
      <c r="GO33" s="356"/>
      <c r="GP33" s="356"/>
      <c r="GQ33" s="356"/>
      <c r="GR33" s="356"/>
      <c r="GS33" s="357"/>
      <c r="GT33" s="357"/>
      <c r="GU33" s="357"/>
      <c r="GV33" s="357"/>
      <c r="GW33" s="358"/>
      <c r="GX33" s="358"/>
      <c r="GY33" s="358"/>
      <c r="GZ33" s="358"/>
      <c r="HB33" s="359"/>
      <c r="HC33" s="359"/>
      <c r="HD33" s="359"/>
      <c r="HE33" s="359"/>
      <c r="HF33" s="352"/>
      <c r="HG33" s="352"/>
      <c r="HH33" s="352"/>
      <c r="HI33" s="352"/>
      <c r="HJ33" s="353"/>
      <c r="HK33" s="353"/>
      <c r="HL33" s="353"/>
      <c r="HM33" s="353"/>
    </row>
    <row r="34" spans="2:221" hidden="1" outlineLevel="1" x14ac:dyDescent="0.45">
      <c r="B34" s="18" t="s">
        <v>73</v>
      </c>
      <c r="C34" s="18" t="s">
        <v>74</v>
      </c>
      <c r="D34" s="18" t="s">
        <v>75</v>
      </c>
      <c r="F34" s="18" t="s">
        <v>73</v>
      </c>
      <c r="G34" s="18" t="s">
        <v>74</v>
      </c>
      <c r="H34" s="18" t="s">
        <v>75</v>
      </c>
      <c r="J34" s="18" t="s">
        <v>73</v>
      </c>
      <c r="K34" s="18" t="s">
        <v>74</v>
      </c>
      <c r="L34" s="18" t="s">
        <v>75</v>
      </c>
      <c r="O34" s="18" t="s">
        <v>73</v>
      </c>
      <c r="P34" s="18" t="s">
        <v>74</v>
      </c>
      <c r="Q34" s="18" t="s">
        <v>75</v>
      </c>
      <c r="S34" s="18" t="s">
        <v>73</v>
      </c>
      <c r="T34" s="18" t="s">
        <v>74</v>
      </c>
      <c r="U34" s="18" t="s">
        <v>75</v>
      </c>
      <c r="W34" s="18" t="s">
        <v>73</v>
      </c>
      <c r="X34" s="18" t="s">
        <v>74</v>
      </c>
      <c r="Y34" s="18" t="s">
        <v>75</v>
      </c>
      <c r="AB34" s="18" t="s">
        <v>73</v>
      </c>
      <c r="AC34" s="18" t="s">
        <v>74</v>
      </c>
      <c r="AD34" s="18" t="s">
        <v>75</v>
      </c>
      <c r="AF34" s="18" t="s">
        <v>73</v>
      </c>
      <c r="AG34" s="18" t="s">
        <v>74</v>
      </c>
      <c r="AH34" s="18" t="s">
        <v>75</v>
      </c>
      <c r="AJ34" s="18" t="s">
        <v>73</v>
      </c>
      <c r="AK34" s="18" t="s">
        <v>74</v>
      </c>
      <c r="AL34" s="18" t="s">
        <v>75</v>
      </c>
      <c r="AO34" s="18" t="s">
        <v>73</v>
      </c>
      <c r="AP34" s="18" t="s">
        <v>74</v>
      </c>
      <c r="AQ34" s="18" t="s">
        <v>75</v>
      </c>
      <c r="AS34" s="18" t="s">
        <v>73</v>
      </c>
      <c r="AT34" s="18" t="s">
        <v>74</v>
      </c>
      <c r="AU34" s="18" t="s">
        <v>75</v>
      </c>
      <c r="AW34" s="18" t="s">
        <v>73</v>
      </c>
      <c r="AX34" s="18" t="s">
        <v>74</v>
      </c>
      <c r="AY34" s="18" t="s">
        <v>75</v>
      </c>
      <c r="BB34" s="18" t="s">
        <v>73</v>
      </c>
      <c r="BC34" s="18" t="s">
        <v>74</v>
      </c>
      <c r="BD34" s="18" t="s">
        <v>75</v>
      </c>
      <c r="BF34" s="18" t="s">
        <v>73</v>
      </c>
      <c r="BG34" s="18" t="s">
        <v>74</v>
      </c>
      <c r="BH34" s="18" t="s">
        <v>75</v>
      </c>
      <c r="BJ34" s="18" t="s">
        <v>73</v>
      </c>
      <c r="BK34" s="18" t="s">
        <v>74</v>
      </c>
      <c r="BL34" s="18" t="s">
        <v>75</v>
      </c>
      <c r="BO34" s="18" t="s">
        <v>73</v>
      </c>
      <c r="BP34" s="18" t="s">
        <v>74</v>
      </c>
      <c r="BQ34" s="18" t="s">
        <v>75</v>
      </c>
      <c r="BS34" s="18" t="s">
        <v>73</v>
      </c>
      <c r="BT34" s="18" t="s">
        <v>74</v>
      </c>
      <c r="BU34" s="18" t="s">
        <v>75</v>
      </c>
      <c r="BW34" s="18" t="s">
        <v>73</v>
      </c>
      <c r="BX34" s="18" t="s">
        <v>74</v>
      </c>
      <c r="BY34" s="18" t="s">
        <v>75</v>
      </c>
      <c r="CB34" s="18" t="s">
        <v>73</v>
      </c>
      <c r="CC34" s="18" t="s">
        <v>74</v>
      </c>
      <c r="CD34" s="18" t="s">
        <v>75</v>
      </c>
      <c r="CF34" s="18" t="s">
        <v>73</v>
      </c>
      <c r="CG34" s="18" t="s">
        <v>74</v>
      </c>
      <c r="CH34" s="18" t="s">
        <v>75</v>
      </c>
      <c r="CJ34" s="18" t="s">
        <v>73</v>
      </c>
      <c r="CK34" s="18" t="s">
        <v>74</v>
      </c>
      <c r="CL34" s="18" t="s">
        <v>75</v>
      </c>
      <c r="CO34" s="18" t="s">
        <v>73</v>
      </c>
      <c r="CP34" s="18" t="s">
        <v>74</v>
      </c>
      <c r="CQ34" s="18" t="s">
        <v>75</v>
      </c>
      <c r="CS34" s="18" t="s">
        <v>73</v>
      </c>
      <c r="CT34" s="18" t="s">
        <v>74</v>
      </c>
      <c r="CU34" s="18" t="s">
        <v>75</v>
      </c>
      <c r="CW34" s="18" t="s">
        <v>73</v>
      </c>
      <c r="CX34" s="18" t="s">
        <v>74</v>
      </c>
      <c r="CY34" s="18" t="s">
        <v>75</v>
      </c>
      <c r="DB34" s="18" t="s">
        <v>73</v>
      </c>
      <c r="DC34" s="18" t="s">
        <v>74</v>
      </c>
      <c r="DD34" s="18" t="s">
        <v>75</v>
      </c>
      <c r="DF34" s="18" t="s">
        <v>73</v>
      </c>
      <c r="DG34" s="18" t="s">
        <v>74</v>
      </c>
      <c r="DH34" s="18" t="s">
        <v>75</v>
      </c>
      <c r="DJ34" s="18" t="s">
        <v>73</v>
      </c>
      <c r="DK34" s="18" t="s">
        <v>74</v>
      </c>
      <c r="DL34" s="18" t="s">
        <v>75</v>
      </c>
      <c r="DO34" s="18" t="s">
        <v>73</v>
      </c>
      <c r="DP34" s="18" t="s">
        <v>74</v>
      </c>
      <c r="DQ34" s="18" t="s">
        <v>75</v>
      </c>
      <c r="DS34" s="18" t="s">
        <v>73</v>
      </c>
      <c r="DT34" s="18" t="s">
        <v>74</v>
      </c>
      <c r="DU34" s="18" t="s">
        <v>75</v>
      </c>
      <c r="DW34" s="18" t="s">
        <v>73</v>
      </c>
      <c r="DX34" s="18" t="s">
        <v>74</v>
      </c>
      <c r="DY34" s="18" t="s">
        <v>75</v>
      </c>
      <c r="EB34" s="18" t="s">
        <v>73</v>
      </c>
      <c r="EC34" s="18" t="s">
        <v>74</v>
      </c>
      <c r="ED34" s="18" t="s">
        <v>75</v>
      </c>
      <c r="EF34" s="18" t="s">
        <v>73</v>
      </c>
      <c r="EG34" s="18" t="s">
        <v>74</v>
      </c>
      <c r="EH34" s="18" t="s">
        <v>75</v>
      </c>
      <c r="EJ34" s="18" t="s">
        <v>73</v>
      </c>
      <c r="EK34" s="18" t="s">
        <v>74</v>
      </c>
      <c r="EL34" s="18" t="s">
        <v>75</v>
      </c>
      <c r="EO34" s="18" t="s">
        <v>73</v>
      </c>
      <c r="EP34" s="18" t="s">
        <v>74</v>
      </c>
      <c r="EQ34" s="18" t="s">
        <v>75</v>
      </c>
      <c r="ES34" s="18" t="s">
        <v>73</v>
      </c>
      <c r="ET34" s="18" t="s">
        <v>74</v>
      </c>
      <c r="EU34" s="18" t="s">
        <v>75</v>
      </c>
      <c r="EW34" s="18" t="s">
        <v>73</v>
      </c>
      <c r="EX34" s="18" t="s">
        <v>74</v>
      </c>
      <c r="EY34" s="18" t="s">
        <v>75</v>
      </c>
      <c r="FB34" s="18" t="s">
        <v>73</v>
      </c>
      <c r="FC34" s="18" t="s">
        <v>74</v>
      </c>
      <c r="FD34" s="18" t="s">
        <v>75</v>
      </c>
      <c r="FF34" s="18" t="s">
        <v>73</v>
      </c>
      <c r="FG34" s="18" t="s">
        <v>74</v>
      </c>
      <c r="FH34" s="18" t="s">
        <v>75</v>
      </c>
      <c r="FJ34" s="18" t="s">
        <v>73</v>
      </c>
      <c r="FK34" s="18" t="s">
        <v>74</v>
      </c>
      <c r="FL34" s="18" t="s">
        <v>75</v>
      </c>
      <c r="FO34" s="18" t="s">
        <v>73</v>
      </c>
      <c r="FP34" s="18" t="s">
        <v>74</v>
      </c>
      <c r="FQ34" s="18" t="s">
        <v>75</v>
      </c>
      <c r="FS34" s="18" t="s">
        <v>73</v>
      </c>
      <c r="FT34" s="18" t="s">
        <v>74</v>
      </c>
      <c r="FU34" s="18" t="s">
        <v>75</v>
      </c>
      <c r="FW34" s="18" t="s">
        <v>73</v>
      </c>
      <c r="FX34" s="18" t="s">
        <v>74</v>
      </c>
      <c r="FY34" s="18" t="s">
        <v>75</v>
      </c>
      <c r="GB34" s="18" t="s">
        <v>73</v>
      </c>
      <c r="GC34" s="18" t="s">
        <v>74</v>
      </c>
      <c r="GD34" s="18" t="s">
        <v>75</v>
      </c>
      <c r="GF34" s="18" t="s">
        <v>73</v>
      </c>
      <c r="GG34" s="18" t="s">
        <v>74</v>
      </c>
      <c r="GH34" s="18" t="s">
        <v>75</v>
      </c>
      <c r="GJ34" s="18" t="s">
        <v>73</v>
      </c>
      <c r="GK34" s="18" t="s">
        <v>74</v>
      </c>
      <c r="GL34" s="18" t="s">
        <v>75</v>
      </c>
      <c r="GO34" s="18" t="s">
        <v>73</v>
      </c>
      <c r="GP34" s="18" t="s">
        <v>74</v>
      </c>
      <c r="GQ34" s="18" t="s">
        <v>75</v>
      </c>
      <c r="GS34" s="18" t="s">
        <v>73</v>
      </c>
      <c r="GT34" s="18" t="s">
        <v>74</v>
      </c>
      <c r="GU34" s="18" t="s">
        <v>75</v>
      </c>
      <c r="GW34" s="18" t="s">
        <v>73</v>
      </c>
      <c r="GX34" s="18" t="s">
        <v>74</v>
      </c>
      <c r="GY34" s="18" t="s">
        <v>75</v>
      </c>
      <c r="HB34" s="18" t="s">
        <v>73</v>
      </c>
      <c r="HC34" s="18" t="s">
        <v>74</v>
      </c>
      <c r="HD34" s="18" t="s">
        <v>75</v>
      </c>
      <c r="HF34" s="18" t="s">
        <v>73</v>
      </c>
      <c r="HG34" s="18" t="s">
        <v>74</v>
      </c>
      <c r="HH34" s="18" t="s">
        <v>75</v>
      </c>
      <c r="HJ34" s="18" t="s">
        <v>73</v>
      </c>
      <c r="HK34" s="18" t="s">
        <v>74</v>
      </c>
      <c r="HL34" s="18" t="s">
        <v>75</v>
      </c>
    </row>
    <row r="35" spans="2:221" hidden="1" outlineLevel="1" x14ac:dyDescent="0.45">
      <c r="B35" s="18">
        <v>234</v>
      </c>
      <c r="C35" s="18">
        <v>234</v>
      </c>
      <c r="D35" s="18">
        <v>234</v>
      </c>
      <c r="F35" s="18">
        <v>238</v>
      </c>
      <c r="G35" s="18">
        <v>238</v>
      </c>
      <c r="H35" s="18">
        <v>238</v>
      </c>
      <c r="J35" s="18">
        <v>243</v>
      </c>
      <c r="K35" s="18">
        <v>243</v>
      </c>
      <c r="L35" s="18">
        <v>243</v>
      </c>
      <c r="O35" s="18">
        <v>138</v>
      </c>
      <c r="P35" s="18">
        <v>176</v>
      </c>
      <c r="Q35" s="18">
        <v>188</v>
      </c>
      <c r="S35" s="18">
        <v>248</v>
      </c>
      <c r="T35" s="18">
        <v>245</v>
      </c>
      <c r="U35" s="18">
        <v>181</v>
      </c>
      <c r="W35" s="18">
        <v>230</v>
      </c>
      <c r="X35" s="18">
        <v>175</v>
      </c>
      <c r="Y35" s="18">
        <v>207</v>
      </c>
      <c r="AB35" s="18">
        <v>245</v>
      </c>
      <c r="AC35" s="18">
        <v>232</v>
      </c>
      <c r="AD35" s="18">
        <v>207</v>
      </c>
      <c r="AF35" s="18">
        <v>239</v>
      </c>
      <c r="AG35" s="18">
        <v>195</v>
      </c>
      <c r="AH35" s="18">
        <v>189</v>
      </c>
      <c r="AJ35" s="18">
        <v>149</v>
      </c>
      <c r="AK35" s="18">
        <v>126</v>
      </c>
      <c r="AL35" s="18">
        <v>128</v>
      </c>
      <c r="AO35" s="18">
        <v>209</v>
      </c>
      <c r="AP35" s="18">
        <v>174</v>
      </c>
      <c r="AQ35" s="18">
        <v>21</v>
      </c>
      <c r="AS35" s="18">
        <v>231</v>
      </c>
      <c r="AT35" s="18">
        <v>190</v>
      </c>
      <c r="AU35" s="18">
        <v>153</v>
      </c>
      <c r="AW35" s="18">
        <v>245</v>
      </c>
      <c r="AX35" s="18">
        <v>243</v>
      </c>
      <c r="AY35" s="18">
        <v>242</v>
      </c>
      <c r="BB35" s="18">
        <v>234</v>
      </c>
      <c r="BC35" s="18">
        <v>197</v>
      </c>
      <c r="BD35" s="18">
        <v>182</v>
      </c>
      <c r="BF35" s="18">
        <v>193</v>
      </c>
      <c r="BG35" s="18">
        <v>163</v>
      </c>
      <c r="BH35" s="18">
        <v>125</v>
      </c>
      <c r="BJ35" s="18">
        <v>236</v>
      </c>
      <c r="BK35" s="18">
        <v>228</v>
      </c>
      <c r="BL35" s="18">
        <v>225</v>
      </c>
      <c r="BO35" s="18">
        <v>252</v>
      </c>
      <c r="BP35" s="18">
        <v>247</v>
      </c>
      <c r="BQ35" s="18">
        <v>176</v>
      </c>
      <c r="BS35" s="18">
        <v>232</v>
      </c>
      <c r="BT35" s="18">
        <v>56</v>
      </c>
      <c r="BU35" s="18">
        <v>13</v>
      </c>
      <c r="BW35" s="18">
        <v>0</v>
      </c>
      <c r="BX35" s="18">
        <v>76</v>
      </c>
      <c r="BY35" s="18">
        <v>131</v>
      </c>
      <c r="CB35" s="18">
        <v>224</v>
      </c>
      <c r="CC35" s="18">
        <v>38</v>
      </c>
      <c r="CD35" s="18">
        <v>19</v>
      </c>
      <c r="CF35" s="18">
        <v>247</v>
      </c>
      <c r="CG35" s="18">
        <v>243</v>
      </c>
      <c r="CH35" s="18">
        <v>233</v>
      </c>
      <c r="CJ35" s="18">
        <v>222</v>
      </c>
      <c r="CK35" s="18">
        <v>178</v>
      </c>
      <c r="CL35" s="18">
        <v>83</v>
      </c>
      <c r="CO35" s="18">
        <v>159</v>
      </c>
      <c r="CP35" s="18">
        <v>0</v>
      </c>
      <c r="CQ35" s="18">
        <v>45</v>
      </c>
      <c r="CS35" s="18">
        <v>13</v>
      </c>
      <c r="CT35" s="18">
        <v>149</v>
      </c>
      <c r="CU35" s="18">
        <v>90</v>
      </c>
      <c r="CW35" s="18">
        <v>231</v>
      </c>
      <c r="CX35" s="18">
        <v>161</v>
      </c>
      <c r="CY35" s="18">
        <v>0</v>
      </c>
      <c r="DB35" s="18">
        <v>162</v>
      </c>
      <c r="DC35" s="18">
        <v>153</v>
      </c>
      <c r="DD35" s="18">
        <v>127</v>
      </c>
      <c r="DF35" s="18">
        <v>110</v>
      </c>
      <c r="DG35" s="18">
        <v>100</v>
      </c>
      <c r="DH35" s="18">
        <v>87</v>
      </c>
      <c r="DJ35" s="18">
        <v>207</v>
      </c>
      <c r="DK35" s="18">
        <v>222</v>
      </c>
      <c r="DL35" s="18">
        <v>223</v>
      </c>
      <c r="DO35" s="18">
        <v>143</v>
      </c>
      <c r="DP35" s="18">
        <v>139</v>
      </c>
      <c r="DQ35" s="18">
        <v>138</v>
      </c>
      <c r="DS35" s="18">
        <v>229</v>
      </c>
      <c r="DT35" s="18">
        <v>226</v>
      </c>
      <c r="DU35" s="18">
        <v>222</v>
      </c>
      <c r="DW35" s="18">
        <v>176</v>
      </c>
      <c r="DX35" s="18">
        <v>202</v>
      </c>
      <c r="DY35" s="18">
        <v>180</v>
      </c>
      <c r="EB35" s="18">
        <v>232</v>
      </c>
      <c r="EC35" s="18">
        <v>74</v>
      </c>
      <c r="ED35" s="18">
        <v>135</v>
      </c>
      <c r="EF35" s="18">
        <v>251</v>
      </c>
      <c r="EG35" s="18">
        <v>221</v>
      </c>
      <c r="EH35" s="18">
        <v>215</v>
      </c>
      <c r="EJ35" s="18">
        <v>0</v>
      </c>
      <c r="EK35" s="18">
        <v>167</v>
      </c>
      <c r="EL35" s="18">
        <v>123</v>
      </c>
      <c r="EO35" s="18">
        <v>15</v>
      </c>
      <c r="EP35" s="18">
        <v>19</v>
      </c>
      <c r="EQ35" s="18">
        <v>81</v>
      </c>
      <c r="ES35" s="18">
        <v>214</v>
      </c>
      <c r="ET35" s="18">
        <v>204</v>
      </c>
      <c r="EU35" s="18">
        <v>177</v>
      </c>
      <c r="EW35" s="18">
        <v>148</v>
      </c>
      <c r="EX35" s="18">
        <v>126</v>
      </c>
      <c r="EY35" s="18">
        <v>50</v>
      </c>
      <c r="FB35" s="18">
        <v>230</v>
      </c>
      <c r="FC35" s="18">
        <v>205</v>
      </c>
      <c r="FD35" s="18">
        <v>227</v>
      </c>
      <c r="FF35" s="18">
        <v>191</v>
      </c>
      <c r="FG35" s="18">
        <v>173</v>
      </c>
      <c r="FH35" s="18">
        <v>202</v>
      </c>
      <c r="FJ35" s="18">
        <v>252</v>
      </c>
      <c r="FK35" s="18">
        <v>231</v>
      </c>
      <c r="FL35" s="18">
        <v>235</v>
      </c>
      <c r="FO35" s="18">
        <v>212</v>
      </c>
      <c r="FP35" s="18">
        <v>202</v>
      </c>
      <c r="FQ35" s="18">
        <v>180</v>
      </c>
      <c r="FS35" s="18">
        <v>143</v>
      </c>
      <c r="FT35" s="18">
        <v>69</v>
      </c>
      <c r="FU35" s="18">
        <v>71</v>
      </c>
      <c r="FW35" s="18">
        <v>156</v>
      </c>
      <c r="FX35" s="18">
        <v>168</v>
      </c>
      <c r="FY35" s="18">
        <v>144</v>
      </c>
      <c r="GB35" s="18">
        <v>249</v>
      </c>
      <c r="GC35" s="18">
        <v>209</v>
      </c>
      <c r="GD35" s="18">
        <v>203</v>
      </c>
      <c r="GF35" s="18">
        <v>248</v>
      </c>
      <c r="GG35" s="18">
        <v>183</v>
      </c>
      <c r="GH35" s="18">
        <v>61</v>
      </c>
      <c r="GJ35" s="18">
        <v>0</v>
      </c>
      <c r="GK35" s="18">
        <v>175</v>
      </c>
      <c r="GL35" s="18">
        <v>132</v>
      </c>
      <c r="GO35" s="18">
        <v>238</v>
      </c>
      <c r="GP35" s="18">
        <v>240</v>
      </c>
      <c r="GQ35" s="18">
        <v>238</v>
      </c>
      <c r="GS35" s="18">
        <v>239</v>
      </c>
      <c r="GT35" s="18">
        <v>216</v>
      </c>
      <c r="GU35" s="18">
        <v>28</v>
      </c>
      <c r="GW35" s="18">
        <v>0</v>
      </c>
      <c r="GX35" s="18">
        <v>166</v>
      </c>
      <c r="GY35" s="18">
        <v>163</v>
      </c>
      <c r="HB35" s="18">
        <v>72</v>
      </c>
      <c r="HC35" s="18">
        <v>78</v>
      </c>
      <c r="HD35" s="18">
        <v>159</v>
      </c>
      <c r="HF35" s="18">
        <v>0</v>
      </c>
      <c r="HG35" s="18">
        <v>12</v>
      </c>
      <c r="HH35" s="18">
        <v>66</v>
      </c>
      <c r="HJ35" s="18">
        <v>76</v>
      </c>
      <c r="HK35" s="18">
        <v>182</v>
      </c>
      <c r="HL35" s="18">
        <v>121</v>
      </c>
    </row>
    <row r="36" spans="2:221" hidden="1" outlineLevel="1" x14ac:dyDescent="0.45">
      <c r="B36" s="78" t="s">
        <v>499</v>
      </c>
      <c r="C36" s="78"/>
      <c r="D36" s="78"/>
      <c r="E36" s="78"/>
      <c r="F36" s="78" t="s">
        <v>500</v>
      </c>
      <c r="G36" s="78"/>
      <c r="H36" s="78"/>
      <c r="I36" s="78"/>
      <c r="J36" s="78" t="s">
        <v>501</v>
      </c>
      <c r="K36" s="78"/>
      <c r="L36" s="78"/>
      <c r="M36" s="78"/>
      <c r="O36" s="78" t="s">
        <v>502</v>
      </c>
      <c r="P36" s="78"/>
      <c r="Q36" s="78"/>
      <c r="R36" s="78"/>
      <c r="S36" s="78" t="s">
        <v>503</v>
      </c>
      <c r="T36" s="78"/>
      <c r="U36" s="78"/>
      <c r="V36" s="78"/>
      <c r="W36" s="78" t="s">
        <v>504</v>
      </c>
      <c r="X36" s="78"/>
      <c r="Y36" s="78"/>
      <c r="Z36" s="78"/>
      <c r="AB36" s="78" t="s">
        <v>505</v>
      </c>
      <c r="AC36" s="78"/>
      <c r="AD36" s="78"/>
      <c r="AE36" s="78"/>
      <c r="AF36" s="78" t="s">
        <v>506</v>
      </c>
      <c r="AG36" s="78"/>
      <c r="AH36" s="78"/>
      <c r="AI36" s="78"/>
      <c r="AJ36" s="78" t="s">
        <v>507</v>
      </c>
      <c r="AK36" s="78"/>
      <c r="AL36" s="78"/>
      <c r="AM36" s="78"/>
      <c r="AO36" s="78" t="s">
        <v>508</v>
      </c>
      <c r="AP36" s="78"/>
      <c r="AQ36" s="78"/>
      <c r="AR36" s="78"/>
      <c r="AS36" s="78" t="s">
        <v>509</v>
      </c>
      <c r="AT36" s="78"/>
      <c r="AU36" s="78"/>
      <c r="AV36" s="78"/>
      <c r="AW36" s="78" t="s">
        <v>510</v>
      </c>
      <c r="AX36" s="78"/>
      <c r="AY36" s="78"/>
      <c r="AZ36" s="78"/>
      <c r="BB36" s="78" t="s">
        <v>511</v>
      </c>
      <c r="BC36" s="78"/>
      <c r="BD36" s="78"/>
      <c r="BE36" s="78"/>
      <c r="BF36" s="78" t="s">
        <v>512</v>
      </c>
      <c r="BG36" s="78"/>
      <c r="BH36" s="78"/>
      <c r="BI36" s="78"/>
      <c r="BJ36" s="78" t="s">
        <v>513</v>
      </c>
      <c r="BK36" s="78"/>
      <c r="BL36" s="78"/>
      <c r="BM36" s="78"/>
      <c r="BO36" s="78" t="s">
        <v>514</v>
      </c>
      <c r="BP36" s="78"/>
      <c r="BQ36" s="78"/>
      <c r="BR36" s="78"/>
      <c r="BS36" s="78" t="s">
        <v>515</v>
      </c>
      <c r="BT36" s="78"/>
      <c r="BU36" s="78"/>
      <c r="BV36" s="78"/>
      <c r="BW36" s="78" t="s">
        <v>516</v>
      </c>
      <c r="BX36" s="78"/>
      <c r="BY36" s="78"/>
      <c r="BZ36" s="78"/>
      <c r="CB36" s="78" t="s">
        <v>517</v>
      </c>
      <c r="CC36" s="78"/>
      <c r="CD36" s="78"/>
      <c r="CE36" s="78"/>
      <c r="CF36" s="78" t="s">
        <v>518</v>
      </c>
      <c r="CG36" s="78"/>
      <c r="CH36" s="78"/>
      <c r="CI36" s="78"/>
      <c r="CJ36" s="78" t="s">
        <v>519</v>
      </c>
      <c r="CK36" s="78"/>
      <c r="CL36" s="78"/>
      <c r="CM36" s="78"/>
      <c r="CO36" s="78" t="s">
        <v>520</v>
      </c>
      <c r="CP36" s="78"/>
      <c r="CQ36" s="78"/>
      <c r="CR36" s="78"/>
      <c r="CS36" s="78" t="s">
        <v>521</v>
      </c>
      <c r="CT36" s="78"/>
      <c r="CU36" s="78"/>
      <c r="CV36" s="78"/>
      <c r="CW36" s="78" t="s">
        <v>522</v>
      </c>
      <c r="CX36" s="78"/>
      <c r="CY36" s="78"/>
      <c r="CZ36" s="78"/>
      <c r="DB36" s="78" t="s">
        <v>523</v>
      </c>
      <c r="DC36" s="78"/>
      <c r="DD36" s="78"/>
      <c r="DE36" s="78"/>
      <c r="DF36" s="78" t="s">
        <v>524</v>
      </c>
      <c r="DG36" s="78"/>
      <c r="DH36" s="78"/>
      <c r="DI36" s="78"/>
      <c r="DJ36" s="78" t="s">
        <v>525</v>
      </c>
      <c r="DK36" s="78"/>
      <c r="DL36" s="78"/>
      <c r="DM36" s="78"/>
      <c r="DO36" s="78" t="s">
        <v>526</v>
      </c>
      <c r="DP36" s="78"/>
      <c r="DQ36" s="78"/>
      <c r="DR36" s="78"/>
      <c r="DS36" s="78" t="s">
        <v>527</v>
      </c>
      <c r="DT36" s="78"/>
      <c r="DU36" s="78"/>
      <c r="DV36" s="78"/>
      <c r="DW36" s="78" t="s">
        <v>528</v>
      </c>
      <c r="DX36" s="78"/>
      <c r="DY36" s="78"/>
      <c r="DZ36" s="78"/>
      <c r="EB36" s="78" t="s">
        <v>529</v>
      </c>
      <c r="EC36" s="78"/>
      <c r="ED36" s="78"/>
      <c r="EE36" s="78"/>
      <c r="EF36" s="78" t="s">
        <v>530</v>
      </c>
      <c r="EG36" s="78"/>
      <c r="EH36" s="78"/>
      <c r="EI36" s="78"/>
      <c r="EJ36" s="78" t="s">
        <v>531</v>
      </c>
      <c r="EK36" s="78"/>
      <c r="EL36" s="78"/>
      <c r="EM36" s="78"/>
      <c r="EO36" s="78" t="s">
        <v>532</v>
      </c>
      <c r="EP36" s="78"/>
      <c r="EQ36" s="78"/>
      <c r="ER36" s="78"/>
      <c r="ES36" s="78" t="s">
        <v>533</v>
      </c>
      <c r="ET36" s="78"/>
      <c r="EU36" s="78"/>
      <c r="EV36" s="78"/>
      <c r="EW36" s="78" t="s">
        <v>534</v>
      </c>
      <c r="EX36" s="78"/>
      <c r="EY36" s="78"/>
      <c r="EZ36" s="78"/>
      <c r="FB36" s="78" t="s">
        <v>535</v>
      </c>
      <c r="FC36" s="78"/>
      <c r="FD36" s="78"/>
      <c r="FE36" s="78"/>
      <c r="FF36" s="78" t="s">
        <v>536</v>
      </c>
      <c r="FG36" s="78"/>
      <c r="FH36" s="78"/>
      <c r="FI36" s="78"/>
      <c r="FJ36" s="78" t="s">
        <v>537</v>
      </c>
      <c r="FK36" s="78"/>
      <c r="FL36" s="78"/>
      <c r="FM36" s="78"/>
      <c r="FO36" s="78" t="s">
        <v>538</v>
      </c>
      <c r="FP36" s="78"/>
      <c r="FQ36" s="78"/>
      <c r="FR36" s="78"/>
      <c r="FS36" s="78" t="s">
        <v>539</v>
      </c>
      <c r="FT36" s="78"/>
      <c r="FU36" s="78"/>
      <c r="FV36" s="78"/>
      <c r="FW36" s="78" t="s">
        <v>540</v>
      </c>
      <c r="FX36" s="78"/>
      <c r="FY36" s="78"/>
      <c r="FZ36" s="78"/>
      <c r="GB36" s="78" t="s">
        <v>541</v>
      </c>
      <c r="GC36" s="78"/>
      <c r="GD36" s="78"/>
      <c r="GE36" s="78"/>
      <c r="GF36" s="78" t="s">
        <v>542</v>
      </c>
      <c r="GG36" s="78"/>
      <c r="GH36" s="78"/>
      <c r="GI36" s="78"/>
      <c r="GJ36" s="78" t="s">
        <v>543</v>
      </c>
      <c r="GK36" s="78"/>
      <c r="GL36" s="78"/>
      <c r="GM36" s="78"/>
      <c r="GO36" s="78" t="s">
        <v>544</v>
      </c>
      <c r="GP36" s="78"/>
      <c r="GQ36" s="78"/>
      <c r="GR36" s="78"/>
      <c r="GS36" s="78" t="s">
        <v>545</v>
      </c>
      <c r="GT36" s="78"/>
      <c r="GU36" s="78"/>
      <c r="GV36" s="78"/>
      <c r="GW36" s="78" t="s">
        <v>546</v>
      </c>
      <c r="GX36" s="78"/>
      <c r="GY36" s="78"/>
      <c r="GZ36" s="78"/>
      <c r="HB36" s="78" t="s">
        <v>547</v>
      </c>
      <c r="HC36" s="78"/>
      <c r="HD36" s="78"/>
      <c r="HE36" s="78"/>
      <c r="HF36" s="78" t="s">
        <v>548</v>
      </c>
      <c r="HG36" s="78"/>
      <c r="HH36" s="78"/>
      <c r="HI36" s="78"/>
      <c r="HJ36" s="78" t="s">
        <v>549</v>
      </c>
      <c r="HK36" s="78"/>
      <c r="HL36" s="78"/>
      <c r="HM36" s="78"/>
    </row>
    <row r="37" spans="2:221" hidden="1" outlineLevel="1" x14ac:dyDescent="0.45"/>
    <row r="38" spans="2:221" collapsed="1" x14ac:dyDescent="0.45">
      <c r="B38" s="78" t="s">
        <v>550</v>
      </c>
      <c r="C38" s="78"/>
      <c r="D38" s="78"/>
      <c r="E38" s="78"/>
      <c r="F38" s="78" t="s">
        <v>551</v>
      </c>
      <c r="G38" s="78"/>
      <c r="H38" s="78"/>
      <c r="I38" s="78"/>
      <c r="J38" s="78"/>
      <c r="K38" s="78"/>
      <c r="L38" s="78"/>
      <c r="M38" s="78"/>
      <c r="O38" s="78" t="s">
        <v>552</v>
      </c>
      <c r="P38" s="78"/>
      <c r="Q38" s="78"/>
      <c r="R38" s="78"/>
      <c r="S38" s="78" t="s">
        <v>553</v>
      </c>
      <c r="T38" s="78"/>
      <c r="U38" s="78"/>
      <c r="V38" s="78"/>
      <c r="W38" s="78"/>
      <c r="X38" s="78"/>
      <c r="Y38" s="78"/>
      <c r="Z38" s="78"/>
      <c r="AB38" s="78" t="s">
        <v>554</v>
      </c>
      <c r="AC38" s="78"/>
      <c r="AD38" s="78"/>
      <c r="AE38" s="78"/>
      <c r="AF38" s="78" t="s">
        <v>555</v>
      </c>
      <c r="AG38" s="78"/>
      <c r="AH38" s="78"/>
      <c r="AI38" s="78"/>
      <c r="AJ38" s="78"/>
      <c r="AK38" s="78"/>
      <c r="AL38" s="78"/>
      <c r="AM38" s="78"/>
      <c r="AO38" s="78" t="s">
        <v>556</v>
      </c>
      <c r="AP38" s="78"/>
      <c r="AQ38" s="78"/>
      <c r="AR38" s="78"/>
      <c r="AS38" s="78" t="s">
        <v>557</v>
      </c>
      <c r="AT38" s="78"/>
      <c r="AU38" s="78"/>
      <c r="AV38" s="78"/>
      <c r="AW38" s="78"/>
      <c r="AX38" s="78"/>
      <c r="AY38" s="78"/>
      <c r="AZ38" s="78"/>
      <c r="BO38" s="78" t="s">
        <v>558</v>
      </c>
      <c r="BP38" s="78"/>
      <c r="BQ38" s="78"/>
      <c r="BR38" s="78"/>
      <c r="BS38" s="78" t="s">
        <v>559</v>
      </c>
      <c r="BT38" s="78"/>
      <c r="BU38" s="78"/>
      <c r="BV38" s="78"/>
      <c r="BW38" s="78"/>
      <c r="BX38" s="78"/>
      <c r="BY38" s="78"/>
      <c r="BZ38" s="78"/>
      <c r="CB38" s="78" t="s">
        <v>560</v>
      </c>
      <c r="CC38" s="78"/>
      <c r="CD38" s="78"/>
      <c r="CE38" s="78"/>
      <c r="CF38" s="78" t="s">
        <v>561</v>
      </c>
      <c r="CG38" s="78"/>
      <c r="CH38" s="78"/>
      <c r="CI38" s="78"/>
      <c r="CJ38" s="78"/>
      <c r="CK38" s="78"/>
      <c r="CL38" s="78"/>
      <c r="CM38" s="78"/>
      <c r="CO38" s="78" t="s">
        <v>562</v>
      </c>
      <c r="CP38" s="78"/>
      <c r="CQ38" s="78"/>
      <c r="CR38" s="78"/>
      <c r="CS38" s="78" t="s">
        <v>563</v>
      </c>
      <c r="CT38" s="78"/>
      <c r="CU38" s="78"/>
      <c r="CV38" s="78"/>
      <c r="CW38" s="78"/>
      <c r="CX38" s="78"/>
      <c r="CY38" s="78"/>
      <c r="CZ38" s="78"/>
      <c r="DB38" s="78" t="s">
        <v>564</v>
      </c>
      <c r="DC38" s="78"/>
      <c r="DD38" s="78"/>
      <c r="DE38" s="78"/>
      <c r="DF38" s="78" t="s">
        <v>565</v>
      </c>
      <c r="DG38" s="78"/>
      <c r="DH38" s="78"/>
      <c r="DI38" s="78"/>
      <c r="DJ38" s="78"/>
      <c r="DK38" s="78"/>
      <c r="DL38" s="78"/>
      <c r="DM38" s="78"/>
      <c r="DO38" s="78" t="s">
        <v>566</v>
      </c>
      <c r="DP38" s="78"/>
      <c r="DQ38" s="78"/>
      <c r="DR38" s="78"/>
      <c r="DS38" s="78" t="s">
        <v>567</v>
      </c>
      <c r="DT38" s="78"/>
      <c r="DU38" s="78"/>
      <c r="DV38" s="78"/>
      <c r="DW38" s="78"/>
      <c r="DX38" s="78"/>
      <c r="DY38" s="78"/>
      <c r="DZ38" s="78"/>
      <c r="EB38" s="78" t="s">
        <v>568</v>
      </c>
      <c r="EC38" s="78"/>
      <c r="ED38" s="78"/>
      <c r="EE38" s="78"/>
      <c r="EF38" s="78" t="s">
        <v>569</v>
      </c>
      <c r="EG38" s="78"/>
      <c r="EH38" s="78"/>
      <c r="EI38" s="78"/>
      <c r="EJ38" s="78"/>
      <c r="EK38" s="78"/>
      <c r="EL38" s="78"/>
      <c r="EM38" s="78"/>
      <c r="EO38" s="78" t="s">
        <v>570</v>
      </c>
      <c r="EP38" s="78"/>
      <c r="EQ38" s="78"/>
      <c r="ER38" s="78"/>
      <c r="ES38" s="78" t="s">
        <v>571</v>
      </c>
      <c r="ET38" s="78"/>
      <c r="EU38" s="78"/>
      <c r="EV38" s="78"/>
      <c r="EW38" s="78"/>
      <c r="EX38" s="78"/>
      <c r="EY38" s="78"/>
      <c r="EZ38" s="78"/>
      <c r="FB38" s="78" t="s">
        <v>572</v>
      </c>
      <c r="FC38" s="78"/>
      <c r="FD38" s="78"/>
      <c r="FE38" s="78"/>
      <c r="FF38" s="78" t="s">
        <v>573</v>
      </c>
      <c r="FG38" s="78"/>
      <c r="FH38" s="78"/>
      <c r="FI38" s="78"/>
      <c r="FJ38" s="78"/>
      <c r="FK38" s="78"/>
      <c r="FL38" s="78"/>
      <c r="FM38" s="78"/>
      <c r="FO38" s="78" t="s">
        <v>574</v>
      </c>
      <c r="FP38" s="78"/>
      <c r="FQ38" s="78"/>
      <c r="FR38" s="78"/>
      <c r="FS38" s="78" t="s">
        <v>575</v>
      </c>
      <c r="FT38" s="78"/>
      <c r="FU38" s="78"/>
      <c r="FV38" s="78"/>
      <c r="FW38" s="78"/>
      <c r="FX38" s="78"/>
      <c r="FY38" s="78"/>
      <c r="FZ38" s="78"/>
      <c r="GB38" s="78" t="s">
        <v>576</v>
      </c>
      <c r="GC38" s="78"/>
      <c r="GD38" s="78"/>
      <c r="GE38" s="78"/>
      <c r="GF38" s="78" t="s">
        <v>577</v>
      </c>
      <c r="GG38" s="78"/>
      <c r="GH38" s="78"/>
      <c r="GI38" s="78"/>
      <c r="GJ38" s="78"/>
      <c r="GK38" s="78"/>
      <c r="GL38" s="78"/>
      <c r="GM38" s="78"/>
      <c r="GO38" s="78" t="s">
        <v>578</v>
      </c>
      <c r="GP38" s="78"/>
      <c r="GQ38" s="78"/>
      <c r="GR38" s="78"/>
      <c r="GS38" s="78" t="s">
        <v>579</v>
      </c>
      <c r="GT38" s="78"/>
      <c r="GU38" s="78"/>
      <c r="GV38" s="78"/>
      <c r="GW38" s="78"/>
      <c r="GX38" s="78"/>
      <c r="GY38" s="78"/>
      <c r="GZ38" s="78"/>
      <c r="HB38" s="78" t="s">
        <v>580</v>
      </c>
      <c r="HC38" s="78"/>
      <c r="HD38" s="78"/>
      <c r="HE38" s="78"/>
      <c r="HF38" s="78" t="s">
        <v>581</v>
      </c>
      <c r="HG38" s="78"/>
      <c r="HH38" s="78"/>
      <c r="HI38" s="78"/>
      <c r="HJ38" s="78"/>
      <c r="HK38" s="78"/>
      <c r="HL38" s="78"/>
      <c r="HM38" s="78"/>
    </row>
    <row r="39" spans="2:221" ht="40.049999999999997" customHeight="1" x14ac:dyDescent="0.45">
      <c r="B39" s="347"/>
      <c r="C39" s="347"/>
      <c r="D39" s="347"/>
      <c r="E39" s="347"/>
      <c r="F39" s="348"/>
      <c r="G39" s="348"/>
      <c r="H39" s="348"/>
      <c r="I39" s="348"/>
      <c r="J39" s="349"/>
      <c r="K39" s="349"/>
      <c r="L39" s="349"/>
      <c r="M39" s="349"/>
      <c r="O39" s="350"/>
      <c r="P39" s="350"/>
      <c r="Q39" s="350"/>
      <c r="R39" s="350"/>
      <c r="S39" s="351"/>
      <c r="T39" s="351"/>
      <c r="U39" s="351"/>
      <c r="V39" s="351"/>
      <c r="W39" s="341"/>
      <c r="X39" s="341"/>
      <c r="Y39" s="341"/>
      <c r="Z39" s="341"/>
      <c r="AB39" s="342"/>
      <c r="AC39" s="342"/>
      <c r="AD39" s="342"/>
      <c r="AE39" s="342"/>
      <c r="AF39" s="343"/>
      <c r="AG39" s="343"/>
      <c r="AH39" s="343"/>
      <c r="AI39" s="343"/>
      <c r="AJ39" s="344"/>
      <c r="AK39" s="344"/>
      <c r="AL39" s="344"/>
      <c r="AM39" s="344"/>
      <c r="AO39" s="345"/>
      <c r="AP39" s="345"/>
      <c r="AQ39" s="345"/>
      <c r="AR39" s="345"/>
      <c r="AS39" s="346"/>
      <c r="AT39" s="346"/>
      <c r="AU39" s="346"/>
      <c r="AV39" s="346"/>
      <c r="AW39" s="312"/>
      <c r="AX39" s="312"/>
      <c r="AY39" s="312"/>
      <c r="AZ39" s="312"/>
      <c r="BO39" s="313"/>
      <c r="BP39" s="313"/>
      <c r="BQ39" s="313"/>
      <c r="BR39" s="313"/>
      <c r="BS39" s="314"/>
      <c r="BT39" s="314"/>
      <c r="BU39" s="314"/>
      <c r="BV39" s="314"/>
      <c r="BW39" s="315"/>
      <c r="BX39" s="315"/>
      <c r="BY39" s="315"/>
      <c r="BZ39" s="315"/>
      <c r="CB39" s="316"/>
      <c r="CC39" s="316"/>
      <c r="CD39" s="316"/>
      <c r="CE39" s="316"/>
      <c r="CF39" s="317"/>
      <c r="CG39" s="317"/>
      <c r="CH39" s="317"/>
      <c r="CI39" s="317"/>
      <c r="CJ39" s="306"/>
      <c r="CK39" s="306"/>
      <c r="CL39" s="306"/>
      <c r="CM39" s="306"/>
      <c r="CO39" s="307"/>
      <c r="CP39" s="307"/>
      <c r="CQ39" s="307"/>
      <c r="CR39" s="307"/>
      <c r="CS39" s="308"/>
      <c r="CT39" s="308"/>
      <c r="CU39" s="308"/>
      <c r="CV39" s="308"/>
      <c r="CW39" s="309"/>
      <c r="CX39" s="309"/>
      <c r="CY39" s="309"/>
      <c r="CZ39" s="309"/>
      <c r="DB39" s="310"/>
      <c r="DC39" s="310"/>
      <c r="DD39" s="310"/>
      <c r="DE39" s="310"/>
      <c r="DF39" s="311"/>
      <c r="DG39" s="311"/>
      <c r="DH39" s="311"/>
      <c r="DI39" s="311"/>
      <c r="DJ39" s="336"/>
      <c r="DK39" s="336"/>
      <c r="DL39" s="336"/>
      <c r="DM39" s="336"/>
      <c r="DO39" s="337"/>
      <c r="DP39" s="337"/>
      <c r="DQ39" s="337"/>
      <c r="DR39" s="337"/>
      <c r="DS39" s="338"/>
      <c r="DT39" s="338"/>
      <c r="DU39" s="338"/>
      <c r="DV39" s="338"/>
      <c r="DW39" s="339"/>
      <c r="DX39" s="339"/>
      <c r="DY39" s="339"/>
      <c r="DZ39" s="339"/>
      <c r="EB39" s="340"/>
      <c r="EC39" s="340"/>
      <c r="ED39" s="340"/>
      <c r="EE39" s="340"/>
      <c r="EF39" s="305"/>
      <c r="EG39" s="305"/>
      <c r="EH39" s="305"/>
      <c r="EI39" s="305"/>
      <c r="EJ39" s="330"/>
      <c r="EK39" s="330"/>
      <c r="EL39" s="330"/>
      <c r="EM39" s="330"/>
      <c r="EO39" s="331"/>
      <c r="EP39" s="331"/>
      <c r="EQ39" s="331"/>
      <c r="ER39" s="331"/>
      <c r="ES39" s="332"/>
      <c r="ET39" s="332"/>
      <c r="EU39" s="332"/>
      <c r="EV39" s="332"/>
      <c r="EW39" s="333"/>
      <c r="EX39" s="333"/>
      <c r="EY39" s="333"/>
      <c r="EZ39" s="333"/>
      <c r="FB39" s="334"/>
      <c r="FC39" s="334"/>
      <c r="FD39" s="334"/>
      <c r="FE39" s="334"/>
      <c r="FF39" s="335"/>
      <c r="FG39" s="335"/>
      <c r="FH39" s="335"/>
      <c r="FI39" s="335"/>
      <c r="FJ39" s="324"/>
      <c r="FK39" s="324"/>
      <c r="FL39" s="324"/>
      <c r="FM39" s="324"/>
      <c r="FO39" s="325"/>
      <c r="FP39" s="325"/>
      <c r="FQ39" s="325"/>
      <c r="FR39" s="325"/>
      <c r="FS39" s="326"/>
      <c r="FT39" s="326"/>
      <c r="FU39" s="326"/>
      <c r="FV39" s="326"/>
      <c r="FW39" s="327"/>
      <c r="FX39" s="327"/>
      <c r="FY39" s="327"/>
      <c r="FZ39" s="327"/>
      <c r="GB39" s="328"/>
      <c r="GC39" s="328"/>
      <c r="GD39" s="328"/>
      <c r="GE39" s="328"/>
      <c r="GF39" s="329"/>
      <c r="GG39" s="329"/>
      <c r="GH39" s="329"/>
      <c r="GI39" s="329"/>
      <c r="GJ39" s="318"/>
      <c r="GK39" s="318"/>
      <c r="GL39" s="318"/>
      <c r="GM39" s="318"/>
      <c r="GO39" s="319"/>
      <c r="GP39" s="319"/>
      <c r="GQ39" s="319"/>
      <c r="GR39" s="319"/>
      <c r="GS39" s="320"/>
      <c r="GT39" s="320"/>
      <c r="GU39" s="320"/>
      <c r="GV39" s="320"/>
      <c r="GW39" s="321"/>
      <c r="GX39" s="321"/>
      <c r="GY39" s="321"/>
      <c r="GZ39" s="321"/>
      <c r="HB39" s="322"/>
      <c r="HC39" s="322"/>
      <c r="HD39" s="322"/>
      <c r="HE39" s="322"/>
      <c r="HF39" s="323"/>
      <c r="HG39" s="323"/>
      <c r="HH39" s="323"/>
      <c r="HI39" s="323"/>
      <c r="HJ39" s="304"/>
      <c r="HK39" s="304"/>
      <c r="HL39" s="304"/>
      <c r="HM39" s="304"/>
    </row>
    <row r="40" spans="2:221" hidden="1" outlineLevel="1" x14ac:dyDescent="0.45">
      <c r="B40" s="18" t="s">
        <v>73</v>
      </c>
      <c r="C40" s="18" t="s">
        <v>74</v>
      </c>
      <c r="D40" s="18" t="s">
        <v>75</v>
      </c>
      <c r="F40" s="18" t="s">
        <v>73</v>
      </c>
      <c r="G40" s="18" t="s">
        <v>74</v>
      </c>
      <c r="H40" s="18" t="s">
        <v>75</v>
      </c>
      <c r="J40" s="18" t="s">
        <v>73</v>
      </c>
      <c r="K40" s="18" t="s">
        <v>74</v>
      </c>
      <c r="L40" s="18" t="s">
        <v>75</v>
      </c>
      <c r="O40" s="18" t="s">
        <v>73</v>
      </c>
      <c r="P40" s="18" t="s">
        <v>74</v>
      </c>
      <c r="Q40" s="18" t="s">
        <v>75</v>
      </c>
      <c r="S40" s="18" t="s">
        <v>73</v>
      </c>
      <c r="T40" s="18" t="s">
        <v>74</v>
      </c>
      <c r="U40" s="18" t="s">
        <v>75</v>
      </c>
      <c r="W40" s="18" t="s">
        <v>73</v>
      </c>
      <c r="X40" s="18" t="s">
        <v>74</v>
      </c>
      <c r="Y40" s="18" t="s">
        <v>75</v>
      </c>
      <c r="AB40" s="18" t="s">
        <v>73</v>
      </c>
      <c r="AC40" s="18" t="s">
        <v>74</v>
      </c>
      <c r="AD40" s="18" t="s">
        <v>75</v>
      </c>
      <c r="AF40" s="18" t="s">
        <v>73</v>
      </c>
      <c r="AG40" s="18" t="s">
        <v>74</v>
      </c>
      <c r="AH40" s="18" t="s">
        <v>75</v>
      </c>
      <c r="AJ40" s="18" t="s">
        <v>73</v>
      </c>
      <c r="AK40" s="18" t="s">
        <v>74</v>
      </c>
      <c r="AL40" s="18" t="s">
        <v>75</v>
      </c>
      <c r="AO40" s="18" t="s">
        <v>73</v>
      </c>
      <c r="AP40" s="18" t="s">
        <v>74</v>
      </c>
      <c r="AQ40" s="18" t="s">
        <v>75</v>
      </c>
      <c r="AS40" s="18" t="s">
        <v>73</v>
      </c>
      <c r="AT40" s="18" t="s">
        <v>74</v>
      </c>
      <c r="AU40" s="18" t="s">
        <v>75</v>
      </c>
      <c r="AW40" s="18" t="s">
        <v>73</v>
      </c>
      <c r="AX40" s="18" t="s">
        <v>74</v>
      </c>
      <c r="AY40" s="18" t="s">
        <v>75</v>
      </c>
      <c r="BO40" s="18" t="s">
        <v>73</v>
      </c>
      <c r="BP40" s="18" t="s">
        <v>74</v>
      </c>
      <c r="BQ40" s="18" t="s">
        <v>75</v>
      </c>
      <c r="BS40" s="18" t="s">
        <v>73</v>
      </c>
      <c r="BT40" s="18" t="s">
        <v>74</v>
      </c>
      <c r="BU40" s="18" t="s">
        <v>75</v>
      </c>
      <c r="BW40" s="18" t="s">
        <v>73</v>
      </c>
      <c r="BX40" s="18" t="s">
        <v>74</v>
      </c>
      <c r="BY40" s="18" t="s">
        <v>75</v>
      </c>
      <c r="CB40" s="18" t="s">
        <v>73</v>
      </c>
      <c r="CC40" s="18" t="s">
        <v>74</v>
      </c>
      <c r="CD40" s="18" t="s">
        <v>75</v>
      </c>
      <c r="CF40" s="18" t="s">
        <v>73</v>
      </c>
      <c r="CG40" s="18" t="s">
        <v>74</v>
      </c>
      <c r="CH40" s="18" t="s">
        <v>75</v>
      </c>
      <c r="CJ40" s="18" t="s">
        <v>73</v>
      </c>
      <c r="CK40" s="18" t="s">
        <v>74</v>
      </c>
      <c r="CL40" s="18" t="s">
        <v>75</v>
      </c>
      <c r="CO40" s="18" t="s">
        <v>73</v>
      </c>
      <c r="CP40" s="18" t="s">
        <v>74</v>
      </c>
      <c r="CQ40" s="18" t="s">
        <v>75</v>
      </c>
      <c r="CS40" s="18" t="s">
        <v>73</v>
      </c>
      <c r="CT40" s="18" t="s">
        <v>74</v>
      </c>
      <c r="CU40" s="18" t="s">
        <v>75</v>
      </c>
      <c r="CW40" s="18" t="s">
        <v>73</v>
      </c>
      <c r="CX40" s="18" t="s">
        <v>74</v>
      </c>
      <c r="CY40" s="18" t="s">
        <v>75</v>
      </c>
      <c r="DB40" s="18" t="s">
        <v>73</v>
      </c>
      <c r="DC40" s="18" t="s">
        <v>74</v>
      </c>
      <c r="DD40" s="18" t="s">
        <v>75</v>
      </c>
      <c r="DF40" s="18" t="s">
        <v>73</v>
      </c>
      <c r="DG40" s="18" t="s">
        <v>74</v>
      </c>
      <c r="DH40" s="18" t="s">
        <v>75</v>
      </c>
      <c r="DJ40" s="18" t="s">
        <v>73</v>
      </c>
      <c r="DK40" s="18" t="s">
        <v>74</v>
      </c>
      <c r="DL40" s="18" t="s">
        <v>75</v>
      </c>
      <c r="DO40" s="18" t="s">
        <v>73</v>
      </c>
      <c r="DP40" s="18" t="s">
        <v>74</v>
      </c>
      <c r="DQ40" s="18" t="s">
        <v>75</v>
      </c>
      <c r="DS40" s="18" t="s">
        <v>73</v>
      </c>
      <c r="DT40" s="18" t="s">
        <v>74</v>
      </c>
      <c r="DU40" s="18" t="s">
        <v>75</v>
      </c>
      <c r="DW40" s="18" t="s">
        <v>73</v>
      </c>
      <c r="DX40" s="18" t="s">
        <v>74</v>
      </c>
      <c r="DY40" s="18" t="s">
        <v>75</v>
      </c>
      <c r="EB40" s="18" t="s">
        <v>73</v>
      </c>
      <c r="EC40" s="18" t="s">
        <v>74</v>
      </c>
      <c r="ED40" s="18" t="s">
        <v>75</v>
      </c>
      <c r="EF40" s="18" t="s">
        <v>73</v>
      </c>
      <c r="EG40" s="18" t="s">
        <v>74</v>
      </c>
      <c r="EH40" s="18" t="s">
        <v>75</v>
      </c>
      <c r="EJ40" s="18" t="s">
        <v>73</v>
      </c>
      <c r="EK40" s="18" t="s">
        <v>74</v>
      </c>
      <c r="EL40" s="18" t="s">
        <v>75</v>
      </c>
      <c r="EO40" s="18" t="s">
        <v>73</v>
      </c>
      <c r="EP40" s="18" t="s">
        <v>74</v>
      </c>
      <c r="EQ40" s="18" t="s">
        <v>75</v>
      </c>
      <c r="ES40" s="18" t="s">
        <v>73</v>
      </c>
      <c r="ET40" s="18" t="s">
        <v>74</v>
      </c>
      <c r="EU40" s="18" t="s">
        <v>75</v>
      </c>
      <c r="EW40" s="18" t="s">
        <v>73</v>
      </c>
      <c r="EX40" s="18" t="s">
        <v>74</v>
      </c>
      <c r="EY40" s="18" t="s">
        <v>75</v>
      </c>
      <c r="FB40" s="18" t="s">
        <v>73</v>
      </c>
      <c r="FC40" s="18" t="s">
        <v>74</v>
      </c>
      <c r="FD40" s="18" t="s">
        <v>75</v>
      </c>
      <c r="FF40" s="18" t="s">
        <v>73</v>
      </c>
      <c r="FG40" s="18" t="s">
        <v>74</v>
      </c>
      <c r="FH40" s="18" t="s">
        <v>75</v>
      </c>
      <c r="FJ40" s="18" t="s">
        <v>73</v>
      </c>
      <c r="FK40" s="18" t="s">
        <v>74</v>
      </c>
      <c r="FL40" s="18" t="s">
        <v>75</v>
      </c>
      <c r="FO40" s="18" t="s">
        <v>73</v>
      </c>
      <c r="FP40" s="18" t="s">
        <v>74</v>
      </c>
      <c r="FQ40" s="18" t="s">
        <v>75</v>
      </c>
      <c r="FS40" s="18" t="s">
        <v>73</v>
      </c>
      <c r="FT40" s="18" t="s">
        <v>74</v>
      </c>
      <c r="FU40" s="18" t="s">
        <v>75</v>
      </c>
      <c r="FW40" s="18" t="s">
        <v>73</v>
      </c>
      <c r="FX40" s="18" t="s">
        <v>74</v>
      </c>
      <c r="FY40" s="18" t="s">
        <v>75</v>
      </c>
      <c r="GB40" s="18" t="s">
        <v>73</v>
      </c>
      <c r="GC40" s="18" t="s">
        <v>74</v>
      </c>
      <c r="GD40" s="18" t="s">
        <v>75</v>
      </c>
      <c r="GF40" s="18" t="s">
        <v>73</v>
      </c>
      <c r="GG40" s="18" t="s">
        <v>74</v>
      </c>
      <c r="GH40" s="18" t="s">
        <v>75</v>
      </c>
      <c r="GJ40" s="18" t="s">
        <v>73</v>
      </c>
      <c r="GK40" s="18" t="s">
        <v>74</v>
      </c>
      <c r="GL40" s="18" t="s">
        <v>75</v>
      </c>
      <c r="GO40" s="18" t="s">
        <v>73</v>
      </c>
      <c r="GP40" s="18" t="s">
        <v>74</v>
      </c>
      <c r="GQ40" s="18" t="s">
        <v>75</v>
      </c>
      <c r="GS40" s="18" t="s">
        <v>73</v>
      </c>
      <c r="GT40" s="18" t="s">
        <v>74</v>
      </c>
      <c r="GU40" s="18" t="s">
        <v>75</v>
      </c>
      <c r="GW40" s="18" t="s">
        <v>73</v>
      </c>
      <c r="GX40" s="18" t="s">
        <v>74</v>
      </c>
      <c r="GY40" s="18" t="s">
        <v>75</v>
      </c>
      <c r="HB40" s="18" t="s">
        <v>73</v>
      </c>
      <c r="HC40" s="18" t="s">
        <v>74</v>
      </c>
      <c r="HD40" s="18" t="s">
        <v>75</v>
      </c>
      <c r="HF40" s="18" t="s">
        <v>73</v>
      </c>
      <c r="HG40" s="18" t="s">
        <v>74</v>
      </c>
      <c r="HH40" s="18" t="s">
        <v>75</v>
      </c>
      <c r="HJ40" s="18" t="s">
        <v>73</v>
      </c>
      <c r="HK40" s="18" t="s">
        <v>74</v>
      </c>
      <c r="HL40" s="18" t="s">
        <v>75</v>
      </c>
    </row>
    <row r="41" spans="2:221" hidden="1" outlineLevel="1" x14ac:dyDescent="0.45">
      <c r="B41" s="18">
        <v>246</v>
      </c>
      <c r="C41" s="18">
        <v>246</v>
      </c>
      <c r="D41" s="18">
        <v>246</v>
      </c>
      <c r="F41" s="18">
        <v>248</v>
      </c>
      <c r="G41" s="18">
        <v>248</v>
      </c>
      <c r="H41" s="18">
        <v>248</v>
      </c>
      <c r="J41" s="18">
        <v>251</v>
      </c>
      <c r="K41" s="18">
        <v>251</v>
      </c>
      <c r="L41" s="18">
        <v>251</v>
      </c>
      <c r="O41" s="18">
        <v>239</v>
      </c>
      <c r="P41" s="18">
        <v>229</v>
      </c>
      <c r="Q41" s="18">
        <v>203</v>
      </c>
      <c r="S41" s="18">
        <v>193</v>
      </c>
      <c r="T41" s="18">
        <v>209</v>
      </c>
      <c r="U41" s="18">
        <v>224</v>
      </c>
      <c r="W41" s="18">
        <v>191</v>
      </c>
      <c r="X41" s="18">
        <v>201</v>
      </c>
      <c r="Y41" s="18">
        <v>189</v>
      </c>
      <c r="AB41" s="18">
        <v>246</v>
      </c>
      <c r="AC41" s="18">
        <v>183</v>
      </c>
      <c r="AD41" s="18">
        <v>170</v>
      </c>
      <c r="AF41" s="18">
        <v>14</v>
      </c>
      <c r="AG41" s="18">
        <v>83</v>
      </c>
      <c r="AH41" s="18">
        <v>109</v>
      </c>
      <c r="AJ41" s="18">
        <v>250</v>
      </c>
      <c r="AK41" s="18">
        <v>224</v>
      </c>
      <c r="AL41" s="18">
        <v>106</v>
      </c>
      <c r="AO41" s="18">
        <v>234</v>
      </c>
      <c r="AP41" s="18">
        <v>228</v>
      </c>
      <c r="AQ41" s="18">
        <v>209</v>
      </c>
      <c r="AS41" s="18">
        <v>108</v>
      </c>
      <c r="AT41" s="18">
        <v>134</v>
      </c>
      <c r="AU41" s="18">
        <v>80</v>
      </c>
      <c r="AW41" s="18">
        <v>168</v>
      </c>
      <c r="AX41" s="18">
        <v>117</v>
      </c>
      <c r="AY41" s="18">
        <v>112</v>
      </c>
      <c r="BO41" s="18">
        <v>240</v>
      </c>
      <c r="BP41" s="18">
        <v>131</v>
      </c>
      <c r="BQ41" s="18">
        <v>30</v>
      </c>
      <c r="BS41" s="18">
        <v>254</v>
      </c>
      <c r="BT41" s="18">
        <v>235</v>
      </c>
      <c r="BU41" s="18">
        <v>190</v>
      </c>
      <c r="BW41" s="18">
        <v>168</v>
      </c>
      <c r="BX41" s="18">
        <v>110</v>
      </c>
      <c r="BY41" s="18">
        <v>46</v>
      </c>
      <c r="CB41" s="18">
        <v>185</v>
      </c>
      <c r="CC41" s="18">
        <v>201</v>
      </c>
      <c r="CD41" s="18">
        <v>201</v>
      </c>
      <c r="CF41" s="18">
        <v>26</v>
      </c>
      <c r="CG41" s="18">
        <v>39</v>
      </c>
      <c r="CH41" s="18">
        <v>75</v>
      </c>
      <c r="CJ41" s="18">
        <v>75</v>
      </c>
      <c r="CK41" s="18">
        <v>98</v>
      </c>
      <c r="CL41" s="18">
        <v>81</v>
      </c>
      <c r="CO41" s="18">
        <v>254</v>
      </c>
      <c r="CP41" s="18">
        <v>221</v>
      </c>
      <c r="CQ41" s="18">
        <v>107</v>
      </c>
      <c r="CS41" s="18">
        <v>0</v>
      </c>
      <c r="CT41" s="18">
        <v>63</v>
      </c>
      <c r="CU41" s="18">
        <v>103</v>
      </c>
      <c r="CW41" s="18">
        <v>173</v>
      </c>
      <c r="CX41" s="18">
        <v>0</v>
      </c>
      <c r="CY41" s="18">
        <v>3</v>
      </c>
      <c r="DB41" s="18">
        <v>156</v>
      </c>
      <c r="DC41" s="18">
        <v>216</v>
      </c>
      <c r="DD41" s="18">
        <v>246</v>
      </c>
      <c r="DF41" s="18">
        <v>233</v>
      </c>
      <c r="DG41" s="18">
        <v>88</v>
      </c>
      <c r="DH41" s="18">
        <v>132</v>
      </c>
      <c r="DJ41" s="18">
        <v>0</v>
      </c>
      <c r="DK41" s="18">
        <v>180</v>
      </c>
      <c r="DL41" s="18">
        <v>182</v>
      </c>
      <c r="DO41" s="18">
        <v>234</v>
      </c>
      <c r="DP41" s="18">
        <v>230</v>
      </c>
      <c r="DQ41" s="18">
        <v>217</v>
      </c>
      <c r="DS41" s="18">
        <v>198</v>
      </c>
      <c r="DT41" s="18">
        <v>181</v>
      </c>
      <c r="DU41" s="18">
        <v>135</v>
      </c>
      <c r="DW41" s="18">
        <v>88</v>
      </c>
      <c r="DX41" s="18">
        <v>141</v>
      </c>
      <c r="DY41" s="18">
        <v>103</v>
      </c>
      <c r="EB41" s="18">
        <v>72</v>
      </c>
      <c r="EC41" s="18">
        <v>93</v>
      </c>
      <c r="ED41" s="18">
        <v>169</v>
      </c>
      <c r="EF41" s="18">
        <v>56</v>
      </c>
      <c r="EG41" s="18">
        <v>53</v>
      </c>
      <c r="EH41" s="18">
        <v>122</v>
      </c>
      <c r="EJ41" s="18">
        <v>235</v>
      </c>
      <c r="EK41" s="18">
        <v>92</v>
      </c>
      <c r="EL41" s="18">
        <v>32</v>
      </c>
      <c r="EO41" s="18">
        <v>55</v>
      </c>
      <c r="EP41" s="18">
        <v>39</v>
      </c>
      <c r="EQ41" s="18">
        <v>69</v>
      </c>
      <c r="ES41" s="18">
        <v>135</v>
      </c>
      <c r="ET41" s="18">
        <v>90</v>
      </c>
      <c r="EU41" s="18">
        <v>130</v>
      </c>
      <c r="EW41" s="18">
        <v>167</v>
      </c>
      <c r="EX41" s="18">
        <v>179</v>
      </c>
      <c r="EY41" s="18">
        <v>176</v>
      </c>
      <c r="FB41" s="18">
        <v>120</v>
      </c>
      <c r="FC41" s="18">
        <v>148</v>
      </c>
      <c r="FD41" s="18">
        <v>133</v>
      </c>
      <c r="FF41" s="18">
        <v>219</v>
      </c>
      <c r="FG41" s="18">
        <v>171</v>
      </c>
      <c r="FH41" s="18">
        <v>176</v>
      </c>
      <c r="FJ41" s="18">
        <v>240</v>
      </c>
      <c r="FK41" s="18">
        <v>214</v>
      </c>
      <c r="FL41" s="18">
        <v>212</v>
      </c>
      <c r="FO41" s="18">
        <v>213</v>
      </c>
      <c r="FP41" s="18">
        <v>192</v>
      </c>
      <c r="FQ41" s="18">
        <v>151</v>
      </c>
      <c r="FS41" s="18">
        <v>105</v>
      </c>
      <c r="FT41" s="18">
        <v>67</v>
      </c>
      <c r="FU41" s="18">
        <v>100</v>
      </c>
      <c r="FW41" s="18">
        <v>136</v>
      </c>
      <c r="FX41" s="18">
        <v>158</v>
      </c>
      <c r="FY41" s="18">
        <v>133</v>
      </c>
      <c r="GB41" s="18">
        <v>245</v>
      </c>
      <c r="GC41" s="18">
        <v>197</v>
      </c>
      <c r="GD41" s="18">
        <v>181</v>
      </c>
      <c r="GF41" s="18">
        <v>104</v>
      </c>
      <c r="GG41" s="18">
        <v>115</v>
      </c>
      <c r="GH41" s="18">
        <v>82</v>
      </c>
      <c r="GJ41" s="18">
        <v>192</v>
      </c>
      <c r="GK41" s="18">
        <v>128</v>
      </c>
      <c r="GL41" s="18">
        <v>107</v>
      </c>
      <c r="GO41" s="18">
        <v>255</v>
      </c>
      <c r="GP41" s="18">
        <v>230</v>
      </c>
      <c r="GQ41" s="18">
        <v>117</v>
      </c>
      <c r="GS41" s="18">
        <v>176</v>
      </c>
      <c r="GT41" s="18">
        <v>211</v>
      </c>
      <c r="GU41" s="18">
        <v>113</v>
      </c>
      <c r="GW41" s="18">
        <v>108</v>
      </c>
      <c r="GX41" s="18">
        <v>198</v>
      </c>
      <c r="GY41" s="18">
        <v>219</v>
      </c>
      <c r="HB41" s="18">
        <v>0</v>
      </c>
      <c r="HC41" s="18">
        <v>44</v>
      </c>
      <c r="HD41" s="18">
        <v>44</v>
      </c>
      <c r="HF41" s="18">
        <v>246</v>
      </c>
      <c r="HG41" s="18">
        <v>237</v>
      </c>
      <c r="HH41" s="18">
        <v>153</v>
      </c>
      <c r="HJ41" s="18">
        <v>0</v>
      </c>
      <c r="HK41" s="18">
        <v>104</v>
      </c>
      <c r="HL41" s="18">
        <v>101</v>
      </c>
    </row>
    <row r="42" spans="2:221" hidden="1" outlineLevel="1" x14ac:dyDescent="0.45">
      <c r="B42" s="78" t="s">
        <v>582</v>
      </c>
      <c r="C42" s="78"/>
      <c r="D42" s="78"/>
      <c r="E42" s="78"/>
      <c r="F42" s="78" t="s">
        <v>583</v>
      </c>
      <c r="G42" s="78"/>
      <c r="H42" s="78"/>
      <c r="I42" s="78"/>
      <c r="J42" s="78" t="s">
        <v>584</v>
      </c>
      <c r="K42" s="78"/>
      <c r="L42" s="78"/>
      <c r="M42" s="78"/>
      <c r="O42" s="78" t="s">
        <v>585</v>
      </c>
      <c r="P42" s="78"/>
      <c r="Q42" s="78"/>
      <c r="R42" s="78"/>
      <c r="S42" s="78" t="s">
        <v>586</v>
      </c>
      <c r="T42" s="78"/>
      <c r="U42" s="78"/>
      <c r="V42" s="78"/>
      <c r="W42" s="78" t="s">
        <v>587</v>
      </c>
      <c r="X42" s="78"/>
      <c r="Y42" s="78"/>
      <c r="Z42" s="78"/>
      <c r="AB42" s="78" t="s">
        <v>588</v>
      </c>
      <c r="AC42" s="78"/>
      <c r="AD42" s="78"/>
      <c r="AE42" s="78"/>
      <c r="AF42" s="78" t="s">
        <v>589</v>
      </c>
      <c r="AG42" s="78"/>
      <c r="AH42" s="78"/>
      <c r="AI42" s="78"/>
      <c r="AJ42" s="78" t="s">
        <v>590</v>
      </c>
      <c r="AK42" s="78"/>
      <c r="AL42" s="78"/>
      <c r="AM42" s="78"/>
      <c r="AO42" s="78" t="s">
        <v>591</v>
      </c>
      <c r="AP42" s="78"/>
      <c r="AQ42" s="78"/>
      <c r="AR42" s="78"/>
      <c r="AS42" s="78" t="s">
        <v>592</v>
      </c>
      <c r="AT42" s="78"/>
      <c r="AU42" s="78"/>
      <c r="AV42" s="78"/>
      <c r="AW42" s="78" t="s">
        <v>593</v>
      </c>
      <c r="AX42" s="78"/>
      <c r="AY42" s="78"/>
      <c r="AZ42" s="78"/>
      <c r="BO42" s="78" t="s">
        <v>594</v>
      </c>
      <c r="BP42" s="78"/>
      <c r="BQ42" s="78"/>
      <c r="BR42" s="78"/>
      <c r="BS42" s="78" t="s">
        <v>595</v>
      </c>
      <c r="BT42" s="78"/>
      <c r="BU42" s="78"/>
      <c r="BV42" s="78"/>
      <c r="BW42" s="78" t="s">
        <v>596</v>
      </c>
      <c r="BX42" s="78"/>
      <c r="BY42" s="78"/>
      <c r="BZ42" s="78"/>
      <c r="CB42" s="78" t="s">
        <v>597</v>
      </c>
      <c r="CC42" s="78"/>
      <c r="CD42" s="78"/>
      <c r="CE42" s="78"/>
      <c r="CF42" s="78" t="s">
        <v>598</v>
      </c>
      <c r="CG42" s="78"/>
      <c r="CH42" s="78"/>
      <c r="CI42" s="78"/>
      <c r="CJ42" s="78" t="s">
        <v>599</v>
      </c>
      <c r="CK42" s="78"/>
      <c r="CL42" s="78"/>
      <c r="CM42" s="78"/>
      <c r="CO42" s="78" t="s">
        <v>600</v>
      </c>
      <c r="CP42" s="78"/>
      <c r="CQ42" s="78"/>
      <c r="CR42" s="78"/>
      <c r="CS42" s="78" t="s">
        <v>601</v>
      </c>
      <c r="CT42" s="78"/>
      <c r="CU42" s="78"/>
      <c r="CV42" s="78"/>
      <c r="CW42" s="78" t="s">
        <v>602</v>
      </c>
      <c r="CX42" s="78"/>
      <c r="CY42" s="78"/>
      <c r="CZ42" s="78"/>
      <c r="DB42" s="78" t="s">
        <v>603</v>
      </c>
      <c r="DC42" s="78"/>
      <c r="DD42" s="78"/>
      <c r="DE42" s="78"/>
      <c r="DF42" s="78" t="s">
        <v>604</v>
      </c>
      <c r="DG42" s="78"/>
      <c r="DH42" s="78"/>
      <c r="DI42" s="78"/>
      <c r="DJ42" s="78" t="s">
        <v>605</v>
      </c>
      <c r="DK42" s="78"/>
      <c r="DL42" s="78"/>
      <c r="DM42" s="78"/>
      <c r="DO42" s="78" t="s">
        <v>606</v>
      </c>
      <c r="DP42" s="78"/>
      <c r="DQ42" s="78"/>
      <c r="DR42" s="78"/>
      <c r="DS42" s="78" t="s">
        <v>607</v>
      </c>
      <c r="DT42" s="78"/>
      <c r="DU42" s="78"/>
      <c r="DV42" s="78"/>
      <c r="DW42" s="78" t="s">
        <v>608</v>
      </c>
      <c r="DX42" s="78"/>
      <c r="DY42" s="78"/>
      <c r="DZ42" s="78"/>
      <c r="EB42" s="78" t="s">
        <v>609</v>
      </c>
      <c r="EC42" s="78"/>
      <c r="ED42" s="78"/>
      <c r="EE42" s="78"/>
      <c r="EF42" s="78" t="s">
        <v>610</v>
      </c>
      <c r="EG42" s="78"/>
      <c r="EH42" s="78"/>
      <c r="EI42" s="78"/>
      <c r="EJ42" s="78" t="s">
        <v>611</v>
      </c>
      <c r="EK42" s="78"/>
      <c r="EL42" s="78"/>
      <c r="EM42" s="78"/>
      <c r="EO42" s="78" t="s">
        <v>612</v>
      </c>
      <c r="EP42" s="78"/>
      <c r="EQ42" s="78"/>
      <c r="ER42" s="78"/>
      <c r="ES42" s="78" t="s">
        <v>613</v>
      </c>
      <c r="ET42" s="78"/>
      <c r="EU42" s="78"/>
      <c r="EV42" s="78"/>
      <c r="EW42" s="78" t="s">
        <v>614</v>
      </c>
      <c r="EX42" s="78"/>
      <c r="EY42" s="78"/>
      <c r="EZ42" s="78"/>
      <c r="FB42" s="78" t="s">
        <v>615</v>
      </c>
      <c r="FC42" s="78"/>
      <c r="FD42" s="78"/>
      <c r="FE42" s="78"/>
      <c r="FF42" s="78" t="s">
        <v>616</v>
      </c>
      <c r="FG42" s="78"/>
      <c r="FH42" s="78"/>
      <c r="FI42" s="78"/>
      <c r="FJ42" s="78" t="s">
        <v>617</v>
      </c>
      <c r="FK42" s="78"/>
      <c r="FL42" s="78"/>
      <c r="FM42" s="78"/>
      <c r="FO42" s="78" t="s">
        <v>618</v>
      </c>
      <c r="FP42" s="78"/>
      <c r="FQ42" s="78"/>
      <c r="FR42" s="78"/>
      <c r="FS42" s="78" t="s">
        <v>619</v>
      </c>
      <c r="FT42" s="78"/>
      <c r="FU42" s="78"/>
      <c r="FV42" s="78"/>
      <c r="FW42" s="78" t="s">
        <v>620</v>
      </c>
      <c r="FX42" s="78"/>
      <c r="FY42" s="78"/>
      <c r="FZ42" s="78"/>
      <c r="GB42" s="78" t="s">
        <v>621</v>
      </c>
      <c r="GC42" s="78"/>
      <c r="GD42" s="78"/>
      <c r="GE42" s="78"/>
      <c r="GF42" s="78" t="s">
        <v>622</v>
      </c>
      <c r="GG42" s="78"/>
      <c r="GH42" s="78"/>
      <c r="GI42" s="78"/>
      <c r="GJ42" s="78" t="s">
        <v>623</v>
      </c>
      <c r="GK42" s="78"/>
      <c r="GL42" s="78"/>
      <c r="GM42" s="78"/>
      <c r="GO42" s="78" t="s">
        <v>624</v>
      </c>
      <c r="GP42" s="78"/>
      <c r="GQ42" s="78"/>
      <c r="GR42" s="78"/>
      <c r="GS42" s="78" t="s">
        <v>625</v>
      </c>
      <c r="GT42" s="78"/>
      <c r="GU42" s="78"/>
      <c r="GV42" s="78"/>
      <c r="GW42" s="78" t="s">
        <v>626</v>
      </c>
      <c r="GX42" s="78"/>
      <c r="GY42" s="78"/>
      <c r="GZ42" s="78"/>
      <c r="HB42" s="78" t="s">
        <v>627</v>
      </c>
      <c r="HC42" s="78"/>
      <c r="HD42" s="78"/>
      <c r="HE42" s="78"/>
      <c r="HF42" s="78" t="s">
        <v>628</v>
      </c>
      <c r="HG42" s="78"/>
      <c r="HH42" s="78"/>
      <c r="HI42" s="78"/>
      <c r="HJ42" s="78" t="s">
        <v>629</v>
      </c>
      <c r="HK42" s="78"/>
      <c r="HL42" s="78"/>
      <c r="HM42" s="78"/>
    </row>
    <row r="43" spans="2:221" hidden="1" outlineLevel="1" x14ac:dyDescent="0.45"/>
    <row r="44" spans="2:221" collapsed="1" x14ac:dyDescent="0.45">
      <c r="B44" s="78" t="s">
        <v>630</v>
      </c>
      <c r="C44" s="78"/>
      <c r="D44" s="78"/>
      <c r="E44" s="78"/>
      <c r="F44" s="78" t="s">
        <v>631</v>
      </c>
      <c r="G44" s="78"/>
      <c r="H44" s="78"/>
      <c r="I44" s="78"/>
      <c r="J44" s="78"/>
      <c r="K44" s="78"/>
      <c r="L44" s="78"/>
      <c r="M44" s="78"/>
      <c r="O44" s="78" t="s">
        <v>632</v>
      </c>
      <c r="P44" s="78"/>
      <c r="Q44" s="78"/>
      <c r="R44" s="78"/>
      <c r="S44" s="78" t="s">
        <v>633</v>
      </c>
      <c r="T44" s="78"/>
      <c r="U44" s="78"/>
      <c r="V44" s="78"/>
      <c r="W44" s="78"/>
      <c r="X44" s="78"/>
      <c r="Y44" s="78"/>
      <c r="Z44" s="78"/>
      <c r="AB44" s="78" t="s">
        <v>634</v>
      </c>
      <c r="AC44" s="78"/>
      <c r="AD44" s="78"/>
      <c r="AE44" s="78"/>
      <c r="AF44" s="78" t="s">
        <v>635</v>
      </c>
      <c r="AG44" s="78"/>
      <c r="AH44" s="78"/>
      <c r="AI44" s="78"/>
      <c r="AJ44" s="78"/>
      <c r="AK44" s="78"/>
      <c r="AL44" s="78"/>
      <c r="AM44" s="78"/>
      <c r="AO44" s="78" t="s">
        <v>636</v>
      </c>
      <c r="AP44" s="78"/>
      <c r="AQ44" s="78"/>
      <c r="AR44" s="78"/>
      <c r="AS44" s="78" t="s">
        <v>637</v>
      </c>
      <c r="AT44" s="78"/>
      <c r="AU44" s="78"/>
      <c r="AV44" s="78"/>
      <c r="AW44" s="78"/>
      <c r="AX44" s="78"/>
      <c r="AY44" s="78"/>
      <c r="AZ44" s="78"/>
      <c r="BO44" s="78" t="s">
        <v>638</v>
      </c>
      <c r="BP44" s="78"/>
      <c r="BQ44" s="78"/>
      <c r="BR44" s="78"/>
      <c r="BS44" s="78" t="s">
        <v>639</v>
      </c>
      <c r="BT44" s="78"/>
      <c r="BU44" s="78"/>
      <c r="BV44" s="78"/>
      <c r="BW44" s="78"/>
      <c r="BX44" s="78"/>
      <c r="BY44" s="78"/>
      <c r="BZ44" s="78"/>
      <c r="CB44" s="78" t="s">
        <v>640</v>
      </c>
      <c r="CC44" s="78"/>
      <c r="CD44" s="78"/>
      <c r="CE44" s="78"/>
      <c r="CF44" s="78" t="s">
        <v>641</v>
      </c>
      <c r="CG44" s="78"/>
      <c r="CH44" s="78"/>
      <c r="CI44" s="78"/>
      <c r="CJ44" s="78"/>
      <c r="CK44" s="78"/>
      <c r="CL44" s="78"/>
      <c r="CM44" s="78"/>
      <c r="CO44" s="78" t="s">
        <v>642</v>
      </c>
      <c r="CP44" s="78"/>
      <c r="CQ44" s="78"/>
      <c r="CR44" s="78"/>
      <c r="CS44" s="78" t="s">
        <v>643</v>
      </c>
      <c r="CT44" s="78"/>
      <c r="CU44" s="78"/>
      <c r="CV44" s="78"/>
      <c r="CW44" s="78"/>
      <c r="CX44" s="78"/>
      <c r="CY44" s="78"/>
      <c r="CZ44" s="78"/>
      <c r="DB44" s="78" t="s">
        <v>644</v>
      </c>
      <c r="DC44" s="78"/>
      <c r="DD44" s="78"/>
      <c r="DE44" s="78"/>
      <c r="DF44" s="78" t="s">
        <v>645</v>
      </c>
      <c r="DG44" s="78"/>
      <c r="DH44" s="78"/>
      <c r="DI44" s="78"/>
      <c r="DJ44" s="78"/>
      <c r="DK44" s="78"/>
      <c r="DL44" s="78"/>
      <c r="DM44" s="78"/>
      <c r="DO44" s="78" t="s">
        <v>646</v>
      </c>
      <c r="DP44" s="78"/>
      <c r="DQ44" s="78"/>
      <c r="DR44" s="78"/>
      <c r="DS44" s="78" t="s">
        <v>647</v>
      </c>
      <c r="DT44" s="78"/>
      <c r="DU44" s="78"/>
      <c r="DV44" s="78"/>
      <c r="DW44" s="78"/>
      <c r="DX44" s="78"/>
      <c r="DY44" s="78"/>
      <c r="DZ44" s="78"/>
      <c r="EB44" s="78" t="s">
        <v>648</v>
      </c>
      <c r="EC44" s="78"/>
      <c r="ED44" s="78"/>
      <c r="EE44" s="78"/>
      <c r="EF44" s="78" t="s">
        <v>649</v>
      </c>
      <c r="EG44" s="78"/>
      <c r="EH44" s="78"/>
      <c r="EI44" s="78"/>
      <c r="EJ44" s="78"/>
      <c r="EK44" s="78"/>
      <c r="EL44" s="78"/>
      <c r="EM44" s="78"/>
      <c r="EO44" s="78" t="s">
        <v>650</v>
      </c>
      <c r="EP44" s="78"/>
      <c r="EQ44" s="78"/>
      <c r="ER44" s="78"/>
      <c r="ES44" s="78" t="s">
        <v>651</v>
      </c>
      <c r="ET44" s="78"/>
      <c r="EU44" s="78"/>
      <c r="EV44" s="78"/>
      <c r="EW44" s="78"/>
      <c r="EX44" s="78"/>
      <c r="EY44" s="78"/>
      <c r="EZ44" s="78"/>
      <c r="FB44" s="78" t="s">
        <v>652</v>
      </c>
      <c r="FC44" s="78"/>
      <c r="FD44" s="78"/>
      <c r="FE44" s="78"/>
      <c r="FF44" s="78" t="s">
        <v>653</v>
      </c>
      <c r="FG44" s="78"/>
      <c r="FH44" s="78"/>
      <c r="FI44" s="78"/>
      <c r="FJ44" s="78"/>
      <c r="FK44" s="78"/>
      <c r="FL44" s="78"/>
      <c r="FM44" s="78"/>
      <c r="FO44" s="78" t="s">
        <v>654</v>
      </c>
      <c r="FP44" s="78"/>
      <c r="FQ44" s="78"/>
      <c r="FR44" s="78"/>
      <c r="FS44" s="78" t="s">
        <v>655</v>
      </c>
      <c r="FT44" s="78"/>
      <c r="FU44" s="78"/>
      <c r="FV44" s="78"/>
      <c r="FW44" s="78"/>
      <c r="FX44" s="78"/>
      <c r="FY44" s="78"/>
      <c r="FZ44" s="78"/>
      <c r="GB44" s="78" t="s">
        <v>656</v>
      </c>
      <c r="GC44" s="78"/>
      <c r="GD44" s="78"/>
      <c r="GE44" s="78"/>
      <c r="GF44" s="78" t="s">
        <v>657</v>
      </c>
      <c r="GG44" s="78"/>
      <c r="GH44" s="78"/>
      <c r="GI44" s="78"/>
      <c r="GJ44" s="78"/>
      <c r="GK44" s="78"/>
      <c r="GL44" s="78"/>
      <c r="GM44" s="78"/>
      <c r="GO44" s="78" t="s">
        <v>658</v>
      </c>
      <c r="GP44" s="78"/>
      <c r="GQ44" s="78"/>
      <c r="GR44" s="78"/>
      <c r="GS44" s="78" t="s">
        <v>659</v>
      </c>
      <c r="GT44" s="78"/>
      <c r="GU44" s="78"/>
      <c r="GV44" s="78"/>
      <c r="GW44" s="78"/>
      <c r="GX44" s="78"/>
      <c r="GY44" s="78"/>
      <c r="GZ44" s="78"/>
      <c r="HB44" s="78" t="s">
        <v>660</v>
      </c>
      <c r="HC44" s="78"/>
      <c r="HD44" s="78"/>
      <c r="HE44" s="78"/>
      <c r="HF44" s="78" t="s">
        <v>661</v>
      </c>
      <c r="HG44" s="78"/>
      <c r="HH44" s="78"/>
      <c r="HI44" s="78"/>
      <c r="HJ44" s="78"/>
      <c r="HK44" s="78"/>
      <c r="HL44" s="78"/>
      <c r="HM44" s="78"/>
    </row>
    <row r="45" spans="2:221" ht="40.049999999999997" customHeight="1" x14ac:dyDescent="0.45">
      <c r="B45" s="295"/>
      <c r="C45" s="295"/>
      <c r="D45" s="295"/>
      <c r="E45" s="295"/>
      <c r="F45" s="296"/>
      <c r="G45" s="296"/>
      <c r="H45" s="296"/>
      <c r="I45" s="296"/>
      <c r="J45" s="297"/>
      <c r="K45" s="297"/>
      <c r="L45" s="297"/>
      <c r="M45" s="297"/>
      <c r="O45" s="298"/>
      <c r="P45" s="298"/>
      <c r="Q45" s="298"/>
      <c r="R45" s="298"/>
      <c r="S45" s="299"/>
      <c r="T45" s="299"/>
      <c r="U45" s="299"/>
      <c r="V45" s="299"/>
      <c r="W45" s="300"/>
      <c r="X45" s="300"/>
      <c r="Y45" s="300"/>
      <c r="Z45" s="300"/>
      <c r="AB45" s="301"/>
      <c r="AC45" s="301"/>
      <c r="AD45" s="301"/>
      <c r="AE45" s="301"/>
      <c r="AF45" s="302"/>
      <c r="AG45" s="302"/>
      <c r="AH45" s="302"/>
      <c r="AI45" s="302"/>
      <c r="AJ45" s="303"/>
      <c r="AK45" s="303"/>
      <c r="AL45" s="303"/>
      <c r="AM45" s="303"/>
      <c r="AO45" s="264"/>
      <c r="AP45" s="264"/>
      <c r="AQ45" s="264"/>
      <c r="AR45" s="264"/>
      <c r="AS45" s="265"/>
      <c r="AT45" s="265"/>
      <c r="AU45" s="265"/>
      <c r="AV45" s="265"/>
      <c r="AW45" s="266"/>
      <c r="AX45" s="266"/>
      <c r="AY45" s="266"/>
      <c r="AZ45" s="266"/>
      <c r="BO45" s="267"/>
      <c r="BP45" s="267"/>
      <c r="BQ45" s="267"/>
      <c r="BR45" s="267"/>
      <c r="BS45" s="268"/>
      <c r="BT45" s="268"/>
      <c r="BU45" s="268"/>
      <c r="BV45" s="268"/>
      <c r="BW45" s="269"/>
      <c r="BX45" s="269"/>
      <c r="BY45" s="269"/>
      <c r="BZ45" s="269"/>
      <c r="CB45" s="294"/>
      <c r="CC45" s="294"/>
      <c r="CD45" s="294"/>
      <c r="CE45" s="294"/>
      <c r="CF45" s="259"/>
      <c r="CG45" s="259"/>
      <c r="CH45" s="259"/>
      <c r="CI45" s="259"/>
      <c r="CJ45" s="260"/>
      <c r="CK45" s="260"/>
      <c r="CL45" s="260"/>
      <c r="CM45" s="260"/>
      <c r="CO45" s="261"/>
      <c r="CP45" s="261"/>
      <c r="CQ45" s="261"/>
      <c r="CR45" s="261"/>
      <c r="CS45" s="262"/>
      <c r="CT45" s="262"/>
      <c r="CU45" s="262"/>
      <c r="CV45" s="262"/>
      <c r="CW45" s="263"/>
      <c r="CX45" s="263"/>
      <c r="CY45" s="263"/>
      <c r="CZ45" s="263"/>
      <c r="DB45" s="288"/>
      <c r="DC45" s="288"/>
      <c r="DD45" s="288"/>
      <c r="DE45" s="288"/>
      <c r="DF45" s="289"/>
      <c r="DG45" s="289"/>
      <c r="DH45" s="289"/>
      <c r="DI45" s="289"/>
      <c r="DJ45" s="290"/>
      <c r="DK45" s="290"/>
      <c r="DL45" s="290"/>
      <c r="DM45" s="290"/>
      <c r="DO45" s="291"/>
      <c r="DP45" s="291"/>
      <c r="DQ45" s="291"/>
      <c r="DR45" s="291"/>
      <c r="DS45" s="292"/>
      <c r="DT45" s="292"/>
      <c r="DU45" s="292"/>
      <c r="DV45" s="292"/>
      <c r="DW45" s="293"/>
      <c r="DX45" s="293"/>
      <c r="DY45" s="293"/>
      <c r="DZ45" s="293"/>
      <c r="EB45" s="282"/>
      <c r="EC45" s="282"/>
      <c r="ED45" s="282"/>
      <c r="EE45" s="282"/>
      <c r="EF45" s="283"/>
      <c r="EG45" s="283"/>
      <c r="EH45" s="283"/>
      <c r="EI45" s="283"/>
      <c r="EJ45" s="284"/>
      <c r="EK45" s="284"/>
      <c r="EL45" s="284"/>
      <c r="EM45" s="284"/>
      <c r="EO45" s="285"/>
      <c r="EP45" s="285"/>
      <c r="EQ45" s="285"/>
      <c r="ER45" s="285"/>
      <c r="ES45" s="286"/>
      <c r="ET45" s="286"/>
      <c r="EU45" s="286"/>
      <c r="EV45" s="286"/>
      <c r="EW45" s="287"/>
      <c r="EX45" s="287"/>
      <c r="EY45" s="287"/>
      <c r="EZ45" s="287"/>
      <c r="FB45" s="276"/>
      <c r="FC45" s="276"/>
      <c r="FD45" s="276"/>
      <c r="FE45" s="276"/>
      <c r="FF45" s="277"/>
      <c r="FG45" s="277"/>
      <c r="FH45" s="277"/>
      <c r="FI45" s="277"/>
      <c r="FJ45" s="278"/>
      <c r="FK45" s="278"/>
      <c r="FL45" s="278"/>
      <c r="FM45" s="278"/>
      <c r="FO45" s="279"/>
      <c r="FP45" s="279"/>
      <c r="FQ45" s="279"/>
      <c r="FR45" s="279"/>
      <c r="FS45" s="280"/>
      <c r="FT45" s="280"/>
      <c r="FU45" s="280"/>
      <c r="FV45" s="280"/>
      <c r="FW45" s="281"/>
      <c r="FX45" s="281"/>
      <c r="FY45" s="281"/>
      <c r="FZ45" s="281"/>
      <c r="GB45" s="270"/>
      <c r="GC45" s="270"/>
      <c r="GD45" s="270"/>
      <c r="GE45" s="270"/>
      <c r="GF45" s="271"/>
      <c r="GG45" s="271"/>
      <c r="GH45" s="271"/>
      <c r="GI45" s="271"/>
      <c r="GJ45" s="272"/>
      <c r="GK45" s="272"/>
      <c r="GL45" s="272"/>
      <c r="GM45" s="272"/>
      <c r="GO45" s="273"/>
      <c r="GP45" s="273"/>
      <c r="GQ45" s="273"/>
      <c r="GR45" s="273"/>
      <c r="GS45" s="274"/>
      <c r="GT45" s="274"/>
      <c r="GU45" s="274"/>
      <c r="GV45" s="274"/>
      <c r="GW45" s="275"/>
      <c r="GX45" s="275"/>
      <c r="GY45" s="275"/>
      <c r="GZ45" s="275"/>
      <c r="HB45" s="256"/>
      <c r="HC45" s="256"/>
      <c r="HD45" s="256"/>
      <c r="HE45" s="256"/>
      <c r="HF45" s="257"/>
      <c r="HG45" s="257"/>
      <c r="HH45" s="257"/>
      <c r="HI45" s="257"/>
      <c r="HJ45" s="258"/>
      <c r="HK45" s="258"/>
      <c r="HL45" s="258"/>
      <c r="HM45" s="258"/>
    </row>
    <row r="46" spans="2:221" hidden="1" outlineLevel="1" x14ac:dyDescent="0.45">
      <c r="B46" s="18" t="s">
        <v>73</v>
      </c>
      <c r="C46" s="18" t="s">
        <v>74</v>
      </c>
      <c r="D46" s="18" t="s">
        <v>75</v>
      </c>
      <c r="F46" s="18" t="s">
        <v>73</v>
      </c>
      <c r="G46" s="18" t="s">
        <v>74</v>
      </c>
      <c r="H46" s="18" t="s">
        <v>75</v>
      </c>
      <c r="J46" s="18" t="s">
        <v>73</v>
      </c>
      <c r="K46" s="18" t="s">
        <v>74</v>
      </c>
      <c r="L46" s="18" t="s">
        <v>75</v>
      </c>
      <c r="O46" s="18" t="s">
        <v>73</v>
      </c>
      <c r="P46" s="18" t="s">
        <v>74</v>
      </c>
      <c r="Q46" s="18" t="s">
        <v>75</v>
      </c>
      <c r="S46" s="18" t="s">
        <v>73</v>
      </c>
      <c r="T46" s="18" t="s">
        <v>74</v>
      </c>
      <c r="U46" s="18" t="s">
        <v>75</v>
      </c>
      <c r="W46" s="18" t="s">
        <v>73</v>
      </c>
      <c r="X46" s="18" t="s">
        <v>74</v>
      </c>
      <c r="Y46" s="18" t="s">
        <v>75</v>
      </c>
      <c r="AB46" s="18" t="s">
        <v>73</v>
      </c>
      <c r="AC46" s="18" t="s">
        <v>74</v>
      </c>
      <c r="AD46" s="18" t="s">
        <v>75</v>
      </c>
      <c r="AF46" s="18" t="s">
        <v>73</v>
      </c>
      <c r="AG46" s="18" t="s">
        <v>74</v>
      </c>
      <c r="AH46" s="18" t="s">
        <v>75</v>
      </c>
      <c r="AJ46" s="18" t="s">
        <v>73</v>
      </c>
      <c r="AK46" s="18" t="s">
        <v>74</v>
      </c>
      <c r="AL46" s="18" t="s">
        <v>75</v>
      </c>
      <c r="AO46" s="18" t="s">
        <v>73</v>
      </c>
      <c r="AP46" s="18" t="s">
        <v>74</v>
      </c>
      <c r="AQ46" s="18" t="s">
        <v>75</v>
      </c>
      <c r="AS46" s="18" t="s">
        <v>73</v>
      </c>
      <c r="AT46" s="18" t="s">
        <v>74</v>
      </c>
      <c r="AU46" s="18" t="s">
        <v>75</v>
      </c>
      <c r="AW46" s="18" t="s">
        <v>73</v>
      </c>
      <c r="AX46" s="18" t="s">
        <v>74</v>
      </c>
      <c r="AY46" s="18" t="s">
        <v>75</v>
      </c>
      <c r="BO46" s="18" t="s">
        <v>73</v>
      </c>
      <c r="BP46" s="18" t="s">
        <v>74</v>
      </c>
      <c r="BQ46" s="18" t="s">
        <v>75</v>
      </c>
      <c r="BS46" s="18" t="s">
        <v>73</v>
      </c>
      <c r="BT46" s="18" t="s">
        <v>74</v>
      </c>
      <c r="BU46" s="18" t="s">
        <v>75</v>
      </c>
      <c r="BW46" s="18" t="s">
        <v>73</v>
      </c>
      <c r="BX46" s="18" t="s">
        <v>74</v>
      </c>
      <c r="BY46" s="18" t="s">
        <v>75</v>
      </c>
      <c r="CB46" s="18" t="s">
        <v>73</v>
      </c>
      <c r="CC46" s="18" t="s">
        <v>74</v>
      </c>
      <c r="CD46" s="18" t="s">
        <v>75</v>
      </c>
      <c r="CF46" s="18" t="s">
        <v>73</v>
      </c>
      <c r="CG46" s="18" t="s">
        <v>74</v>
      </c>
      <c r="CH46" s="18" t="s">
        <v>75</v>
      </c>
      <c r="CJ46" s="18" t="s">
        <v>73</v>
      </c>
      <c r="CK46" s="18" t="s">
        <v>74</v>
      </c>
      <c r="CL46" s="18" t="s">
        <v>75</v>
      </c>
      <c r="CO46" s="18" t="s">
        <v>73</v>
      </c>
      <c r="CP46" s="18" t="s">
        <v>74</v>
      </c>
      <c r="CQ46" s="18" t="s">
        <v>75</v>
      </c>
      <c r="CS46" s="18" t="s">
        <v>73</v>
      </c>
      <c r="CT46" s="18" t="s">
        <v>74</v>
      </c>
      <c r="CU46" s="18" t="s">
        <v>75</v>
      </c>
      <c r="CW46" s="18" t="s">
        <v>73</v>
      </c>
      <c r="CX46" s="18" t="s">
        <v>74</v>
      </c>
      <c r="CY46" s="18" t="s">
        <v>75</v>
      </c>
      <c r="DB46" s="18" t="s">
        <v>73</v>
      </c>
      <c r="DC46" s="18" t="s">
        <v>74</v>
      </c>
      <c r="DD46" s="18" t="s">
        <v>75</v>
      </c>
      <c r="DF46" s="18" t="s">
        <v>73</v>
      </c>
      <c r="DG46" s="18" t="s">
        <v>74</v>
      </c>
      <c r="DH46" s="18" t="s">
        <v>75</v>
      </c>
      <c r="DJ46" s="18" t="s">
        <v>73</v>
      </c>
      <c r="DK46" s="18" t="s">
        <v>74</v>
      </c>
      <c r="DL46" s="18" t="s">
        <v>75</v>
      </c>
      <c r="DO46" s="18" t="s">
        <v>73</v>
      </c>
      <c r="DP46" s="18" t="s">
        <v>74</v>
      </c>
      <c r="DQ46" s="18" t="s">
        <v>75</v>
      </c>
      <c r="DS46" s="18" t="s">
        <v>73</v>
      </c>
      <c r="DT46" s="18" t="s">
        <v>74</v>
      </c>
      <c r="DU46" s="18" t="s">
        <v>75</v>
      </c>
      <c r="DW46" s="18" t="s">
        <v>73</v>
      </c>
      <c r="DX46" s="18" t="s">
        <v>74</v>
      </c>
      <c r="DY46" s="18" t="s">
        <v>75</v>
      </c>
      <c r="EB46" s="18" t="s">
        <v>73</v>
      </c>
      <c r="EC46" s="18" t="s">
        <v>74</v>
      </c>
      <c r="ED46" s="18" t="s">
        <v>75</v>
      </c>
      <c r="EF46" s="18" t="s">
        <v>73</v>
      </c>
      <c r="EG46" s="18" t="s">
        <v>74</v>
      </c>
      <c r="EH46" s="18" t="s">
        <v>75</v>
      </c>
      <c r="EJ46" s="18" t="s">
        <v>73</v>
      </c>
      <c r="EK46" s="18" t="s">
        <v>74</v>
      </c>
      <c r="EL46" s="18" t="s">
        <v>75</v>
      </c>
      <c r="EO46" s="18" t="s">
        <v>73</v>
      </c>
      <c r="EP46" s="18" t="s">
        <v>74</v>
      </c>
      <c r="EQ46" s="18" t="s">
        <v>75</v>
      </c>
      <c r="ES46" s="18" t="s">
        <v>73</v>
      </c>
      <c r="ET46" s="18" t="s">
        <v>74</v>
      </c>
      <c r="EU46" s="18" t="s">
        <v>75</v>
      </c>
      <c r="EW46" s="18" t="s">
        <v>73</v>
      </c>
      <c r="EX46" s="18" t="s">
        <v>74</v>
      </c>
      <c r="EY46" s="18" t="s">
        <v>75</v>
      </c>
      <c r="FB46" s="18" t="s">
        <v>73</v>
      </c>
      <c r="FC46" s="18" t="s">
        <v>74</v>
      </c>
      <c r="FD46" s="18" t="s">
        <v>75</v>
      </c>
      <c r="FF46" s="18" t="s">
        <v>73</v>
      </c>
      <c r="FG46" s="18" t="s">
        <v>74</v>
      </c>
      <c r="FH46" s="18" t="s">
        <v>75</v>
      </c>
      <c r="FJ46" s="18" t="s">
        <v>73</v>
      </c>
      <c r="FK46" s="18" t="s">
        <v>74</v>
      </c>
      <c r="FL46" s="18" t="s">
        <v>75</v>
      </c>
      <c r="FO46" s="18" t="s">
        <v>73</v>
      </c>
      <c r="FP46" s="18" t="s">
        <v>74</v>
      </c>
      <c r="FQ46" s="18" t="s">
        <v>75</v>
      </c>
      <c r="FS46" s="18" t="s">
        <v>73</v>
      </c>
      <c r="FT46" s="18" t="s">
        <v>74</v>
      </c>
      <c r="FU46" s="18" t="s">
        <v>75</v>
      </c>
      <c r="FW46" s="18" t="s">
        <v>73</v>
      </c>
      <c r="FX46" s="18" t="s">
        <v>74</v>
      </c>
      <c r="FY46" s="18" t="s">
        <v>75</v>
      </c>
      <c r="GB46" s="18" t="s">
        <v>73</v>
      </c>
      <c r="GC46" s="18" t="s">
        <v>74</v>
      </c>
      <c r="GD46" s="18" t="s">
        <v>75</v>
      </c>
      <c r="GF46" s="18" t="s">
        <v>73</v>
      </c>
      <c r="GG46" s="18" t="s">
        <v>74</v>
      </c>
      <c r="GH46" s="18" t="s">
        <v>75</v>
      </c>
      <c r="GJ46" s="18" t="s">
        <v>73</v>
      </c>
      <c r="GK46" s="18" t="s">
        <v>74</v>
      </c>
      <c r="GL46" s="18" t="s">
        <v>75</v>
      </c>
      <c r="GO46" s="18" t="s">
        <v>73</v>
      </c>
      <c r="GP46" s="18" t="s">
        <v>74</v>
      </c>
      <c r="GQ46" s="18" t="s">
        <v>75</v>
      </c>
      <c r="GS46" s="18" t="s">
        <v>73</v>
      </c>
      <c r="GT46" s="18" t="s">
        <v>74</v>
      </c>
      <c r="GU46" s="18" t="s">
        <v>75</v>
      </c>
      <c r="GW46" s="18" t="s">
        <v>73</v>
      </c>
      <c r="GX46" s="18" t="s">
        <v>74</v>
      </c>
      <c r="GY46" s="18" t="s">
        <v>75</v>
      </c>
      <c r="HB46" s="18" t="s">
        <v>73</v>
      </c>
      <c r="HC46" s="18" t="s">
        <v>74</v>
      </c>
      <c r="HD46" s="18" t="s">
        <v>75</v>
      </c>
      <c r="HF46" s="18" t="s">
        <v>73</v>
      </c>
      <c r="HG46" s="18" t="s">
        <v>74</v>
      </c>
      <c r="HH46" s="18" t="s">
        <v>75</v>
      </c>
      <c r="HJ46" s="18" t="s">
        <v>73</v>
      </c>
      <c r="HK46" s="18" t="s">
        <v>74</v>
      </c>
      <c r="HL46" s="18" t="s">
        <v>75</v>
      </c>
    </row>
    <row r="47" spans="2:221" hidden="1" outlineLevel="1" x14ac:dyDescent="0.45">
      <c r="B47" s="18">
        <v>32</v>
      </c>
      <c r="C47" s="18">
        <v>32</v>
      </c>
      <c r="D47" s="18">
        <v>32</v>
      </c>
      <c r="F47" s="18">
        <v>43</v>
      </c>
      <c r="G47" s="18">
        <v>43</v>
      </c>
      <c r="H47" s="18">
        <v>43</v>
      </c>
      <c r="J47" s="18">
        <v>50</v>
      </c>
      <c r="K47" s="18">
        <v>50</v>
      </c>
      <c r="L47" s="18">
        <v>50</v>
      </c>
      <c r="O47" s="18">
        <v>228</v>
      </c>
      <c r="P47" s="18">
        <v>198</v>
      </c>
      <c r="Q47" s="18">
        <v>166</v>
      </c>
      <c r="S47" s="18">
        <v>142</v>
      </c>
      <c r="T47" s="18">
        <v>119</v>
      </c>
      <c r="U47" s="18">
        <v>93</v>
      </c>
      <c r="W47" s="18">
        <v>230</v>
      </c>
      <c r="X47" s="18">
        <v>205</v>
      </c>
      <c r="Y47" s="18">
        <v>140</v>
      </c>
      <c r="AB47" s="18">
        <v>240</v>
      </c>
      <c r="AC47" s="18">
        <v>132</v>
      </c>
      <c r="AD47" s="18">
        <v>55</v>
      </c>
      <c r="AF47" s="18">
        <v>0</v>
      </c>
      <c r="AG47" s="18">
        <v>160</v>
      </c>
      <c r="AH47" s="18">
        <v>64</v>
      </c>
      <c r="AJ47" s="18">
        <v>230</v>
      </c>
      <c r="AK47" s="18">
        <v>25</v>
      </c>
      <c r="AL47" s="18">
        <v>28</v>
      </c>
      <c r="AO47" s="18">
        <v>0</v>
      </c>
      <c r="AP47" s="18">
        <v>76</v>
      </c>
      <c r="AQ47" s="18">
        <v>134</v>
      </c>
      <c r="AS47" s="18">
        <v>248</v>
      </c>
      <c r="AT47" s="18">
        <v>200</v>
      </c>
      <c r="AU47" s="18">
        <v>178</v>
      </c>
      <c r="AW47" s="18">
        <v>102</v>
      </c>
      <c r="AX47" s="18">
        <v>155</v>
      </c>
      <c r="AY47" s="18">
        <v>118</v>
      </c>
      <c r="BO47" s="18">
        <v>124</v>
      </c>
      <c r="BP47" s="18">
        <v>46</v>
      </c>
      <c r="BQ47" s="18">
        <v>30</v>
      </c>
      <c r="BS47" s="18">
        <v>177</v>
      </c>
      <c r="BT47" s="18">
        <v>153</v>
      </c>
      <c r="BU47" s="18">
        <v>98</v>
      </c>
      <c r="BW47" s="18">
        <v>42</v>
      </c>
      <c r="BX47" s="18">
        <v>71</v>
      </c>
      <c r="BY47" s="18">
        <v>67</v>
      </c>
      <c r="CB47" s="18">
        <v>0</v>
      </c>
      <c r="CC47" s="18">
        <v>84</v>
      </c>
      <c r="CD47" s="18">
        <v>167</v>
      </c>
      <c r="CF47" s="18">
        <v>247</v>
      </c>
      <c r="CG47" s="18">
        <v>187</v>
      </c>
      <c r="CH47" s="18">
        <v>162</v>
      </c>
      <c r="CJ47" s="18">
        <v>170</v>
      </c>
      <c r="CK47" s="18">
        <v>171</v>
      </c>
      <c r="CL47" s="18">
        <v>171</v>
      </c>
      <c r="CO47" s="18">
        <v>245</v>
      </c>
      <c r="CP47" s="18">
        <v>184</v>
      </c>
      <c r="CQ47" s="18">
        <v>204</v>
      </c>
      <c r="CS47" s="18">
        <v>46</v>
      </c>
      <c r="CT47" s="18">
        <v>105</v>
      </c>
      <c r="CU47" s="18">
        <v>179</v>
      </c>
      <c r="CW47" s="18">
        <v>74</v>
      </c>
      <c r="CX47" s="18">
        <v>188</v>
      </c>
      <c r="CY47" s="18">
        <v>185</v>
      </c>
      <c r="DB47" s="18">
        <v>232</v>
      </c>
      <c r="DC47" s="18">
        <v>56</v>
      </c>
      <c r="DD47" s="18">
        <v>32</v>
      </c>
      <c r="DF47" s="18">
        <v>125</v>
      </c>
      <c r="DG47" s="18">
        <v>188</v>
      </c>
      <c r="DH47" s="18">
        <v>232</v>
      </c>
      <c r="DJ47" s="18">
        <v>255</v>
      </c>
      <c r="DK47" s="18">
        <v>226</v>
      </c>
      <c r="DL47" s="18">
        <v>7</v>
      </c>
      <c r="DO47" s="18">
        <v>136</v>
      </c>
      <c r="DP47" s="18">
        <v>157</v>
      </c>
      <c r="DQ47" s="18">
        <v>133</v>
      </c>
      <c r="DS47" s="18">
        <v>253</v>
      </c>
      <c r="DT47" s="18">
        <v>235</v>
      </c>
      <c r="DU47" s="18">
        <v>222</v>
      </c>
      <c r="DW47" s="18">
        <v>178</v>
      </c>
      <c r="DX47" s="18">
        <v>201</v>
      </c>
      <c r="DY47" s="18">
        <v>186</v>
      </c>
      <c r="EB47" s="18">
        <v>0</v>
      </c>
      <c r="EC47" s="18">
        <v>130</v>
      </c>
      <c r="ED47" s="18">
        <v>145</v>
      </c>
      <c r="EF47" s="18">
        <v>207</v>
      </c>
      <c r="EG47" s="18">
        <v>199</v>
      </c>
      <c r="EH47" s="18">
        <v>195</v>
      </c>
      <c r="EJ47" s="18">
        <v>239</v>
      </c>
      <c r="EK47" s="18">
        <v>167</v>
      </c>
      <c r="EL47" s="18">
        <v>43</v>
      </c>
      <c r="EO47" s="18">
        <v>254</v>
      </c>
      <c r="EP47" s="18">
        <v>242</v>
      </c>
      <c r="EQ47" s="18">
        <v>226</v>
      </c>
      <c r="ES47" s="18">
        <v>169</v>
      </c>
      <c r="ET47" s="18">
        <v>116</v>
      </c>
      <c r="EU47" s="18">
        <v>74</v>
      </c>
      <c r="EW47" s="18">
        <v>47</v>
      </c>
      <c r="EX47" s="18">
        <v>36</v>
      </c>
      <c r="EY47" s="18">
        <v>27</v>
      </c>
      <c r="FB47" s="18">
        <v>190</v>
      </c>
      <c r="FC47" s="18">
        <v>213</v>
      </c>
      <c r="FD47" s="18">
        <v>232</v>
      </c>
      <c r="FF47" s="18">
        <v>171</v>
      </c>
      <c r="FG47" s="18">
        <v>176</v>
      </c>
      <c r="FH47" s="18">
        <v>188</v>
      </c>
      <c r="FJ47" s="18">
        <v>236</v>
      </c>
      <c r="FK47" s="18">
        <v>240</v>
      </c>
      <c r="FL47" s="18">
        <v>244</v>
      </c>
      <c r="FO47" s="18">
        <v>82</v>
      </c>
      <c r="FP47" s="18">
        <v>146</v>
      </c>
      <c r="FQ47" s="18">
        <v>202</v>
      </c>
      <c r="FS47" s="18">
        <v>255</v>
      </c>
      <c r="FT47" s="18">
        <v>241</v>
      </c>
      <c r="FU47" s="18">
        <v>104</v>
      </c>
      <c r="FW47" s="18">
        <v>247</v>
      </c>
      <c r="FX47" s="18">
        <v>201</v>
      </c>
      <c r="FY47" s="18">
        <v>221</v>
      </c>
      <c r="GB47" s="18">
        <v>146</v>
      </c>
      <c r="GC47" s="18">
        <v>121</v>
      </c>
      <c r="GD47" s="18">
        <v>138</v>
      </c>
      <c r="GF47" s="18">
        <v>214</v>
      </c>
      <c r="GG47" s="18">
        <v>173</v>
      </c>
      <c r="GH47" s="18">
        <v>52</v>
      </c>
      <c r="GJ47" s="18">
        <v>229</v>
      </c>
      <c r="GK47" s="18">
        <v>216</v>
      </c>
      <c r="GL47" s="18">
        <v>178</v>
      </c>
      <c r="GO47" s="18">
        <v>236</v>
      </c>
      <c r="GP47" s="18">
        <v>102</v>
      </c>
      <c r="GQ47" s="18">
        <v>42</v>
      </c>
      <c r="GS47" s="18">
        <v>234</v>
      </c>
      <c r="GT47" s="18">
        <v>216</v>
      </c>
      <c r="GU47" s="18">
        <v>193</v>
      </c>
      <c r="GW47" s="18">
        <v>59</v>
      </c>
      <c r="GX47" s="18">
        <v>103</v>
      </c>
      <c r="GY47" s="18">
        <v>170</v>
      </c>
      <c r="HB47" s="18">
        <v>209</v>
      </c>
      <c r="HC47" s="18">
        <v>166</v>
      </c>
      <c r="HD47" s="18">
        <v>203</v>
      </c>
      <c r="HF47" s="18">
        <v>57</v>
      </c>
      <c r="HG47" s="18">
        <v>75</v>
      </c>
      <c r="HH47" s="18">
        <v>119</v>
      </c>
      <c r="HJ47" s="18">
        <v>124</v>
      </c>
      <c r="HK47" s="18">
        <v>134</v>
      </c>
      <c r="HL47" s="18">
        <v>169</v>
      </c>
    </row>
    <row r="48" spans="2:221" hidden="1" outlineLevel="1" x14ac:dyDescent="0.45">
      <c r="B48" s="78" t="s">
        <v>662</v>
      </c>
      <c r="C48" s="78"/>
      <c r="D48" s="78"/>
      <c r="E48" s="78"/>
      <c r="F48" s="78" t="s">
        <v>663</v>
      </c>
      <c r="G48" s="78"/>
      <c r="H48" s="78"/>
      <c r="I48" s="78"/>
      <c r="J48" s="78" t="s">
        <v>664</v>
      </c>
      <c r="K48" s="78"/>
      <c r="L48" s="78"/>
      <c r="M48" s="78"/>
      <c r="O48" s="78" t="s">
        <v>665</v>
      </c>
      <c r="P48" s="78"/>
      <c r="Q48" s="78"/>
      <c r="R48" s="78"/>
      <c r="S48" s="78" t="s">
        <v>666</v>
      </c>
      <c r="T48" s="78"/>
      <c r="U48" s="78"/>
      <c r="V48" s="78"/>
      <c r="W48" s="78" t="s">
        <v>667</v>
      </c>
      <c r="X48" s="78"/>
      <c r="Y48" s="78"/>
      <c r="Z48" s="78"/>
      <c r="AB48" s="78" t="s">
        <v>668</v>
      </c>
      <c r="AC48" s="78"/>
      <c r="AD48" s="78"/>
      <c r="AE48" s="78"/>
      <c r="AF48" s="78" t="s">
        <v>669</v>
      </c>
      <c r="AG48" s="78"/>
      <c r="AH48" s="78"/>
      <c r="AI48" s="78"/>
      <c r="AJ48" s="78" t="s">
        <v>670</v>
      </c>
      <c r="AK48" s="78"/>
      <c r="AL48" s="78"/>
      <c r="AM48" s="78"/>
      <c r="AO48" s="78" t="s">
        <v>671</v>
      </c>
      <c r="AP48" s="78"/>
      <c r="AQ48" s="78"/>
      <c r="AR48" s="78"/>
      <c r="AS48" s="78" t="s">
        <v>672</v>
      </c>
      <c r="AT48" s="78"/>
      <c r="AU48" s="78"/>
      <c r="AV48" s="78"/>
      <c r="AW48" s="78" t="s">
        <v>673</v>
      </c>
      <c r="AX48" s="78"/>
      <c r="AY48" s="78"/>
      <c r="AZ48" s="78"/>
      <c r="BO48" s="78" t="s">
        <v>674</v>
      </c>
      <c r="BP48" s="78"/>
      <c r="BQ48" s="78"/>
      <c r="BR48" s="78"/>
      <c r="BS48" s="78" t="s">
        <v>675</v>
      </c>
      <c r="BT48" s="78"/>
      <c r="BU48" s="78"/>
      <c r="BV48" s="78"/>
      <c r="BW48" s="78" t="s">
        <v>676</v>
      </c>
      <c r="BX48" s="78"/>
      <c r="BY48" s="78"/>
      <c r="BZ48" s="78"/>
      <c r="CB48" s="78" t="s">
        <v>677</v>
      </c>
      <c r="CC48" s="78"/>
      <c r="CD48" s="78"/>
      <c r="CE48" s="78"/>
      <c r="CF48" s="78" t="s">
        <v>678</v>
      </c>
      <c r="CG48" s="78"/>
      <c r="CH48" s="78"/>
      <c r="CI48" s="78"/>
      <c r="CJ48" s="78" t="s">
        <v>679</v>
      </c>
      <c r="CK48" s="78"/>
      <c r="CL48" s="78"/>
      <c r="CM48" s="78"/>
      <c r="CO48" s="78" t="s">
        <v>680</v>
      </c>
      <c r="CP48" s="78"/>
      <c r="CQ48" s="78"/>
      <c r="CR48" s="78"/>
      <c r="CS48" s="78" t="s">
        <v>681</v>
      </c>
      <c r="CT48" s="78"/>
      <c r="CU48" s="78"/>
      <c r="CV48" s="78"/>
      <c r="CW48" s="78" t="s">
        <v>682</v>
      </c>
      <c r="CX48" s="78"/>
      <c r="CY48" s="78"/>
      <c r="CZ48" s="78"/>
      <c r="DB48" s="78" t="s">
        <v>683</v>
      </c>
      <c r="DC48" s="78"/>
      <c r="DD48" s="78"/>
      <c r="DE48" s="78"/>
      <c r="DF48" s="78" t="s">
        <v>684</v>
      </c>
      <c r="DG48" s="78"/>
      <c r="DH48" s="78"/>
      <c r="DI48" s="78"/>
      <c r="DJ48" s="78" t="s">
        <v>685</v>
      </c>
      <c r="DK48" s="78"/>
      <c r="DL48" s="78"/>
      <c r="DM48" s="78"/>
      <c r="DO48" s="78" t="s">
        <v>686</v>
      </c>
      <c r="DP48" s="78"/>
      <c r="DQ48" s="78"/>
      <c r="DR48" s="78"/>
      <c r="DS48" s="78" t="s">
        <v>687</v>
      </c>
      <c r="DT48" s="78"/>
      <c r="DU48" s="78"/>
      <c r="DV48" s="78"/>
      <c r="DW48" s="78" t="s">
        <v>688</v>
      </c>
      <c r="DX48" s="78"/>
      <c r="DY48" s="78"/>
      <c r="DZ48" s="78"/>
      <c r="EB48" s="78" t="s">
        <v>689</v>
      </c>
      <c r="EC48" s="78"/>
      <c r="ED48" s="78"/>
      <c r="EE48" s="78"/>
      <c r="EF48" s="78" t="s">
        <v>690</v>
      </c>
      <c r="EG48" s="78"/>
      <c r="EH48" s="78"/>
      <c r="EI48" s="78"/>
      <c r="EJ48" s="78" t="s">
        <v>691</v>
      </c>
      <c r="EK48" s="78"/>
      <c r="EL48" s="78"/>
      <c r="EM48" s="78"/>
      <c r="EO48" s="78" t="s">
        <v>692</v>
      </c>
      <c r="EP48" s="78"/>
      <c r="EQ48" s="78"/>
      <c r="ER48" s="78"/>
      <c r="ES48" s="78" t="s">
        <v>693</v>
      </c>
      <c r="ET48" s="78"/>
      <c r="EU48" s="78"/>
      <c r="EV48" s="78"/>
      <c r="EW48" s="78" t="s">
        <v>694</v>
      </c>
      <c r="EX48" s="78"/>
      <c r="EY48" s="78"/>
      <c r="EZ48" s="78"/>
      <c r="FB48" s="78" t="s">
        <v>695</v>
      </c>
      <c r="FC48" s="78"/>
      <c r="FD48" s="78"/>
      <c r="FE48" s="78"/>
      <c r="FF48" s="78" t="s">
        <v>696</v>
      </c>
      <c r="FG48" s="78"/>
      <c r="FH48" s="78"/>
      <c r="FI48" s="78"/>
      <c r="FJ48" s="78" t="s">
        <v>697</v>
      </c>
      <c r="FK48" s="78"/>
      <c r="FL48" s="78"/>
      <c r="FM48" s="78"/>
      <c r="FO48" s="78" t="s">
        <v>698</v>
      </c>
      <c r="FP48" s="78"/>
      <c r="FQ48" s="78"/>
      <c r="FR48" s="78"/>
      <c r="FS48" s="78" t="s">
        <v>699</v>
      </c>
      <c r="FT48" s="78"/>
      <c r="FU48" s="78"/>
      <c r="FV48" s="78"/>
      <c r="FW48" s="78" t="s">
        <v>700</v>
      </c>
      <c r="FX48" s="78"/>
      <c r="FY48" s="78"/>
      <c r="FZ48" s="78"/>
      <c r="GB48" s="78" t="s">
        <v>701</v>
      </c>
      <c r="GC48" s="78"/>
      <c r="GD48" s="78"/>
      <c r="GE48" s="78"/>
      <c r="GF48" s="78" t="s">
        <v>702</v>
      </c>
      <c r="GG48" s="78"/>
      <c r="GH48" s="78"/>
      <c r="GI48" s="78"/>
      <c r="GJ48" s="78" t="s">
        <v>703</v>
      </c>
      <c r="GK48" s="78"/>
      <c r="GL48" s="78"/>
      <c r="GM48" s="78"/>
      <c r="GO48" s="78" t="s">
        <v>704</v>
      </c>
      <c r="GP48" s="78"/>
      <c r="GQ48" s="78"/>
      <c r="GR48" s="78"/>
      <c r="GS48" s="78" t="s">
        <v>705</v>
      </c>
      <c r="GT48" s="78"/>
      <c r="GU48" s="78"/>
      <c r="GV48" s="78"/>
      <c r="GW48" s="78" t="s">
        <v>706</v>
      </c>
      <c r="GX48" s="78"/>
      <c r="GY48" s="78"/>
      <c r="GZ48" s="78"/>
      <c r="HB48" s="78" t="s">
        <v>707</v>
      </c>
      <c r="HC48" s="78"/>
      <c r="HD48" s="78"/>
      <c r="HE48" s="78"/>
      <c r="HF48" s="78" t="s">
        <v>708</v>
      </c>
      <c r="HG48" s="78"/>
      <c r="HH48" s="78"/>
      <c r="HI48" s="78"/>
      <c r="HJ48" s="78" t="s">
        <v>709</v>
      </c>
      <c r="HK48" s="78"/>
      <c r="HL48" s="78"/>
      <c r="HM48" s="78"/>
    </row>
    <row r="49" spans="2:221" hidden="1" outlineLevel="1" x14ac:dyDescent="0.45"/>
    <row r="50" spans="2:221" collapsed="1" x14ac:dyDescent="0.45">
      <c r="B50" s="78" t="s">
        <v>710</v>
      </c>
      <c r="C50" s="78"/>
      <c r="D50" s="78"/>
      <c r="E50" s="78"/>
      <c r="F50" s="78" t="s">
        <v>711</v>
      </c>
      <c r="G50" s="78"/>
      <c r="H50" s="78"/>
      <c r="I50" s="78"/>
      <c r="J50" s="78"/>
      <c r="K50" s="78"/>
      <c r="L50" s="78"/>
      <c r="M50" s="78"/>
      <c r="O50" s="78" t="s">
        <v>712</v>
      </c>
      <c r="P50" s="78"/>
      <c r="Q50" s="78"/>
      <c r="R50" s="78"/>
      <c r="S50" s="78" t="s">
        <v>713</v>
      </c>
      <c r="T50" s="78"/>
      <c r="U50" s="78"/>
      <c r="V50" s="78"/>
      <c r="W50" s="78"/>
      <c r="X50" s="78"/>
      <c r="Y50" s="78"/>
      <c r="Z50" s="78"/>
      <c r="AB50" s="78" t="s">
        <v>714</v>
      </c>
      <c r="AC50" s="78"/>
      <c r="AD50" s="78"/>
      <c r="AE50" s="78"/>
      <c r="AF50" s="78" t="s">
        <v>715</v>
      </c>
      <c r="AG50" s="78"/>
      <c r="AH50" s="78"/>
      <c r="AI50" s="78"/>
      <c r="AJ50" s="78"/>
      <c r="AK50" s="78"/>
      <c r="AL50" s="78"/>
      <c r="AM50" s="78"/>
      <c r="AO50" s="78" t="s">
        <v>716</v>
      </c>
      <c r="AP50" s="78"/>
      <c r="AQ50" s="78"/>
      <c r="AR50" s="78"/>
      <c r="AS50" s="78" t="s">
        <v>717</v>
      </c>
      <c r="AT50" s="78"/>
      <c r="AU50" s="78"/>
      <c r="AV50" s="78"/>
      <c r="AW50" s="78"/>
      <c r="AX50" s="78"/>
      <c r="AY50" s="78"/>
      <c r="AZ50" s="78"/>
      <c r="BO50" s="78" t="s">
        <v>718</v>
      </c>
      <c r="BP50" s="78"/>
      <c r="BQ50" s="78"/>
      <c r="BR50" s="78"/>
      <c r="BS50" s="78" t="s">
        <v>719</v>
      </c>
      <c r="BT50" s="78"/>
      <c r="BU50" s="78"/>
      <c r="BV50" s="78"/>
      <c r="BW50" s="78"/>
      <c r="BX50" s="78"/>
      <c r="BY50" s="78"/>
      <c r="BZ50" s="78"/>
      <c r="CB50" s="78" t="s">
        <v>720</v>
      </c>
      <c r="CC50" s="78"/>
      <c r="CD50" s="78"/>
      <c r="CE50" s="78"/>
      <c r="CF50" s="78" t="s">
        <v>721</v>
      </c>
      <c r="CG50" s="78"/>
      <c r="CH50" s="78"/>
      <c r="CI50" s="78"/>
      <c r="CJ50" s="78"/>
      <c r="CK50" s="78"/>
      <c r="CL50" s="78"/>
      <c r="CM50" s="78"/>
      <c r="DO50" s="78" t="s">
        <v>722</v>
      </c>
      <c r="DP50" s="78"/>
      <c r="DQ50" s="78"/>
      <c r="DR50" s="78"/>
      <c r="DS50" s="78" t="s">
        <v>723</v>
      </c>
      <c r="DT50" s="78"/>
      <c r="DU50" s="78"/>
      <c r="DV50" s="78"/>
      <c r="DW50" s="78"/>
      <c r="DX50" s="78"/>
      <c r="DY50" s="78"/>
      <c r="DZ50" s="78"/>
      <c r="EB50" s="78" t="s">
        <v>724</v>
      </c>
      <c r="EC50" s="78"/>
      <c r="ED50" s="78"/>
      <c r="EE50" s="78"/>
      <c r="EF50" s="78" t="s">
        <v>725</v>
      </c>
      <c r="EG50" s="78"/>
      <c r="EH50" s="78"/>
      <c r="EI50" s="78"/>
      <c r="EJ50" s="78"/>
      <c r="EK50" s="78"/>
      <c r="EL50" s="78"/>
      <c r="EM50" s="78"/>
      <c r="EO50" s="78" t="s">
        <v>726</v>
      </c>
      <c r="EP50" s="78"/>
      <c r="EQ50" s="78"/>
      <c r="ER50" s="78"/>
      <c r="ES50" s="78" t="s">
        <v>727</v>
      </c>
      <c r="ET50" s="78"/>
      <c r="EU50" s="78"/>
      <c r="EV50" s="78"/>
      <c r="EW50" s="78"/>
      <c r="EX50" s="78"/>
      <c r="EY50" s="78"/>
      <c r="EZ50" s="78"/>
      <c r="FB50" s="78" t="s">
        <v>728</v>
      </c>
      <c r="FC50" s="78"/>
      <c r="FD50" s="78"/>
      <c r="FE50" s="78"/>
      <c r="FF50" s="78" t="s">
        <v>729</v>
      </c>
      <c r="FG50" s="78"/>
      <c r="FH50" s="78"/>
      <c r="FI50" s="78"/>
      <c r="FJ50" s="78"/>
      <c r="FK50" s="78"/>
      <c r="FL50" s="78"/>
      <c r="FM50" s="78"/>
      <c r="FO50" s="78" t="s">
        <v>730</v>
      </c>
      <c r="FP50" s="78"/>
      <c r="FQ50" s="78"/>
      <c r="FR50" s="78"/>
      <c r="FS50" s="78" t="s">
        <v>731</v>
      </c>
      <c r="FT50" s="78"/>
      <c r="FU50" s="78"/>
      <c r="FV50" s="78"/>
      <c r="FW50" s="78"/>
      <c r="FX50" s="78"/>
      <c r="FY50" s="78"/>
      <c r="FZ50" s="78"/>
      <c r="GB50" s="78" t="s">
        <v>732</v>
      </c>
      <c r="GC50" s="78"/>
      <c r="GD50" s="78"/>
      <c r="GE50" s="78"/>
      <c r="GF50" s="78" t="s">
        <v>733</v>
      </c>
      <c r="GG50" s="78"/>
      <c r="GH50" s="78"/>
      <c r="GI50" s="78"/>
      <c r="GJ50" s="78"/>
      <c r="GK50" s="78"/>
      <c r="GL50" s="78"/>
      <c r="GM50" s="78"/>
      <c r="HB50" s="78" t="s">
        <v>734</v>
      </c>
      <c r="HC50" s="78"/>
      <c r="HD50" s="78"/>
      <c r="HE50" s="78"/>
      <c r="HF50" s="78" t="s">
        <v>735</v>
      </c>
      <c r="HG50" s="78"/>
      <c r="HH50" s="78"/>
      <c r="HI50" s="78"/>
      <c r="HJ50" s="78"/>
      <c r="HK50" s="78"/>
      <c r="HL50" s="78"/>
      <c r="HM50" s="78"/>
    </row>
    <row r="51" spans="2:221" ht="40.049999999999997" customHeight="1" x14ac:dyDescent="0.45">
      <c r="B51" s="238"/>
      <c r="C51" s="238"/>
      <c r="D51" s="238"/>
      <c r="E51" s="238"/>
      <c r="F51" s="239"/>
      <c r="G51" s="239"/>
      <c r="H51" s="239"/>
      <c r="I51" s="239"/>
      <c r="J51" s="240"/>
      <c r="K51" s="240"/>
      <c r="L51" s="240"/>
      <c r="M51" s="240"/>
      <c r="O51" s="241"/>
      <c r="P51" s="241"/>
      <c r="Q51" s="241"/>
      <c r="R51" s="241"/>
      <c r="S51" s="242"/>
      <c r="T51" s="242"/>
      <c r="U51" s="242"/>
      <c r="V51" s="242"/>
      <c r="W51" s="243"/>
      <c r="X51" s="243"/>
      <c r="Y51" s="243"/>
      <c r="Z51" s="243"/>
      <c r="AB51" s="244"/>
      <c r="AC51" s="244"/>
      <c r="AD51" s="244"/>
      <c r="AE51" s="244"/>
      <c r="AF51" s="253"/>
      <c r="AG51" s="253"/>
      <c r="AH51" s="253"/>
      <c r="AI51" s="253"/>
      <c r="AJ51" s="254"/>
      <c r="AK51" s="254"/>
      <c r="AL51" s="254"/>
      <c r="AM51" s="254"/>
      <c r="AO51" s="255"/>
      <c r="AP51" s="255"/>
      <c r="AQ51" s="255"/>
      <c r="AR51" s="255"/>
      <c r="AS51" s="235"/>
      <c r="AT51" s="235"/>
      <c r="AU51" s="235"/>
      <c r="AV51" s="235"/>
      <c r="AW51" s="236"/>
      <c r="AX51" s="236"/>
      <c r="AY51" s="236"/>
      <c r="AZ51" s="236"/>
      <c r="BO51" s="237"/>
      <c r="BP51" s="237"/>
      <c r="BQ51" s="237"/>
      <c r="BR51" s="237"/>
      <c r="BS51" s="249"/>
      <c r="BT51" s="249"/>
      <c r="BU51" s="249"/>
      <c r="BV51" s="249"/>
      <c r="BW51" s="250"/>
      <c r="BX51" s="250"/>
      <c r="BY51" s="250"/>
      <c r="BZ51" s="250"/>
      <c r="CB51" s="251"/>
      <c r="CC51" s="251"/>
      <c r="CD51" s="251"/>
      <c r="CE51" s="251"/>
      <c r="CF51" s="233"/>
      <c r="CG51" s="233"/>
      <c r="CH51" s="233"/>
      <c r="CI51" s="233"/>
      <c r="CJ51" s="234"/>
      <c r="CK51" s="234"/>
      <c r="CL51" s="234"/>
      <c r="CM51" s="234"/>
      <c r="DO51" s="252"/>
      <c r="DP51" s="252"/>
      <c r="DQ51" s="252"/>
      <c r="DR51" s="252"/>
      <c r="DS51" s="231"/>
      <c r="DT51" s="231"/>
      <c r="DU51" s="231"/>
      <c r="DV51" s="231"/>
      <c r="DW51" s="232"/>
      <c r="DX51" s="232"/>
      <c r="DY51" s="232"/>
      <c r="DZ51" s="232"/>
      <c r="EB51" s="245"/>
      <c r="EC51" s="245"/>
      <c r="ED51" s="245"/>
      <c r="EE51" s="245"/>
      <c r="EF51" s="246"/>
      <c r="EG51" s="246"/>
      <c r="EH51" s="246"/>
      <c r="EI51" s="246"/>
      <c r="EJ51" s="247"/>
      <c r="EK51" s="247"/>
      <c r="EL51" s="247"/>
      <c r="EM51" s="247"/>
      <c r="EO51" s="248"/>
      <c r="EP51" s="248"/>
      <c r="EQ51" s="248"/>
      <c r="ER51" s="248"/>
      <c r="ES51" s="225"/>
      <c r="ET51" s="225"/>
      <c r="EU51" s="225"/>
      <c r="EV51" s="225"/>
      <c r="EW51" s="226"/>
      <c r="EX51" s="226"/>
      <c r="EY51" s="226"/>
      <c r="EZ51" s="226"/>
      <c r="FB51" s="227"/>
      <c r="FC51" s="227"/>
      <c r="FD51" s="227"/>
      <c r="FE51" s="227"/>
      <c r="FF51" s="228"/>
      <c r="FG51" s="228"/>
      <c r="FH51" s="228"/>
      <c r="FI51" s="228"/>
      <c r="FJ51" s="229"/>
      <c r="FK51" s="229"/>
      <c r="FL51" s="229"/>
      <c r="FM51" s="229"/>
      <c r="FO51" s="230"/>
      <c r="FP51" s="230"/>
      <c r="FQ51" s="230"/>
      <c r="FR51" s="230"/>
      <c r="FS51" s="219"/>
      <c r="FT51" s="219"/>
      <c r="FU51" s="219"/>
      <c r="FV51" s="219"/>
      <c r="FW51" s="220"/>
      <c r="FX51" s="220"/>
      <c r="FY51" s="220"/>
      <c r="FZ51" s="220"/>
      <c r="GB51" s="221"/>
      <c r="GC51" s="221"/>
      <c r="GD51" s="221"/>
      <c r="GE51" s="221"/>
      <c r="GF51" s="222"/>
      <c r="GG51" s="222"/>
      <c r="GH51" s="222"/>
      <c r="GI51" s="222"/>
      <c r="GJ51" s="223"/>
      <c r="GK51" s="223"/>
      <c r="GL51" s="223"/>
      <c r="GM51" s="223"/>
      <c r="HB51" s="224"/>
      <c r="HC51" s="224"/>
      <c r="HD51" s="224"/>
      <c r="HE51" s="224"/>
      <c r="HF51" s="217"/>
      <c r="HG51" s="217"/>
      <c r="HH51" s="217"/>
      <c r="HI51" s="217"/>
      <c r="HJ51" s="218"/>
      <c r="HK51" s="218"/>
      <c r="HL51" s="218"/>
      <c r="HM51" s="218"/>
    </row>
    <row r="52" spans="2:221" hidden="1" outlineLevel="1" x14ac:dyDescent="0.45">
      <c r="B52" s="18" t="s">
        <v>73</v>
      </c>
      <c r="C52" s="18" t="s">
        <v>74</v>
      </c>
      <c r="D52" s="18" t="s">
        <v>75</v>
      </c>
      <c r="F52" s="18" t="s">
        <v>73</v>
      </c>
      <c r="G52" s="18" t="s">
        <v>74</v>
      </c>
      <c r="H52" s="18" t="s">
        <v>75</v>
      </c>
      <c r="J52" s="18" t="s">
        <v>73</v>
      </c>
      <c r="K52" s="18" t="s">
        <v>74</v>
      </c>
      <c r="L52" s="18" t="s">
        <v>75</v>
      </c>
      <c r="O52" s="18" t="s">
        <v>73</v>
      </c>
      <c r="P52" s="18" t="s">
        <v>74</v>
      </c>
      <c r="Q52" s="18" t="s">
        <v>75</v>
      </c>
      <c r="S52" s="18" t="s">
        <v>73</v>
      </c>
      <c r="T52" s="18" t="s">
        <v>74</v>
      </c>
      <c r="U52" s="18" t="s">
        <v>75</v>
      </c>
      <c r="W52" s="18" t="s">
        <v>73</v>
      </c>
      <c r="X52" s="18" t="s">
        <v>74</v>
      </c>
      <c r="Y52" s="18" t="s">
        <v>75</v>
      </c>
      <c r="AB52" s="18" t="s">
        <v>73</v>
      </c>
      <c r="AC52" s="18" t="s">
        <v>74</v>
      </c>
      <c r="AD52" s="18" t="s">
        <v>75</v>
      </c>
      <c r="AF52" s="18" t="s">
        <v>73</v>
      </c>
      <c r="AG52" s="18" t="s">
        <v>74</v>
      </c>
      <c r="AH52" s="18" t="s">
        <v>75</v>
      </c>
      <c r="AJ52" s="18" t="s">
        <v>73</v>
      </c>
      <c r="AK52" s="18" t="s">
        <v>74</v>
      </c>
      <c r="AL52" s="18" t="s">
        <v>75</v>
      </c>
      <c r="AO52" s="18" t="s">
        <v>73</v>
      </c>
      <c r="AP52" s="18" t="s">
        <v>74</v>
      </c>
      <c r="AQ52" s="18" t="s">
        <v>75</v>
      </c>
      <c r="AS52" s="18" t="s">
        <v>73</v>
      </c>
      <c r="AT52" s="18" t="s">
        <v>74</v>
      </c>
      <c r="AU52" s="18" t="s">
        <v>75</v>
      </c>
      <c r="AW52" s="18" t="s">
        <v>73</v>
      </c>
      <c r="AX52" s="18" t="s">
        <v>74</v>
      </c>
      <c r="AY52" s="18" t="s">
        <v>75</v>
      </c>
      <c r="BO52" s="18" t="s">
        <v>73</v>
      </c>
      <c r="BP52" s="18" t="s">
        <v>74</v>
      </c>
      <c r="BQ52" s="18" t="s">
        <v>75</v>
      </c>
      <c r="BS52" s="18" t="s">
        <v>73</v>
      </c>
      <c r="BT52" s="18" t="s">
        <v>74</v>
      </c>
      <c r="BU52" s="18" t="s">
        <v>75</v>
      </c>
      <c r="BW52" s="18" t="s">
        <v>73</v>
      </c>
      <c r="BX52" s="18" t="s">
        <v>74</v>
      </c>
      <c r="BY52" s="18" t="s">
        <v>75</v>
      </c>
      <c r="CB52" s="18" t="s">
        <v>73</v>
      </c>
      <c r="CC52" s="18" t="s">
        <v>74</v>
      </c>
      <c r="CD52" s="18" t="s">
        <v>75</v>
      </c>
      <c r="CF52" s="18" t="s">
        <v>73</v>
      </c>
      <c r="CG52" s="18" t="s">
        <v>74</v>
      </c>
      <c r="CH52" s="18" t="s">
        <v>75</v>
      </c>
      <c r="CJ52" s="18" t="s">
        <v>73</v>
      </c>
      <c r="CK52" s="18" t="s">
        <v>74</v>
      </c>
      <c r="CL52" s="18" t="s">
        <v>75</v>
      </c>
      <c r="DO52" s="18" t="s">
        <v>73</v>
      </c>
      <c r="DP52" s="18" t="s">
        <v>74</v>
      </c>
      <c r="DQ52" s="18" t="s">
        <v>75</v>
      </c>
      <c r="DS52" s="18" t="s">
        <v>73</v>
      </c>
      <c r="DT52" s="18" t="s">
        <v>74</v>
      </c>
      <c r="DU52" s="18" t="s">
        <v>75</v>
      </c>
      <c r="DW52" s="18" t="s">
        <v>73</v>
      </c>
      <c r="DX52" s="18" t="s">
        <v>74</v>
      </c>
      <c r="DY52" s="18" t="s">
        <v>75</v>
      </c>
      <c r="EB52" s="18" t="s">
        <v>73</v>
      </c>
      <c r="EC52" s="18" t="s">
        <v>74</v>
      </c>
      <c r="ED52" s="18" t="s">
        <v>75</v>
      </c>
      <c r="EF52" s="18" t="s">
        <v>73</v>
      </c>
      <c r="EG52" s="18" t="s">
        <v>74</v>
      </c>
      <c r="EH52" s="18" t="s">
        <v>75</v>
      </c>
      <c r="EJ52" s="18" t="s">
        <v>73</v>
      </c>
      <c r="EK52" s="18" t="s">
        <v>74</v>
      </c>
      <c r="EL52" s="18" t="s">
        <v>75</v>
      </c>
      <c r="EO52" s="18" t="s">
        <v>73</v>
      </c>
      <c r="EP52" s="18" t="s">
        <v>74</v>
      </c>
      <c r="EQ52" s="18" t="s">
        <v>75</v>
      </c>
      <c r="ES52" s="18" t="s">
        <v>73</v>
      </c>
      <c r="ET52" s="18" t="s">
        <v>74</v>
      </c>
      <c r="EU52" s="18" t="s">
        <v>75</v>
      </c>
      <c r="EW52" s="18" t="s">
        <v>73</v>
      </c>
      <c r="EX52" s="18" t="s">
        <v>74</v>
      </c>
      <c r="EY52" s="18" t="s">
        <v>75</v>
      </c>
      <c r="FB52" s="18" t="s">
        <v>73</v>
      </c>
      <c r="FC52" s="18" t="s">
        <v>74</v>
      </c>
      <c r="FD52" s="18" t="s">
        <v>75</v>
      </c>
      <c r="FF52" s="18" t="s">
        <v>73</v>
      </c>
      <c r="FG52" s="18" t="s">
        <v>74</v>
      </c>
      <c r="FH52" s="18" t="s">
        <v>75</v>
      </c>
      <c r="FJ52" s="18" t="s">
        <v>73</v>
      </c>
      <c r="FK52" s="18" t="s">
        <v>74</v>
      </c>
      <c r="FL52" s="18" t="s">
        <v>75</v>
      </c>
      <c r="FO52" s="18" t="s">
        <v>73</v>
      </c>
      <c r="FP52" s="18" t="s">
        <v>74</v>
      </c>
      <c r="FQ52" s="18" t="s">
        <v>75</v>
      </c>
      <c r="FS52" s="18" t="s">
        <v>73</v>
      </c>
      <c r="FT52" s="18" t="s">
        <v>74</v>
      </c>
      <c r="FU52" s="18" t="s">
        <v>75</v>
      </c>
      <c r="FW52" s="18" t="s">
        <v>73</v>
      </c>
      <c r="FX52" s="18" t="s">
        <v>74</v>
      </c>
      <c r="FY52" s="18" t="s">
        <v>75</v>
      </c>
      <c r="GB52" s="18" t="s">
        <v>73</v>
      </c>
      <c r="GC52" s="18" t="s">
        <v>74</v>
      </c>
      <c r="GD52" s="18" t="s">
        <v>75</v>
      </c>
      <c r="GF52" s="18" t="s">
        <v>73</v>
      </c>
      <c r="GG52" s="18" t="s">
        <v>74</v>
      </c>
      <c r="GH52" s="18" t="s">
        <v>75</v>
      </c>
      <c r="GJ52" s="18" t="s">
        <v>73</v>
      </c>
      <c r="GK52" s="18" t="s">
        <v>74</v>
      </c>
      <c r="GL52" s="18" t="s">
        <v>75</v>
      </c>
      <c r="HB52" s="18" t="s">
        <v>73</v>
      </c>
      <c r="HC52" s="18" t="s">
        <v>74</v>
      </c>
      <c r="HD52" s="18" t="s">
        <v>75</v>
      </c>
      <c r="HF52" s="18" t="s">
        <v>73</v>
      </c>
      <c r="HG52" s="18" t="s">
        <v>74</v>
      </c>
      <c r="HH52" s="18" t="s">
        <v>75</v>
      </c>
      <c r="HJ52" s="18" t="s">
        <v>73</v>
      </c>
      <c r="HK52" s="18" t="s">
        <v>74</v>
      </c>
      <c r="HL52" s="18" t="s">
        <v>75</v>
      </c>
    </row>
    <row r="53" spans="2:221" hidden="1" outlineLevel="1" x14ac:dyDescent="0.45">
      <c r="B53" s="18">
        <v>55</v>
      </c>
      <c r="C53" s="18">
        <v>55</v>
      </c>
      <c r="D53" s="18">
        <v>55</v>
      </c>
      <c r="F53" s="18">
        <v>67</v>
      </c>
      <c r="G53" s="18">
        <v>67</v>
      </c>
      <c r="H53" s="18">
        <v>67</v>
      </c>
      <c r="J53" s="18">
        <v>255</v>
      </c>
      <c r="K53" s="18">
        <v>255</v>
      </c>
      <c r="L53" s="18">
        <v>255</v>
      </c>
      <c r="O53" s="18">
        <v>217</v>
      </c>
      <c r="P53" s="18">
        <v>216</v>
      </c>
      <c r="Q53" s="18">
        <v>206</v>
      </c>
      <c r="S53" s="18">
        <v>224</v>
      </c>
      <c r="T53" s="18">
        <v>182</v>
      </c>
      <c r="U53" s="18">
        <v>169</v>
      </c>
      <c r="W53" s="18">
        <v>211</v>
      </c>
      <c r="X53" s="18">
        <v>233</v>
      </c>
      <c r="Y53" s="18">
        <v>208</v>
      </c>
      <c r="AB53" s="18">
        <v>248</v>
      </c>
      <c r="AC53" s="18">
        <v>204</v>
      </c>
      <c r="AD53" s="18">
        <v>209</v>
      </c>
      <c r="AF53" s="18">
        <v>194</v>
      </c>
      <c r="AG53" s="18">
        <v>226</v>
      </c>
      <c r="AH53" s="18">
        <v>210</v>
      </c>
      <c r="AJ53" s="18">
        <v>201</v>
      </c>
      <c r="AK53" s="18">
        <v>194</v>
      </c>
      <c r="AL53" s="18">
        <v>224</v>
      </c>
      <c r="AO53" s="18">
        <v>48</v>
      </c>
      <c r="AP53" s="18">
        <v>57</v>
      </c>
      <c r="AQ53" s="18">
        <v>103</v>
      </c>
      <c r="AS53" s="18">
        <v>230</v>
      </c>
      <c r="AT53" s="18">
        <v>0</v>
      </c>
      <c r="AU53" s="18">
        <v>18</v>
      </c>
      <c r="AW53" s="18">
        <v>255</v>
      </c>
      <c r="AX53" s="18">
        <v>226</v>
      </c>
      <c r="AY53" s="18">
        <v>0</v>
      </c>
      <c r="BO53" s="18">
        <v>96</v>
      </c>
      <c r="BP53" s="18">
        <v>25</v>
      </c>
      <c r="BQ53" s="18">
        <v>134</v>
      </c>
      <c r="BS53" s="18">
        <v>194</v>
      </c>
      <c r="BT53" s="18">
        <v>206</v>
      </c>
      <c r="BU53" s="18">
        <v>0</v>
      </c>
      <c r="BW53" s="18">
        <v>241</v>
      </c>
      <c r="BX53" s="18">
        <v>141</v>
      </c>
      <c r="BY53" s="18">
        <v>0</v>
      </c>
      <c r="CB53" s="18">
        <v>230</v>
      </c>
      <c r="CC53" s="18">
        <v>223</v>
      </c>
      <c r="CD53" s="18">
        <v>203</v>
      </c>
      <c r="CF53" s="18">
        <v>86</v>
      </c>
      <c r="CG53" s="18">
        <v>121</v>
      </c>
      <c r="CH53" s="18">
        <v>71</v>
      </c>
      <c r="CJ53" s="18">
        <v>235</v>
      </c>
      <c r="CK53" s="18">
        <v>90</v>
      </c>
      <c r="CL53" s="18">
        <v>9</v>
      </c>
      <c r="DO53" s="18">
        <v>0</v>
      </c>
      <c r="DP53" s="18">
        <v>110</v>
      </c>
      <c r="DQ53" s="18">
        <v>110</v>
      </c>
      <c r="DS53" s="18">
        <v>154</v>
      </c>
      <c r="DT53" s="18">
        <v>195</v>
      </c>
      <c r="DU53" s="18">
        <v>135</v>
      </c>
      <c r="DW53" s="18">
        <v>230</v>
      </c>
      <c r="DX53" s="18">
        <v>107</v>
      </c>
      <c r="DY53" s="18">
        <v>0</v>
      </c>
      <c r="EB53" s="18">
        <v>58</v>
      </c>
      <c r="EC53" s="18">
        <v>89</v>
      </c>
      <c r="ED53" s="18">
        <v>103</v>
      </c>
      <c r="EF53" s="18">
        <v>178</v>
      </c>
      <c r="EG53" s="18">
        <v>124</v>
      </c>
      <c r="EH53" s="18">
        <v>65</v>
      </c>
      <c r="EJ53" s="18">
        <v>239</v>
      </c>
      <c r="EK53" s="18">
        <v>203</v>
      </c>
      <c r="EL53" s="18">
        <v>45</v>
      </c>
      <c r="EO53" s="18">
        <v>255</v>
      </c>
      <c r="EP53" s="18">
        <v>69</v>
      </c>
      <c r="EQ53" s="18">
        <v>10</v>
      </c>
      <c r="ES53" s="18">
        <v>32</v>
      </c>
      <c r="ET53" s="18">
        <v>39</v>
      </c>
      <c r="EU53" s="18">
        <v>43</v>
      </c>
      <c r="EW53" s="18">
        <v>141</v>
      </c>
      <c r="EX53" s="18">
        <v>139</v>
      </c>
      <c r="EY53" s="18">
        <v>113</v>
      </c>
      <c r="FB53" s="18">
        <v>249</v>
      </c>
      <c r="FC53" s="18">
        <v>231</v>
      </c>
      <c r="FD53" s="18">
        <v>230</v>
      </c>
      <c r="FF53" s="18">
        <v>236</v>
      </c>
      <c r="FG53" s="18">
        <v>122</v>
      </c>
      <c r="FH53" s="18">
        <v>172</v>
      </c>
      <c r="FJ53" s="18">
        <v>125</v>
      </c>
      <c r="FK53" s="18">
        <v>153</v>
      </c>
      <c r="FL53" s="18">
        <v>205</v>
      </c>
      <c r="FO53" s="18">
        <v>232</v>
      </c>
      <c r="FP53" s="18">
        <v>109</v>
      </c>
      <c r="FQ53" s="18">
        <v>165</v>
      </c>
      <c r="FS53" s="18">
        <v>102</v>
      </c>
      <c r="FT53" s="18">
        <v>191</v>
      </c>
      <c r="FU53" s="18">
        <v>151</v>
      </c>
      <c r="FW53" s="18">
        <v>253</v>
      </c>
      <c r="FX53" s="18">
        <v>244</v>
      </c>
      <c r="FY53" s="18">
        <v>127</v>
      </c>
      <c r="GB53" s="18">
        <v>179</v>
      </c>
      <c r="GC53" s="18">
        <v>30</v>
      </c>
      <c r="GD53" s="18">
        <v>35</v>
      </c>
      <c r="GF53" s="18">
        <v>211</v>
      </c>
      <c r="GG53" s="18">
        <v>96</v>
      </c>
      <c r="GH53" s="18">
        <v>40</v>
      </c>
      <c r="GJ53" s="18">
        <v>233</v>
      </c>
      <c r="GK53" s="18">
        <v>218</v>
      </c>
      <c r="GL53" s="18">
        <v>191</v>
      </c>
      <c r="HB53" s="18">
        <v>208</v>
      </c>
      <c r="HC53" s="18">
        <v>17</v>
      </c>
      <c r="HD53" s="18">
        <v>35</v>
      </c>
      <c r="HF53" s="18">
        <v>153</v>
      </c>
      <c r="HG53" s="18">
        <v>157</v>
      </c>
      <c r="HH53" s="18">
        <v>153</v>
      </c>
      <c r="HJ53" s="18">
        <v>238</v>
      </c>
      <c r="HK53" s="18">
        <v>207</v>
      </c>
      <c r="HL53" s="18">
        <v>0</v>
      </c>
    </row>
    <row r="54" spans="2:221" hidden="1" outlineLevel="1" x14ac:dyDescent="0.45">
      <c r="B54" s="78" t="s">
        <v>736</v>
      </c>
      <c r="C54" s="78"/>
      <c r="D54" s="78"/>
      <c r="E54" s="78"/>
      <c r="F54" s="78" t="s">
        <v>737</v>
      </c>
      <c r="G54" s="78"/>
      <c r="H54" s="78"/>
      <c r="I54" s="78"/>
      <c r="J54" s="78" t="s">
        <v>163</v>
      </c>
      <c r="K54" s="78"/>
      <c r="L54" s="78"/>
      <c r="M54" s="78"/>
      <c r="O54" s="78" t="s">
        <v>738</v>
      </c>
      <c r="P54" s="78"/>
      <c r="Q54" s="78"/>
      <c r="R54" s="78"/>
      <c r="S54" s="78" t="s">
        <v>739</v>
      </c>
      <c r="T54" s="78"/>
      <c r="U54" s="78"/>
      <c r="V54" s="78"/>
      <c r="W54" s="78" t="s">
        <v>740</v>
      </c>
      <c r="X54" s="78"/>
      <c r="Y54" s="78"/>
      <c r="Z54" s="78"/>
      <c r="AB54" s="78" t="s">
        <v>741</v>
      </c>
      <c r="AC54" s="78"/>
      <c r="AD54" s="78"/>
      <c r="AE54" s="78"/>
      <c r="AF54" s="78" t="s">
        <v>742</v>
      </c>
      <c r="AG54" s="78"/>
      <c r="AH54" s="78"/>
      <c r="AI54" s="78"/>
      <c r="AJ54" s="78" t="s">
        <v>743</v>
      </c>
      <c r="AK54" s="78"/>
      <c r="AL54" s="78"/>
      <c r="AM54" s="78"/>
      <c r="AO54" s="78" t="s">
        <v>744</v>
      </c>
      <c r="AP54" s="78"/>
      <c r="AQ54" s="78"/>
      <c r="AR54" s="78"/>
      <c r="AS54" s="78" t="s">
        <v>745</v>
      </c>
      <c r="AT54" s="78"/>
      <c r="AU54" s="78"/>
      <c r="AV54" s="78"/>
      <c r="AW54" s="78" t="s">
        <v>439</v>
      </c>
      <c r="AX54" s="78"/>
      <c r="AY54" s="78"/>
      <c r="AZ54" s="78"/>
      <c r="BO54" s="78" t="s">
        <v>746</v>
      </c>
      <c r="BP54" s="78"/>
      <c r="BQ54" s="78"/>
      <c r="BR54" s="78"/>
      <c r="BS54" s="78" t="s">
        <v>747</v>
      </c>
      <c r="BT54" s="78"/>
      <c r="BU54" s="78"/>
      <c r="BV54" s="78"/>
      <c r="BW54" s="78" t="s">
        <v>748</v>
      </c>
      <c r="BX54" s="78"/>
      <c r="BY54" s="78"/>
      <c r="BZ54" s="78"/>
      <c r="CB54" s="78" t="s">
        <v>749</v>
      </c>
      <c r="CC54" s="78"/>
      <c r="CD54" s="78"/>
      <c r="CE54" s="78"/>
      <c r="CF54" s="78" t="s">
        <v>750</v>
      </c>
      <c r="CG54" s="78"/>
      <c r="CH54" s="78"/>
      <c r="CI54" s="78"/>
      <c r="CJ54" s="78" t="s">
        <v>751</v>
      </c>
      <c r="CK54" s="78"/>
      <c r="CL54" s="78"/>
      <c r="CM54" s="78"/>
      <c r="DO54" s="78" t="s">
        <v>752</v>
      </c>
      <c r="DP54" s="78"/>
      <c r="DQ54" s="78"/>
      <c r="DR54" s="78"/>
      <c r="DS54" s="78" t="s">
        <v>753</v>
      </c>
      <c r="DT54" s="78"/>
      <c r="DU54" s="78"/>
      <c r="DV54" s="78"/>
      <c r="DW54" s="78" t="s">
        <v>754</v>
      </c>
      <c r="DX54" s="78"/>
      <c r="DY54" s="78"/>
      <c r="DZ54" s="78"/>
      <c r="EB54" s="78" t="s">
        <v>755</v>
      </c>
      <c r="EC54" s="78"/>
      <c r="ED54" s="78"/>
      <c r="EE54" s="78"/>
      <c r="EF54" s="78" t="s">
        <v>756</v>
      </c>
      <c r="EG54" s="78"/>
      <c r="EH54" s="78"/>
      <c r="EI54" s="78"/>
      <c r="EJ54" s="78" t="s">
        <v>757</v>
      </c>
      <c r="EK54" s="78"/>
      <c r="EL54" s="78"/>
      <c r="EM54" s="78"/>
      <c r="EO54" s="78" t="s">
        <v>758</v>
      </c>
      <c r="EP54" s="78"/>
      <c r="EQ54" s="78"/>
      <c r="ER54" s="78"/>
      <c r="ES54" s="78" t="s">
        <v>759</v>
      </c>
      <c r="ET54" s="78"/>
      <c r="EU54" s="78"/>
      <c r="EV54" s="78"/>
      <c r="EW54" s="78" t="s">
        <v>760</v>
      </c>
      <c r="EX54" s="78"/>
      <c r="EY54" s="78"/>
      <c r="EZ54" s="78"/>
      <c r="FB54" s="78" t="s">
        <v>761</v>
      </c>
      <c r="FC54" s="78"/>
      <c r="FD54" s="78"/>
      <c r="FE54" s="78"/>
      <c r="FF54" s="78" t="s">
        <v>762</v>
      </c>
      <c r="FG54" s="78"/>
      <c r="FH54" s="78"/>
      <c r="FI54" s="78"/>
      <c r="FJ54" s="78" t="s">
        <v>763</v>
      </c>
      <c r="FK54" s="78"/>
      <c r="FL54" s="78"/>
      <c r="FM54" s="78"/>
      <c r="FO54" s="78" t="s">
        <v>764</v>
      </c>
      <c r="FP54" s="78"/>
      <c r="FQ54" s="78"/>
      <c r="FR54" s="78"/>
      <c r="FS54" s="78" t="s">
        <v>765</v>
      </c>
      <c r="FT54" s="78"/>
      <c r="FU54" s="78"/>
      <c r="FV54" s="78"/>
      <c r="FW54" s="78" t="s">
        <v>766</v>
      </c>
      <c r="FX54" s="78"/>
      <c r="FY54" s="78"/>
      <c r="FZ54" s="78"/>
      <c r="GB54" s="78" t="s">
        <v>767</v>
      </c>
      <c r="GC54" s="78"/>
      <c r="GD54" s="78"/>
      <c r="GE54" s="78"/>
      <c r="GF54" s="78" t="s">
        <v>768</v>
      </c>
      <c r="GG54" s="78"/>
      <c r="GH54" s="78"/>
      <c r="GI54" s="78"/>
      <c r="GJ54" s="78" t="s">
        <v>769</v>
      </c>
      <c r="GK54" s="78"/>
      <c r="GL54" s="78"/>
      <c r="GM54" s="78"/>
      <c r="HB54" s="78" t="s">
        <v>770</v>
      </c>
      <c r="HC54" s="78"/>
      <c r="HD54" s="78"/>
      <c r="HE54" s="78"/>
      <c r="HF54" s="78" t="s">
        <v>771</v>
      </c>
      <c r="HG54" s="78"/>
      <c r="HH54" s="78"/>
      <c r="HI54" s="78"/>
      <c r="HJ54" s="78" t="s">
        <v>772</v>
      </c>
      <c r="HK54" s="78"/>
      <c r="HL54" s="78"/>
      <c r="HM54" s="78"/>
    </row>
    <row r="55" spans="2:221" hidden="1" outlineLevel="1" x14ac:dyDescent="0.45"/>
    <row r="56" spans="2:221" collapsed="1" x14ac:dyDescent="0.45">
      <c r="O56" s="78" t="s">
        <v>773</v>
      </c>
      <c r="P56" s="78"/>
      <c r="Q56" s="78"/>
      <c r="R56" s="78"/>
      <c r="S56" s="78" t="s">
        <v>774</v>
      </c>
      <c r="T56" s="78"/>
      <c r="U56" s="78"/>
      <c r="V56" s="78"/>
      <c r="W56" s="78"/>
      <c r="X56" s="78"/>
      <c r="Y56" s="78"/>
      <c r="Z56" s="78"/>
      <c r="AB56" s="78" t="s">
        <v>775</v>
      </c>
      <c r="AC56" s="78"/>
      <c r="AD56" s="78"/>
      <c r="AE56" s="78"/>
      <c r="AF56" s="78" t="s">
        <v>776</v>
      </c>
      <c r="AG56" s="78"/>
      <c r="AH56" s="78"/>
      <c r="AI56" s="78"/>
      <c r="AJ56" s="78"/>
      <c r="AK56" s="78"/>
      <c r="AL56" s="78"/>
      <c r="AM56" s="78"/>
      <c r="AO56" s="78" t="s">
        <v>777</v>
      </c>
      <c r="AP56" s="78"/>
      <c r="AQ56" s="78"/>
      <c r="AR56" s="78"/>
      <c r="AS56" s="78" t="s">
        <v>778</v>
      </c>
      <c r="AT56" s="78"/>
      <c r="AU56" s="78"/>
      <c r="AV56" s="78"/>
      <c r="AW56" s="78"/>
      <c r="AX56" s="78"/>
      <c r="AY56" s="78"/>
      <c r="AZ56" s="78"/>
      <c r="BO56" s="78" t="s">
        <v>779</v>
      </c>
      <c r="BP56" s="78"/>
      <c r="BQ56" s="78"/>
      <c r="BR56" s="78"/>
      <c r="BS56" s="78" t="s">
        <v>780</v>
      </c>
      <c r="BT56" s="78"/>
      <c r="BU56" s="78"/>
      <c r="BV56" s="78"/>
      <c r="BW56" s="78"/>
      <c r="BX56" s="78"/>
      <c r="BY56" s="78"/>
      <c r="BZ56" s="78"/>
      <c r="DO56" s="78" t="s">
        <v>781</v>
      </c>
      <c r="DP56" s="78"/>
      <c r="DQ56" s="78"/>
      <c r="DR56" s="78"/>
      <c r="DS56" s="78" t="s">
        <v>782</v>
      </c>
      <c r="DT56" s="78"/>
      <c r="DU56" s="78"/>
      <c r="DV56" s="78"/>
      <c r="DW56" s="78"/>
      <c r="DX56" s="78"/>
      <c r="DY56" s="78"/>
      <c r="DZ56" s="78"/>
      <c r="EB56" s="78" t="s">
        <v>783</v>
      </c>
      <c r="EC56" s="78"/>
      <c r="ED56" s="78"/>
      <c r="EE56" s="78"/>
      <c r="EF56" s="78" t="s">
        <v>784</v>
      </c>
      <c r="EG56" s="78"/>
      <c r="EH56" s="78"/>
      <c r="EI56" s="78"/>
      <c r="EJ56" s="78"/>
      <c r="EK56" s="78"/>
      <c r="EL56" s="78"/>
      <c r="EM56" s="78"/>
      <c r="EO56" s="78" t="s">
        <v>785</v>
      </c>
      <c r="EP56" s="78"/>
      <c r="EQ56" s="78"/>
      <c r="ER56" s="78"/>
      <c r="ES56" s="78" t="s">
        <v>786</v>
      </c>
      <c r="ET56" s="78"/>
      <c r="EU56" s="78"/>
      <c r="EV56" s="78"/>
      <c r="EW56" s="78"/>
      <c r="EX56" s="78"/>
      <c r="EY56" s="78"/>
      <c r="EZ56" s="78"/>
      <c r="FB56" s="78" t="s">
        <v>787</v>
      </c>
      <c r="FC56" s="78"/>
      <c r="FD56" s="78"/>
      <c r="FE56" s="78"/>
      <c r="FF56" s="78" t="s">
        <v>788</v>
      </c>
      <c r="FG56" s="78"/>
      <c r="FH56" s="78"/>
      <c r="FI56" s="78"/>
      <c r="FJ56" s="78"/>
      <c r="FK56" s="78"/>
      <c r="FL56" s="78"/>
      <c r="FM56" s="78"/>
      <c r="FO56" s="78" t="s">
        <v>789</v>
      </c>
      <c r="FP56" s="78"/>
      <c r="FQ56" s="78"/>
      <c r="FR56" s="78"/>
      <c r="FS56" s="78" t="s">
        <v>790</v>
      </c>
      <c r="FT56" s="78"/>
      <c r="FU56" s="78"/>
      <c r="FV56" s="78"/>
      <c r="FW56" s="78"/>
      <c r="FX56" s="78"/>
      <c r="FY56" s="78"/>
      <c r="FZ56" s="78"/>
      <c r="GB56" s="78" t="s">
        <v>791</v>
      </c>
      <c r="GC56" s="78"/>
      <c r="GD56" s="78"/>
      <c r="GE56" s="78"/>
      <c r="GF56" s="78" t="s">
        <v>792</v>
      </c>
      <c r="GG56" s="78"/>
      <c r="GH56" s="78"/>
      <c r="GI56" s="78"/>
      <c r="GJ56" s="78"/>
      <c r="GK56" s="78"/>
      <c r="GL56" s="78"/>
      <c r="GM56" s="78"/>
      <c r="HB56" s="78" t="s">
        <v>793</v>
      </c>
      <c r="HC56" s="78"/>
      <c r="HD56" s="78"/>
      <c r="HE56" s="78"/>
      <c r="HF56" s="78" t="s">
        <v>794</v>
      </c>
      <c r="HG56" s="78"/>
      <c r="HH56" s="78"/>
      <c r="HI56" s="78"/>
      <c r="HJ56" s="78"/>
      <c r="HK56" s="78"/>
      <c r="HL56" s="78"/>
      <c r="HM56" s="78"/>
    </row>
    <row r="57" spans="2:221" ht="40.049999999999997" customHeight="1" x14ac:dyDescent="0.45">
      <c r="O57" s="208"/>
      <c r="P57" s="208"/>
      <c r="Q57" s="208"/>
      <c r="R57" s="208"/>
      <c r="S57" s="209"/>
      <c r="T57" s="209"/>
      <c r="U57" s="209"/>
      <c r="V57" s="209"/>
      <c r="W57" s="210"/>
      <c r="X57" s="210"/>
      <c r="Y57" s="210"/>
      <c r="Z57" s="210"/>
      <c r="AB57" s="211"/>
      <c r="AC57" s="211"/>
      <c r="AD57" s="211"/>
      <c r="AE57" s="211"/>
      <c r="AF57" s="212"/>
      <c r="AG57" s="212"/>
      <c r="AH57" s="212"/>
      <c r="AI57" s="212"/>
      <c r="AJ57" s="213"/>
      <c r="AK57" s="213"/>
      <c r="AL57" s="213"/>
      <c r="AM57" s="213"/>
      <c r="AO57" s="214"/>
      <c r="AP57" s="214"/>
      <c r="AQ57" s="214"/>
      <c r="AR57" s="214"/>
      <c r="AS57" s="215"/>
      <c r="AT57" s="215"/>
      <c r="AU57" s="215"/>
      <c r="AV57" s="215"/>
      <c r="AW57" s="216"/>
      <c r="AX57" s="216"/>
      <c r="AY57" s="216"/>
      <c r="AZ57" s="216"/>
      <c r="BO57" s="202"/>
      <c r="BP57" s="202"/>
      <c r="BQ57" s="202"/>
      <c r="BR57" s="202"/>
      <c r="BS57" s="203"/>
      <c r="BT57" s="203"/>
      <c r="BU57" s="203"/>
      <c r="BV57" s="203"/>
      <c r="BW57" s="204"/>
      <c r="BX57" s="204"/>
      <c r="BY57" s="204"/>
      <c r="BZ57" s="204"/>
      <c r="DO57" s="205"/>
      <c r="DP57" s="205"/>
      <c r="DQ57" s="205"/>
      <c r="DR57" s="205"/>
      <c r="DS57" s="206"/>
      <c r="DT57" s="206"/>
      <c r="DU57" s="206"/>
      <c r="DV57" s="206"/>
      <c r="DW57" s="207"/>
      <c r="DX57" s="207"/>
      <c r="DY57" s="207"/>
      <c r="DZ57" s="207"/>
      <c r="EB57" s="196"/>
      <c r="EC57" s="196"/>
      <c r="ED57" s="196"/>
      <c r="EE57" s="196"/>
      <c r="EF57" s="197"/>
      <c r="EG57" s="197"/>
      <c r="EH57" s="197"/>
      <c r="EI57" s="197"/>
      <c r="EJ57" s="198"/>
      <c r="EK57" s="198"/>
      <c r="EL57" s="198"/>
      <c r="EM57" s="198"/>
      <c r="EO57" s="199"/>
      <c r="EP57" s="199"/>
      <c r="EQ57" s="199"/>
      <c r="ER57" s="199"/>
      <c r="ES57" s="200"/>
      <c r="ET57" s="200"/>
      <c r="EU57" s="200"/>
      <c r="EV57" s="200"/>
      <c r="EW57" s="201"/>
      <c r="EX57" s="201"/>
      <c r="EY57" s="201"/>
      <c r="EZ57" s="201"/>
      <c r="FB57" s="190"/>
      <c r="FC57" s="190"/>
      <c r="FD57" s="190"/>
      <c r="FE57" s="190"/>
      <c r="FF57" s="191"/>
      <c r="FG57" s="191"/>
      <c r="FH57" s="191"/>
      <c r="FI57" s="191"/>
      <c r="FJ57" s="192"/>
      <c r="FK57" s="192"/>
      <c r="FL57" s="192"/>
      <c r="FM57" s="192"/>
      <c r="FO57" s="193"/>
      <c r="FP57" s="193"/>
      <c r="FQ57" s="193"/>
      <c r="FR57" s="193"/>
      <c r="FS57" s="194"/>
      <c r="FT57" s="194"/>
      <c r="FU57" s="194"/>
      <c r="FV57" s="194"/>
      <c r="FW57" s="195"/>
      <c r="FX57" s="195"/>
      <c r="FY57" s="195"/>
      <c r="FZ57" s="195"/>
      <c r="GB57" s="184"/>
      <c r="GC57" s="184"/>
      <c r="GD57" s="184"/>
      <c r="GE57" s="184"/>
      <c r="GF57" s="185"/>
      <c r="GG57" s="185"/>
      <c r="GH57" s="185"/>
      <c r="GI57" s="185"/>
      <c r="GJ57" s="186"/>
      <c r="GK57" s="186"/>
      <c r="GL57" s="186"/>
      <c r="GM57" s="186"/>
      <c r="HB57" s="187"/>
      <c r="HC57" s="187"/>
      <c r="HD57" s="187"/>
      <c r="HE57" s="187"/>
      <c r="HF57" s="188"/>
      <c r="HG57" s="188"/>
      <c r="HH57" s="188"/>
      <c r="HI57" s="188"/>
      <c r="HJ57" s="189"/>
      <c r="HK57" s="189"/>
      <c r="HL57" s="189"/>
      <c r="HM57" s="189"/>
    </row>
    <row r="58" spans="2:221" hidden="1" outlineLevel="1" x14ac:dyDescent="0.45">
      <c r="O58" s="18" t="s">
        <v>73</v>
      </c>
      <c r="P58" s="18" t="s">
        <v>74</v>
      </c>
      <c r="Q58" s="18" t="s">
        <v>75</v>
      </c>
      <c r="S58" s="18" t="s">
        <v>73</v>
      </c>
      <c r="T58" s="18" t="s">
        <v>74</v>
      </c>
      <c r="U58" s="18" t="s">
        <v>75</v>
      </c>
      <c r="W58" s="18" t="s">
        <v>73</v>
      </c>
      <c r="X58" s="18" t="s">
        <v>74</v>
      </c>
      <c r="Y58" s="18" t="s">
        <v>75</v>
      </c>
      <c r="AB58" s="18" t="s">
        <v>73</v>
      </c>
      <c r="AC58" s="18" t="s">
        <v>74</v>
      </c>
      <c r="AD58" s="18" t="s">
        <v>75</v>
      </c>
      <c r="AF58" s="18" t="s">
        <v>73</v>
      </c>
      <c r="AG58" s="18" t="s">
        <v>74</v>
      </c>
      <c r="AH58" s="18" t="s">
        <v>75</v>
      </c>
      <c r="AJ58" s="18" t="s">
        <v>73</v>
      </c>
      <c r="AK58" s="18" t="s">
        <v>74</v>
      </c>
      <c r="AL58" s="18" t="s">
        <v>75</v>
      </c>
      <c r="AO58" s="18" t="s">
        <v>73</v>
      </c>
      <c r="AP58" s="18" t="s">
        <v>74</v>
      </c>
      <c r="AQ58" s="18" t="s">
        <v>75</v>
      </c>
      <c r="AS58" s="18" t="s">
        <v>73</v>
      </c>
      <c r="AT58" s="18" t="s">
        <v>74</v>
      </c>
      <c r="AU58" s="18" t="s">
        <v>75</v>
      </c>
      <c r="AW58" s="18" t="s">
        <v>73</v>
      </c>
      <c r="AX58" s="18" t="s">
        <v>74</v>
      </c>
      <c r="AY58" s="18" t="s">
        <v>75</v>
      </c>
      <c r="BO58" s="18" t="s">
        <v>73</v>
      </c>
      <c r="BP58" s="18" t="s">
        <v>74</v>
      </c>
      <c r="BQ58" s="18" t="s">
        <v>75</v>
      </c>
      <c r="BS58" s="18" t="s">
        <v>73</v>
      </c>
      <c r="BT58" s="18" t="s">
        <v>74</v>
      </c>
      <c r="BU58" s="18" t="s">
        <v>75</v>
      </c>
      <c r="BW58" s="18" t="s">
        <v>73</v>
      </c>
      <c r="BX58" s="18" t="s">
        <v>74</v>
      </c>
      <c r="BY58" s="18" t="s">
        <v>75</v>
      </c>
      <c r="DO58" s="18" t="s">
        <v>73</v>
      </c>
      <c r="DP58" s="18" t="s">
        <v>74</v>
      </c>
      <c r="DQ58" s="18" t="s">
        <v>75</v>
      </c>
      <c r="DS58" s="18" t="s">
        <v>73</v>
      </c>
      <c r="DT58" s="18" t="s">
        <v>74</v>
      </c>
      <c r="DU58" s="18" t="s">
        <v>75</v>
      </c>
      <c r="DW58" s="18" t="s">
        <v>73</v>
      </c>
      <c r="DX58" s="18" t="s">
        <v>74</v>
      </c>
      <c r="DY58" s="18" t="s">
        <v>75</v>
      </c>
      <c r="EB58" s="18" t="s">
        <v>73</v>
      </c>
      <c r="EC58" s="18" t="s">
        <v>74</v>
      </c>
      <c r="ED58" s="18" t="s">
        <v>75</v>
      </c>
      <c r="EF58" s="18" t="s">
        <v>73</v>
      </c>
      <c r="EG58" s="18" t="s">
        <v>74</v>
      </c>
      <c r="EH58" s="18" t="s">
        <v>75</v>
      </c>
      <c r="EJ58" s="18" t="s">
        <v>73</v>
      </c>
      <c r="EK58" s="18" t="s">
        <v>74</v>
      </c>
      <c r="EL58" s="18" t="s">
        <v>75</v>
      </c>
      <c r="EO58" s="18" t="s">
        <v>73</v>
      </c>
      <c r="EP58" s="18" t="s">
        <v>74</v>
      </c>
      <c r="EQ58" s="18" t="s">
        <v>75</v>
      </c>
      <c r="ES58" s="18" t="s">
        <v>73</v>
      </c>
      <c r="ET58" s="18" t="s">
        <v>74</v>
      </c>
      <c r="EU58" s="18" t="s">
        <v>75</v>
      </c>
      <c r="EW58" s="18" t="s">
        <v>73</v>
      </c>
      <c r="EX58" s="18" t="s">
        <v>74</v>
      </c>
      <c r="EY58" s="18" t="s">
        <v>75</v>
      </c>
      <c r="FB58" s="18" t="s">
        <v>73</v>
      </c>
      <c r="FC58" s="18" t="s">
        <v>74</v>
      </c>
      <c r="FD58" s="18" t="s">
        <v>75</v>
      </c>
      <c r="FF58" s="18" t="s">
        <v>73</v>
      </c>
      <c r="FG58" s="18" t="s">
        <v>74</v>
      </c>
      <c r="FH58" s="18" t="s">
        <v>75</v>
      </c>
      <c r="FJ58" s="18" t="s">
        <v>73</v>
      </c>
      <c r="FK58" s="18" t="s">
        <v>74</v>
      </c>
      <c r="FL58" s="18" t="s">
        <v>75</v>
      </c>
      <c r="FO58" s="18" t="s">
        <v>73</v>
      </c>
      <c r="FP58" s="18" t="s">
        <v>74</v>
      </c>
      <c r="FQ58" s="18" t="s">
        <v>75</v>
      </c>
      <c r="FS58" s="18" t="s">
        <v>73</v>
      </c>
      <c r="FT58" s="18" t="s">
        <v>74</v>
      </c>
      <c r="FU58" s="18" t="s">
        <v>75</v>
      </c>
      <c r="FW58" s="18" t="s">
        <v>73</v>
      </c>
      <c r="FX58" s="18" t="s">
        <v>74</v>
      </c>
      <c r="FY58" s="18" t="s">
        <v>75</v>
      </c>
      <c r="GB58" s="18" t="s">
        <v>73</v>
      </c>
      <c r="GC58" s="18" t="s">
        <v>74</v>
      </c>
      <c r="GD58" s="18" t="s">
        <v>75</v>
      </c>
      <c r="GF58" s="18" t="s">
        <v>73</v>
      </c>
      <c r="GG58" s="18" t="s">
        <v>74</v>
      </c>
      <c r="GH58" s="18" t="s">
        <v>75</v>
      </c>
      <c r="GJ58" s="18" t="s">
        <v>73</v>
      </c>
      <c r="GK58" s="18" t="s">
        <v>74</v>
      </c>
      <c r="GL58" s="18" t="s">
        <v>75</v>
      </c>
      <c r="HB58" s="18" t="s">
        <v>73</v>
      </c>
      <c r="HC58" s="18" t="s">
        <v>74</v>
      </c>
      <c r="HD58" s="18" t="s">
        <v>75</v>
      </c>
      <c r="HF58" s="18" t="s">
        <v>73</v>
      </c>
      <c r="HG58" s="18" t="s">
        <v>74</v>
      </c>
      <c r="HH58" s="18" t="s">
        <v>75</v>
      </c>
      <c r="HJ58" s="18" t="s">
        <v>73</v>
      </c>
      <c r="HK58" s="18" t="s">
        <v>74</v>
      </c>
      <c r="HL58" s="18" t="s">
        <v>75</v>
      </c>
    </row>
    <row r="59" spans="2:221" hidden="1" outlineLevel="1" x14ac:dyDescent="0.45">
      <c r="O59" s="18">
        <v>225</v>
      </c>
      <c r="P59" s="18">
        <v>185</v>
      </c>
      <c r="Q59" s="18">
        <v>133</v>
      </c>
      <c r="S59" s="18">
        <v>253</v>
      </c>
      <c r="T59" s="18">
        <v>210</v>
      </c>
      <c r="U59" s="18">
        <v>62</v>
      </c>
      <c r="W59" s="18">
        <v>0</v>
      </c>
      <c r="X59" s="18">
        <v>160</v>
      </c>
      <c r="Y59" s="18">
        <v>141</v>
      </c>
      <c r="AB59" s="18">
        <v>255</v>
      </c>
      <c r="AC59" s="18">
        <v>248</v>
      </c>
      <c r="AD59" s="18">
        <v>238</v>
      </c>
      <c r="AF59" s="18">
        <v>243</v>
      </c>
      <c r="AG59" s="18">
        <v>159</v>
      </c>
      <c r="AH59" s="18">
        <v>137</v>
      </c>
      <c r="AJ59" s="18">
        <v>249</v>
      </c>
      <c r="AK59" s="18">
        <v>207</v>
      </c>
      <c r="AL59" s="18">
        <v>209</v>
      </c>
      <c r="AO59" s="18">
        <v>52</v>
      </c>
      <c r="AP59" s="18">
        <v>72</v>
      </c>
      <c r="AQ59" s="18">
        <v>94</v>
      </c>
      <c r="AS59" s="18">
        <v>60</v>
      </c>
      <c r="AT59" s="18">
        <v>125</v>
      </c>
      <c r="AU59" s="18">
        <v>155</v>
      </c>
      <c r="AW59" s="18">
        <v>91</v>
      </c>
      <c r="AX59" s="18">
        <v>159</v>
      </c>
      <c r="AY59" s="18">
        <v>138</v>
      </c>
      <c r="BO59" s="18">
        <v>220</v>
      </c>
      <c r="BP59" s="18">
        <v>197</v>
      </c>
      <c r="BQ59" s="18">
        <v>140</v>
      </c>
      <c r="BS59" s="18">
        <v>219</v>
      </c>
      <c r="BT59" s="18">
        <v>58</v>
      </c>
      <c r="BU59" s="18">
        <v>9</v>
      </c>
      <c r="BW59" s="18">
        <v>71</v>
      </c>
      <c r="BX59" s="18">
        <v>134</v>
      </c>
      <c r="BY59" s="18">
        <v>87</v>
      </c>
      <c r="DO59" s="18">
        <v>247</v>
      </c>
      <c r="DP59" s="18">
        <v>238</v>
      </c>
      <c r="DQ59" s="18">
        <v>226</v>
      </c>
      <c r="DS59" s="18">
        <v>150</v>
      </c>
      <c r="DT59" s="18">
        <v>186</v>
      </c>
      <c r="DU59" s="18">
        <v>215</v>
      </c>
      <c r="DW59" s="18">
        <v>204</v>
      </c>
      <c r="DX59" s="18">
        <v>225</v>
      </c>
      <c r="DY59" s="18">
        <v>212</v>
      </c>
      <c r="EB59" s="18">
        <v>238</v>
      </c>
      <c r="EC59" s="18">
        <v>151</v>
      </c>
      <c r="ED59" s="18">
        <v>63</v>
      </c>
      <c r="EF59" s="18">
        <v>114</v>
      </c>
      <c r="EG59" s="18">
        <v>124</v>
      </c>
      <c r="EH59" s="18">
        <v>88</v>
      </c>
      <c r="EJ59" s="18">
        <v>219</v>
      </c>
      <c r="EK59" s="18">
        <v>207</v>
      </c>
      <c r="EL59" s="18">
        <v>174</v>
      </c>
      <c r="EO59" s="18">
        <v>147</v>
      </c>
      <c r="EP59" s="18">
        <v>130</v>
      </c>
      <c r="EQ59" s="18">
        <v>45</v>
      </c>
      <c r="ES59" s="18">
        <v>223</v>
      </c>
      <c r="ET59" s="18">
        <v>219</v>
      </c>
      <c r="EU59" s="18">
        <v>212</v>
      </c>
      <c r="EW59" s="18">
        <v>0</v>
      </c>
      <c r="EX59" s="18">
        <v>58</v>
      </c>
      <c r="EY59" s="18">
        <v>78</v>
      </c>
      <c r="FB59" s="18">
        <v>254</v>
      </c>
      <c r="FC59" s="18">
        <v>249</v>
      </c>
      <c r="FD59" s="18">
        <v>196</v>
      </c>
      <c r="FF59" s="18">
        <v>240</v>
      </c>
      <c r="FG59" s="18">
        <v>139</v>
      </c>
      <c r="FH59" s="18">
        <v>84</v>
      </c>
      <c r="FJ59" s="18">
        <v>171</v>
      </c>
      <c r="FK59" s="18">
        <v>220</v>
      </c>
      <c r="FL59" s="18">
        <v>241</v>
      </c>
      <c r="FO59" s="18">
        <v>225</v>
      </c>
      <c r="FP59" s="18">
        <v>69</v>
      </c>
      <c r="FQ59" s="18">
        <v>103</v>
      </c>
      <c r="FS59" s="18">
        <v>253</v>
      </c>
      <c r="FT59" s="18">
        <v>210</v>
      </c>
      <c r="FU59" s="18">
        <v>43</v>
      </c>
      <c r="FW59" s="18">
        <v>199</v>
      </c>
      <c r="FX59" s="18">
        <v>232</v>
      </c>
      <c r="FY59" s="18">
        <v>248</v>
      </c>
      <c r="GB59" s="18">
        <v>238</v>
      </c>
      <c r="GC59" s="18">
        <v>224</v>
      </c>
      <c r="GD59" s="18">
        <v>199</v>
      </c>
      <c r="GF59" s="18">
        <v>197</v>
      </c>
      <c r="GG59" s="18">
        <v>76</v>
      </c>
      <c r="GH59" s="18">
        <v>61</v>
      </c>
      <c r="GJ59" s="18">
        <v>0</v>
      </c>
      <c r="GK59" s="18">
        <v>95</v>
      </c>
      <c r="GL59" s="18">
        <v>92</v>
      </c>
      <c r="HB59" s="18">
        <v>0</v>
      </c>
      <c r="HC59" s="18">
        <v>51</v>
      </c>
      <c r="HD59" s="18">
        <v>86</v>
      </c>
      <c r="HF59" s="18">
        <v>227</v>
      </c>
      <c r="HG59" s="18">
        <v>225</v>
      </c>
      <c r="HH59" s="18">
        <v>214</v>
      </c>
      <c r="HJ59" s="18">
        <v>243</v>
      </c>
      <c r="HK59" s="18">
        <v>152</v>
      </c>
      <c r="HL59" s="18">
        <v>28</v>
      </c>
    </row>
    <row r="60" spans="2:221" hidden="1" outlineLevel="1" x14ac:dyDescent="0.45">
      <c r="O60" s="78" t="s">
        <v>795</v>
      </c>
      <c r="P60" s="78"/>
      <c r="Q60" s="78"/>
      <c r="R60" s="78"/>
      <c r="S60" s="78" t="s">
        <v>796</v>
      </c>
      <c r="T60" s="78"/>
      <c r="U60" s="78"/>
      <c r="V60" s="78"/>
      <c r="W60" s="78" t="s">
        <v>797</v>
      </c>
      <c r="X60" s="78"/>
      <c r="Y60" s="78"/>
      <c r="Z60" s="78"/>
      <c r="AB60" s="78" t="s">
        <v>798</v>
      </c>
      <c r="AC60" s="78"/>
      <c r="AD60" s="78"/>
      <c r="AE60" s="78"/>
      <c r="AF60" s="78" t="s">
        <v>799</v>
      </c>
      <c r="AG60" s="78"/>
      <c r="AH60" s="78"/>
      <c r="AI60" s="78"/>
      <c r="AJ60" s="78" t="s">
        <v>288</v>
      </c>
      <c r="AK60" s="78"/>
      <c r="AL60" s="78"/>
      <c r="AM60" s="78"/>
      <c r="AO60" s="78" t="s">
        <v>800</v>
      </c>
      <c r="AP60" s="78"/>
      <c r="AQ60" s="78"/>
      <c r="AR60" s="78"/>
      <c r="AS60" s="78" t="s">
        <v>801</v>
      </c>
      <c r="AT60" s="78"/>
      <c r="AU60" s="78"/>
      <c r="AV60" s="78"/>
      <c r="AW60" s="78" t="s">
        <v>802</v>
      </c>
      <c r="AX60" s="78"/>
      <c r="AY60" s="78"/>
      <c r="AZ60" s="78"/>
      <c r="BO60" s="78" t="s">
        <v>803</v>
      </c>
      <c r="BP60" s="78"/>
      <c r="BQ60" s="78"/>
      <c r="BR60" s="78"/>
      <c r="BS60" s="78" t="s">
        <v>804</v>
      </c>
      <c r="BT60" s="78"/>
      <c r="BU60" s="78"/>
      <c r="BV60" s="78"/>
      <c r="BW60" s="78" t="s">
        <v>805</v>
      </c>
      <c r="BX60" s="78"/>
      <c r="BY60" s="78"/>
      <c r="BZ60" s="78"/>
      <c r="DO60" s="78" t="s">
        <v>806</v>
      </c>
      <c r="DP60" s="78"/>
      <c r="DQ60" s="78"/>
      <c r="DR60" s="78"/>
      <c r="DS60" s="78" t="s">
        <v>807</v>
      </c>
      <c r="DT60" s="78"/>
      <c r="DU60" s="78"/>
      <c r="DV60" s="78"/>
      <c r="DW60" s="78" t="s">
        <v>808</v>
      </c>
      <c r="DX60" s="78"/>
      <c r="DY60" s="78"/>
      <c r="DZ60" s="78"/>
      <c r="EB60" s="78" t="s">
        <v>809</v>
      </c>
      <c r="EC60" s="78"/>
      <c r="ED60" s="78"/>
      <c r="EE60" s="78"/>
      <c r="EF60" s="78" t="s">
        <v>810</v>
      </c>
      <c r="EG60" s="78"/>
      <c r="EH60" s="78"/>
      <c r="EI60" s="78"/>
      <c r="EJ60" s="78" t="s">
        <v>811</v>
      </c>
      <c r="EK60" s="78"/>
      <c r="EL60" s="78"/>
      <c r="EM60" s="78"/>
      <c r="EO60" s="78" t="s">
        <v>812</v>
      </c>
      <c r="EP60" s="78"/>
      <c r="EQ60" s="78"/>
      <c r="ER60" s="78"/>
      <c r="ES60" s="78" t="s">
        <v>813</v>
      </c>
      <c r="ET60" s="78"/>
      <c r="EU60" s="78"/>
      <c r="EV60" s="78"/>
      <c r="EW60" s="78" t="s">
        <v>814</v>
      </c>
      <c r="EX60" s="78"/>
      <c r="EY60" s="78"/>
      <c r="EZ60" s="78"/>
      <c r="FB60" s="78" t="s">
        <v>815</v>
      </c>
      <c r="FC60" s="78"/>
      <c r="FD60" s="78"/>
      <c r="FE60" s="78"/>
      <c r="FF60" s="78" t="s">
        <v>816</v>
      </c>
      <c r="FG60" s="78"/>
      <c r="FH60" s="78"/>
      <c r="FI60" s="78"/>
      <c r="FJ60" s="78" t="s">
        <v>817</v>
      </c>
      <c r="FK60" s="78"/>
      <c r="FL60" s="78"/>
      <c r="FM60" s="78"/>
      <c r="FO60" s="78" t="s">
        <v>818</v>
      </c>
      <c r="FP60" s="78"/>
      <c r="FQ60" s="78"/>
      <c r="FR60" s="78"/>
      <c r="FS60" s="78" t="s">
        <v>819</v>
      </c>
      <c r="FT60" s="78"/>
      <c r="FU60" s="78"/>
      <c r="FV60" s="78"/>
      <c r="FW60" s="78" t="s">
        <v>820</v>
      </c>
      <c r="FX60" s="78"/>
      <c r="FY60" s="78"/>
      <c r="FZ60" s="78"/>
      <c r="GB60" s="78" t="s">
        <v>821</v>
      </c>
      <c r="GC60" s="78"/>
      <c r="GD60" s="78"/>
      <c r="GE60" s="78"/>
      <c r="GF60" s="78" t="s">
        <v>822</v>
      </c>
      <c r="GG60" s="78"/>
      <c r="GH60" s="78"/>
      <c r="GI60" s="78"/>
      <c r="GJ60" s="78" t="s">
        <v>823</v>
      </c>
      <c r="GK60" s="78"/>
      <c r="GL60" s="78"/>
      <c r="GM60" s="78"/>
      <c r="HB60" s="78" t="s">
        <v>824</v>
      </c>
      <c r="HC60" s="78"/>
      <c r="HD60" s="78"/>
      <c r="HE60" s="78"/>
      <c r="HF60" s="78" t="s">
        <v>825</v>
      </c>
      <c r="HG60" s="78"/>
      <c r="HH60" s="78"/>
      <c r="HI60" s="78"/>
      <c r="HJ60" s="78" t="s">
        <v>826</v>
      </c>
      <c r="HK60" s="78"/>
      <c r="HL60" s="78"/>
      <c r="HM60" s="78"/>
    </row>
    <row r="61" spans="2:221" hidden="1" outlineLevel="1" x14ac:dyDescent="0.45"/>
    <row r="62" spans="2:221" collapsed="1" x14ac:dyDescent="0.45">
      <c r="O62" s="78" t="s">
        <v>827</v>
      </c>
      <c r="P62" s="78"/>
      <c r="Q62" s="78"/>
      <c r="R62" s="78"/>
      <c r="S62" s="78" t="s">
        <v>828</v>
      </c>
      <c r="T62" s="78"/>
      <c r="U62" s="78"/>
      <c r="V62" s="78"/>
      <c r="W62" s="78"/>
      <c r="X62" s="78"/>
      <c r="Y62" s="78"/>
      <c r="Z62" s="78"/>
      <c r="AB62" s="78" t="s">
        <v>829</v>
      </c>
      <c r="AC62" s="78"/>
      <c r="AD62" s="78"/>
      <c r="AE62" s="78"/>
      <c r="AF62" s="78" t="s">
        <v>830</v>
      </c>
      <c r="AG62" s="78"/>
      <c r="AH62" s="78"/>
      <c r="AI62" s="78"/>
      <c r="AJ62" s="78"/>
      <c r="AK62" s="78"/>
      <c r="AL62" s="78"/>
      <c r="AM62" s="78"/>
      <c r="AO62" s="78" t="s">
        <v>831</v>
      </c>
      <c r="AP62" s="78"/>
      <c r="AQ62" s="78"/>
      <c r="AR62" s="78"/>
      <c r="AS62" s="78" t="s">
        <v>832</v>
      </c>
      <c r="AT62" s="78"/>
      <c r="AU62" s="78"/>
      <c r="AV62" s="78"/>
      <c r="AW62" s="78"/>
      <c r="AX62" s="78"/>
      <c r="AY62" s="78"/>
      <c r="AZ62" s="78"/>
      <c r="BO62" s="78" t="s">
        <v>833</v>
      </c>
      <c r="BP62" s="78"/>
      <c r="BQ62" s="78"/>
      <c r="BR62" s="78"/>
      <c r="BS62" s="78" t="s">
        <v>834</v>
      </c>
      <c r="BT62" s="78"/>
      <c r="BU62" s="78"/>
      <c r="BV62" s="78"/>
      <c r="BW62" s="78"/>
      <c r="BX62" s="78"/>
      <c r="BY62" s="78"/>
      <c r="BZ62" s="78"/>
      <c r="DO62" s="78" t="s">
        <v>835</v>
      </c>
      <c r="DP62" s="78"/>
      <c r="DQ62" s="78"/>
      <c r="DR62" s="78"/>
      <c r="DS62" s="78" t="s">
        <v>836</v>
      </c>
      <c r="DT62" s="78"/>
      <c r="DU62" s="78"/>
      <c r="DV62" s="78"/>
      <c r="DW62" s="78"/>
      <c r="DX62" s="78"/>
      <c r="DY62" s="78"/>
      <c r="DZ62" s="78"/>
      <c r="EB62" s="78" t="s">
        <v>837</v>
      </c>
      <c r="EC62" s="78"/>
      <c r="ED62" s="78"/>
      <c r="EE62" s="78"/>
      <c r="EF62" s="78" t="s">
        <v>838</v>
      </c>
      <c r="EG62" s="78"/>
      <c r="EH62" s="78"/>
      <c r="EI62" s="78"/>
      <c r="EJ62" s="78"/>
      <c r="EK62" s="78"/>
      <c r="EL62" s="78"/>
      <c r="EM62" s="78"/>
      <c r="FB62" s="78" t="s">
        <v>839</v>
      </c>
      <c r="FC62" s="78"/>
      <c r="FD62" s="78"/>
      <c r="FE62" s="78"/>
      <c r="FF62" s="78" t="s">
        <v>840</v>
      </c>
      <c r="FG62" s="78"/>
      <c r="FH62" s="78"/>
      <c r="FI62" s="78"/>
      <c r="FJ62" s="78"/>
      <c r="FK62" s="78"/>
      <c r="FL62" s="78"/>
      <c r="FM62" s="78"/>
      <c r="GB62" s="78" t="s">
        <v>841</v>
      </c>
      <c r="GC62" s="78"/>
      <c r="GD62" s="78"/>
      <c r="GE62" s="78"/>
      <c r="GF62" s="78" t="s">
        <v>842</v>
      </c>
      <c r="GG62" s="78"/>
      <c r="GH62" s="78"/>
      <c r="GI62" s="78"/>
      <c r="GJ62" s="78"/>
      <c r="GK62" s="78"/>
      <c r="GL62" s="78"/>
      <c r="GM62" s="78"/>
      <c r="HB62" s="78" t="s">
        <v>843</v>
      </c>
      <c r="HC62" s="78"/>
      <c r="HD62" s="78"/>
      <c r="HE62" s="78"/>
      <c r="HF62" s="78" t="s">
        <v>844</v>
      </c>
      <c r="HG62" s="78"/>
      <c r="HH62" s="78"/>
      <c r="HI62" s="78"/>
      <c r="HJ62" s="78"/>
      <c r="HK62" s="78"/>
      <c r="HL62" s="78"/>
      <c r="HM62" s="78"/>
    </row>
    <row r="63" spans="2:221" ht="40.049999999999997" customHeight="1" x14ac:dyDescent="0.45">
      <c r="O63" s="176"/>
      <c r="P63" s="176"/>
      <c r="Q63" s="176"/>
      <c r="R63" s="176"/>
      <c r="S63" s="177"/>
      <c r="T63" s="177"/>
      <c r="U63" s="177"/>
      <c r="V63" s="177"/>
      <c r="W63" s="178"/>
      <c r="X63" s="178"/>
      <c r="Y63" s="178"/>
      <c r="Z63" s="178"/>
      <c r="AB63" s="179"/>
      <c r="AC63" s="179"/>
      <c r="AD63" s="179"/>
      <c r="AE63" s="179"/>
      <c r="AF63" s="180"/>
      <c r="AG63" s="180"/>
      <c r="AH63" s="180"/>
      <c r="AI63" s="180"/>
      <c r="AJ63" s="170"/>
      <c r="AK63" s="170"/>
      <c r="AL63" s="170"/>
      <c r="AM63" s="170"/>
      <c r="AO63" s="171"/>
      <c r="AP63" s="171"/>
      <c r="AQ63" s="171"/>
      <c r="AR63" s="171"/>
      <c r="AS63" s="172"/>
      <c r="AT63" s="172"/>
      <c r="AU63" s="172"/>
      <c r="AV63" s="172"/>
      <c r="AW63" s="173"/>
      <c r="AX63" s="173"/>
      <c r="AY63" s="173"/>
      <c r="AZ63" s="173"/>
      <c r="BO63" s="174"/>
      <c r="BP63" s="174"/>
      <c r="BQ63" s="174"/>
      <c r="BR63" s="174"/>
      <c r="BS63" s="175"/>
      <c r="BT63" s="175"/>
      <c r="BU63" s="175"/>
      <c r="BV63" s="175"/>
      <c r="BW63" s="164"/>
      <c r="BX63" s="164"/>
      <c r="BY63" s="164"/>
      <c r="BZ63" s="164"/>
      <c r="DO63" s="165"/>
      <c r="DP63" s="165"/>
      <c r="DQ63" s="165"/>
      <c r="DR63" s="165"/>
      <c r="DS63" s="166"/>
      <c r="DT63" s="166"/>
      <c r="DU63" s="166"/>
      <c r="DV63" s="166"/>
      <c r="DW63" s="167"/>
      <c r="DX63" s="167"/>
      <c r="DY63" s="167"/>
      <c r="DZ63" s="167"/>
      <c r="EB63" s="168"/>
      <c r="EC63" s="168"/>
      <c r="ED63" s="168"/>
      <c r="EE63" s="168"/>
      <c r="EF63" s="169"/>
      <c r="EG63" s="169"/>
      <c r="EH63" s="169"/>
      <c r="EI63" s="169"/>
      <c r="EJ63" s="158"/>
      <c r="EK63" s="158"/>
      <c r="EL63" s="158"/>
      <c r="EM63" s="158"/>
      <c r="FB63" s="159"/>
      <c r="FC63" s="159"/>
      <c r="FD63" s="159"/>
      <c r="FE63" s="159"/>
      <c r="FF63" s="160"/>
      <c r="FG63" s="160"/>
      <c r="FH63" s="160"/>
      <c r="FI63" s="160"/>
      <c r="FJ63" s="161"/>
      <c r="FK63" s="161"/>
      <c r="FL63" s="161"/>
      <c r="FM63" s="161"/>
      <c r="GB63" s="162"/>
      <c r="GC63" s="162"/>
      <c r="GD63" s="162"/>
      <c r="GE63" s="162"/>
      <c r="GF63" s="163"/>
      <c r="GG63" s="163"/>
      <c r="GH63" s="163"/>
      <c r="GI63" s="163"/>
      <c r="GJ63" s="181"/>
      <c r="GK63" s="181"/>
      <c r="GL63" s="181"/>
      <c r="GM63" s="181"/>
      <c r="HB63" s="182"/>
      <c r="HC63" s="182"/>
      <c r="HD63" s="182"/>
      <c r="HE63" s="182"/>
      <c r="HF63" s="183"/>
      <c r="HG63" s="183"/>
      <c r="HH63" s="183"/>
      <c r="HI63" s="183"/>
      <c r="HJ63" s="157"/>
      <c r="HK63" s="157"/>
      <c r="HL63" s="157"/>
      <c r="HM63" s="157"/>
    </row>
    <row r="64" spans="2:221" hidden="1" outlineLevel="1" x14ac:dyDescent="0.45">
      <c r="O64" s="18" t="s">
        <v>73</v>
      </c>
      <c r="P64" s="18" t="s">
        <v>74</v>
      </c>
      <c r="Q64" s="18" t="s">
        <v>75</v>
      </c>
      <c r="S64" s="18" t="s">
        <v>73</v>
      </c>
      <c r="T64" s="18" t="s">
        <v>74</v>
      </c>
      <c r="U64" s="18" t="s">
        <v>75</v>
      </c>
      <c r="W64" s="18" t="s">
        <v>73</v>
      </c>
      <c r="X64" s="18" t="s">
        <v>74</v>
      </c>
      <c r="Y64" s="18" t="s">
        <v>75</v>
      </c>
      <c r="AB64" s="18" t="s">
        <v>73</v>
      </c>
      <c r="AC64" s="18" t="s">
        <v>74</v>
      </c>
      <c r="AD64" s="18" t="s">
        <v>75</v>
      </c>
      <c r="AF64" s="18" t="s">
        <v>73</v>
      </c>
      <c r="AG64" s="18" t="s">
        <v>74</v>
      </c>
      <c r="AH64" s="18" t="s">
        <v>75</v>
      </c>
      <c r="AJ64" s="18" t="s">
        <v>73</v>
      </c>
      <c r="AK64" s="18" t="s">
        <v>74</v>
      </c>
      <c r="AL64" s="18" t="s">
        <v>75</v>
      </c>
      <c r="AO64" s="18" t="s">
        <v>73</v>
      </c>
      <c r="AP64" s="18" t="s">
        <v>74</v>
      </c>
      <c r="AQ64" s="18" t="s">
        <v>75</v>
      </c>
      <c r="AS64" s="18" t="s">
        <v>73</v>
      </c>
      <c r="AT64" s="18" t="s">
        <v>74</v>
      </c>
      <c r="AU64" s="18" t="s">
        <v>75</v>
      </c>
      <c r="AW64" s="18" t="s">
        <v>73</v>
      </c>
      <c r="AX64" s="18" t="s">
        <v>74</v>
      </c>
      <c r="AY64" s="18" t="s">
        <v>75</v>
      </c>
      <c r="BO64" s="18" t="s">
        <v>73</v>
      </c>
      <c r="BP64" s="18" t="s">
        <v>74</v>
      </c>
      <c r="BQ64" s="18" t="s">
        <v>75</v>
      </c>
      <c r="BS64" s="18" t="s">
        <v>73</v>
      </c>
      <c r="BT64" s="18" t="s">
        <v>74</v>
      </c>
      <c r="BU64" s="18" t="s">
        <v>75</v>
      </c>
      <c r="BW64" s="18" t="s">
        <v>73</v>
      </c>
      <c r="BX64" s="18" t="s">
        <v>74</v>
      </c>
      <c r="BY64" s="18" t="s">
        <v>75</v>
      </c>
      <c r="DO64" s="18" t="s">
        <v>73</v>
      </c>
      <c r="DP64" s="18" t="s">
        <v>74</v>
      </c>
      <c r="DQ64" s="18" t="s">
        <v>75</v>
      </c>
      <c r="DS64" s="18" t="s">
        <v>73</v>
      </c>
      <c r="DT64" s="18" t="s">
        <v>74</v>
      </c>
      <c r="DU64" s="18" t="s">
        <v>75</v>
      </c>
      <c r="DW64" s="18" t="s">
        <v>73</v>
      </c>
      <c r="DX64" s="18" t="s">
        <v>74</v>
      </c>
      <c r="DY64" s="18" t="s">
        <v>75</v>
      </c>
      <c r="EB64" s="18" t="s">
        <v>73</v>
      </c>
      <c r="EC64" s="18" t="s">
        <v>74</v>
      </c>
      <c r="ED64" s="18" t="s">
        <v>75</v>
      </c>
      <c r="EF64" s="18" t="s">
        <v>73</v>
      </c>
      <c r="EG64" s="18" t="s">
        <v>74</v>
      </c>
      <c r="EH64" s="18" t="s">
        <v>75</v>
      </c>
      <c r="EJ64" s="18" t="s">
        <v>73</v>
      </c>
      <c r="EK64" s="18" t="s">
        <v>74</v>
      </c>
      <c r="EL64" s="18" t="s">
        <v>75</v>
      </c>
      <c r="FB64" s="18" t="s">
        <v>73</v>
      </c>
      <c r="FC64" s="18" t="s">
        <v>74</v>
      </c>
      <c r="FD64" s="18" t="s">
        <v>75</v>
      </c>
      <c r="FF64" s="18" t="s">
        <v>73</v>
      </c>
      <c r="FG64" s="18" t="s">
        <v>74</v>
      </c>
      <c r="FH64" s="18" t="s">
        <v>75</v>
      </c>
      <c r="FJ64" s="18" t="s">
        <v>73</v>
      </c>
      <c r="FK64" s="18" t="s">
        <v>74</v>
      </c>
      <c r="FL64" s="18" t="s">
        <v>75</v>
      </c>
      <c r="GB64" s="18" t="s">
        <v>73</v>
      </c>
      <c r="GC64" s="18" t="s">
        <v>74</v>
      </c>
      <c r="GD64" s="18" t="s">
        <v>75</v>
      </c>
      <c r="GF64" s="18" t="s">
        <v>73</v>
      </c>
      <c r="GG64" s="18" t="s">
        <v>74</v>
      </c>
      <c r="GH64" s="18" t="s">
        <v>75</v>
      </c>
      <c r="GJ64" s="18" t="s">
        <v>73</v>
      </c>
      <c r="GK64" s="18" t="s">
        <v>74</v>
      </c>
      <c r="GL64" s="18" t="s">
        <v>75</v>
      </c>
      <c r="HB64" s="18" t="s">
        <v>73</v>
      </c>
      <c r="HC64" s="18" t="s">
        <v>74</v>
      </c>
      <c r="HD64" s="18" t="s">
        <v>75</v>
      </c>
      <c r="HF64" s="18" t="s">
        <v>73</v>
      </c>
      <c r="HG64" s="18" t="s">
        <v>74</v>
      </c>
      <c r="HH64" s="18" t="s">
        <v>75</v>
      </c>
      <c r="HJ64" s="18" t="s">
        <v>73</v>
      </c>
      <c r="HK64" s="18" t="s">
        <v>74</v>
      </c>
      <c r="HL64" s="18" t="s">
        <v>75</v>
      </c>
    </row>
    <row r="65" spans="15:221" hidden="1" outlineLevel="1" x14ac:dyDescent="0.45">
      <c r="O65" s="18">
        <v>112</v>
      </c>
      <c r="P65" s="18">
        <v>55</v>
      </c>
      <c r="Q65" s="18">
        <v>44</v>
      </c>
      <c r="S65" s="18">
        <v>220</v>
      </c>
      <c r="T65" s="18">
        <v>95</v>
      </c>
      <c r="U65" s="18">
        <v>54</v>
      </c>
      <c r="W65" s="18">
        <v>247</v>
      </c>
      <c r="X65" s="18">
        <v>227</v>
      </c>
      <c r="Y65" s="18">
        <v>175</v>
      </c>
      <c r="AB65" s="18">
        <v>100</v>
      </c>
      <c r="AC65" s="18">
        <v>192</v>
      </c>
      <c r="AD65" s="18">
        <v>171</v>
      </c>
      <c r="AF65" s="18">
        <v>77</v>
      </c>
      <c r="AG65" s="18">
        <v>67</v>
      </c>
      <c r="AH65" s="18">
        <v>152</v>
      </c>
      <c r="AJ65" s="18">
        <v>232</v>
      </c>
      <c r="AK65" s="18">
        <v>82</v>
      </c>
      <c r="AL65" s="18">
        <v>152</v>
      </c>
      <c r="AO65" s="18">
        <v>70</v>
      </c>
      <c r="AP65" s="18">
        <v>46</v>
      </c>
      <c r="AQ65" s="18">
        <v>46</v>
      </c>
      <c r="AS65" s="18">
        <v>207</v>
      </c>
      <c r="AT65" s="18">
        <v>170</v>
      </c>
      <c r="AU65" s="18">
        <v>42</v>
      </c>
      <c r="AW65" s="18">
        <v>173</v>
      </c>
      <c r="AX65" s="18">
        <v>114</v>
      </c>
      <c r="AY65" s="18">
        <v>47</v>
      </c>
      <c r="BO65" s="18">
        <v>79</v>
      </c>
      <c r="BP65" s="18">
        <v>133</v>
      </c>
      <c r="BQ65" s="18">
        <v>166</v>
      </c>
      <c r="BS65" s="18">
        <v>121</v>
      </c>
      <c r="BT65" s="18">
        <v>167</v>
      </c>
      <c r="BU65" s="18">
        <v>217</v>
      </c>
      <c r="BW65" s="18">
        <v>216</v>
      </c>
      <c r="BX65" s="18">
        <v>219</v>
      </c>
      <c r="BY65" s="18">
        <v>217</v>
      </c>
      <c r="DO65" s="18">
        <v>197</v>
      </c>
      <c r="DP65" s="18">
        <v>166</v>
      </c>
      <c r="DQ65" s="18">
        <v>205</v>
      </c>
      <c r="DS65" s="18">
        <v>184</v>
      </c>
      <c r="DT65" s="18">
        <v>215</v>
      </c>
      <c r="DU65" s="18">
        <v>115</v>
      </c>
      <c r="DW65" s="18">
        <v>110</v>
      </c>
      <c r="DX65" s="18">
        <v>97</v>
      </c>
      <c r="DY65" s="18">
        <v>146</v>
      </c>
      <c r="EB65" s="18">
        <v>231</v>
      </c>
      <c r="EC65" s="18">
        <v>238</v>
      </c>
      <c r="ED65" s="18">
        <v>241</v>
      </c>
      <c r="EF65" s="18">
        <v>232</v>
      </c>
      <c r="EG65" s="18">
        <v>124</v>
      </c>
      <c r="EH65" s="18">
        <v>173</v>
      </c>
      <c r="EJ65" s="18">
        <v>204</v>
      </c>
      <c r="EK65" s="18">
        <v>220</v>
      </c>
      <c r="EL65" s="18">
        <v>67</v>
      </c>
      <c r="FB65" s="18">
        <v>247</v>
      </c>
      <c r="FC65" s="18">
        <v>245</v>
      </c>
      <c r="FD65" s="18">
        <v>232</v>
      </c>
      <c r="FF65" s="18">
        <v>249</v>
      </c>
      <c r="FG65" s="18">
        <v>212</v>
      </c>
      <c r="FH65" s="18">
        <v>225</v>
      </c>
      <c r="FJ65" s="18">
        <v>99</v>
      </c>
      <c r="FK65" s="18">
        <v>186</v>
      </c>
      <c r="FL65" s="18">
        <v>199</v>
      </c>
      <c r="GB65" s="18">
        <v>218</v>
      </c>
      <c r="GC65" s="18">
        <v>204</v>
      </c>
      <c r="GD65" s="18">
        <v>137</v>
      </c>
      <c r="GF65" s="18">
        <v>232</v>
      </c>
      <c r="GG65" s="18">
        <v>236</v>
      </c>
      <c r="GH65" s="18">
        <v>238</v>
      </c>
      <c r="GJ65" s="18">
        <v>120</v>
      </c>
      <c r="GK65" s="18">
        <v>148</v>
      </c>
      <c r="GL65" s="18">
        <v>171</v>
      </c>
      <c r="HB65" s="18">
        <v>0</v>
      </c>
      <c r="HC65" s="18">
        <v>95</v>
      </c>
      <c r="HD65" s="18">
        <v>148</v>
      </c>
      <c r="HF65" s="18">
        <v>182</v>
      </c>
      <c r="HG65" s="18">
        <v>188</v>
      </c>
      <c r="HH65" s="18">
        <v>191</v>
      </c>
      <c r="HJ65" s="18">
        <v>250</v>
      </c>
      <c r="HK65" s="18">
        <v>226</v>
      </c>
      <c r="HL65" s="18">
        <v>0</v>
      </c>
    </row>
    <row r="66" spans="15:221" hidden="1" outlineLevel="1" x14ac:dyDescent="0.45">
      <c r="O66" s="78" t="s">
        <v>845</v>
      </c>
      <c r="P66" s="78"/>
      <c r="Q66" s="78"/>
      <c r="R66" s="78"/>
      <c r="S66" s="78" t="s">
        <v>846</v>
      </c>
      <c r="T66" s="78"/>
      <c r="U66" s="78"/>
      <c r="V66" s="78"/>
      <c r="W66" s="78" t="s">
        <v>847</v>
      </c>
      <c r="X66" s="78"/>
      <c r="Y66" s="78"/>
      <c r="Z66" s="78"/>
      <c r="AB66" s="78" t="s">
        <v>848</v>
      </c>
      <c r="AC66" s="78"/>
      <c r="AD66" s="78"/>
      <c r="AE66" s="78"/>
      <c r="AF66" s="78" t="s">
        <v>849</v>
      </c>
      <c r="AG66" s="78"/>
      <c r="AH66" s="78"/>
      <c r="AI66" s="78"/>
      <c r="AJ66" s="78" t="s">
        <v>850</v>
      </c>
      <c r="AK66" s="78"/>
      <c r="AL66" s="78"/>
      <c r="AM66" s="78"/>
      <c r="AO66" s="78" t="s">
        <v>851</v>
      </c>
      <c r="AP66" s="78"/>
      <c r="AQ66" s="78"/>
      <c r="AR66" s="78"/>
      <c r="AS66" s="78" t="s">
        <v>852</v>
      </c>
      <c r="AT66" s="78"/>
      <c r="AU66" s="78"/>
      <c r="AV66" s="78"/>
      <c r="AW66" s="78" t="s">
        <v>853</v>
      </c>
      <c r="AX66" s="78"/>
      <c r="AY66" s="78"/>
      <c r="AZ66" s="78"/>
      <c r="BO66" s="78" t="s">
        <v>854</v>
      </c>
      <c r="BP66" s="78"/>
      <c r="BQ66" s="78"/>
      <c r="BR66" s="78"/>
      <c r="BS66" s="78" t="s">
        <v>855</v>
      </c>
      <c r="BT66" s="78"/>
      <c r="BU66" s="78"/>
      <c r="BV66" s="78"/>
      <c r="BW66" s="78" t="s">
        <v>856</v>
      </c>
      <c r="BX66" s="78"/>
      <c r="BY66" s="78"/>
      <c r="BZ66" s="78"/>
      <c r="DO66" s="78" t="s">
        <v>857</v>
      </c>
      <c r="DP66" s="78"/>
      <c r="DQ66" s="78"/>
      <c r="DR66" s="78"/>
      <c r="DS66" s="78" t="s">
        <v>858</v>
      </c>
      <c r="DT66" s="78"/>
      <c r="DU66" s="78"/>
      <c r="DV66" s="78"/>
      <c r="DW66" s="78" t="s">
        <v>859</v>
      </c>
      <c r="DX66" s="78"/>
      <c r="DY66" s="78"/>
      <c r="DZ66" s="78"/>
      <c r="EB66" s="78" t="s">
        <v>860</v>
      </c>
      <c r="EC66" s="78"/>
      <c r="ED66" s="78"/>
      <c r="EE66" s="78"/>
      <c r="EF66" s="78" t="s">
        <v>861</v>
      </c>
      <c r="EG66" s="78"/>
      <c r="EH66" s="78"/>
      <c r="EI66" s="78"/>
      <c r="EJ66" s="78" t="s">
        <v>862</v>
      </c>
      <c r="EK66" s="78"/>
      <c r="EL66" s="78"/>
      <c r="EM66" s="78"/>
      <c r="FB66" s="78" t="s">
        <v>863</v>
      </c>
      <c r="FC66" s="78"/>
      <c r="FD66" s="78"/>
      <c r="FE66" s="78"/>
      <c r="FF66" s="78" t="s">
        <v>864</v>
      </c>
      <c r="FG66" s="78"/>
      <c r="FH66" s="78"/>
      <c r="FI66" s="78"/>
      <c r="FJ66" s="78" t="s">
        <v>865</v>
      </c>
      <c r="FK66" s="78"/>
      <c r="FL66" s="78"/>
      <c r="FM66" s="78"/>
      <c r="GB66" s="78" t="s">
        <v>866</v>
      </c>
      <c r="GC66" s="78"/>
      <c r="GD66" s="78"/>
      <c r="GE66" s="78"/>
      <c r="GF66" s="78" t="s">
        <v>867</v>
      </c>
      <c r="GG66" s="78"/>
      <c r="GH66" s="78"/>
      <c r="GI66" s="78"/>
      <c r="GJ66" s="78" t="s">
        <v>868</v>
      </c>
      <c r="GK66" s="78"/>
      <c r="GL66" s="78"/>
      <c r="GM66" s="78"/>
      <c r="HB66" s="78" t="s">
        <v>869</v>
      </c>
      <c r="HC66" s="78"/>
      <c r="HD66" s="78"/>
      <c r="HE66" s="78"/>
      <c r="HF66" s="78" t="s">
        <v>870</v>
      </c>
      <c r="HG66" s="78"/>
      <c r="HH66" s="78"/>
      <c r="HI66" s="78"/>
      <c r="HJ66" s="78" t="s">
        <v>871</v>
      </c>
      <c r="HK66" s="78"/>
      <c r="HL66" s="78"/>
      <c r="HM66" s="78"/>
    </row>
    <row r="67" spans="15:221" hidden="1" outlineLevel="1" x14ac:dyDescent="0.45"/>
    <row r="68" spans="15:221" collapsed="1" x14ac:dyDescent="0.45">
      <c r="O68" s="78" t="s">
        <v>872</v>
      </c>
      <c r="P68" s="78"/>
      <c r="Q68" s="78"/>
      <c r="R68" s="78"/>
      <c r="S68" s="78" t="s">
        <v>873</v>
      </c>
      <c r="T68" s="78"/>
      <c r="U68" s="78"/>
      <c r="V68" s="78"/>
      <c r="W68" s="78"/>
      <c r="X68" s="78"/>
      <c r="Y68" s="78"/>
      <c r="Z68" s="78"/>
      <c r="AB68" s="78" t="s">
        <v>874</v>
      </c>
      <c r="AC68" s="78"/>
      <c r="AD68" s="78"/>
      <c r="AE68" s="78"/>
      <c r="AF68" s="78" t="s">
        <v>875</v>
      </c>
      <c r="AG68" s="78"/>
      <c r="AH68" s="78"/>
      <c r="AI68" s="78"/>
      <c r="AJ68" s="78"/>
      <c r="AK68" s="78"/>
      <c r="AL68" s="78"/>
      <c r="AM68" s="78"/>
      <c r="AO68" s="78" t="s">
        <v>876</v>
      </c>
      <c r="AP68" s="78"/>
      <c r="AQ68" s="78"/>
      <c r="AR68" s="78"/>
      <c r="AS68" s="78" t="s">
        <v>877</v>
      </c>
      <c r="AT68" s="78"/>
      <c r="AU68" s="78"/>
      <c r="AV68" s="78"/>
      <c r="AW68" s="78"/>
      <c r="AX68" s="78"/>
      <c r="AY68" s="78"/>
      <c r="AZ68" s="78"/>
      <c r="BO68" s="78" t="s">
        <v>878</v>
      </c>
      <c r="BP68" s="78"/>
      <c r="BQ68" s="78"/>
      <c r="BR68" s="78"/>
      <c r="BS68" s="78" t="s">
        <v>879</v>
      </c>
      <c r="BT68" s="78"/>
      <c r="BU68" s="78"/>
      <c r="BV68" s="78"/>
      <c r="BW68" s="78"/>
      <c r="BX68" s="78"/>
      <c r="BY68" s="78"/>
      <c r="BZ68" s="78"/>
      <c r="DO68" s="78" t="s">
        <v>880</v>
      </c>
      <c r="DP68" s="78"/>
      <c r="DQ68" s="78"/>
      <c r="DR68" s="78"/>
      <c r="DS68" s="78" t="s">
        <v>881</v>
      </c>
      <c r="DT68" s="78"/>
      <c r="DU68" s="78"/>
      <c r="DV68" s="78"/>
      <c r="DW68" s="78"/>
      <c r="DX68" s="78"/>
      <c r="DY68" s="78"/>
      <c r="DZ68" s="78"/>
      <c r="EB68" s="78" t="s">
        <v>882</v>
      </c>
      <c r="EC68" s="78"/>
      <c r="ED68" s="78"/>
      <c r="EE68" s="78"/>
      <c r="EF68" s="78" t="s">
        <v>883</v>
      </c>
      <c r="EG68" s="78"/>
      <c r="EH68" s="78"/>
      <c r="EI68" s="78"/>
      <c r="EJ68" s="78"/>
      <c r="EK68" s="78"/>
      <c r="EL68" s="78"/>
      <c r="EM68" s="78"/>
      <c r="FB68" s="78" t="s">
        <v>884</v>
      </c>
      <c r="FC68" s="78"/>
      <c r="FD68" s="78"/>
      <c r="FE68" s="78"/>
      <c r="FF68" s="78" t="s">
        <v>885</v>
      </c>
      <c r="FG68" s="78"/>
      <c r="FH68" s="78"/>
      <c r="FI68" s="78"/>
      <c r="FJ68" s="78"/>
      <c r="FK68" s="78"/>
      <c r="FL68" s="78"/>
      <c r="FM68" s="78"/>
      <c r="GB68" s="78" t="s">
        <v>886</v>
      </c>
      <c r="GC68" s="78"/>
      <c r="GD68" s="78"/>
      <c r="GE68" s="78"/>
      <c r="GF68" s="78" t="s">
        <v>887</v>
      </c>
      <c r="GG68" s="78"/>
      <c r="GH68" s="78"/>
      <c r="GI68" s="78"/>
      <c r="GJ68" s="78"/>
      <c r="GK68" s="78"/>
      <c r="GL68" s="78"/>
      <c r="GM68" s="78"/>
    </row>
    <row r="69" spans="15:221" ht="40.049999999999997" customHeight="1" x14ac:dyDescent="0.45">
      <c r="O69" s="144"/>
      <c r="P69" s="144"/>
      <c r="Q69" s="144"/>
      <c r="R69" s="144"/>
      <c r="S69" s="145"/>
      <c r="T69" s="145"/>
      <c r="U69" s="145"/>
      <c r="V69" s="145"/>
      <c r="W69" s="146"/>
      <c r="X69" s="146"/>
      <c r="Y69" s="146"/>
      <c r="Z69" s="146"/>
      <c r="AB69" s="147"/>
      <c r="AC69" s="147"/>
      <c r="AD69" s="147"/>
      <c r="AE69" s="147"/>
      <c r="AF69" s="148"/>
      <c r="AG69" s="148"/>
      <c r="AH69" s="148"/>
      <c r="AI69" s="148"/>
      <c r="AJ69" s="149"/>
      <c r="AK69" s="149"/>
      <c r="AL69" s="149"/>
      <c r="AM69" s="149"/>
      <c r="AO69" s="150"/>
      <c r="AP69" s="150"/>
      <c r="AQ69" s="150"/>
      <c r="AR69" s="150"/>
      <c r="AS69" s="132"/>
      <c r="AT69" s="132"/>
      <c r="AU69" s="132"/>
      <c r="AV69" s="132"/>
      <c r="AW69" s="133"/>
      <c r="AX69" s="133"/>
      <c r="AY69" s="133"/>
      <c r="AZ69" s="133"/>
      <c r="BO69" s="134"/>
      <c r="BP69" s="134"/>
      <c r="BQ69" s="134"/>
      <c r="BR69" s="134"/>
      <c r="BS69" s="135"/>
      <c r="BT69" s="135"/>
      <c r="BU69" s="135"/>
      <c r="BV69" s="135"/>
      <c r="BW69" s="136"/>
      <c r="BX69" s="136"/>
      <c r="BY69" s="136"/>
      <c r="BZ69" s="136"/>
      <c r="DO69" s="137"/>
      <c r="DP69" s="137"/>
      <c r="DQ69" s="137"/>
      <c r="DR69" s="137"/>
      <c r="DS69" s="156"/>
      <c r="DT69" s="156"/>
      <c r="DU69" s="156"/>
      <c r="DV69" s="156"/>
      <c r="DW69" s="127"/>
      <c r="DX69" s="127"/>
      <c r="DY69" s="127"/>
      <c r="DZ69" s="127"/>
      <c r="EB69" s="128"/>
      <c r="EC69" s="128"/>
      <c r="ED69" s="128"/>
      <c r="EE69" s="128"/>
      <c r="EF69" s="129"/>
      <c r="EG69" s="129"/>
      <c r="EH69" s="129"/>
      <c r="EI69" s="129"/>
      <c r="EJ69" s="130"/>
      <c r="EK69" s="130"/>
      <c r="EL69" s="130"/>
      <c r="EM69" s="130"/>
      <c r="FB69" s="131"/>
      <c r="FC69" s="131"/>
      <c r="FD69" s="131"/>
      <c r="FE69" s="131"/>
      <c r="FF69" s="151"/>
      <c r="FG69" s="151"/>
      <c r="FH69" s="151"/>
      <c r="FI69" s="151"/>
      <c r="FJ69" s="152"/>
      <c r="FK69" s="152"/>
      <c r="FL69" s="152"/>
      <c r="FM69" s="152"/>
      <c r="GB69" s="153"/>
      <c r="GC69" s="153"/>
      <c r="GD69" s="153"/>
      <c r="GE69" s="153"/>
      <c r="GF69" s="154"/>
      <c r="GG69" s="154"/>
      <c r="GH69" s="154"/>
      <c r="GI69" s="154"/>
      <c r="GJ69" s="155"/>
      <c r="GK69" s="155"/>
      <c r="GL69" s="155"/>
      <c r="GM69" s="155"/>
    </row>
    <row r="70" spans="15:221" hidden="1" outlineLevel="1" x14ac:dyDescent="0.45">
      <c r="O70" s="18" t="s">
        <v>73</v>
      </c>
      <c r="P70" s="18" t="s">
        <v>74</v>
      </c>
      <c r="Q70" s="18" t="s">
        <v>75</v>
      </c>
      <c r="S70" s="18" t="s">
        <v>73</v>
      </c>
      <c r="T70" s="18" t="s">
        <v>74</v>
      </c>
      <c r="U70" s="18" t="s">
        <v>75</v>
      </c>
      <c r="W70" s="18" t="s">
        <v>73</v>
      </c>
      <c r="X70" s="18" t="s">
        <v>74</v>
      </c>
      <c r="Y70" s="18" t="s">
        <v>75</v>
      </c>
      <c r="AB70" s="18" t="s">
        <v>73</v>
      </c>
      <c r="AC70" s="18" t="s">
        <v>74</v>
      </c>
      <c r="AD70" s="18" t="s">
        <v>75</v>
      </c>
      <c r="AF70" s="18" t="s">
        <v>73</v>
      </c>
      <c r="AG70" s="18" t="s">
        <v>74</v>
      </c>
      <c r="AH70" s="18" t="s">
        <v>75</v>
      </c>
      <c r="AJ70" s="18" t="s">
        <v>73</v>
      </c>
      <c r="AK70" s="18" t="s">
        <v>74</v>
      </c>
      <c r="AL70" s="18" t="s">
        <v>75</v>
      </c>
      <c r="AO70" s="18" t="s">
        <v>73</v>
      </c>
      <c r="AP70" s="18" t="s">
        <v>74</v>
      </c>
      <c r="AQ70" s="18" t="s">
        <v>75</v>
      </c>
      <c r="AS70" s="18" t="s">
        <v>73</v>
      </c>
      <c r="AT70" s="18" t="s">
        <v>74</v>
      </c>
      <c r="AU70" s="18" t="s">
        <v>75</v>
      </c>
      <c r="AW70" s="18" t="s">
        <v>73</v>
      </c>
      <c r="AX70" s="18" t="s">
        <v>74</v>
      </c>
      <c r="AY70" s="18" t="s">
        <v>75</v>
      </c>
      <c r="BO70" s="18" t="s">
        <v>73</v>
      </c>
      <c r="BP70" s="18" t="s">
        <v>74</v>
      </c>
      <c r="BQ70" s="18" t="s">
        <v>75</v>
      </c>
      <c r="BS70" s="18" t="s">
        <v>73</v>
      </c>
      <c r="BT70" s="18" t="s">
        <v>74</v>
      </c>
      <c r="BU70" s="18" t="s">
        <v>75</v>
      </c>
      <c r="BW70" s="18" t="s">
        <v>73</v>
      </c>
      <c r="BX70" s="18" t="s">
        <v>74</v>
      </c>
      <c r="BY70" s="18" t="s">
        <v>75</v>
      </c>
      <c r="DO70" s="18" t="s">
        <v>73</v>
      </c>
      <c r="DP70" s="18" t="s">
        <v>74</v>
      </c>
      <c r="DQ70" s="18" t="s">
        <v>75</v>
      </c>
      <c r="DS70" s="18" t="s">
        <v>73</v>
      </c>
      <c r="DT70" s="18" t="s">
        <v>74</v>
      </c>
      <c r="DU70" s="18" t="s">
        <v>75</v>
      </c>
      <c r="DW70" s="18" t="s">
        <v>73</v>
      </c>
      <c r="DX70" s="18" t="s">
        <v>74</v>
      </c>
      <c r="DY70" s="18" t="s">
        <v>75</v>
      </c>
      <c r="EB70" s="18" t="s">
        <v>73</v>
      </c>
      <c r="EC70" s="18" t="s">
        <v>74</v>
      </c>
      <c r="ED70" s="18" t="s">
        <v>75</v>
      </c>
      <c r="EF70" s="18" t="s">
        <v>73</v>
      </c>
      <c r="EG70" s="18" t="s">
        <v>74</v>
      </c>
      <c r="EH70" s="18" t="s">
        <v>75</v>
      </c>
      <c r="EJ70" s="18" t="s">
        <v>73</v>
      </c>
      <c r="EK70" s="18" t="s">
        <v>74</v>
      </c>
      <c r="EL70" s="18" t="s">
        <v>75</v>
      </c>
      <c r="FB70" s="18" t="s">
        <v>73</v>
      </c>
      <c r="FC70" s="18" t="s">
        <v>74</v>
      </c>
      <c r="FD70" s="18" t="s">
        <v>75</v>
      </c>
      <c r="FF70" s="18" t="s">
        <v>73</v>
      </c>
      <c r="FG70" s="18" t="s">
        <v>74</v>
      </c>
      <c r="FH70" s="18" t="s">
        <v>75</v>
      </c>
      <c r="FJ70" s="18" t="s">
        <v>73</v>
      </c>
      <c r="FK70" s="18" t="s">
        <v>74</v>
      </c>
      <c r="FL70" s="18" t="s">
        <v>75</v>
      </c>
      <c r="GB70" s="18" t="s">
        <v>73</v>
      </c>
      <c r="GC70" s="18" t="s">
        <v>74</v>
      </c>
      <c r="GD70" s="18" t="s">
        <v>75</v>
      </c>
      <c r="GF70" s="18" t="s">
        <v>73</v>
      </c>
      <c r="GG70" s="18" t="s">
        <v>74</v>
      </c>
      <c r="GH70" s="18" t="s">
        <v>75</v>
      </c>
      <c r="GJ70" s="18" t="s">
        <v>73</v>
      </c>
      <c r="GK70" s="18" t="s">
        <v>74</v>
      </c>
      <c r="GL70" s="18" t="s">
        <v>75</v>
      </c>
    </row>
    <row r="71" spans="15:221" hidden="1" outlineLevel="1" x14ac:dyDescent="0.45">
      <c r="O71" s="18">
        <v>220</v>
      </c>
      <c r="P71" s="18">
        <v>213</v>
      </c>
      <c r="Q71" s="18">
        <v>200</v>
      </c>
      <c r="S71" s="18">
        <v>162</v>
      </c>
      <c r="T71" s="18">
        <v>162</v>
      </c>
      <c r="U71" s="18">
        <v>173</v>
      </c>
      <c r="W71" s="18">
        <v>31</v>
      </c>
      <c r="X71" s="18">
        <v>30</v>
      </c>
      <c r="Y71" s="18">
        <v>99</v>
      </c>
      <c r="AB71" s="18">
        <v>237</v>
      </c>
      <c r="AC71" s="18">
        <v>109</v>
      </c>
      <c r="AD71" s="18">
        <v>70</v>
      </c>
      <c r="AF71" s="18">
        <v>255</v>
      </c>
      <c r="AG71" s="18">
        <v>241</v>
      </c>
      <c r="AH71" s="18">
        <v>0</v>
      </c>
      <c r="AJ71" s="18">
        <v>43</v>
      </c>
      <c r="AK71" s="18">
        <v>183</v>
      </c>
      <c r="AL71" s="18">
        <v>179</v>
      </c>
      <c r="AO71" s="18">
        <v>219</v>
      </c>
      <c r="AP71" s="18">
        <v>203</v>
      </c>
      <c r="AQ71" s="18">
        <v>199</v>
      </c>
      <c r="AS71" s="18">
        <v>127</v>
      </c>
      <c r="AT71" s="18">
        <v>80</v>
      </c>
      <c r="AU71" s="18">
        <v>114</v>
      </c>
      <c r="AW71" s="18">
        <v>172</v>
      </c>
      <c r="AX71" s="18">
        <v>176</v>
      </c>
      <c r="AY71" s="18">
        <v>168</v>
      </c>
      <c r="BO71" s="18">
        <v>139</v>
      </c>
      <c r="BP71" s="18">
        <v>39</v>
      </c>
      <c r="BQ71" s="18">
        <v>43</v>
      </c>
      <c r="BS71" s="18">
        <v>229</v>
      </c>
      <c r="BT71" s="18">
        <v>0</v>
      </c>
      <c r="BU71" s="18">
        <v>106</v>
      </c>
      <c r="BW71" s="18">
        <v>206</v>
      </c>
      <c r="BX71" s="18">
        <v>104</v>
      </c>
      <c r="BY71" s="18">
        <v>69</v>
      </c>
      <c r="DO71" s="18">
        <v>228</v>
      </c>
      <c r="DP71" s="18">
        <v>173</v>
      </c>
      <c r="DQ71" s="18">
        <v>157</v>
      </c>
      <c r="DS71" s="18">
        <v>208</v>
      </c>
      <c r="DT71" s="18">
        <v>212</v>
      </c>
      <c r="DU71" s="18">
        <v>212</v>
      </c>
      <c r="DW71" s="18">
        <v>238</v>
      </c>
      <c r="DX71" s="18">
        <v>230</v>
      </c>
      <c r="DY71" s="18">
        <v>220</v>
      </c>
      <c r="EB71" s="18">
        <v>252</v>
      </c>
      <c r="EC71" s="18">
        <v>241</v>
      </c>
      <c r="ED71" s="18">
        <v>102</v>
      </c>
      <c r="EF71" s="18">
        <v>226</v>
      </c>
      <c r="EG71" s="18">
        <v>221</v>
      </c>
      <c r="EH71" s="18">
        <v>207</v>
      </c>
      <c r="EJ71" s="18">
        <v>165</v>
      </c>
      <c r="EK71" s="18">
        <v>152</v>
      </c>
      <c r="EL71" s="18">
        <v>201</v>
      </c>
      <c r="FB71" s="18">
        <v>128</v>
      </c>
      <c r="FC71" s="18">
        <v>144</v>
      </c>
      <c r="FD71" s="18">
        <v>192</v>
      </c>
      <c r="FF71" s="18">
        <v>242</v>
      </c>
      <c r="FG71" s="18">
        <v>155</v>
      </c>
      <c r="FH71" s="18">
        <v>143</v>
      </c>
      <c r="FJ71" s="18">
        <v>247</v>
      </c>
      <c r="FK71" s="18">
        <v>242</v>
      </c>
      <c r="FL71" s="18">
        <v>235</v>
      </c>
      <c r="GB71" s="18">
        <v>230</v>
      </c>
      <c r="GC71" s="18">
        <v>226</v>
      </c>
      <c r="GD71" s="18">
        <v>218</v>
      </c>
      <c r="GF71" s="18">
        <v>181</v>
      </c>
      <c r="GG71" s="18">
        <v>29</v>
      </c>
      <c r="GH71" s="18">
        <v>44</v>
      </c>
      <c r="GJ71" s="18">
        <v>177</v>
      </c>
      <c r="GK71" s="18">
        <v>158</v>
      </c>
      <c r="GL71" s="18">
        <v>138</v>
      </c>
    </row>
    <row r="72" spans="15:221" hidden="1" outlineLevel="1" x14ac:dyDescent="0.45">
      <c r="O72" s="78" t="s">
        <v>888</v>
      </c>
      <c r="P72" s="78"/>
      <c r="Q72" s="78"/>
      <c r="R72" s="78"/>
      <c r="S72" s="78" t="s">
        <v>889</v>
      </c>
      <c r="T72" s="78"/>
      <c r="U72" s="78"/>
      <c r="V72" s="78"/>
      <c r="W72" s="78" t="s">
        <v>890</v>
      </c>
      <c r="X72" s="78"/>
      <c r="Y72" s="78"/>
      <c r="Z72" s="78"/>
      <c r="AB72" s="78" t="s">
        <v>891</v>
      </c>
      <c r="AC72" s="78"/>
      <c r="AD72" s="78"/>
      <c r="AE72" s="78"/>
      <c r="AF72" s="78" t="s">
        <v>892</v>
      </c>
      <c r="AG72" s="78"/>
      <c r="AH72" s="78"/>
      <c r="AI72" s="78"/>
      <c r="AJ72" s="78" t="s">
        <v>893</v>
      </c>
      <c r="AK72" s="78"/>
      <c r="AL72" s="78"/>
      <c r="AM72" s="78"/>
      <c r="AO72" s="78" t="s">
        <v>894</v>
      </c>
      <c r="AP72" s="78"/>
      <c r="AQ72" s="78"/>
      <c r="AR72" s="78"/>
      <c r="AS72" s="78" t="s">
        <v>895</v>
      </c>
      <c r="AT72" s="78"/>
      <c r="AU72" s="78"/>
      <c r="AV72" s="78"/>
      <c r="AW72" s="78" t="s">
        <v>896</v>
      </c>
      <c r="AX72" s="78"/>
      <c r="AY72" s="78"/>
      <c r="AZ72" s="78"/>
      <c r="BO72" s="78" t="s">
        <v>897</v>
      </c>
      <c r="BP72" s="78"/>
      <c r="BQ72" s="78"/>
      <c r="BR72" s="78"/>
      <c r="BS72" s="78" t="s">
        <v>898</v>
      </c>
      <c r="BT72" s="78"/>
      <c r="BU72" s="78"/>
      <c r="BV72" s="78"/>
      <c r="BW72" s="78" t="s">
        <v>899</v>
      </c>
      <c r="BX72" s="78"/>
      <c r="BY72" s="78"/>
      <c r="BZ72" s="78"/>
      <c r="DO72" s="78" t="s">
        <v>900</v>
      </c>
      <c r="DP72" s="78"/>
      <c r="DQ72" s="78"/>
      <c r="DR72" s="78"/>
      <c r="DS72" s="78" t="s">
        <v>901</v>
      </c>
      <c r="DT72" s="78"/>
      <c r="DU72" s="78"/>
      <c r="DV72" s="78"/>
      <c r="DW72" s="78" t="s">
        <v>902</v>
      </c>
      <c r="DX72" s="78"/>
      <c r="DY72" s="78"/>
      <c r="DZ72" s="78"/>
      <c r="EB72" s="78" t="s">
        <v>903</v>
      </c>
      <c r="EC72" s="78"/>
      <c r="ED72" s="78"/>
      <c r="EE72" s="78"/>
      <c r="EF72" s="78" t="s">
        <v>904</v>
      </c>
      <c r="EG72" s="78"/>
      <c r="EH72" s="78"/>
      <c r="EI72" s="78"/>
      <c r="EJ72" s="78" t="s">
        <v>905</v>
      </c>
      <c r="EK72" s="78"/>
      <c r="EL72" s="78"/>
      <c r="EM72" s="78"/>
      <c r="FB72" s="78" t="s">
        <v>906</v>
      </c>
      <c r="FC72" s="78"/>
      <c r="FD72" s="78"/>
      <c r="FE72" s="78"/>
      <c r="FF72" s="78" t="s">
        <v>907</v>
      </c>
      <c r="FG72" s="78"/>
      <c r="FH72" s="78"/>
      <c r="FI72" s="78"/>
      <c r="FJ72" s="78" t="s">
        <v>908</v>
      </c>
      <c r="FK72" s="78"/>
      <c r="FL72" s="78"/>
      <c r="FM72" s="78"/>
      <c r="GB72" s="78" t="s">
        <v>909</v>
      </c>
      <c r="GC72" s="78"/>
      <c r="GD72" s="78"/>
      <c r="GE72" s="78"/>
      <c r="GF72" s="78" t="s">
        <v>910</v>
      </c>
      <c r="GG72" s="78"/>
      <c r="GH72" s="78"/>
      <c r="GI72" s="78"/>
      <c r="GJ72" s="78" t="s">
        <v>911</v>
      </c>
      <c r="GK72" s="78"/>
      <c r="GL72" s="78"/>
      <c r="GM72" s="78"/>
    </row>
    <row r="73" spans="15:221" hidden="1" outlineLevel="1" x14ac:dyDescent="0.45"/>
    <row r="74" spans="15:221" collapsed="1" x14ac:dyDescent="0.45">
      <c r="O74" s="78" t="s">
        <v>912</v>
      </c>
      <c r="P74" s="78"/>
      <c r="Q74" s="78"/>
      <c r="R74" s="78"/>
      <c r="S74" s="78" t="s">
        <v>913</v>
      </c>
      <c r="T74" s="78"/>
      <c r="U74" s="78"/>
      <c r="V74" s="78"/>
      <c r="W74" s="78"/>
      <c r="X74" s="78"/>
      <c r="Y74" s="78"/>
      <c r="Z74" s="78"/>
      <c r="AB74" s="78" t="s">
        <v>914</v>
      </c>
      <c r="AC74" s="78"/>
      <c r="AD74" s="78"/>
      <c r="AE74" s="78"/>
      <c r="AF74" s="78" t="s">
        <v>915</v>
      </c>
      <c r="AG74" s="78"/>
      <c r="AH74" s="78"/>
      <c r="AI74" s="78"/>
      <c r="AJ74" s="78"/>
      <c r="AK74" s="78"/>
      <c r="AL74" s="78"/>
      <c r="AM74" s="78"/>
      <c r="DO74" s="78" t="s">
        <v>916</v>
      </c>
      <c r="DP74" s="78"/>
      <c r="DQ74" s="78"/>
      <c r="DR74" s="78"/>
      <c r="DS74" s="78" t="s">
        <v>917</v>
      </c>
      <c r="DT74" s="78"/>
      <c r="DU74" s="78"/>
      <c r="DV74" s="78"/>
      <c r="DW74" s="78"/>
      <c r="DX74" s="78"/>
      <c r="DY74" s="78"/>
      <c r="DZ74" s="78"/>
      <c r="FB74" s="78" t="s">
        <v>918</v>
      </c>
      <c r="FC74" s="78"/>
      <c r="FD74" s="78"/>
      <c r="FE74" s="78"/>
      <c r="FF74" s="78" t="s">
        <v>919</v>
      </c>
      <c r="FG74" s="78"/>
      <c r="FH74" s="78"/>
      <c r="FI74" s="78"/>
      <c r="FJ74" s="78"/>
      <c r="FK74" s="78"/>
      <c r="FL74" s="78"/>
      <c r="FM74" s="78"/>
    </row>
    <row r="75" spans="15:221" ht="40.049999999999997" customHeight="1" x14ac:dyDescent="0.45">
      <c r="O75" s="121"/>
      <c r="P75" s="121"/>
      <c r="Q75" s="121"/>
      <c r="R75" s="121"/>
      <c r="S75" s="122"/>
      <c r="T75" s="122"/>
      <c r="U75" s="122"/>
      <c r="V75" s="122"/>
      <c r="W75" s="123"/>
      <c r="X75" s="123"/>
      <c r="Y75" s="123"/>
      <c r="Z75" s="123"/>
      <c r="AB75" s="124"/>
      <c r="AC75" s="124"/>
      <c r="AD75" s="124"/>
      <c r="AE75" s="124"/>
      <c r="AF75" s="125"/>
      <c r="AG75" s="125"/>
      <c r="AH75" s="125"/>
      <c r="AI75" s="125"/>
      <c r="AJ75" s="126"/>
      <c r="AK75" s="126"/>
      <c r="AL75" s="126"/>
      <c r="AM75" s="126"/>
      <c r="DO75" s="138"/>
      <c r="DP75" s="138"/>
      <c r="DQ75" s="138"/>
      <c r="DR75" s="138"/>
      <c r="DS75" s="139"/>
      <c r="DT75" s="139"/>
      <c r="DU75" s="139"/>
      <c r="DV75" s="139"/>
      <c r="DW75" s="140"/>
      <c r="DX75" s="140"/>
      <c r="DY75" s="140"/>
      <c r="DZ75" s="140"/>
      <c r="FB75" s="141"/>
      <c r="FC75" s="141"/>
      <c r="FD75" s="141"/>
      <c r="FE75" s="141"/>
      <c r="FF75" s="142"/>
      <c r="FG75" s="142"/>
      <c r="FH75" s="142"/>
      <c r="FI75" s="142"/>
      <c r="FJ75" s="143"/>
      <c r="FK75" s="143"/>
      <c r="FL75" s="143"/>
      <c r="FM75" s="143"/>
    </row>
    <row r="76" spans="15:221" hidden="1" outlineLevel="1" x14ac:dyDescent="0.45">
      <c r="O76" s="18" t="s">
        <v>73</v>
      </c>
      <c r="P76" s="18" t="s">
        <v>74</v>
      </c>
      <c r="Q76" s="18" t="s">
        <v>75</v>
      </c>
      <c r="S76" s="18" t="s">
        <v>73</v>
      </c>
      <c r="T76" s="18" t="s">
        <v>74</v>
      </c>
      <c r="U76" s="18" t="s">
        <v>75</v>
      </c>
      <c r="W76" s="18" t="s">
        <v>73</v>
      </c>
      <c r="X76" s="18" t="s">
        <v>74</v>
      </c>
      <c r="Y76" s="18" t="s">
        <v>75</v>
      </c>
      <c r="AB76" s="18" t="s">
        <v>73</v>
      </c>
      <c r="AC76" s="18" t="s">
        <v>74</v>
      </c>
      <c r="AD76" s="18" t="s">
        <v>75</v>
      </c>
      <c r="AF76" s="18" t="s">
        <v>73</v>
      </c>
      <c r="AG76" s="18" t="s">
        <v>74</v>
      </c>
      <c r="AH76" s="18" t="s">
        <v>75</v>
      </c>
      <c r="AJ76" s="18" t="s">
        <v>73</v>
      </c>
      <c r="AK76" s="18" t="s">
        <v>74</v>
      </c>
      <c r="AL76" s="18" t="s">
        <v>75</v>
      </c>
      <c r="DO76" s="18" t="s">
        <v>73</v>
      </c>
      <c r="DP76" s="18" t="s">
        <v>74</v>
      </c>
      <c r="DQ76" s="18" t="s">
        <v>75</v>
      </c>
      <c r="DS76" s="18" t="s">
        <v>73</v>
      </c>
      <c r="DT76" s="18" t="s">
        <v>74</v>
      </c>
      <c r="DU76" s="18" t="s">
        <v>75</v>
      </c>
      <c r="DW76" s="18" t="s">
        <v>73</v>
      </c>
      <c r="DX76" s="18" t="s">
        <v>74</v>
      </c>
      <c r="DY76" s="18" t="s">
        <v>75</v>
      </c>
      <c r="FB76" s="18" t="s">
        <v>73</v>
      </c>
      <c r="FC76" s="18" t="s">
        <v>74</v>
      </c>
      <c r="FD76" s="18" t="s">
        <v>75</v>
      </c>
      <c r="FF76" s="18" t="s">
        <v>73</v>
      </c>
      <c r="FG76" s="18" t="s">
        <v>74</v>
      </c>
      <c r="FH76" s="18" t="s">
        <v>75</v>
      </c>
      <c r="FJ76" s="18" t="s">
        <v>73</v>
      </c>
      <c r="FK76" s="18" t="s">
        <v>74</v>
      </c>
      <c r="FL76" s="18" t="s">
        <v>75</v>
      </c>
    </row>
    <row r="77" spans="15:221" hidden="1" outlineLevel="1" x14ac:dyDescent="0.45">
      <c r="O77" s="18">
        <v>236</v>
      </c>
      <c r="P77" s="18">
        <v>187</v>
      </c>
      <c r="Q77" s="18">
        <v>181</v>
      </c>
      <c r="S77" s="18">
        <v>190</v>
      </c>
      <c r="T77" s="18">
        <v>224</v>
      </c>
      <c r="U77" s="18">
        <v>204</v>
      </c>
      <c r="W77" s="18">
        <v>233</v>
      </c>
      <c r="X77" s="18">
        <v>155</v>
      </c>
      <c r="Y77" s="18">
        <v>193</v>
      </c>
      <c r="AB77" s="18">
        <v>0</v>
      </c>
      <c r="AC77" s="18">
        <v>42</v>
      </c>
      <c r="AD77" s="18">
        <v>91</v>
      </c>
      <c r="AF77" s="18">
        <v>215</v>
      </c>
      <c r="AG77" s="18">
        <v>0</v>
      </c>
      <c r="AH77" s="18">
        <v>15</v>
      </c>
      <c r="AJ77" s="18">
        <v>234</v>
      </c>
      <c r="AK77" s="18">
        <v>246</v>
      </c>
      <c r="AL77" s="18">
        <v>253</v>
      </c>
      <c r="DO77" s="18">
        <v>234</v>
      </c>
      <c r="DP77" s="18">
        <v>229</v>
      </c>
      <c r="DQ77" s="18">
        <v>218</v>
      </c>
      <c r="DS77" s="18">
        <v>244</v>
      </c>
      <c r="DT77" s="18">
        <v>171</v>
      </c>
      <c r="DU77" s="18">
        <v>26</v>
      </c>
      <c r="DW77" s="18">
        <v>190</v>
      </c>
      <c r="DX77" s="18">
        <v>151</v>
      </c>
      <c r="DY77" s="18">
        <v>124</v>
      </c>
      <c r="FB77" s="18">
        <v>116</v>
      </c>
      <c r="FC77" s="18">
        <v>121</v>
      </c>
      <c r="FD77" s="18">
        <v>156</v>
      </c>
      <c r="FF77" s="18">
        <v>249</v>
      </c>
      <c r="FG77" s="18">
        <v>233</v>
      </c>
      <c r="FH77" s="18">
        <v>146</v>
      </c>
      <c r="FJ77" s="18">
        <v>211</v>
      </c>
      <c r="FK77" s="18">
        <v>207</v>
      </c>
      <c r="FL77" s="18">
        <v>208</v>
      </c>
    </row>
    <row r="78" spans="15:221" hidden="1" outlineLevel="1" x14ac:dyDescent="0.45">
      <c r="O78" s="78" t="s">
        <v>920</v>
      </c>
      <c r="P78" s="78"/>
      <c r="Q78" s="78"/>
      <c r="R78" s="78"/>
      <c r="S78" s="78" t="s">
        <v>921</v>
      </c>
      <c r="T78" s="78"/>
      <c r="U78" s="78"/>
      <c r="V78" s="78"/>
      <c r="W78" s="78" t="s">
        <v>922</v>
      </c>
      <c r="X78" s="78"/>
      <c r="Y78" s="78"/>
      <c r="Z78" s="78"/>
      <c r="AB78" s="78" t="s">
        <v>923</v>
      </c>
      <c r="AC78" s="78"/>
      <c r="AD78" s="78"/>
      <c r="AE78" s="78"/>
      <c r="AF78" s="78" t="s">
        <v>924</v>
      </c>
      <c r="AG78" s="78"/>
      <c r="AH78" s="78"/>
      <c r="AI78" s="78"/>
      <c r="AJ78" s="78" t="s">
        <v>925</v>
      </c>
      <c r="AK78" s="78"/>
      <c r="AL78" s="78"/>
      <c r="AM78" s="78"/>
      <c r="DO78" s="78" t="s">
        <v>926</v>
      </c>
      <c r="DP78" s="78"/>
      <c r="DQ78" s="78"/>
      <c r="DR78" s="78"/>
      <c r="DS78" s="78" t="s">
        <v>927</v>
      </c>
      <c r="DT78" s="78"/>
      <c r="DU78" s="78"/>
      <c r="DV78" s="78"/>
      <c r="DW78" s="78" t="s">
        <v>928</v>
      </c>
      <c r="DX78" s="78"/>
      <c r="DY78" s="78"/>
      <c r="DZ78" s="78"/>
      <c r="FB78" s="78" t="s">
        <v>929</v>
      </c>
      <c r="FC78" s="78"/>
      <c r="FD78" s="78"/>
      <c r="FE78" s="78"/>
      <c r="FF78" s="78" t="s">
        <v>930</v>
      </c>
      <c r="FG78" s="78"/>
      <c r="FH78" s="78"/>
      <c r="FI78" s="78"/>
      <c r="FJ78" s="78" t="s">
        <v>931</v>
      </c>
      <c r="FK78" s="78"/>
      <c r="FL78" s="78"/>
      <c r="FM78" s="78"/>
    </row>
    <row r="79" spans="15:221" hidden="1" outlineLevel="1" x14ac:dyDescent="0.45"/>
    <row r="80" spans="15:221" collapsed="1" x14ac:dyDescent="0.45">
      <c r="O80" s="78" t="s">
        <v>932</v>
      </c>
      <c r="P80" s="78"/>
      <c r="Q80" s="78"/>
      <c r="R80" s="78"/>
      <c r="S80" s="78" t="s">
        <v>933</v>
      </c>
      <c r="T80" s="78"/>
      <c r="U80" s="78"/>
      <c r="V80" s="78"/>
      <c r="W80" s="78"/>
      <c r="X80" s="78"/>
      <c r="Y80" s="78"/>
      <c r="Z80" s="78"/>
      <c r="AB80" s="78" t="s">
        <v>934</v>
      </c>
      <c r="AC80" s="78"/>
      <c r="AD80" s="78"/>
      <c r="AE80" s="78"/>
      <c r="AF80" s="78" t="s">
        <v>935</v>
      </c>
      <c r="AG80" s="78"/>
      <c r="AH80" s="78"/>
      <c r="AI80" s="78"/>
      <c r="AJ80" s="78"/>
      <c r="AK80" s="78"/>
      <c r="AL80" s="78"/>
      <c r="AM80" s="78"/>
      <c r="DO80" s="78" t="s">
        <v>936</v>
      </c>
      <c r="DP80" s="78"/>
      <c r="DQ80" s="78"/>
      <c r="DR80" s="78"/>
      <c r="DS80" s="78" t="s">
        <v>937</v>
      </c>
      <c r="DT80" s="78"/>
      <c r="DU80" s="78"/>
      <c r="DV80" s="78"/>
      <c r="DW80" s="78"/>
      <c r="DX80" s="78"/>
      <c r="DY80" s="78"/>
      <c r="DZ80" s="78"/>
      <c r="FB80" s="78" t="s">
        <v>938</v>
      </c>
      <c r="FC80" s="78"/>
      <c r="FD80" s="78"/>
      <c r="FE80" s="78"/>
      <c r="FF80" s="78" t="s">
        <v>939</v>
      </c>
      <c r="FG80" s="78"/>
      <c r="FH80" s="78"/>
      <c r="FI80" s="78"/>
      <c r="FJ80" s="78"/>
      <c r="FK80" s="78"/>
      <c r="FL80" s="78"/>
      <c r="FM80" s="78"/>
    </row>
    <row r="81" spans="15:169" ht="40.049999999999997" customHeight="1" x14ac:dyDescent="0.45">
      <c r="O81" s="113"/>
      <c r="P81" s="113"/>
      <c r="Q81" s="113"/>
      <c r="R81" s="113"/>
      <c r="S81" s="114"/>
      <c r="T81" s="114"/>
      <c r="U81" s="114"/>
      <c r="V81" s="114"/>
      <c r="W81" s="115"/>
      <c r="X81" s="115"/>
      <c r="Y81" s="115"/>
      <c r="Z81" s="115"/>
      <c r="AB81" s="116"/>
      <c r="AC81" s="116"/>
      <c r="AD81" s="116"/>
      <c r="AE81" s="116"/>
      <c r="AF81" s="117"/>
      <c r="AG81" s="117"/>
      <c r="AH81" s="117"/>
      <c r="AI81" s="117"/>
      <c r="AJ81" s="118"/>
      <c r="AK81" s="118"/>
      <c r="AL81" s="118"/>
      <c r="AM81" s="118"/>
      <c r="DO81" s="119"/>
      <c r="DP81" s="119"/>
      <c r="DQ81" s="119"/>
      <c r="DR81" s="119"/>
      <c r="DS81" s="120"/>
      <c r="DT81" s="120"/>
      <c r="DU81" s="120"/>
      <c r="DV81" s="120"/>
      <c r="DW81" s="109"/>
      <c r="DX81" s="109"/>
      <c r="DY81" s="109"/>
      <c r="DZ81" s="109"/>
      <c r="FB81" s="110"/>
      <c r="FC81" s="110"/>
      <c r="FD81" s="110"/>
      <c r="FE81" s="110"/>
      <c r="FF81" s="111"/>
      <c r="FG81" s="111"/>
      <c r="FH81" s="111"/>
      <c r="FI81" s="111"/>
      <c r="FJ81" s="112"/>
      <c r="FK81" s="112"/>
      <c r="FL81" s="112"/>
      <c r="FM81" s="112"/>
    </row>
    <row r="82" spans="15:169" hidden="1" outlineLevel="1" x14ac:dyDescent="0.45">
      <c r="O82" s="18" t="s">
        <v>73</v>
      </c>
      <c r="P82" s="18" t="s">
        <v>74</v>
      </c>
      <c r="Q82" s="18" t="s">
        <v>75</v>
      </c>
      <c r="S82" s="18" t="s">
        <v>73</v>
      </c>
      <c r="T82" s="18" t="s">
        <v>74</v>
      </c>
      <c r="U82" s="18" t="s">
        <v>75</v>
      </c>
      <c r="W82" s="18" t="s">
        <v>73</v>
      </c>
      <c r="X82" s="18" t="s">
        <v>74</v>
      </c>
      <c r="Y82" s="18" t="s">
        <v>75</v>
      </c>
      <c r="AB82" s="18" t="s">
        <v>73</v>
      </c>
      <c r="AC82" s="18" t="s">
        <v>74</v>
      </c>
      <c r="AD82" s="18" t="s">
        <v>75</v>
      </c>
      <c r="AF82" s="18" t="s">
        <v>73</v>
      </c>
      <c r="AG82" s="18" t="s">
        <v>74</v>
      </c>
      <c r="AH82" s="18" t="s">
        <v>75</v>
      </c>
      <c r="AJ82" s="18" t="s">
        <v>73</v>
      </c>
      <c r="AK82" s="18" t="s">
        <v>74</v>
      </c>
      <c r="AL82" s="18" t="s">
        <v>75</v>
      </c>
      <c r="DO82" s="18" t="s">
        <v>73</v>
      </c>
      <c r="DP82" s="18" t="s">
        <v>74</v>
      </c>
      <c r="DQ82" s="18" t="s">
        <v>75</v>
      </c>
      <c r="DS82" s="18" t="s">
        <v>73</v>
      </c>
      <c r="DT82" s="18" t="s">
        <v>74</v>
      </c>
      <c r="DU82" s="18" t="s">
        <v>75</v>
      </c>
      <c r="DW82" s="18" t="s">
        <v>73</v>
      </c>
      <c r="DX82" s="18" t="s">
        <v>74</v>
      </c>
      <c r="DY82" s="18" t="s">
        <v>75</v>
      </c>
      <c r="FB82" s="18" t="s">
        <v>73</v>
      </c>
      <c r="FC82" s="18" t="s">
        <v>74</v>
      </c>
      <c r="FD82" s="18" t="s">
        <v>75</v>
      </c>
      <c r="FF82" s="18" t="s">
        <v>73</v>
      </c>
      <c r="FG82" s="18" t="s">
        <v>74</v>
      </c>
      <c r="FH82" s="18" t="s">
        <v>75</v>
      </c>
      <c r="FJ82" s="18" t="s">
        <v>73</v>
      </c>
      <c r="FK82" s="18" t="s">
        <v>74</v>
      </c>
      <c r="FL82" s="18" t="s">
        <v>75</v>
      </c>
    </row>
    <row r="83" spans="15:169" hidden="1" outlineLevel="1" x14ac:dyDescent="0.45">
      <c r="O83" s="18">
        <v>224</v>
      </c>
      <c r="P83" s="18">
        <v>241</v>
      </c>
      <c r="Q83" s="18">
        <v>241</v>
      </c>
      <c r="S83" s="18">
        <v>81</v>
      </c>
      <c r="T83" s="18">
        <v>136</v>
      </c>
      <c r="U83" s="18">
        <v>177</v>
      </c>
      <c r="W83" s="18">
        <v>174</v>
      </c>
      <c r="X83" s="18">
        <v>210</v>
      </c>
      <c r="Y83" s="18">
        <v>101</v>
      </c>
      <c r="AB83" s="18">
        <v>255</v>
      </c>
      <c r="AC83" s="18">
        <v>235</v>
      </c>
      <c r="AD83" s="18">
        <v>39</v>
      </c>
      <c r="AF83" s="18">
        <v>232</v>
      </c>
      <c r="AG83" s="18">
        <v>56</v>
      </c>
      <c r="AH83" s="18">
        <v>47</v>
      </c>
      <c r="AJ83" s="18">
        <v>19</v>
      </c>
      <c r="AK83" s="18">
        <v>174</v>
      </c>
      <c r="AL83" s="18">
        <v>103</v>
      </c>
      <c r="DO83" s="18">
        <v>175</v>
      </c>
      <c r="DP83" s="18">
        <v>201</v>
      </c>
      <c r="DQ83" s="18">
        <v>92</v>
      </c>
      <c r="DS83" s="18">
        <v>243</v>
      </c>
      <c r="DT83" s="18">
        <v>242</v>
      </c>
      <c r="DU83" s="18">
        <v>236</v>
      </c>
      <c r="DW83" s="18">
        <v>248</v>
      </c>
      <c r="DX83" s="18">
        <v>235</v>
      </c>
      <c r="DY83" s="18">
        <v>125</v>
      </c>
      <c r="FB83" s="18">
        <v>246</v>
      </c>
      <c r="FC83" s="18">
        <v>185</v>
      </c>
      <c r="FD83" s="18">
        <v>159</v>
      </c>
      <c r="FF83" s="18">
        <v>102</v>
      </c>
      <c r="FG83" s="18">
        <v>160</v>
      </c>
      <c r="FH83" s="18">
        <v>155</v>
      </c>
      <c r="FJ83" s="18">
        <v>253</v>
      </c>
      <c r="FK83" s="18">
        <v>236</v>
      </c>
      <c r="FL83" s="18">
        <v>227</v>
      </c>
    </row>
    <row r="84" spans="15:169" hidden="1" outlineLevel="1" x14ac:dyDescent="0.45">
      <c r="O84" s="78" t="s">
        <v>940</v>
      </c>
      <c r="P84" s="78"/>
      <c r="Q84" s="78"/>
      <c r="R84" s="78"/>
      <c r="S84" s="78" t="s">
        <v>941</v>
      </c>
      <c r="T84" s="78"/>
      <c r="U84" s="78"/>
      <c r="V84" s="78"/>
      <c r="W84" s="78" t="s">
        <v>942</v>
      </c>
      <c r="X84" s="78"/>
      <c r="Y84" s="78"/>
      <c r="Z84" s="78"/>
      <c r="AB84" s="78" t="s">
        <v>943</v>
      </c>
      <c r="AC84" s="78"/>
      <c r="AD84" s="78"/>
      <c r="AE84" s="78"/>
      <c r="AF84" s="78" t="s">
        <v>944</v>
      </c>
      <c r="AG84" s="78"/>
      <c r="AH84" s="78"/>
      <c r="AI84" s="78"/>
      <c r="AJ84" s="78" t="s">
        <v>945</v>
      </c>
      <c r="AK84" s="78"/>
      <c r="AL84" s="78"/>
      <c r="AM84" s="78"/>
      <c r="DO84" s="78" t="s">
        <v>946</v>
      </c>
      <c r="DP84" s="78"/>
      <c r="DQ84" s="78"/>
      <c r="DR84" s="78"/>
      <c r="DS84" s="78" t="s">
        <v>947</v>
      </c>
      <c r="DT84" s="78"/>
      <c r="DU84" s="78"/>
      <c r="DV84" s="78"/>
      <c r="DW84" s="78" t="s">
        <v>948</v>
      </c>
      <c r="DX84" s="78"/>
      <c r="DY84" s="78"/>
      <c r="DZ84" s="78"/>
      <c r="FB84" s="78" t="s">
        <v>949</v>
      </c>
      <c r="FC84" s="78"/>
      <c r="FD84" s="78"/>
      <c r="FE84" s="78"/>
      <c r="FF84" s="78" t="s">
        <v>950</v>
      </c>
      <c r="FG84" s="78"/>
      <c r="FH84" s="78"/>
      <c r="FI84" s="78"/>
      <c r="FJ84" s="78" t="s">
        <v>951</v>
      </c>
      <c r="FK84" s="78"/>
      <c r="FL84" s="78"/>
      <c r="FM84" s="78"/>
    </row>
    <row r="85" spans="15:169" hidden="1" outlineLevel="1" x14ac:dyDescent="0.45"/>
    <row r="86" spans="15:169" collapsed="1" x14ac:dyDescent="0.45">
      <c r="O86" s="78" t="s">
        <v>952</v>
      </c>
      <c r="P86" s="78"/>
      <c r="Q86" s="78"/>
      <c r="R86" s="78"/>
      <c r="S86" s="78" t="s">
        <v>953</v>
      </c>
      <c r="T86" s="78"/>
      <c r="U86" s="78"/>
      <c r="V86" s="78"/>
      <c r="W86" s="78"/>
      <c r="X86" s="78"/>
      <c r="Y86" s="78"/>
      <c r="Z86" s="78"/>
      <c r="AB86" s="78" t="s">
        <v>954</v>
      </c>
      <c r="AC86" s="78"/>
      <c r="AD86" s="78"/>
      <c r="AE86" s="78"/>
      <c r="AF86" s="78" t="s">
        <v>955</v>
      </c>
      <c r="AG86" s="78"/>
      <c r="AH86" s="78"/>
      <c r="AI86" s="78"/>
      <c r="AJ86" s="78"/>
      <c r="AK86" s="78"/>
      <c r="AL86" s="78"/>
      <c r="AM86" s="78"/>
      <c r="DO86" s="78" t="s">
        <v>956</v>
      </c>
      <c r="DP86" s="78"/>
      <c r="DQ86" s="78"/>
      <c r="DR86" s="78"/>
      <c r="DS86" s="78" t="s">
        <v>957</v>
      </c>
      <c r="DT86" s="78"/>
      <c r="DU86" s="78"/>
      <c r="DV86" s="78"/>
      <c r="DW86" s="78"/>
      <c r="DX86" s="78"/>
      <c r="DY86" s="78"/>
      <c r="DZ86" s="78"/>
    </row>
    <row r="87" spans="15:169" ht="40.049999999999997" customHeight="1" x14ac:dyDescent="0.45">
      <c r="O87" s="103"/>
      <c r="P87" s="103"/>
      <c r="Q87" s="103"/>
      <c r="R87" s="103"/>
      <c r="S87" s="104"/>
      <c r="T87" s="104"/>
      <c r="U87" s="104"/>
      <c r="V87" s="104"/>
      <c r="W87" s="105"/>
      <c r="X87" s="105"/>
      <c r="Y87" s="105"/>
      <c r="Z87" s="105"/>
      <c r="AB87" s="106"/>
      <c r="AC87" s="106"/>
      <c r="AD87" s="106"/>
      <c r="AE87" s="106"/>
      <c r="AF87" s="107"/>
      <c r="AG87" s="107"/>
      <c r="AH87" s="107"/>
      <c r="AI87" s="107"/>
      <c r="AJ87" s="108"/>
      <c r="AK87" s="108"/>
      <c r="AL87" s="108"/>
      <c r="AM87" s="108"/>
      <c r="DO87" s="100"/>
      <c r="DP87" s="100"/>
      <c r="DQ87" s="100"/>
      <c r="DR87" s="100"/>
      <c r="DS87" s="101"/>
      <c r="DT87" s="101"/>
      <c r="DU87" s="101"/>
      <c r="DV87" s="101"/>
      <c r="DW87" s="102"/>
      <c r="DX87" s="102"/>
      <c r="DY87" s="102"/>
      <c r="DZ87" s="102"/>
    </row>
    <row r="88" spans="15:169" hidden="1" outlineLevel="1" x14ac:dyDescent="0.45">
      <c r="O88" s="18" t="s">
        <v>73</v>
      </c>
      <c r="P88" s="18" t="s">
        <v>74</v>
      </c>
      <c r="Q88" s="18" t="s">
        <v>75</v>
      </c>
      <c r="S88" s="18" t="s">
        <v>73</v>
      </c>
      <c r="T88" s="18" t="s">
        <v>74</v>
      </c>
      <c r="U88" s="18" t="s">
        <v>75</v>
      </c>
      <c r="W88" s="18" t="s">
        <v>73</v>
      </c>
      <c r="X88" s="18" t="s">
        <v>74</v>
      </c>
      <c r="Y88" s="18" t="s">
        <v>75</v>
      </c>
      <c r="AB88" s="18" t="s">
        <v>73</v>
      </c>
      <c r="AC88" s="18" t="s">
        <v>74</v>
      </c>
      <c r="AD88" s="18" t="s">
        <v>75</v>
      </c>
      <c r="AF88" s="18" t="s">
        <v>73</v>
      </c>
      <c r="AG88" s="18" t="s">
        <v>74</v>
      </c>
      <c r="AH88" s="18" t="s">
        <v>75</v>
      </c>
      <c r="AJ88" s="18" t="s">
        <v>73</v>
      </c>
      <c r="AK88" s="18" t="s">
        <v>74</v>
      </c>
      <c r="AL88" s="18" t="s">
        <v>75</v>
      </c>
      <c r="DO88" s="18" t="s">
        <v>73</v>
      </c>
      <c r="DP88" s="18" t="s">
        <v>74</v>
      </c>
      <c r="DQ88" s="18" t="s">
        <v>75</v>
      </c>
      <c r="DS88" s="18" t="s">
        <v>73</v>
      </c>
      <c r="DT88" s="18" t="s">
        <v>74</v>
      </c>
      <c r="DU88" s="18" t="s">
        <v>75</v>
      </c>
      <c r="DW88" s="18" t="s">
        <v>73</v>
      </c>
      <c r="DX88" s="18" t="s">
        <v>74</v>
      </c>
      <c r="DY88" s="18" t="s">
        <v>75</v>
      </c>
    </row>
    <row r="89" spans="15:169" hidden="1" outlineLevel="1" x14ac:dyDescent="0.45">
      <c r="O89" s="18">
        <v>215</v>
      </c>
      <c r="P89" s="18">
        <v>212</v>
      </c>
      <c r="Q89" s="18">
        <v>134</v>
      </c>
      <c r="S89" s="18">
        <v>210</v>
      </c>
      <c r="T89" s="18">
        <v>231</v>
      </c>
      <c r="U89" s="18">
        <v>191</v>
      </c>
      <c r="W89" s="18">
        <v>243</v>
      </c>
      <c r="X89" s="18">
        <v>231</v>
      </c>
      <c r="Y89" s="18">
        <v>234</v>
      </c>
      <c r="AB89" s="18">
        <v>221</v>
      </c>
      <c r="AC89" s="18">
        <v>91</v>
      </c>
      <c r="AD89" s="18">
        <v>156</v>
      </c>
      <c r="AF89" s="18">
        <v>211</v>
      </c>
      <c r="AG89" s="18">
        <v>231</v>
      </c>
      <c r="AH89" s="18">
        <v>245</v>
      </c>
      <c r="AJ89" s="18">
        <v>243</v>
      </c>
      <c r="AK89" s="18">
        <v>171</v>
      </c>
      <c r="AL89" s="18">
        <v>192</v>
      </c>
      <c r="DO89" s="18">
        <v>224</v>
      </c>
      <c r="DP89" s="18">
        <v>107</v>
      </c>
      <c r="DQ89" s="18">
        <v>123</v>
      </c>
      <c r="DS89" s="18">
        <v>85</v>
      </c>
      <c r="DT89" s="18">
        <v>81</v>
      </c>
      <c r="DU89" s="18">
        <v>104</v>
      </c>
      <c r="DW89" s="18">
        <v>245</v>
      </c>
      <c r="DX89" s="18">
        <v>215</v>
      </c>
      <c r="DY89" s="18">
        <v>214</v>
      </c>
    </row>
    <row r="90" spans="15:169" hidden="1" outlineLevel="1" x14ac:dyDescent="0.45">
      <c r="O90" s="78" t="s">
        <v>958</v>
      </c>
      <c r="P90" s="78"/>
      <c r="Q90" s="78"/>
      <c r="R90" s="78"/>
      <c r="S90" s="78" t="s">
        <v>959</v>
      </c>
      <c r="T90" s="78"/>
      <c r="U90" s="78"/>
      <c r="V90" s="78"/>
      <c r="W90" s="78" t="s">
        <v>960</v>
      </c>
      <c r="X90" s="78"/>
      <c r="Y90" s="78"/>
      <c r="Z90" s="78"/>
      <c r="AB90" s="78" t="s">
        <v>961</v>
      </c>
      <c r="AC90" s="78"/>
      <c r="AD90" s="78"/>
      <c r="AE90" s="78"/>
      <c r="AF90" s="78" t="s">
        <v>962</v>
      </c>
      <c r="AG90" s="78"/>
      <c r="AH90" s="78"/>
      <c r="AI90" s="78"/>
      <c r="AJ90" s="78" t="s">
        <v>963</v>
      </c>
      <c r="AK90" s="78"/>
      <c r="AL90" s="78"/>
      <c r="AM90" s="78"/>
      <c r="DO90" s="78" t="s">
        <v>964</v>
      </c>
      <c r="DP90" s="78"/>
      <c r="DQ90" s="78"/>
      <c r="DR90" s="78"/>
      <c r="DS90" s="78" t="s">
        <v>965</v>
      </c>
      <c r="DT90" s="78"/>
      <c r="DU90" s="78"/>
      <c r="DV90" s="78"/>
      <c r="DW90" s="78" t="s">
        <v>966</v>
      </c>
      <c r="DX90" s="78"/>
      <c r="DY90" s="78"/>
      <c r="DZ90" s="78"/>
    </row>
    <row r="91" spans="15:169" hidden="1" outlineLevel="1" x14ac:dyDescent="0.45"/>
    <row r="92" spans="15:169" collapsed="1" x14ac:dyDescent="0.45">
      <c r="O92" s="78" t="s">
        <v>967</v>
      </c>
      <c r="P92" s="78"/>
      <c r="Q92" s="78"/>
      <c r="R92" s="78"/>
      <c r="S92" s="78" t="s">
        <v>968</v>
      </c>
      <c r="T92" s="78"/>
      <c r="U92" s="78"/>
      <c r="V92" s="78"/>
      <c r="W92" s="78"/>
      <c r="X92" s="78"/>
      <c r="Y92" s="78"/>
      <c r="Z92" s="78"/>
      <c r="AB92" s="78" t="s">
        <v>969</v>
      </c>
      <c r="AC92" s="78"/>
      <c r="AD92" s="78"/>
      <c r="AE92" s="78"/>
      <c r="AF92" s="78" t="s">
        <v>970</v>
      </c>
      <c r="AG92" s="78"/>
      <c r="AH92" s="78"/>
      <c r="AI92" s="78"/>
      <c r="AJ92" s="78"/>
      <c r="AK92" s="78"/>
      <c r="AL92" s="78"/>
      <c r="AM92" s="78"/>
    </row>
    <row r="93" spans="15:169" ht="40.049999999999997" customHeight="1" x14ac:dyDescent="0.45">
      <c r="O93" s="94"/>
      <c r="P93" s="94"/>
      <c r="Q93" s="94"/>
      <c r="R93" s="94"/>
      <c r="S93" s="95"/>
      <c r="T93" s="95"/>
      <c r="U93" s="95"/>
      <c r="V93" s="95"/>
      <c r="W93" s="96"/>
      <c r="X93" s="96"/>
      <c r="Y93" s="96"/>
      <c r="Z93" s="96"/>
      <c r="AB93" s="97"/>
      <c r="AC93" s="97"/>
      <c r="AD93" s="97"/>
      <c r="AE93" s="97"/>
      <c r="AF93" s="98"/>
      <c r="AG93" s="98"/>
      <c r="AH93" s="98"/>
      <c r="AI93" s="98"/>
      <c r="AJ93" s="99"/>
      <c r="AK93" s="99"/>
      <c r="AL93" s="99"/>
      <c r="AM93" s="99"/>
    </row>
    <row r="94" spans="15:169" hidden="1" outlineLevel="1" x14ac:dyDescent="0.45">
      <c r="O94" s="18" t="s">
        <v>73</v>
      </c>
      <c r="P94" s="18" t="s">
        <v>74</v>
      </c>
      <c r="Q94" s="18" t="s">
        <v>75</v>
      </c>
      <c r="S94" s="18" t="s">
        <v>73</v>
      </c>
      <c r="T94" s="18" t="s">
        <v>74</v>
      </c>
      <c r="U94" s="18" t="s">
        <v>75</v>
      </c>
      <c r="W94" s="18" t="s">
        <v>73</v>
      </c>
      <c r="X94" s="18" t="s">
        <v>74</v>
      </c>
      <c r="Y94" s="18" t="s">
        <v>75</v>
      </c>
      <c r="AB94" s="18" t="s">
        <v>73</v>
      </c>
      <c r="AC94" s="18" t="s">
        <v>74</v>
      </c>
      <c r="AD94" s="18" t="s">
        <v>75</v>
      </c>
      <c r="AF94" s="18" t="s">
        <v>73</v>
      </c>
      <c r="AG94" s="18" t="s">
        <v>74</v>
      </c>
      <c r="AH94" s="18" t="s">
        <v>75</v>
      </c>
      <c r="AJ94" s="18" t="s">
        <v>73</v>
      </c>
      <c r="AK94" s="18" t="s">
        <v>74</v>
      </c>
      <c r="AL94" s="18" t="s">
        <v>75</v>
      </c>
    </row>
    <row r="95" spans="15:169" hidden="1" outlineLevel="1" x14ac:dyDescent="0.45">
      <c r="O95" s="18">
        <v>217</v>
      </c>
      <c r="P95" s="18">
        <v>234</v>
      </c>
      <c r="Q95" s="18">
        <v>236</v>
      </c>
      <c r="S95" s="18">
        <v>116</v>
      </c>
      <c r="T95" s="18">
        <v>166</v>
      </c>
      <c r="U95" s="18">
        <v>76</v>
      </c>
      <c r="W95" s="18">
        <v>188</v>
      </c>
      <c r="X95" s="18">
        <v>213</v>
      </c>
      <c r="Y95" s="18">
        <v>55</v>
      </c>
      <c r="AB95" s="18">
        <v>243</v>
      </c>
      <c r="AC95" s="18">
        <v>173</v>
      </c>
      <c r="AD95" s="18">
        <v>197</v>
      </c>
      <c r="AF95" s="18">
        <v>255</v>
      </c>
      <c r="AG95" s="18">
        <v>242</v>
      </c>
      <c r="AH95" s="18">
        <v>178</v>
      </c>
      <c r="AJ95" s="18">
        <v>167</v>
      </c>
      <c r="AK95" s="18">
        <v>217</v>
      </c>
      <c r="AL95" s="18">
        <v>221</v>
      </c>
    </row>
    <row r="96" spans="15:169" hidden="1" outlineLevel="1" x14ac:dyDescent="0.45">
      <c r="O96" s="78" t="s">
        <v>971</v>
      </c>
      <c r="P96" s="78"/>
      <c r="Q96" s="78"/>
      <c r="R96" s="78"/>
      <c r="S96" s="78" t="s">
        <v>972</v>
      </c>
      <c r="T96" s="78"/>
      <c r="U96" s="78"/>
      <c r="V96" s="78"/>
      <c r="W96" s="78" t="s">
        <v>973</v>
      </c>
      <c r="X96" s="78"/>
      <c r="Y96" s="78"/>
      <c r="Z96" s="78"/>
      <c r="AB96" s="78" t="s">
        <v>974</v>
      </c>
      <c r="AC96" s="78"/>
      <c r="AD96" s="78"/>
      <c r="AE96" s="78"/>
      <c r="AF96" s="78" t="s">
        <v>975</v>
      </c>
      <c r="AG96" s="78"/>
      <c r="AH96" s="78"/>
      <c r="AI96" s="78"/>
      <c r="AJ96" s="78" t="s">
        <v>976</v>
      </c>
      <c r="AK96" s="78"/>
      <c r="AL96" s="78"/>
      <c r="AM96" s="78"/>
    </row>
    <row r="97" spans="15:39" hidden="1" outlineLevel="1" x14ac:dyDescent="0.45"/>
    <row r="98" spans="15:39" collapsed="1" x14ac:dyDescent="0.45">
      <c r="O98" s="78" t="s">
        <v>977</v>
      </c>
      <c r="P98" s="78"/>
      <c r="Q98" s="78"/>
      <c r="R98" s="78"/>
      <c r="S98" s="78" t="s">
        <v>978</v>
      </c>
      <c r="T98" s="78"/>
      <c r="U98" s="78"/>
      <c r="V98" s="78"/>
      <c r="W98" s="78"/>
      <c r="X98" s="78"/>
      <c r="Y98" s="78"/>
      <c r="Z98" s="78"/>
      <c r="AB98" s="78" t="s">
        <v>979</v>
      </c>
      <c r="AC98" s="78"/>
      <c r="AD98" s="78"/>
      <c r="AE98" s="78"/>
      <c r="AF98" s="78" t="s">
        <v>980</v>
      </c>
      <c r="AG98" s="78"/>
      <c r="AH98" s="78"/>
      <c r="AI98" s="78"/>
      <c r="AJ98" s="78"/>
      <c r="AK98" s="78"/>
      <c r="AL98" s="78"/>
      <c r="AM98" s="78"/>
    </row>
    <row r="99" spans="15:39" ht="40.049999999999997" customHeight="1" x14ac:dyDescent="0.45">
      <c r="O99" s="88"/>
      <c r="P99" s="88"/>
      <c r="Q99" s="88"/>
      <c r="R99" s="88"/>
      <c r="S99" s="89"/>
      <c r="T99" s="89"/>
      <c r="U99" s="89"/>
      <c r="V99" s="89"/>
      <c r="W99" s="90"/>
      <c r="X99" s="90"/>
      <c r="Y99" s="90"/>
      <c r="Z99" s="90"/>
      <c r="AB99" s="91"/>
      <c r="AC99" s="91"/>
      <c r="AD99" s="91"/>
      <c r="AE99" s="91"/>
      <c r="AF99" s="92"/>
      <c r="AG99" s="92"/>
      <c r="AH99" s="92"/>
      <c r="AI99" s="92"/>
      <c r="AJ99" s="93"/>
      <c r="AK99" s="93"/>
      <c r="AL99" s="93"/>
      <c r="AM99" s="93"/>
    </row>
    <row r="100" spans="15:39" hidden="1" outlineLevel="1" x14ac:dyDescent="0.45">
      <c r="O100" s="18" t="s">
        <v>73</v>
      </c>
      <c r="P100" s="18" t="s">
        <v>74</v>
      </c>
      <c r="Q100" s="18" t="s">
        <v>75</v>
      </c>
      <c r="S100" s="18" t="s">
        <v>73</v>
      </c>
      <c r="T100" s="18" t="s">
        <v>74</v>
      </c>
      <c r="U100" s="18" t="s">
        <v>75</v>
      </c>
      <c r="W100" s="18" t="s">
        <v>73</v>
      </c>
      <c r="X100" s="18" t="s">
        <v>74</v>
      </c>
      <c r="Y100" s="18" t="s">
        <v>75</v>
      </c>
      <c r="AB100" s="18" t="s">
        <v>73</v>
      </c>
      <c r="AC100" s="18" t="s">
        <v>74</v>
      </c>
      <c r="AD100" s="18" t="s">
        <v>75</v>
      </c>
      <c r="AF100" s="18" t="s">
        <v>73</v>
      </c>
      <c r="AG100" s="18" t="s">
        <v>74</v>
      </c>
      <c r="AH100" s="18" t="s">
        <v>75</v>
      </c>
      <c r="AJ100" s="18" t="s">
        <v>73</v>
      </c>
      <c r="AK100" s="18" t="s">
        <v>74</v>
      </c>
      <c r="AL100" s="18" t="s">
        <v>75</v>
      </c>
    </row>
    <row r="101" spans="15:39" hidden="1" outlineLevel="1" x14ac:dyDescent="0.45">
      <c r="O101" s="18">
        <v>235</v>
      </c>
      <c r="P101" s="18">
        <v>97</v>
      </c>
      <c r="Q101" s="18">
        <v>67</v>
      </c>
      <c r="S101" s="18">
        <v>255</v>
      </c>
      <c r="T101" s="18">
        <v>227</v>
      </c>
      <c r="U101" s="18">
        <v>63</v>
      </c>
      <c r="W101" s="18">
        <v>152</v>
      </c>
      <c r="X101" s="18">
        <v>79</v>
      </c>
      <c r="Y101" s="18">
        <v>155</v>
      </c>
      <c r="AB101" s="18">
        <v>255</v>
      </c>
      <c r="AC101" s="18">
        <v>246</v>
      </c>
      <c r="AD101" s="18">
        <v>228</v>
      </c>
      <c r="AF101" s="18">
        <v>132</v>
      </c>
      <c r="AG101" s="18">
        <v>204</v>
      </c>
      <c r="AH101" s="18">
        <v>206</v>
      </c>
      <c r="AJ101" s="18">
        <v>249</v>
      </c>
      <c r="AK101" s="18">
        <v>210</v>
      </c>
      <c r="AL101" s="18">
        <v>217</v>
      </c>
    </row>
    <row r="102" spans="15:39" hidden="1" outlineLevel="1" x14ac:dyDescent="0.45">
      <c r="O102" s="78" t="s">
        <v>981</v>
      </c>
      <c r="P102" s="78"/>
      <c r="Q102" s="78"/>
      <c r="R102" s="78"/>
      <c r="S102" s="78" t="s">
        <v>982</v>
      </c>
      <c r="T102" s="78"/>
      <c r="U102" s="78"/>
      <c r="V102" s="78"/>
      <c r="W102" s="78" t="s">
        <v>983</v>
      </c>
      <c r="X102" s="78"/>
      <c r="Y102" s="78"/>
      <c r="Z102" s="78"/>
      <c r="AB102" s="78" t="s">
        <v>984</v>
      </c>
      <c r="AC102" s="78"/>
      <c r="AD102" s="78"/>
      <c r="AE102" s="78"/>
      <c r="AF102" s="78" t="s">
        <v>985</v>
      </c>
      <c r="AG102" s="78"/>
      <c r="AH102" s="78"/>
      <c r="AI102" s="78"/>
      <c r="AJ102" s="78" t="s">
        <v>986</v>
      </c>
      <c r="AK102" s="78"/>
      <c r="AL102" s="78"/>
      <c r="AM102" s="78"/>
    </row>
    <row r="103" spans="15:39" hidden="1" outlineLevel="1" x14ac:dyDescent="0.45"/>
    <row r="104" spans="15:39" collapsed="1" x14ac:dyDescent="0.45">
      <c r="O104" s="78" t="s">
        <v>987</v>
      </c>
      <c r="P104" s="78"/>
      <c r="Q104" s="78"/>
      <c r="R104" s="78"/>
      <c r="S104" s="78" t="s">
        <v>988</v>
      </c>
      <c r="T104" s="78"/>
      <c r="U104" s="78"/>
      <c r="V104" s="78"/>
      <c r="W104" s="78"/>
      <c r="X104" s="78"/>
      <c r="Y104" s="78"/>
      <c r="Z104" s="78"/>
      <c r="AB104" s="78" t="s">
        <v>989</v>
      </c>
      <c r="AC104" s="78"/>
      <c r="AD104" s="78"/>
      <c r="AE104" s="78"/>
      <c r="AF104" s="78" t="s">
        <v>990</v>
      </c>
      <c r="AG104" s="78"/>
      <c r="AH104" s="78"/>
      <c r="AI104" s="78"/>
      <c r="AJ104" s="78"/>
      <c r="AK104" s="78"/>
      <c r="AL104" s="78"/>
      <c r="AM104" s="78"/>
    </row>
    <row r="105" spans="15:39" ht="40.049999999999997" customHeight="1" x14ac:dyDescent="0.45">
      <c r="O105" s="82"/>
      <c r="P105" s="82"/>
      <c r="Q105" s="82"/>
      <c r="R105" s="82"/>
      <c r="S105" s="83"/>
      <c r="T105" s="83"/>
      <c r="U105" s="83"/>
      <c r="V105" s="83"/>
      <c r="W105" s="84"/>
      <c r="X105" s="84"/>
      <c r="Y105" s="84"/>
      <c r="Z105" s="84"/>
      <c r="AB105" s="85"/>
      <c r="AC105" s="85"/>
      <c r="AD105" s="85"/>
      <c r="AE105" s="85"/>
      <c r="AF105" s="86"/>
      <c r="AG105" s="86"/>
      <c r="AH105" s="86"/>
      <c r="AI105" s="86"/>
      <c r="AJ105" s="87"/>
      <c r="AK105" s="87"/>
      <c r="AL105" s="87"/>
      <c r="AM105" s="87"/>
    </row>
    <row r="106" spans="15:39" hidden="1" outlineLevel="1" x14ac:dyDescent="0.45">
      <c r="O106" s="18" t="s">
        <v>73</v>
      </c>
      <c r="P106" s="18" t="s">
        <v>74</v>
      </c>
      <c r="Q106" s="18" t="s">
        <v>75</v>
      </c>
      <c r="S106" s="18" t="s">
        <v>73</v>
      </c>
      <c r="T106" s="18" t="s">
        <v>74</v>
      </c>
      <c r="U106" s="18" t="s">
        <v>75</v>
      </c>
      <c r="W106" s="18" t="s">
        <v>73</v>
      </c>
      <c r="X106" s="18" t="s">
        <v>74</v>
      </c>
      <c r="Y106" s="18" t="s">
        <v>75</v>
      </c>
      <c r="AB106" s="18" t="s">
        <v>73</v>
      </c>
      <c r="AC106" s="18" t="s">
        <v>74</v>
      </c>
      <c r="AD106" s="18" t="s">
        <v>75</v>
      </c>
      <c r="AF106" s="18" t="s">
        <v>73</v>
      </c>
      <c r="AG106" s="18" t="s">
        <v>74</v>
      </c>
      <c r="AH106" s="18" t="s">
        <v>75</v>
      </c>
      <c r="AJ106" s="18" t="s">
        <v>73</v>
      </c>
      <c r="AK106" s="18" t="s">
        <v>74</v>
      </c>
      <c r="AL106" s="18" t="s">
        <v>75</v>
      </c>
    </row>
    <row r="107" spans="15:39" hidden="1" outlineLevel="1" x14ac:dyDescent="0.45">
      <c r="O107" s="18">
        <v>202</v>
      </c>
      <c r="P107" s="18">
        <v>229</v>
      </c>
      <c r="Q107" s="18">
        <v>211</v>
      </c>
      <c r="S107" s="18">
        <v>223</v>
      </c>
      <c r="T107" s="18">
        <v>226</v>
      </c>
      <c r="U107" s="18">
        <v>234</v>
      </c>
      <c r="W107" s="18">
        <v>156</v>
      </c>
      <c r="X107" s="18">
        <v>201</v>
      </c>
      <c r="Y107" s="18">
        <v>229</v>
      </c>
      <c r="AB107" s="18">
        <v>192</v>
      </c>
      <c r="AC107" s="18">
        <v>228</v>
      </c>
      <c r="AD107" s="18">
        <v>242</v>
      </c>
      <c r="AF107" s="18">
        <v>222</v>
      </c>
      <c r="AG107" s="18">
        <v>211</v>
      </c>
      <c r="AH107" s="18">
        <v>214</v>
      </c>
      <c r="AJ107" s="18">
        <v>255</v>
      </c>
      <c r="AK107" s="18">
        <v>252</v>
      </c>
      <c r="AL107" s="18">
        <v>215</v>
      </c>
    </row>
    <row r="108" spans="15:39" hidden="1" outlineLevel="1" x14ac:dyDescent="0.45">
      <c r="O108" s="78" t="s">
        <v>991</v>
      </c>
      <c r="P108" s="78"/>
      <c r="Q108" s="78"/>
      <c r="R108" s="78"/>
      <c r="S108" s="78" t="s">
        <v>992</v>
      </c>
      <c r="T108" s="78"/>
      <c r="U108" s="78"/>
      <c r="V108" s="78"/>
      <c r="W108" s="78" t="s">
        <v>993</v>
      </c>
      <c r="X108" s="78"/>
      <c r="Y108" s="78"/>
      <c r="Z108" s="78"/>
      <c r="AB108" s="78" t="s">
        <v>419</v>
      </c>
      <c r="AC108" s="78"/>
      <c r="AD108" s="78"/>
      <c r="AE108" s="78"/>
      <c r="AF108" s="78" t="s">
        <v>994</v>
      </c>
      <c r="AG108" s="78"/>
      <c r="AH108" s="78"/>
      <c r="AI108" s="78"/>
      <c r="AJ108" s="78" t="s">
        <v>995</v>
      </c>
      <c r="AK108" s="78"/>
      <c r="AL108" s="78"/>
      <c r="AM108" s="78"/>
    </row>
    <row r="109" spans="15:39" hidden="1" outlineLevel="1" x14ac:dyDescent="0.45"/>
    <row r="110" spans="15:39" collapsed="1" x14ac:dyDescent="0.45">
      <c r="AB110" s="78" t="s">
        <v>996</v>
      </c>
      <c r="AC110" s="78"/>
      <c r="AD110" s="78"/>
      <c r="AE110" s="78"/>
      <c r="AF110" s="78" t="s">
        <v>997</v>
      </c>
      <c r="AG110" s="78"/>
      <c r="AH110" s="78"/>
      <c r="AI110" s="78"/>
      <c r="AJ110" s="78"/>
      <c r="AK110" s="78"/>
      <c r="AL110" s="78"/>
      <c r="AM110" s="78"/>
    </row>
    <row r="111" spans="15:39" ht="40.049999999999997" customHeight="1" x14ac:dyDescent="0.45">
      <c r="AB111" s="79"/>
      <c r="AC111" s="79"/>
      <c r="AD111" s="79"/>
      <c r="AE111" s="79"/>
      <c r="AF111" s="80"/>
      <c r="AG111" s="80"/>
      <c r="AH111" s="80"/>
      <c r="AI111" s="80"/>
      <c r="AJ111" s="81"/>
      <c r="AK111" s="81"/>
      <c r="AL111" s="81"/>
      <c r="AM111" s="81"/>
    </row>
    <row r="112" spans="15:39" hidden="1" outlineLevel="1" x14ac:dyDescent="0.45">
      <c r="AB112" s="18" t="s">
        <v>73</v>
      </c>
      <c r="AC112" s="18" t="s">
        <v>74</v>
      </c>
      <c r="AD112" s="18" t="s">
        <v>75</v>
      </c>
      <c r="AF112" s="18" t="s">
        <v>73</v>
      </c>
      <c r="AG112" s="18" t="s">
        <v>74</v>
      </c>
      <c r="AH112" s="18" t="s">
        <v>75</v>
      </c>
      <c r="AJ112" s="18" t="s">
        <v>73</v>
      </c>
      <c r="AK112" s="18" t="s">
        <v>74</v>
      </c>
      <c r="AL112" s="18" t="s">
        <v>75</v>
      </c>
    </row>
    <row r="113" spans="28:39" hidden="1" outlineLevel="1" x14ac:dyDescent="0.45">
      <c r="AB113" s="18">
        <v>250</v>
      </c>
      <c r="AC113" s="18">
        <v>202</v>
      </c>
      <c r="AD113" s="18">
        <v>123</v>
      </c>
      <c r="AF113" s="18">
        <v>240</v>
      </c>
      <c r="AG113" s="18">
        <v>150</v>
      </c>
      <c r="AH113" s="18">
        <v>160</v>
      </c>
      <c r="AJ113" s="18">
        <v>224</v>
      </c>
      <c r="AK113" s="18">
        <v>241</v>
      </c>
      <c r="AL113" s="18">
        <v>244</v>
      </c>
    </row>
    <row r="114" spans="28:39" hidden="1" outlineLevel="1" x14ac:dyDescent="0.45">
      <c r="AB114" s="78" t="s">
        <v>998</v>
      </c>
      <c r="AC114" s="78"/>
      <c r="AD114" s="78"/>
      <c r="AE114" s="78"/>
      <c r="AF114" s="78" t="s">
        <v>999</v>
      </c>
      <c r="AG114" s="78"/>
      <c r="AH114" s="78"/>
      <c r="AI114" s="78"/>
      <c r="AJ114" s="78" t="s">
        <v>1000</v>
      </c>
      <c r="AK114" s="78"/>
      <c r="AL114" s="78"/>
      <c r="AM114" s="78"/>
    </row>
    <row r="115" spans="28:39" hidden="1" outlineLevel="1" x14ac:dyDescent="0.45"/>
    <row r="116" spans="28:39" collapsed="1" x14ac:dyDescent="0.45"/>
  </sheetData>
  <mergeCells count="1561"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FF20-3A23-4870-82AF-F04A38FB9AF0}">
  <sheetPr codeName="Sheet15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1001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2026</vt:lpstr>
      <vt:lpstr>配色テーマ集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2026-08-01T11:35:35Z</dcterms:modified>
</cp:coreProperties>
</file>