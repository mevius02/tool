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FA9A2427-A6A3-4B9F-8D85-F2F327BC306D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6" sheetId="103" r:id="rId1"/>
    <sheet name="祝日" sheetId="102" r:id="rId2"/>
    <sheet name="Sheet1" sheetId="101" r:id="rId3"/>
  </sheets>
  <functionGroups builtInGroupCount="19"/>
  <definedNames>
    <definedName name="_xlnm._FilterDatabase" localSheetId="1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3" l="1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3" i="103"/>
  <c r="AJ112" i="103"/>
  <c r="AJ111" i="103"/>
  <c r="AJ110" i="103"/>
  <c r="D99" i="103"/>
  <c r="E99" i="103" s="1"/>
  <c r="E98" i="103" s="1"/>
  <c r="C99" i="103"/>
  <c r="C98" i="103" s="1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77" i="103"/>
  <c r="AJ76" i="103"/>
  <c r="AJ75" i="103"/>
  <c r="AJ74" i="103"/>
  <c r="C63" i="103"/>
  <c r="C62" i="103" s="1"/>
  <c r="AJ67" i="103"/>
  <c r="AJ66" i="103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C27" i="103"/>
  <c r="D27" i="103" s="1"/>
  <c r="E27" i="103" s="1"/>
  <c r="E26" i="103" s="1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80" i="103" l="1"/>
  <c r="D63" i="103"/>
  <c r="C26" i="103"/>
  <c r="AJ68" i="103"/>
  <c r="AJ116" i="103"/>
  <c r="AJ8" i="103"/>
  <c r="D110" i="103"/>
  <c r="E111" i="103"/>
  <c r="E110" i="103" s="1"/>
  <c r="E39" i="103"/>
  <c r="E38" i="103" s="1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F123" i="103"/>
  <c r="F111" i="103"/>
  <c r="F99" i="103"/>
  <c r="F27" i="103"/>
  <c r="F3" i="103"/>
  <c r="E2" i="103"/>
  <c r="D2" i="103"/>
  <c r="F39" i="103" l="1"/>
  <c r="E134" i="103"/>
  <c r="D62" i="103"/>
  <c r="E63" i="103"/>
  <c r="D86" i="103"/>
  <c r="E87" i="103"/>
  <c r="F134" i="103"/>
  <c r="E75" i="103"/>
  <c r="D74" i="103"/>
  <c r="D14" i="103"/>
  <c r="F15" i="103"/>
  <c r="G15" i="103" s="1"/>
  <c r="F51" i="103"/>
  <c r="F50" i="103" s="1"/>
  <c r="G134" i="103"/>
  <c r="H135" i="103"/>
  <c r="G123" i="103"/>
  <c r="F122" i="103"/>
  <c r="F110" i="103"/>
  <c r="G111" i="103"/>
  <c r="F98" i="103"/>
  <c r="G99" i="103"/>
  <c r="F38" i="103"/>
  <c r="G39" i="103"/>
  <c r="F26" i="103"/>
  <c r="G27" i="103"/>
  <c r="G3" i="103"/>
  <c r="F2" i="103"/>
  <c r="F14" i="103" l="1"/>
  <c r="F63" i="103"/>
  <c r="E62" i="103"/>
  <c r="G51" i="103"/>
  <c r="G50" i="103" s="1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G38" i="103"/>
  <c r="H39" i="103"/>
  <c r="G26" i="103"/>
  <c r="H27" i="103"/>
  <c r="G14" i="103"/>
  <c r="H15" i="103"/>
  <c r="G2" i="103"/>
  <c r="H3" i="103"/>
  <c r="H51" i="103" l="1"/>
  <c r="G63" i="103"/>
  <c r="F62" i="103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H50" i="103"/>
  <c r="I51" i="103"/>
  <c r="H38" i="103"/>
  <c r="I39" i="103"/>
  <c r="H26" i="103"/>
  <c r="I27" i="103"/>
  <c r="H14" i="103"/>
  <c r="I15" i="103"/>
  <c r="H2" i="103"/>
  <c r="I3" i="103"/>
  <c r="G62" i="103" l="1"/>
  <c r="H63" i="103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I50" i="103"/>
  <c r="J51" i="103"/>
  <c r="I38" i="103"/>
  <c r="J39" i="103"/>
  <c r="I26" i="103"/>
  <c r="J27" i="103"/>
  <c r="I14" i="103"/>
  <c r="J15" i="103"/>
  <c r="I2" i="103"/>
  <c r="J3" i="103"/>
  <c r="H62" i="103" l="1"/>
  <c r="I63" i="103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J50" i="103"/>
  <c r="K51" i="103"/>
  <c r="J38" i="103"/>
  <c r="K39" i="103"/>
  <c r="J26" i="103"/>
  <c r="K27" i="103"/>
  <c r="J14" i="103"/>
  <c r="K15" i="103"/>
  <c r="J2" i="103"/>
  <c r="K3" i="103"/>
  <c r="J63" i="103" l="1"/>
  <c r="I62" i="103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51" i="103"/>
  <c r="K50" i="103"/>
  <c r="K38" i="103"/>
  <c r="L39" i="103"/>
  <c r="K26" i="103"/>
  <c r="L27" i="103"/>
  <c r="K14" i="103"/>
  <c r="L15" i="103"/>
  <c r="K2" i="103"/>
  <c r="L3" i="103"/>
  <c r="J62" i="103" l="1"/>
  <c r="K63" i="103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L50" i="103"/>
  <c r="M51" i="103"/>
  <c r="L38" i="103"/>
  <c r="M39" i="103"/>
  <c r="L26" i="103"/>
  <c r="M27" i="103"/>
  <c r="L14" i="103"/>
  <c r="M15" i="103"/>
  <c r="L2" i="103"/>
  <c r="M3" i="103"/>
  <c r="K62" i="103" l="1"/>
  <c r="L63" i="103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M50" i="103"/>
  <c r="N51" i="103"/>
  <c r="M38" i="103"/>
  <c r="N39" i="103"/>
  <c r="M26" i="103"/>
  <c r="N27" i="103"/>
  <c r="M14" i="103"/>
  <c r="N15" i="103"/>
  <c r="M2" i="103"/>
  <c r="N3" i="103"/>
  <c r="L62" i="103" l="1"/>
  <c r="M63" i="103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N50" i="103"/>
  <c r="O51" i="103"/>
  <c r="N38" i="103"/>
  <c r="O39" i="103"/>
  <c r="N26" i="103"/>
  <c r="O27" i="103"/>
  <c r="N14" i="103"/>
  <c r="O15" i="103"/>
  <c r="N2" i="103"/>
  <c r="O3" i="103"/>
  <c r="M62" i="103" l="1"/>
  <c r="N63" i="103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O50" i="103"/>
  <c r="P51" i="103"/>
  <c r="O38" i="103"/>
  <c r="P39" i="103"/>
  <c r="O26" i="103"/>
  <c r="P27" i="103"/>
  <c r="O14" i="103"/>
  <c r="P15" i="103"/>
  <c r="O2" i="103"/>
  <c r="P3" i="103"/>
  <c r="N62" i="103" l="1"/>
  <c r="O63" i="103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P50" i="103"/>
  <c r="Q51" i="103"/>
  <c r="P38" i="103"/>
  <c r="Q39" i="103"/>
  <c r="P26" i="103"/>
  <c r="Q27" i="103"/>
  <c r="P14" i="103"/>
  <c r="Q15" i="103"/>
  <c r="P2" i="103"/>
  <c r="Q3" i="103"/>
  <c r="O62" i="103" l="1"/>
  <c r="P63" i="103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Q50" i="103"/>
  <c r="R51" i="103"/>
  <c r="Q38" i="103"/>
  <c r="R39" i="103"/>
  <c r="Q26" i="103"/>
  <c r="R27" i="103"/>
  <c r="Q14" i="103"/>
  <c r="R15" i="103"/>
  <c r="Q2" i="103"/>
  <c r="R3" i="103"/>
  <c r="Q63" i="103" l="1"/>
  <c r="P62" i="103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R50" i="103"/>
  <c r="S51" i="103"/>
  <c r="R38" i="103"/>
  <c r="S39" i="103"/>
  <c r="R26" i="103"/>
  <c r="S27" i="103"/>
  <c r="R14" i="103"/>
  <c r="S15" i="103"/>
  <c r="R2" i="103"/>
  <c r="S3" i="103"/>
  <c r="R63" i="103" l="1"/>
  <c r="Q62" i="103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51" i="103"/>
  <c r="S50" i="103"/>
  <c r="T39" i="103"/>
  <c r="S38" i="103"/>
  <c r="T27" i="103"/>
  <c r="S26" i="103"/>
  <c r="S14" i="103"/>
  <c r="T15" i="103"/>
  <c r="S2" i="103"/>
  <c r="T3" i="103"/>
  <c r="R62" i="103" l="1"/>
  <c r="S63" i="103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U51" i="103"/>
  <c r="T50" i="103"/>
  <c r="U39" i="103"/>
  <c r="T38" i="103"/>
  <c r="U27" i="103"/>
  <c r="T26" i="103"/>
  <c r="T14" i="103"/>
  <c r="U15" i="103"/>
  <c r="T2" i="103"/>
  <c r="U3" i="103"/>
  <c r="S62" i="103" l="1"/>
  <c r="T63" i="103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U50" i="103"/>
  <c r="V51" i="103"/>
  <c r="U38" i="103"/>
  <c r="V39" i="103"/>
  <c r="U26" i="103"/>
  <c r="V27" i="103"/>
  <c r="V15" i="103"/>
  <c r="U14" i="103"/>
  <c r="V3" i="103"/>
  <c r="U2" i="103"/>
  <c r="T62" i="103" l="1"/>
  <c r="U63" i="103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V50" i="103"/>
  <c r="W51" i="103"/>
  <c r="V38" i="103"/>
  <c r="W39" i="103"/>
  <c r="V26" i="103"/>
  <c r="W27" i="103"/>
  <c r="W15" i="103"/>
  <c r="V14" i="103"/>
  <c r="W3" i="103"/>
  <c r="V2" i="103"/>
  <c r="V63" i="103" l="1"/>
  <c r="U62" i="103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W50" i="103"/>
  <c r="X51" i="103"/>
  <c r="W38" i="103"/>
  <c r="X39" i="103"/>
  <c r="W26" i="103"/>
  <c r="X27" i="103"/>
  <c r="W14" i="103"/>
  <c r="X15" i="103"/>
  <c r="W2" i="103"/>
  <c r="X3" i="103"/>
  <c r="W63" i="103" l="1"/>
  <c r="V62" i="103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X50" i="103"/>
  <c r="Y51" i="103"/>
  <c r="X38" i="103"/>
  <c r="Y39" i="103"/>
  <c r="X26" i="103"/>
  <c r="Y27" i="103"/>
  <c r="X14" i="103"/>
  <c r="Y15" i="103"/>
  <c r="X2" i="103"/>
  <c r="Y3" i="103"/>
  <c r="W62" i="103" l="1"/>
  <c r="X63" i="103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Y50" i="103"/>
  <c r="Z51" i="103"/>
  <c r="Y38" i="103"/>
  <c r="Z39" i="103"/>
  <c r="Y26" i="103"/>
  <c r="Z27" i="103"/>
  <c r="Y14" i="103"/>
  <c r="Z15" i="103"/>
  <c r="Y2" i="103"/>
  <c r="Z3" i="103"/>
  <c r="Y63" i="103" l="1"/>
  <c r="X62" i="103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Z50" i="103"/>
  <c r="AA51" i="103"/>
  <c r="Z38" i="103"/>
  <c r="AA39" i="103"/>
  <c r="Z26" i="103"/>
  <c r="AA27" i="103"/>
  <c r="Z14" i="103"/>
  <c r="AA15" i="103"/>
  <c r="Z2" i="103"/>
  <c r="AA3" i="103"/>
  <c r="Y62" i="103" l="1"/>
  <c r="Z63" i="103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A50" i="103"/>
  <c r="AB51" i="103"/>
  <c r="AA38" i="103"/>
  <c r="AB39" i="103"/>
  <c r="AA26" i="103"/>
  <c r="AB27" i="103"/>
  <c r="AA14" i="103"/>
  <c r="AB15" i="103"/>
  <c r="AA2" i="103"/>
  <c r="AB3" i="103"/>
  <c r="Z62" i="103" l="1"/>
  <c r="AA63" i="103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B50" i="103"/>
  <c r="AC51" i="103"/>
  <c r="AB38" i="103"/>
  <c r="AC39" i="103"/>
  <c r="AB26" i="103"/>
  <c r="AC27" i="103"/>
  <c r="AB14" i="103"/>
  <c r="AC15" i="103"/>
  <c r="AB2" i="103"/>
  <c r="AC3" i="103"/>
  <c r="AB63" i="103" l="1"/>
  <c r="AA62" i="103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C50" i="103"/>
  <c r="AD51" i="103"/>
  <c r="AC38" i="103"/>
  <c r="AD39" i="103"/>
  <c r="AC26" i="103"/>
  <c r="AD27" i="103"/>
  <c r="AC14" i="103"/>
  <c r="AD15" i="103"/>
  <c r="AC2" i="103"/>
  <c r="AD3" i="103"/>
  <c r="AB62" i="103" l="1"/>
  <c r="AC63" i="103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D50" i="103"/>
  <c r="AE51" i="103"/>
  <c r="AD38" i="103"/>
  <c r="AE39" i="103"/>
  <c r="AD26" i="103"/>
  <c r="AE27" i="103"/>
  <c r="AD14" i="103"/>
  <c r="AE15" i="103"/>
  <c r="AD2" i="103"/>
  <c r="AE3" i="103"/>
  <c r="AC62" i="103" l="1"/>
  <c r="AD63" i="103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51" i="103"/>
  <c r="AE50" i="103"/>
  <c r="AE38" i="103"/>
  <c r="AF39" i="103"/>
  <c r="AE26" i="103"/>
  <c r="AF27" i="103"/>
  <c r="AE14" i="103"/>
  <c r="AF15" i="103"/>
  <c r="AE2" i="103"/>
  <c r="AF3" i="103"/>
  <c r="AD62" i="103" l="1"/>
  <c r="AE63" i="103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63" i="103" l="1"/>
  <c r="AE62" i="103"/>
  <c r="AF87" i="103"/>
  <c r="AE86" i="103"/>
  <c r="AF75" i="103"/>
  <c r="AE74" i="103"/>
  <c r="AF62" i="103" l="1"/>
  <c r="AG63" i="103"/>
  <c r="AG62" i="103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<sst xmlns="http://schemas.openxmlformats.org/spreadsheetml/2006/main" count="595" uniqueCount="34">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</sst>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2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78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49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30">
        <v>46023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I7" s="3" t="s">
        <v>31</v>
      </c>
      <c r="AJ7" s="25">
        <f>COUNTIF(C6:AG6,"リ")</f>
        <v>20</v>
      </c>
    </row>
    <row r="8" spans="1:36" outlineLevel="1" x14ac:dyDescent="0.45"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I8" s="3" t="s">
        <v>32</v>
      </c>
      <c r="AJ8" s="26">
        <f>AJ6/(AJ6+AJ7)</f>
        <v>0</v>
      </c>
    </row>
    <row r="9" spans="1:36" outlineLevel="1" x14ac:dyDescent="0.45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36" outlineLevel="1" x14ac:dyDescent="0.45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</row>
    <row r="11" spans="1:36" outlineLevel="1" x14ac:dyDescent="0.45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</row>
    <row r="12" spans="1:36" outlineLevel="1" x14ac:dyDescent="0.45"/>
    <row r="13" spans="1:36" x14ac:dyDescent="0.45">
      <c r="C13" s="27">
        <v>46054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I20" s="3" t="s">
        <v>32</v>
      </c>
      <c r="AJ20" s="26">
        <f>AJ18/(AJ18+AJ19)</f>
        <v>0</v>
      </c>
    </row>
    <row r="21" spans="1:36" outlineLevel="1" x14ac:dyDescent="0.45"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</row>
    <row r="22" spans="1:36" outlineLevel="1" x14ac:dyDescent="0.45"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</row>
    <row r="23" spans="1:36" outlineLevel="1" x14ac:dyDescent="0.45"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</row>
    <row r="24" spans="1:36" outlineLevel="1" x14ac:dyDescent="0.45"/>
    <row r="25" spans="1:36" x14ac:dyDescent="0.45">
      <c r="C25" s="27">
        <v>46082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I31" s="3" t="s">
        <v>31</v>
      </c>
      <c r="AJ31" s="25">
        <f>COUNTIF(C30:AG30,"リ")</f>
        <v>21</v>
      </c>
    </row>
    <row r="32" spans="1:36" outlineLevel="1" x14ac:dyDescent="0.4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I32" s="3" t="s">
        <v>32</v>
      </c>
      <c r="AJ32" s="26">
        <f>AJ30/(AJ30+AJ31)</f>
        <v>0</v>
      </c>
    </row>
    <row r="33" spans="1:36" outlineLevel="1" x14ac:dyDescent="0.4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</row>
    <row r="34" spans="1:36" outlineLevel="1" x14ac:dyDescent="0.4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</row>
    <row r="35" spans="1:36" outlineLevel="1" x14ac:dyDescent="0.4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</row>
    <row r="36" spans="1:36" outlineLevel="1" x14ac:dyDescent="0.45"/>
    <row r="37" spans="1:36" x14ac:dyDescent="0.45">
      <c r="C37" s="27">
        <v>46113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I43" s="3" t="s">
        <v>31</v>
      </c>
      <c r="AJ43" s="25">
        <f>COUNTIF(C42:AG42,"リ")</f>
        <v>21</v>
      </c>
    </row>
    <row r="44" spans="1:36" outlineLevel="1" x14ac:dyDescent="0.45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I44" s="3" t="s">
        <v>32</v>
      </c>
      <c r="AJ44" s="26">
        <f>AJ42/(AJ42+AJ43)</f>
        <v>0</v>
      </c>
    </row>
    <row r="45" spans="1:36" outlineLevel="1" x14ac:dyDescent="0.45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</row>
    <row r="46" spans="1:36" outlineLevel="1" x14ac:dyDescent="0.45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1:36" outlineLevel="1" x14ac:dyDescent="0.45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</row>
    <row r="48" spans="1:36" outlineLevel="1" x14ac:dyDescent="0.45"/>
    <row r="49" spans="1:36" x14ac:dyDescent="0.45">
      <c r="C49" s="27">
        <v>46143</v>
      </c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I55" s="3" t="s">
        <v>31</v>
      </c>
      <c r="AJ55" s="25">
        <f>COUNTIF(C54:AG54,"リ")</f>
        <v>18</v>
      </c>
    </row>
    <row r="56" spans="1:36" outlineLevel="1" x14ac:dyDescent="0.45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I56" s="3" t="s">
        <v>32</v>
      </c>
      <c r="AJ56" s="26">
        <f>AJ54/(AJ54+AJ55)</f>
        <v>0</v>
      </c>
    </row>
    <row r="57" spans="1:36" outlineLevel="1" x14ac:dyDescent="0.45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</row>
    <row r="58" spans="1:36" outlineLevel="1" x14ac:dyDescent="0.4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</row>
    <row r="59" spans="1:36" outlineLevel="1" x14ac:dyDescent="0.45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</row>
    <row r="60" spans="1:36" outlineLevel="1" x14ac:dyDescent="0.45"/>
    <row r="61" spans="1:36" x14ac:dyDescent="0.45">
      <c r="C61" s="27">
        <v>46174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I67" s="3" t="s">
        <v>31</v>
      </c>
      <c r="AJ67" s="25">
        <f>COUNTIF(C66:AG66,"リ")</f>
        <v>22</v>
      </c>
    </row>
    <row r="68" spans="1:36" outlineLevel="1" x14ac:dyDescent="0.45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I68" s="3" t="s">
        <v>32</v>
      </c>
      <c r="AJ68" s="26">
        <f>AJ66/(AJ66+AJ67)</f>
        <v>0</v>
      </c>
    </row>
    <row r="69" spans="1:36" outlineLevel="1" x14ac:dyDescent="0.45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</row>
    <row r="70" spans="1:36" outlineLevel="1" x14ac:dyDescent="0.45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</row>
    <row r="71" spans="1:36" outlineLevel="1" x14ac:dyDescent="0.45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</row>
    <row r="72" spans="1:36" outlineLevel="1" x14ac:dyDescent="0.45"/>
    <row r="73" spans="1:36" x14ac:dyDescent="0.45">
      <c r="C73" s="27">
        <v>46204</v>
      </c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I79" s="3" t="s">
        <v>31</v>
      </c>
      <c r="AJ79" s="25">
        <f>COUNTIF(C78:AG78,"リ")</f>
        <v>22</v>
      </c>
    </row>
    <row r="80" spans="1:36" outlineLevel="1" x14ac:dyDescent="0.45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I80" s="3" t="s">
        <v>32</v>
      </c>
      <c r="AJ80" s="26">
        <f>AJ78/(AJ78+AJ79)</f>
        <v>0</v>
      </c>
    </row>
    <row r="81" spans="1:36" outlineLevel="1" x14ac:dyDescent="0.45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</row>
    <row r="82" spans="1:36" outlineLevel="1" x14ac:dyDescent="0.45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</row>
    <row r="83" spans="1:36" outlineLevel="1" x14ac:dyDescent="0.45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</row>
    <row r="84" spans="1:36" outlineLevel="1" x14ac:dyDescent="0.45"/>
    <row r="85" spans="1:36" x14ac:dyDescent="0.45">
      <c r="C85" s="27">
        <v>46235</v>
      </c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I91" s="3" t="s">
        <v>31</v>
      </c>
      <c r="AJ91" s="25">
        <f>COUNTIF(C90:AG90,"リ")</f>
        <v>20</v>
      </c>
    </row>
    <row r="92" spans="1:36" outlineLevel="1" x14ac:dyDescent="0.45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I92" s="3" t="s">
        <v>32</v>
      </c>
      <c r="AJ92" s="26">
        <f>AJ90/(AJ90+AJ91)</f>
        <v>0</v>
      </c>
    </row>
    <row r="93" spans="1:36" outlineLevel="1" x14ac:dyDescent="0.45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1:36" outlineLevel="1" x14ac:dyDescent="0.45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1:36" outlineLevel="1" x14ac:dyDescent="0.45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1:36" outlineLevel="1" x14ac:dyDescent="0.45"/>
    <row r="97" spans="1:36" x14ac:dyDescent="0.45">
      <c r="C97" s="27">
        <v>46266</v>
      </c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I103" s="3" t="s">
        <v>31</v>
      </c>
      <c r="AJ103" s="25">
        <f>COUNTIF(C102:AG102,"リ")</f>
        <v>19</v>
      </c>
    </row>
    <row r="104" spans="1:36" outlineLevel="1" x14ac:dyDescent="0.45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I104" s="3" t="s">
        <v>32</v>
      </c>
      <c r="AJ104" s="26">
        <f>AJ102/(AJ102+AJ103)</f>
        <v>0</v>
      </c>
    </row>
    <row r="105" spans="1:36" outlineLevel="1" x14ac:dyDescent="0.45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1:36" outlineLevel="1" x14ac:dyDescent="0.45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1:36" outlineLevel="1" x14ac:dyDescent="0.45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1:36" outlineLevel="1" x14ac:dyDescent="0.45"/>
    <row r="109" spans="1:36" x14ac:dyDescent="0.45">
      <c r="C109" s="27">
        <v>46296</v>
      </c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I115" s="3" t="s">
        <v>31</v>
      </c>
      <c r="AJ115" s="25">
        <f>COUNTIF(C114:AG114,"リ")</f>
        <v>21</v>
      </c>
    </row>
    <row r="116" spans="1:36" outlineLevel="1" x14ac:dyDescent="0.45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I116" s="3" t="s">
        <v>32</v>
      </c>
      <c r="AJ116" s="26">
        <f>AJ114/(AJ114+AJ115)</f>
        <v>0</v>
      </c>
    </row>
    <row r="117" spans="1:36" outlineLevel="1" x14ac:dyDescent="0.45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1:36" outlineLevel="1" x14ac:dyDescent="0.45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1:36" outlineLevel="1" x14ac:dyDescent="0.45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1:36" outlineLevel="1" x14ac:dyDescent="0.45"/>
    <row r="121" spans="1:36" x14ac:dyDescent="0.45">
      <c r="C121" s="27">
        <v>46327</v>
      </c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I127" s="3" t="s">
        <v>31</v>
      </c>
      <c r="AJ127" s="25">
        <f>COUNTIF(C126:AG126,"リ")</f>
        <v>19</v>
      </c>
    </row>
    <row r="128" spans="1:36" outlineLevel="1" x14ac:dyDescent="0.45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I128" s="3" t="s">
        <v>32</v>
      </c>
      <c r="AJ128" s="26">
        <f>AJ126/(AJ126+AJ127)</f>
        <v>0</v>
      </c>
    </row>
    <row r="129" spans="1:36" outlineLevel="1" x14ac:dyDescent="0.45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1:36" outlineLevel="1" x14ac:dyDescent="0.45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1:36" outlineLevel="1" x14ac:dyDescent="0.45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1:36" outlineLevel="1" x14ac:dyDescent="0.45"/>
    <row r="133" spans="1:36" x14ac:dyDescent="0.45">
      <c r="C133" s="27">
        <v>46357</v>
      </c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I139" s="3" t="s">
        <v>31</v>
      </c>
      <c r="AJ139" s="25">
        <f>COUNTIF(C138:AG138,"リ")</f>
        <v>23</v>
      </c>
    </row>
    <row r="140" spans="1:36" outlineLevel="1" x14ac:dyDescent="0.45"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I140" s="3" t="s">
        <v>32</v>
      </c>
      <c r="AJ140" s="26">
        <f>AJ138/(AJ138+AJ139)</f>
        <v>0</v>
      </c>
    </row>
    <row r="141" spans="1:36" outlineLevel="1" x14ac:dyDescent="0.45"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1:36" outlineLevel="1" x14ac:dyDescent="0.45"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1:36" outlineLevel="1" x14ac:dyDescent="0.45"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1:36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2026-06-20T12:46:59Z</dcterms:modified>
</cp:coreProperties>
</file>