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E82B7B59-CC77-43A0-8A5E-1EE9A282431B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Sheet2" sheetId="734" r:id="rId1"/>
    <sheet name="2026 (12)" sheetId="733" r:id="rId2"/>
    <sheet name="2026 (11)" sheetId="728" r:id="rId3"/>
    <sheet name="2026 (10)" sheetId="727" r:id="rId4"/>
    <sheet name="2026 (9)" sheetId="730" r:id="rId5"/>
    <sheet name="2026 (8)" sheetId="725" r:id="rId6"/>
    <sheet name="2026 (7)" sheetId="724" r:id="rId7"/>
    <sheet name="2026 (6)" sheetId="723" r:id="rId8"/>
    <sheet name="2026 (5)" sheetId="722" r:id="rId9"/>
    <sheet name="2026 (4)" sheetId="721" r:id="rId10"/>
    <sheet name="2026 (3)" sheetId="720" r:id="rId11"/>
    <sheet name="2026 (2)" sheetId="719" r:id="rId12"/>
    <sheet name="2026" sheetId="718" r:id="rId13"/>
    <sheet name="祝日" sheetId="504" r:id="rId14"/>
    <sheet name="Sheet1" sheetId="101" r:id="rId15"/>
  </sheets>
  <functionGroups builtInGroupCount="19"/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D10" i="733" l="1"/>
  <c r="HA5" i="733" s="1" a="1"/>
  <c r="HA5" i="733" s="1"/>
  <c r="HD11" i="733"/>
  <c r="HD12" i="733"/>
  <c r="HD13" i="733"/>
  <c r="HD14" i="733"/>
  <c r="HD15" i="733"/>
  <c r="HD16" i="733"/>
  <c r="HD17" i="733"/>
  <c r="HD18" i="733"/>
  <c r="HD19" i="733"/>
  <c r="HD20" i="733"/>
  <c r="HD21" i="733"/>
  <c r="HD22" i="733"/>
  <c r="HD23" i="733"/>
  <c r="HD24" i="733"/>
  <c r="HD25" i="733"/>
  <c r="HD26" i="733"/>
  <c r="HD27" i="733"/>
  <c r="HD28" i="733"/>
  <c r="HD29" i="733"/>
  <c r="HD30" i="733"/>
  <c r="HD31" i="733"/>
  <c r="HD32" i="733"/>
  <c r="HD33" i="733"/>
  <c r="HD34" i="733"/>
  <c r="HD35" i="733"/>
  <c r="HD36" i="733"/>
  <c r="HD37" i="733"/>
  <c r="HD38" i="733"/>
  <c r="HD39" i="733"/>
  <c r="HD40" i="733"/>
  <c r="GY10" i="733"/>
  <c r="GY11" i="733"/>
  <c r="GY12" i="733"/>
  <c r="GX5" i="733" s="1" a="1"/>
  <c r="GX5" i="733" s="1"/>
  <c r="GY13" i="733"/>
  <c r="GY14" i="733"/>
  <c r="GY15" i="733"/>
  <c r="GY16" i="733"/>
  <c r="GY17" i="733"/>
  <c r="GY18" i="733"/>
  <c r="GY19" i="733"/>
  <c r="GY20" i="733"/>
  <c r="GY21" i="733"/>
  <c r="GY22" i="733"/>
  <c r="GY23" i="733"/>
  <c r="GY24" i="733"/>
  <c r="GY25" i="733"/>
  <c r="GY26" i="733"/>
  <c r="GY27" i="733"/>
  <c r="GY28" i="733"/>
  <c r="GY29" i="733"/>
  <c r="GY30" i="733"/>
  <c r="GY31" i="733"/>
  <c r="GY32" i="733"/>
  <c r="GY33" i="733"/>
  <c r="GY34" i="733"/>
  <c r="GY35" i="733"/>
  <c r="GY36" i="733"/>
  <c r="GY37" i="733"/>
  <c r="GY38" i="733"/>
  <c r="GY39" i="733"/>
  <c r="GY40" i="733"/>
  <c r="GR10" i="733"/>
  <c r="GZ5" i="733"/>
  <c r="GW5" i="733"/>
  <c r="GU4" i="733"/>
  <c r="GU3" i="733"/>
  <c r="GU5" i="733" s="1"/>
  <c r="FZ11" i="733"/>
  <c r="GA11" i="733" s="1"/>
  <c r="FZ12" i="733"/>
  <c r="GA12" i="733" s="1"/>
  <c r="FZ13" i="733"/>
  <c r="FZ14" i="733"/>
  <c r="GA14" i="733" s="1"/>
  <c r="FZ15" i="733"/>
  <c r="GA15" i="733" s="1"/>
  <c r="FZ16" i="733"/>
  <c r="GA16" i="733" s="1"/>
  <c r="FZ17" i="733"/>
  <c r="GA17" i="733" s="1"/>
  <c r="FZ18" i="733"/>
  <c r="GA18" i="733" s="1"/>
  <c r="FZ19" i="733"/>
  <c r="GA19" i="733" s="1"/>
  <c r="FZ20" i="733"/>
  <c r="GA20" i="733" s="1"/>
  <c r="FZ21" i="733"/>
  <c r="GL10" i="733"/>
  <c r="GL11" i="733"/>
  <c r="GL12" i="733"/>
  <c r="GL13" i="733"/>
  <c r="GL14" i="733"/>
  <c r="GL15" i="733"/>
  <c r="GL16" i="733"/>
  <c r="GL17" i="733"/>
  <c r="GL18" i="733"/>
  <c r="GL19" i="733"/>
  <c r="GL20" i="733"/>
  <c r="GL21" i="733"/>
  <c r="GL22" i="733"/>
  <c r="GL23" i="733"/>
  <c r="GL24" i="733"/>
  <c r="GL25" i="733"/>
  <c r="GL26" i="733"/>
  <c r="GL27" i="733"/>
  <c r="GL28" i="733"/>
  <c r="GL29" i="733"/>
  <c r="GL30" i="733"/>
  <c r="GL31" i="733"/>
  <c r="GL32" i="733"/>
  <c r="GL33" i="733"/>
  <c r="GL34" i="733"/>
  <c r="GL35" i="733"/>
  <c r="GL36" i="733"/>
  <c r="GL37" i="733"/>
  <c r="GL38" i="733"/>
  <c r="GL39" i="733"/>
  <c r="GL40" i="733"/>
  <c r="GG10" i="733"/>
  <c r="GG11" i="733"/>
  <c r="GG12" i="733"/>
  <c r="GG13" i="733"/>
  <c r="GG14" i="733"/>
  <c r="GG15" i="733"/>
  <c r="GG16" i="733"/>
  <c r="GG17" i="733"/>
  <c r="GG18" i="733"/>
  <c r="GG19" i="733"/>
  <c r="GG20" i="733"/>
  <c r="GG21" i="733"/>
  <c r="GG22" i="733"/>
  <c r="GG23" i="733"/>
  <c r="GG24" i="733"/>
  <c r="GG25" i="733"/>
  <c r="GG26" i="733"/>
  <c r="GG27" i="733"/>
  <c r="GG28" i="733"/>
  <c r="GG29" i="733"/>
  <c r="GG30" i="733"/>
  <c r="GG31" i="733"/>
  <c r="GG32" i="733"/>
  <c r="GG33" i="733"/>
  <c r="GG34" i="733"/>
  <c r="GG35" i="733"/>
  <c r="GG36" i="733"/>
  <c r="GG37" i="733"/>
  <c r="GG38" i="733"/>
  <c r="GG39" i="733"/>
  <c r="GG40" i="733"/>
  <c r="GA13" i="733"/>
  <c r="FZ10" i="733"/>
  <c r="GA10" i="733" s="1"/>
  <c r="GH5" i="733"/>
  <c r="GE5" i="733"/>
  <c r="GC4" i="733"/>
  <c r="GC3" i="733"/>
  <c r="GC5" i="733" s="1"/>
  <c r="FH11" i="733"/>
  <c r="FH12" i="733"/>
  <c r="FH13" i="733"/>
  <c r="FI13" i="733" s="1"/>
  <c r="FH14" i="733"/>
  <c r="FI14" i="733" s="1"/>
  <c r="FH15" i="733"/>
  <c r="FI15" i="733" s="1"/>
  <c r="FH16" i="733"/>
  <c r="FT10" i="733"/>
  <c r="FQ5" i="733" s="1" a="1"/>
  <c r="FQ5" i="733" s="1"/>
  <c r="FT11" i="733"/>
  <c r="FT12" i="733"/>
  <c r="FT13" i="733"/>
  <c r="FT14" i="733"/>
  <c r="FT15" i="733"/>
  <c r="FT16" i="733"/>
  <c r="FT17" i="733"/>
  <c r="FT18" i="733"/>
  <c r="FT19" i="733"/>
  <c r="FT20" i="733"/>
  <c r="FT21" i="733"/>
  <c r="FT22" i="733"/>
  <c r="FT23" i="733"/>
  <c r="FT24" i="733"/>
  <c r="FT25" i="733"/>
  <c r="FT26" i="733"/>
  <c r="FT27" i="733"/>
  <c r="FT28" i="733"/>
  <c r="FT29" i="733"/>
  <c r="FT30" i="733"/>
  <c r="FT31" i="733"/>
  <c r="FT32" i="733"/>
  <c r="FT33" i="733"/>
  <c r="FT34" i="733"/>
  <c r="FT35" i="733"/>
  <c r="FT36" i="733"/>
  <c r="FT37" i="733"/>
  <c r="FT38" i="733"/>
  <c r="FT39" i="733"/>
  <c r="FT40" i="733"/>
  <c r="FO10" i="733"/>
  <c r="FO11" i="733"/>
  <c r="FO12" i="733"/>
  <c r="FO13" i="733"/>
  <c r="FO14" i="733"/>
  <c r="FO15" i="733"/>
  <c r="FO16" i="733"/>
  <c r="FO17" i="733"/>
  <c r="FO18" i="733"/>
  <c r="FO19" i="733"/>
  <c r="FO20" i="733"/>
  <c r="FO21" i="733"/>
  <c r="FO22" i="733"/>
  <c r="FO23" i="733"/>
  <c r="FO24" i="733"/>
  <c r="FO25" i="733"/>
  <c r="FO26" i="733"/>
  <c r="FO27" i="733"/>
  <c r="FO28" i="733"/>
  <c r="FO29" i="733"/>
  <c r="FO30" i="733"/>
  <c r="FO31" i="733"/>
  <c r="FO32" i="733"/>
  <c r="FO33" i="733"/>
  <c r="FO34" i="733"/>
  <c r="FO35" i="733"/>
  <c r="FO36" i="733"/>
  <c r="FO37" i="733"/>
  <c r="FO38" i="733"/>
  <c r="FO39" i="733"/>
  <c r="FO40" i="733"/>
  <c r="FI10" i="733"/>
  <c r="FI11" i="733"/>
  <c r="FI12" i="733"/>
  <c r="FH10" i="733"/>
  <c r="FP5" i="733"/>
  <c r="FN5" i="733" a="1"/>
  <c r="FN5" i="733"/>
  <c r="FM5" i="733"/>
  <c r="FK4" i="733"/>
  <c r="FK5" i="733" s="1"/>
  <c r="FK3" i="733"/>
  <c r="FB10" i="733"/>
  <c r="FB11" i="733"/>
  <c r="FB12" i="733"/>
  <c r="FB13" i="733"/>
  <c r="FB14" i="733"/>
  <c r="FB15" i="733"/>
  <c r="FB16" i="733"/>
  <c r="FB17" i="733"/>
  <c r="FB18" i="733"/>
  <c r="FB19" i="733"/>
  <c r="FB20" i="733"/>
  <c r="FB21" i="733"/>
  <c r="FB22" i="733"/>
  <c r="FB23" i="733"/>
  <c r="FB24" i="733"/>
  <c r="FB25" i="733"/>
  <c r="FB26" i="733"/>
  <c r="FB27" i="733"/>
  <c r="FB28" i="733"/>
  <c r="FB29" i="733"/>
  <c r="FB30" i="733"/>
  <c r="FB31" i="733"/>
  <c r="FB32" i="733"/>
  <c r="FB33" i="733"/>
  <c r="FB34" i="733"/>
  <c r="FB35" i="733"/>
  <c r="FB36" i="733"/>
  <c r="FB37" i="733"/>
  <c r="FB38" i="733"/>
  <c r="FB39" i="733"/>
  <c r="FB40" i="733"/>
  <c r="EW10" i="733"/>
  <c r="EW11" i="733"/>
  <c r="EW12" i="733"/>
  <c r="EW13" i="733"/>
  <c r="EW14" i="733"/>
  <c r="EW15" i="733"/>
  <c r="EW16" i="733"/>
  <c r="EW17" i="733"/>
  <c r="EW18" i="733"/>
  <c r="EW19" i="733"/>
  <c r="EW20" i="733"/>
  <c r="EW21" i="733"/>
  <c r="EW22" i="733"/>
  <c r="EW23" i="733"/>
  <c r="EW24" i="733"/>
  <c r="EW25" i="733"/>
  <c r="EW26" i="733"/>
  <c r="EW27" i="733"/>
  <c r="EW28" i="733"/>
  <c r="EW29" i="733"/>
  <c r="EW30" i="733"/>
  <c r="EW31" i="733"/>
  <c r="EW32" i="733"/>
  <c r="EW33" i="733"/>
  <c r="EW34" i="733"/>
  <c r="EW35" i="733"/>
  <c r="EW36" i="733"/>
  <c r="EW37" i="733"/>
  <c r="EW38" i="733"/>
  <c r="EW39" i="733"/>
  <c r="EW40" i="733"/>
  <c r="EQ10" i="733"/>
  <c r="EQ11" i="733"/>
  <c r="EQ12" i="733"/>
  <c r="EP10" i="733"/>
  <c r="EP11" i="733" s="1"/>
  <c r="EP12" i="733" s="1"/>
  <c r="EP13" i="733" s="1"/>
  <c r="EP14" i="733" s="1"/>
  <c r="EP15" i="733" s="1"/>
  <c r="EX5" i="733"/>
  <c r="EU5" i="733"/>
  <c r="ES4" i="733"/>
  <c r="ES3" i="733"/>
  <c r="ES5" i="733" s="1"/>
  <c r="EJ10" i="733"/>
  <c r="EJ11" i="733"/>
  <c r="EJ12" i="733"/>
  <c r="EJ13" i="733"/>
  <c r="EJ14" i="733"/>
  <c r="EJ15" i="733"/>
  <c r="EJ16" i="733"/>
  <c r="EJ17" i="733"/>
  <c r="EJ18" i="733"/>
  <c r="EJ19" i="733"/>
  <c r="EJ20" i="733"/>
  <c r="EJ21" i="733"/>
  <c r="EJ22" i="733"/>
  <c r="EJ23" i="733"/>
  <c r="EJ24" i="733"/>
  <c r="EJ25" i="733"/>
  <c r="EJ26" i="733"/>
  <c r="EJ27" i="733"/>
  <c r="EJ28" i="733"/>
  <c r="EJ29" i="733"/>
  <c r="EJ30" i="733"/>
  <c r="EJ31" i="733"/>
  <c r="EJ32" i="733"/>
  <c r="EJ33" i="733"/>
  <c r="EJ34" i="733"/>
  <c r="EJ35" i="733"/>
  <c r="EJ36" i="733"/>
  <c r="EJ37" i="733"/>
  <c r="EJ38" i="733"/>
  <c r="EJ39" i="733"/>
  <c r="EJ40" i="733"/>
  <c r="EE10" i="733"/>
  <c r="EE11" i="733"/>
  <c r="EE12" i="733"/>
  <c r="EE13" i="733"/>
  <c r="EE14" i="733"/>
  <c r="EE15" i="733"/>
  <c r="EE16" i="733"/>
  <c r="EE17" i="733"/>
  <c r="EE18" i="733"/>
  <c r="EE19" i="733"/>
  <c r="EE20" i="733"/>
  <c r="EE21" i="733"/>
  <c r="EE22" i="733"/>
  <c r="EE23" i="733"/>
  <c r="EE24" i="733"/>
  <c r="EE25" i="733"/>
  <c r="EE26" i="733"/>
  <c r="EE27" i="733"/>
  <c r="EE28" i="733"/>
  <c r="EE29" i="733"/>
  <c r="EE30" i="733"/>
  <c r="EE31" i="733"/>
  <c r="EE32" i="733"/>
  <c r="EE33" i="733"/>
  <c r="EE34" i="733"/>
  <c r="EE35" i="733"/>
  <c r="EE36" i="733"/>
  <c r="EE37" i="733"/>
  <c r="EE38" i="733"/>
  <c r="EE39" i="733"/>
  <c r="EE40" i="733"/>
  <c r="DX10" i="733"/>
  <c r="DY10" i="733" s="1"/>
  <c r="EF5" i="733"/>
  <c r="EC5" i="733"/>
  <c r="EA4" i="733"/>
  <c r="EA3" i="733"/>
  <c r="EA5" i="733" s="1"/>
  <c r="DR10" i="733"/>
  <c r="DR11" i="733"/>
  <c r="DR12" i="733"/>
  <c r="DR13" i="733"/>
  <c r="DR14" i="733"/>
  <c r="DR15" i="733"/>
  <c r="DR16" i="733"/>
  <c r="DR17" i="733"/>
  <c r="DR18" i="733"/>
  <c r="DR19" i="733"/>
  <c r="DR20" i="733"/>
  <c r="DR21" i="733"/>
  <c r="DR22" i="733"/>
  <c r="DR23" i="733"/>
  <c r="DR24" i="733"/>
  <c r="DR25" i="733"/>
  <c r="DR26" i="733"/>
  <c r="DR27" i="733"/>
  <c r="DR28" i="733"/>
  <c r="DR29" i="733"/>
  <c r="DR30" i="733"/>
  <c r="DR31" i="733"/>
  <c r="DR32" i="733"/>
  <c r="DR33" i="733"/>
  <c r="DR34" i="733"/>
  <c r="DR35" i="733"/>
  <c r="DR36" i="733"/>
  <c r="DR37" i="733"/>
  <c r="DR38" i="733"/>
  <c r="DR39" i="733"/>
  <c r="DR40" i="733"/>
  <c r="DM10" i="733"/>
  <c r="DM11" i="733"/>
  <c r="DM12" i="733"/>
  <c r="DM13" i="733"/>
  <c r="DM14" i="733"/>
  <c r="DM15" i="733"/>
  <c r="DM16" i="733"/>
  <c r="DM17" i="733"/>
  <c r="DM18" i="733"/>
  <c r="DM19" i="733"/>
  <c r="DM20" i="733"/>
  <c r="DM21" i="733"/>
  <c r="DM22" i="733"/>
  <c r="DM23" i="733"/>
  <c r="DM24" i="733"/>
  <c r="DM25" i="733"/>
  <c r="DM26" i="733"/>
  <c r="DM27" i="733"/>
  <c r="DM28" i="733"/>
  <c r="DM29" i="733"/>
  <c r="DM30" i="733"/>
  <c r="DM31" i="733"/>
  <c r="DM32" i="733"/>
  <c r="DM33" i="733"/>
  <c r="DM34" i="733"/>
  <c r="DM35" i="733"/>
  <c r="DM36" i="733"/>
  <c r="DM37" i="733"/>
  <c r="DM38" i="733"/>
  <c r="DM39" i="733"/>
  <c r="DM40" i="733"/>
  <c r="DF10" i="733"/>
  <c r="DN5" i="733"/>
  <c r="DK5" i="733"/>
  <c r="DI4" i="733"/>
  <c r="DI3" i="733"/>
  <c r="DI5" i="733" s="1"/>
  <c r="CN11" i="733"/>
  <c r="CO11" i="733" s="1"/>
  <c r="CN12" i="733"/>
  <c r="CZ10" i="733"/>
  <c r="CZ11" i="733"/>
  <c r="CZ12" i="733"/>
  <c r="CZ13" i="733"/>
  <c r="CZ14" i="733"/>
  <c r="CZ15" i="733"/>
  <c r="CZ16" i="733"/>
  <c r="CZ17" i="733"/>
  <c r="CZ18" i="733"/>
  <c r="CZ19" i="733"/>
  <c r="CZ20" i="733"/>
  <c r="CZ21" i="733"/>
  <c r="CZ22" i="733"/>
  <c r="CZ23" i="733"/>
  <c r="CZ24" i="733"/>
  <c r="CZ25" i="733"/>
  <c r="CZ26" i="733"/>
  <c r="CZ27" i="733"/>
  <c r="CZ28" i="733"/>
  <c r="CZ29" i="733"/>
  <c r="CZ30" i="733"/>
  <c r="CZ31" i="733"/>
  <c r="CZ32" i="733"/>
  <c r="CZ33" i="733"/>
  <c r="CZ34" i="733"/>
  <c r="CZ35" i="733"/>
  <c r="CZ36" i="733"/>
  <c r="CZ37" i="733"/>
  <c r="CZ38" i="733"/>
  <c r="CZ39" i="733"/>
  <c r="CZ40" i="733"/>
  <c r="CU10" i="733"/>
  <c r="CU11" i="733"/>
  <c r="CU12" i="733"/>
  <c r="CU13" i="733"/>
  <c r="CU14" i="733"/>
  <c r="CU15" i="733"/>
  <c r="CU16" i="733"/>
  <c r="CU17" i="733"/>
  <c r="CU18" i="733"/>
  <c r="CU19" i="733"/>
  <c r="CU20" i="733"/>
  <c r="CU21" i="733"/>
  <c r="CU22" i="733"/>
  <c r="CU23" i="733"/>
  <c r="CU24" i="733"/>
  <c r="CU25" i="733"/>
  <c r="CU26" i="733"/>
  <c r="CU27" i="733"/>
  <c r="CU28" i="733"/>
  <c r="CU29" i="733"/>
  <c r="CU30" i="733"/>
  <c r="CU31" i="733"/>
  <c r="CU32" i="733"/>
  <c r="CU33" i="733"/>
  <c r="CU34" i="733"/>
  <c r="CU35" i="733"/>
  <c r="CU36" i="733"/>
  <c r="CU37" i="733"/>
  <c r="CU38" i="733"/>
  <c r="CU39" i="733"/>
  <c r="CU40" i="733"/>
  <c r="CO10" i="733"/>
  <c r="CN10" i="733"/>
  <c r="CV5" i="733"/>
  <c r="CS5" i="733"/>
  <c r="CQ4" i="733"/>
  <c r="CQ3" i="733"/>
  <c r="CQ5" i="733" s="1"/>
  <c r="CH10" i="733"/>
  <c r="CH11" i="733"/>
  <c r="CH12" i="733"/>
  <c r="CH13" i="733"/>
  <c r="CH14" i="733"/>
  <c r="CH15" i="733"/>
  <c r="CH16" i="733"/>
  <c r="CH17" i="733"/>
  <c r="CH18" i="733"/>
  <c r="CH19" i="733"/>
  <c r="CH20" i="733"/>
  <c r="CH21" i="733"/>
  <c r="CH22" i="733"/>
  <c r="CH23" i="733"/>
  <c r="CH24" i="733"/>
  <c r="CH25" i="733"/>
  <c r="CH26" i="733"/>
  <c r="CH27" i="733"/>
  <c r="CH28" i="733"/>
  <c r="CH29" i="733"/>
  <c r="CH30" i="733"/>
  <c r="CH31" i="733"/>
  <c r="CH32" i="733"/>
  <c r="CH33" i="733"/>
  <c r="CH34" i="733"/>
  <c r="CH35" i="733"/>
  <c r="CH36" i="733"/>
  <c r="CH37" i="733"/>
  <c r="CH38" i="733"/>
  <c r="CH39" i="733"/>
  <c r="CH40" i="733"/>
  <c r="CC10" i="733"/>
  <c r="CC11" i="733"/>
  <c r="CC12" i="733"/>
  <c r="CC13" i="733"/>
  <c r="CC14" i="733"/>
  <c r="CC15" i="733"/>
  <c r="CC16" i="733"/>
  <c r="CC17" i="733"/>
  <c r="CC18" i="733"/>
  <c r="CC19" i="733"/>
  <c r="CC20" i="733"/>
  <c r="CC21" i="733"/>
  <c r="CC22" i="733"/>
  <c r="CC23" i="733"/>
  <c r="CC24" i="733"/>
  <c r="CC25" i="733"/>
  <c r="CC26" i="733"/>
  <c r="CC27" i="733"/>
  <c r="CC28" i="733"/>
  <c r="CC29" i="733"/>
  <c r="CC30" i="733"/>
  <c r="CC31" i="733"/>
  <c r="CC32" i="733"/>
  <c r="CC33" i="733"/>
  <c r="CC34" i="733"/>
  <c r="CC35" i="733"/>
  <c r="CC36" i="733"/>
  <c r="CC37" i="733"/>
  <c r="CC38" i="733"/>
  <c r="CC39" i="733"/>
  <c r="CC40" i="733"/>
  <c r="BW10" i="733"/>
  <c r="BV10" i="733"/>
  <c r="BV11" i="733" s="1"/>
  <c r="CD5" i="733"/>
  <c r="CA5" i="733"/>
  <c r="BY4" i="733"/>
  <c r="BY3" i="733"/>
  <c r="BY5" i="733" s="1"/>
  <c r="BD11" i="733"/>
  <c r="BE11" i="733" s="1"/>
  <c r="BD12" i="733"/>
  <c r="BE12" i="733" s="1"/>
  <c r="BD13" i="733"/>
  <c r="BE13" i="733" s="1"/>
  <c r="BD14" i="733"/>
  <c r="BE14" i="733" s="1"/>
  <c r="BD15" i="733"/>
  <c r="BE15" i="733" s="1"/>
  <c r="BD16" i="733"/>
  <c r="BD17" i="733" s="1"/>
  <c r="BD18" i="733" s="1"/>
  <c r="BD19" i="733" s="1"/>
  <c r="BD20" i="733" s="1"/>
  <c r="BD21" i="733" s="1"/>
  <c r="BD22" i="733" s="1"/>
  <c r="BP10" i="733"/>
  <c r="BP11" i="733"/>
  <c r="BP12" i="733"/>
  <c r="BP13" i="733"/>
  <c r="BP14" i="733"/>
  <c r="BP15" i="733"/>
  <c r="BP16" i="733"/>
  <c r="BP17" i="733"/>
  <c r="BP18" i="733"/>
  <c r="BP19" i="733"/>
  <c r="BP20" i="733"/>
  <c r="BP21" i="733"/>
  <c r="BP22" i="733"/>
  <c r="BP23" i="733"/>
  <c r="BP24" i="733"/>
  <c r="BP25" i="733"/>
  <c r="BP26" i="733"/>
  <c r="BP27" i="733"/>
  <c r="BP28" i="733"/>
  <c r="BP29" i="733"/>
  <c r="BP30" i="733"/>
  <c r="BP31" i="733"/>
  <c r="BP32" i="733"/>
  <c r="BP33" i="733"/>
  <c r="BP34" i="733"/>
  <c r="BP35" i="733"/>
  <c r="BP36" i="733"/>
  <c r="BP37" i="733"/>
  <c r="BP38" i="733"/>
  <c r="BP39" i="733"/>
  <c r="BP40" i="733"/>
  <c r="BK10" i="733"/>
  <c r="BK11" i="733"/>
  <c r="BK12" i="733"/>
  <c r="BK13" i="733"/>
  <c r="BK14" i="733"/>
  <c r="BK15" i="733"/>
  <c r="BK16" i="733"/>
  <c r="BK17" i="733"/>
  <c r="BK18" i="733"/>
  <c r="BK19" i="733"/>
  <c r="BK20" i="733"/>
  <c r="BK21" i="733"/>
  <c r="BK22" i="733"/>
  <c r="BK23" i="733"/>
  <c r="BK24" i="733"/>
  <c r="BK25" i="733"/>
  <c r="BK26" i="733"/>
  <c r="BK27" i="733"/>
  <c r="BK28" i="733"/>
  <c r="BK29" i="733"/>
  <c r="BK30" i="733"/>
  <c r="BK31" i="733"/>
  <c r="BK32" i="733"/>
  <c r="BK33" i="733"/>
  <c r="BK34" i="733"/>
  <c r="BK35" i="733"/>
  <c r="BK36" i="733"/>
  <c r="BK37" i="733"/>
  <c r="BK38" i="733"/>
  <c r="BK39" i="733"/>
  <c r="BK40" i="733"/>
  <c r="BE21" i="733"/>
  <c r="BD10" i="733"/>
  <c r="BE10" i="733" s="1"/>
  <c r="BL5" i="733"/>
  <c r="BI5" i="733"/>
  <c r="BG4" i="733"/>
  <c r="BG3" i="733"/>
  <c r="BG5" i="733" s="1"/>
  <c r="AL11" i="733"/>
  <c r="AL12" i="733"/>
  <c r="AL13" i="733"/>
  <c r="AL14" i="733" s="1"/>
  <c r="AX10" i="733"/>
  <c r="AX11" i="733"/>
  <c r="AX12" i="733"/>
  <c r="AX13" i="733"/>
  <c r="AX14" i="733"/>
  <c r="AX15" i="733"/>
  <c r="AX16" i="733"/>
  <c r="AX17" i="733"/>
  <c r="AX18" i="733"/>
  <c r="AX19" i="733"/>
  <c r="AX20" i="733"/>
  <c r="AX21" i="733"/>
  <c r="AX22" i="733"/>
  <c r="AX23" i="733"/>
  <c r="AX24" i="733"/>
  <c r="AX25" i="733"/>
  <c r="AX26" i="733"/>
  <c r="AX27" i="733"/>
  <c r="AX28" i="733"/>
  <c r="AX29" i="733"/>
  <c r="AX30" i="733"/>
  <c r="AX31" i="733"/>
  <c r="AX32" i="733"/>
  <c r="AX33" i="733"/>
  <c r="AX34" i="733"/>
  <c r="AX35" i="733"/>
  <c r="AX36" i="733"/>
  <c r="AX37" i="733"/>
  <c r="AX38" i="733"/>
  <c r="AX39" i="733"/>
  <c r="AX40" i="733"/>
  <c r="AS10" i="733"/>
  <c r="AS11" i="733"/>
  <c r="AS12" i="733"/>
  <c r="AS13" i="733"/>
  <c r="AS14" i="733"/>
  <c r="AS15" i="733"/>
  <c r="AS16" i="733"/>
  <c r="AS17" i="733"/>
  <c r="AS18" i="733"/>
  <c r="AS19" i="733"/>
  <c r="AS20" i="733"/>
  <c r="AS21" i="733"/>
  <c r="AS22" i="733"/>
  <c r="AS23" i="733"/>
  <c r="AS24" i="733"/>
  <c r="AS25" i="733"/>
  <c r="AS26" i="733"/>
  <c r="AS27" i="733"/>
  <c r="AS28" i="733"/>
  <c r="AS29" i="733"/>
  <c r="AS30" i="733"/>
  <c r="AS31" i="733"/>
  <c r="AS32" i="733"/>
  <c r="AS33" i="733"/>
  <c r="AS34" i="733"/>
  <c r="AS35" i="733"/>
  <c r="AS36" i="733"/>
  <c r="AS37" i="733"/>
  <c r="AS38" i="733"/>
  <c r="AS39" i="733"/>
  <c r="AS40" i="733"/>
  <c r="AM10" i="733"/>
  <c r="AM11" i="733"/>
  <c r="AM12" i="733"/>
  <c r="AM13" i="733"/>
  <c r="AL10" i="733"/>
  <c r="AT5" i="733"/>
  <c r="AQ5" i="733"/>
  <c r="AO5" i="733"/>
  <c r="AO4" i="733"/>
  <c r="AO3" i="733"/>
  <c r="AF10" i="733"/>
  <c r="AF11" i="733"/>
  <c r="AF12" i="733"/>
  <c r="AF13" i="733"/>
  <c r="AC5" i="733" s="1" a="1"/>
  <c r="AC5" i="733" s="1"/>
  <c r="AF14" i="733"/>
  <c r="AF15" i="733"/>
  <c r="AF16" i="733"/>
  <c r="AF17" i="733"/>
  <c r="AF18" i="733"/>
  <c r="AF19" i="733"/>
  <c r="AF20" i="733"/>
  <c r="AF21" i="733"/>
  <c r="AF22" i="733"/>
  <c r="AF23" i="733"/>
  <c r="AF24" i="733"/>
  <c r="AF25" i="733"/>
  <c r="AF26" i="733"/>
  <c r="AF27" i="733"/>
  <c r="AF28" i="733"/>
  <c r="AF29" i="733"/>
  <c r="AF30" i="733"/>
  <c r="AF31" i="733"/>
  <c r="AF32" i="733"/>
  <c r="AF33" i="733"/>
  <c r="AF34" i="733"/>
  <c r="AF35" i="733"/>
  <c r="AF36" i="733"/>
  <c r="AF37" i="733"/>
  <c r="AF38" i="733"/>
  <c r="AF39" i="733"/>
  <c r="AF40" i="733"/>
  <c r="AA10" i="733"/>
  <c r="AA11" i="733"/>
  <c r="AA12" i="733"/>
  <c r="AA13" i="733"/>
  <c r="AA14" i="733"/>
  <c r="AA15" i="733"/>
  <c r="AA16" i="733"/>
  <c r="AA17" i="733"/>
  <c r="AA18" i="733"/>
  <c r="AA19" i="733"/>
  <c r="AA20" i="733"/>
  <c r="AA21" i="733"/>
  <c r="AA22" i="733"/>
  <c r="AA23" i="733"/>
  <c r="AA24" i="733"/>
  <c r="AA25" i="733"/>
  <c r="AA26" i="733"/>
  <c r="AA27" i="733"/>
  <c r="AA28" i="733"/>
  <c r="AA29" i="733"/>
  <c r="AA30" i="733"/>
  <c r="AA31" i="733"/>
  <c r="AA32" i="733"/>
  <c r="AA33" i="733"/>
  <c r="AA34" i="733"/>
  <c r="AA35" i="733"/>
  <c r="AA36" i="733"/>
  <c r="AA37" i="733"/>
  <c r="AA38" i="733"/>
  <c r="AA39" i="733"/>
  <c r="AA40" i="733"/>
  <c r="T10" i="733"/>
  <c r="AB5" i="733"/>
  <c r="Y5" i="733"/>
  <c r="W4" i="733"/>
  <c r="W3" i="733"/>
  <c r="W5" i="733" s="1"/>
  <c r="B11" i="733"/>
  <c r="C11" i="733" s="1"/>
  <c r="B12" i="733"/>
  <c r="N10" i="733"/>
  <c r="N11" i="733"/>
  <c r="K5" i="733" s="1" a="1"/>
  <c r="K5" i="733" s="1"/>
  <c r="N12" i="733"/>
  <c r="N13" i="733"/>
  <c r="N14" i="733"/>
  <c r="N15" i="733"/>
  <c r="N16" i="733"/>
  <c r="N17" i="733"/>
  <c r="N18" i="733"/>
  <c r="N19" i="733"/>
  <c r="N20" i="733"/>
  <c r="N21" i="733"/>
  <c r="N22" i="733"/>
  <c r="N23" i="733"/>
  <c r="N24" i="733"/>
  <c r="N25" i="733"/>
  <c r="N26" i="733"/>
  <c r="N27" i="733"/>
  <c r="N28" i="733"/>
  <c r="N29" i="733"/>
  <c r="N30" i="733"/>
  <c r="N31" i="733"/>
  <c r="N32" i="733"/>
  <c r="N33" i="733"/>
  <c r="N34" i="733"/>
  <c r="N35" i="733"/>
  <c r="N36" i="733"/>
  <c r="N37" i="733"/>
  <c r="N38" i="733"/>
  <c r="N39" i="733"/>
  <c r="N40" i="733"/>
  <c r="I10" i="733"/>
  <c r="I11" i="733"/>
  <c r="I12" i="733"/>
  <c r="I13" i="733"/>
  <c r="I14" i="733"/>
  <c r="I15" i="733"/>
  <c r="I16" i="733"/>
  <c r="I17" i="733"/>
  <c r="I18" i="733"/>
  <c r="I19" i="733"/>
  <c r="H5" i="733" s="1" a="1"/>
  <c r="H5" i="733" s="1"/>
  <c r="I20" i="733"/>
  <c r="I21" i="733"/>
  <c r="I22" i="733"/>
  <c r="I23" i="733"/>
  <c r="I24" i="733"/>
  <c r="I25" i="733"/>
  <c r="I26" i="733"/>
  <c r="I27" i="733"/>
  <c r="I28" i="733"/>
  <c r="I29" i="733"/>
  <c r="I30" i="733"/>
  <c r="I31" i="733"/>
  <c r="I32" i="733"/>
  <c r="I33" i="733"/>
  <c r="I34" i="733"/>
  <c r="I35" i="733"/>
  <c r="I36" i="733"/>
  <c r="I37" i="733"/>
  <c r="I38" i="733"/>
  <c r="I39" i="733"/>
  <c r="I40" i="733"/>
  <c r="C10" i="733"/>
  <c r="B10" i="733"/>
  <c r="J5" i="733"/>
  <c r="G5" i="733"/>
  <c r="E4" i="733"/>
  <c r="E3" i="733"/>
  <c r="E5" i="733" s="1"/>
  <c r="HD10" i="730"/>
  <c r="HD11" i="730"/>
  <c r="HD12" i="730"/>
  <c r="HD13" i="730"/>
  <c r="HD14" i="730"/>
  <c r="HD15" i="730"/>
  <c r="HD16" i="730"/>
  <c r="HD17" i="730"/>
  <c r="HD18" i="730"/>
  <c r="HD19" i="730"/>
  <c r="HD20" i="730"/>
  <c r="HD21" i="730"/>
  <c r="HD22" i="730"/>
  <c r="HD23" i="730"/>
  <c r="HD24" i="730"/>
  <c r="HD25" i="730"/>
  <c r="HD26" i="730"/>
  <c r="HD27" i="730"/>
  <c r="HD28" i="730"/>
  <c r="HD29" i="730"/>
  <c r="HD30" i="730"/>
  <c r="HD31" i="730"/>
  <c r="HD32" i="730"/>
  <c r="HD33" i="730"/>
  <c r="HD34" i="730"/>
  <c r="HD35" i="730"/>
  <c r="HD36" i="730"/>
  <c r="HD37" i="730"/>
  <c r="HD38" i="730"/>
  <c r="HD39" i="730"/>
  <c r="HD40" i="730"/>
  <c r="GY10" i="730"/>
  <c r="GY11" i="730"/>
  <c r="GY12" i="730"/>
  <c r="GY13" i="730"/>
  <c r="GY14" i="730"/>
  <c r="GY15" i="730"/>
  <c r="GY16" i="730"/>
  <c r="GY17" i="730"/>
  <c r="GY18" i="730"/>
  <c r="GY19" i="730"/>
  <c r="GY20" i="730"/>
  <c r="GY21" i="730"/>
  <c r="GY22" i="730"/>
  <c r="GY23" i="730"/>
  <c r="GY24" i="730"/>
  <c r="GY25" i="730"/>
  <c r="GY26" i="730"/>
  <c r="GY27" i="730"/>
  <c r="GY28" i="730"/>
  <c r="GY29" i="730"/>
  <c r="GY30" i="730"/>
  <c r="GY31" i="730"/>
  <c r="GY32" i="730"/>
  <c r="GY33" i="730"/>
  <c r="GY34" i="730"/>
  <c r="GY35" i="730"/>
  <c r="GY36" i="730"/>
  <c r="GY37" i="730"/>
  <c r="GY38" i="730"/>
  <c r="GY39" i="730"/>
  <c r="GY40" i="730"/>
  <c r="GS10" i="730"/>
  <c r="GS11" i="730"/>
  <c r="GR10" i="730"/>
  <c r="GR11" i="730" s="1"/>
  <c r="GR12" i="730" s="1"/>
  <c r="GR13" i="730" s="1"/>
  <c r="GR14" i="730" s="1"/>
  <c r="GZ5" i="730"/>
  <c r="GW5" i="730"/>
  <c r="GU4" i="730"/>
  <c r="GU3" i="730"/>
  <c r="GU5" i="730" s="1"/>
  <c r="FZ11" i="730"/>
  <c r="GA11" i="730" s="1"/>
  <c r="FZ12" i="730"/>
  <c r="FZ13" i="730"/>
  <c r="FZ14" i="730"/>
  <c r="FZ15" i="730"/>
  <c r="GA15" i="730" s="1"/>
  <c r="FZ16" i="730"/>
  <c r="GA16" i="730" s="1"/>
  <c r="FZ17" i="730"/>
  <c r="GA17" i="730" s="1"/>
  <c r="FZ18" i="730"/>
  <c r="GL10" i="730"/>
  <c r="GL11" i="730"/>
  <c r="GL12" i="730"/>
  <c r="GL13" i="730"/>
  <c r="GL14" i="730"/>
  <c r="GL15" i="730"/>
  <c r="GL16" i="730"/>
  <c r="GL17" i="730"/>
  <c r="GL18" i="730"/>
  <c r="GL19" i="730"/>
  <c r="GL20" i="730"/>
  <c r="GL21" i="730"/>
  <c r="GL22" i="730"/>
  <c r="GL23" i="730"/>
  <c r="GL24" i="730"/>
  <c r="GL25" i="730"/>
  <c r="GL26" i="730"/>
  <c r="GL27" i="730"/>
  <c r="GL28" i="730"/>
  <c r="GL29" i="730"/>
  <c r="GL30" i="730"/>
  <c r="GL31" i="730"/>
  <c r="GL32" i="730"/>
  <c r="GL33" i="730"/>
  <c r="GL34" i="730"/>
  <c r="GL35" i="730"/>
  <c r="GL36" i="730"/>
  <c r="GL37" i="730"/>
  <c r="GL38" i="730"/>
  <c r="GL39" i="730"/>
  <c r="GL40" i="730"/>
  <c r="GG10" i="730"/>
  <c r="GG11" i="730"/>
  <c r="GG12" i="730"/>
  <c r="GG13" i="730"/>
  <c r="GG14" i="730"/>
  <c r="GG15" i="730"/>
  <c r="GG16" i="730"/>
  <c r="GG17" i="730"/>
  <c r="GG18" i="730"/>
  <c r="GG19" i="730"/>
  <c r="GG20" i="730"/>
  <c r="GG21" i="730"/>
  <c r="GG22" i="730"/>
  <c r="GG23" i="730"/>
  <c r="GG24" i="730"/>
  <c r="GG25" i="730"/>
  <c r="GG26" i="730"/>
  <c r="GG27" i="730"/>
  <c r="GG28" i="730"/>
  <c r="GG29" i="730"/>
  <c r="GG30" i="730"/>
  <c r="GG31" i="730"/>
  <c r="GG32" i="730"/>
  <c r="GG33" i="730"/>
  <c r="GG34" i="730"/>
  <c r="GG35" i="730"/>
  <c r="GG36" i="730"/>
  <c r="GG37" i="730"/>
  <c r="GG38" i="730"/>
  <c r="GG39" i="730"/>
  <c r="GG40" i="730"/>
  <c r="GA12" i="730"/>
  <c r="GA13" i="730"/>
  <c r="GA14" i="730"/>
  <c r="FZ10" i="730"/>
  <c r="GA10" i="730" s="1"/>
  <c r="GH5" i="730"/>
  <c r="GF5" i="730" a="1"/>
  <c r="GF5" i="730" s="1"/>
  <c r="GE5" i="730"/>
  <c r="GC4" i="730"/>
  <c r="GC3" i="730"/>
  <c r="GC5" i="730" s="1"/>
  <c r="FT10" i="730"/>
  <c r="FT11" i="730"/>
  <c r="FT12" i="730"/>
  <c r="FT13" i="730"/>
  <c r="FT14" i="730"/>
  <c r="FT15" i="730"/>
  <c r="FQ5" i="730" s="1" a="1"/>
  <c r="FQ5" i="730" s="1"/>
  <c r="FT16" i="730"/>
  <c r="FT17" i="730"/>
  <c r="FT18" i="730"/>
  <c r="FT19" i="730"/>
  <c r="FT20" i="730"/>
  <c r="FT21" i="730"/>
  <c r="FT22" i="730"/>
  <c r="FT23" i="730"/>
  <c r="FT24" i="730"/>
  <c r="FT25" i="730"/>
  <c r="FT26" i="730"/>
  <c r="FT27" i="730"/>
  <c r="FT28" i="730"/>
  <c r="FT29" i="730"/>
  <c r="FT30" i="730"/>
  <c r="FT31" i="730"/>
  <c r="FT32" i="730"/>
  <c r="FT33" i="730"/>
  <c r="FT34" i="730"/>
  <c r="FT35" i="730"/>
  <c r="FT36" i="730"/>
  <c r="FT37" i="730"/>
  <c r="FT38" i="730"/>
  <c r="FT39" i="730"/>
  <c r="FT40" i="730"/>
  <c r="FO10" i="730"/>
  <c r="FO11" i="730"/>
  <c r="FO12" i="730"/>
  <c r="FO13" i="730"/>
  <c r="FO14" i="730"/>
  <c r="FO15" i="730"/>
  <c r="FO16" i="730"/>
  <c r="FO17" i="730"/>
  <c r="FO18" i="730"/>
  <c r="FO19" i="730"/>
  <c r="FO20" i="730"/>
  <c r="FO21" i="730"/>
  <c r="FO22" i="730"/>
  <c r="FO23" i="730"/>
  <c r="FO24" i="730"/>
  <c r="FO25" i="730"/>
  <c r="FO26" i="730"/>
  <c r="FO27" i="730"/>
  <c r="FO28" i="730"/>
  <c r="FO29" i="730"/>
  <c r="FO30" i="730"/>
  <c r="FO31" i="730"/>
  <c r="FO32" i="730"/>
  <c r="FO33" i="730"/>
  <c r="FO34" i="730"/>
  <c r="FO35" i="730"/>
  <c r="FO36" i="730"/>
  <c r="FO37" i="730"/>
  <c r="FO38" i="730"/>
  <c r="FO39" i="730"/>
  <c r="FO40" i="730"/>
  <c r="FH10" i="730"/>
  <c r="FI10" i="730" s="1"/>
  <c r="FP5" i="730"/>
  <c r="FM5" i="730"/>
  <c r="FK5" i="730"/>
  <c r="FK4" i="730"/>
  <c r="FK3" i="730"/>
  <c r="EP11" i="730"/>
  <c r="FB10" i="730"/>
  <c r="FB11" i="730"/>
  <c r="FB12" i="730"/>
  <c r="FB13" i="730"/>
  <c r="FB14" i="730"/>
  <c r="FB15" i="730"/>
  <c r="FB16" i="730"/>
  <c r="EY5" i="730" s="1" a="1"/>
  <c r="EY5" i="730" s="1"/>
  <c r="FB17" i="730"/>
  <c r="FB18" i="730"/>
  <c r="FB19" i="730"/>
  <c r="FB20" i="730"/>
  <c r="FB21" i="730"/>
  <c r="FB22" i="730"/>
  <c r="FB23" i="730"/>
  <c r="FB24" i="730"/>
  <c r="FB25" i="730"/>
  <c r="FB26" i="730"/>
  <c r="FB27" i="730"/>
  <c r="FB28" i="730"/>
  <c r="FB29" i="730"/>
  <c r="FB30" i="730"/>
  <c r="FB31" i="730"/>
  <c r="FB32" i="730"/>
  <c r="FB33" i="730"/>
  <c r="FB34" i="730"/>
  <c r="FB35" i="730"/>
  <c r="FB36" i="730"/>
  <c r="FB37" i="730"/>
  <c r="FB38" i="730"/>
  <c r="FB39" i="730"/>
  <c r="FB40" i="730"/>
  <c r="EW10" i="730"/>
  <c r="EW11" i="730"/>
  <c r="EW12" i="730"/>
  <c r="EW13" i="730"/>
  <c r="EW14" i="730"/>
  <c r="EW15" i="730"/>
  <c r="EW16" i="730"/>
  <c r="EW17" i="730"/>
  <c r="EV5" i="730" s="1" a="1"/>
  <c r="EV5" i="730" s="1"/>
  <c r="EW18" i="730"/>
  <c r="EW19" i="730"/>
  <c r="EW20" i="730"/>
  <c r="EW21" i="730"/>
  <c r="EW22" i="730"/>
  <c r="EW23" i="730"/>
  <c r="EW24" i="730"/>
  <c r="EW25" i="730"/>
  <c r="EW26" i="730"/>
  <c r="EW27" i="730"/>
  <c r="EW28" i="730"/>
  <c r="EW29" i="730"/>
  <c r="EW30" i="730"/>
  <c r="EW31" i="730"/>
  <c r="EW32" i="730"/>
  <c r="EW33" i="730"/>
  <c r="EW34" i="730"/>
  <c r="EW35" i="730"/>
  <c r="EW36" i="730"/>
  <c r="EW37" i="730"/>
  <c r="EW38" i="730"/>
  <c r="EW39" i="730"/>
  <c r="EW40" i="730"/>
  <c r="EP10" i="730"/>
  <c r="EQ10" i="730" s="1"/>
  <c r="EX5" i="730"/>
  <c r="EU5" i="730"/>
  <c r="ES4" i="730"/>
  <c r="ES3" i="730"/>
  <c r="ES5" i="730" s="1"/>
  <c r="EJ10" i="730"/>
  <c r="EJ11" i="730"/>
  <c r="EJ12" i="730"/>
  <c r="EJ13" i="730"/>
  <c r="EJ14" i="730"/>
  <c r="EJ15" i="730"/>
  <c r="EJ16" i="730"/>
  <c r="EJ17" i="730"/>
  <c r="EJ18" i="730"/>
  <c r="EJ19" i="730"/>
  <c r="EJ20" i="730"/>
  <c r="EJ21" i="730"/>
  <c r="EJ22" i="730"/>
  <c r="EJ23" i="730"/>
  <c r="EJ24" i="730"/>
  <c r="EJ25" i="730"/>
  <c r="EJ26" i="730"/>
  <c r="EJ27" i="730"/>
  <c r="EJ28" i="730"/>
  <c r="EJ29" i="730"/>
  <c r="EJ30" i="730"/>
  <c r="EJ31" i="730"/>
  <c r="EJ32" i="730"/>
  <c r="EJ33" i="730"/>
  <c r="EJ34" i="730"/>
  <c r="EJ35" i="730"/>
  <c r="EJ36" i="730"/>
  <c r="EJ37" i="730"/>
  <c r="EJ38" i="730"/>
  <c r="EJ39" i="730"/>
  <c r="EJ40" i="730"/>
  <c r="EE10" i="730"/>
  <c r="EE11" i="730"/>
  <c r="EE12" i="730"/>
  <c r="EE13" i="730"/>
  <c r="EE14" i="730"/>
  <c r="EE15" i="730"/>
  <c r="EE16" i="730"/>
  <c r="EE17" i="730"/>
  <c r="EE18" i="730"/>
  <c r="EE19" i="730"/>
  <c r="EE20" i="730"/>
  <c r="EE21" i="730"/>
  <c r="EE22" i="730"/>
  <c r="EE23" i="730"/>
  <c r="EE24" i="730"/>
  <c r="EE25" i="730"/>
  <c r="EE26" i="730"/>
  <c r="EE27" i="730"/>
  <c r="EE28" i="730"/>
  <c r="EE29" i="730"/>
  <c r="EE30" i="730"/>
  <c r="EE31" i="730"/>
  <c r="EE32" i="730"/>
  <c r="EE33" i="730"/>
  <c r="EE34" i="730"/>
  <c r="EE35" i="730"/>
  <c r="EE36" i="730"/>
  <c r="EE37" i="730"/>
  <c r="EE38" i="730"/>
  <c r="EE39" i="730"/>
  <c r="EE40" i="730"/>
  <c r="DX10" i="730"/>
  <c r="DY10" i="730" s="1"/>
  <c r="EF5" i="730"/>
  <c r="EC5" i="730"/>
  <c r="EA4" i="730"/>
  <c r="EA3" i="730"/>
  <c r="EA5" i="730" s="1"/>
  <c r="DR10" i="730"/>
  <c r="DR11" i="730"/>
  <c r="DR12" i="730"/>
  <c r="DR13" i="730"/>
  <c r="DR14" i="730"/>
  <c r="DR15" i="730"/>
  <c r="DR16" i="730"/>
  <c r="DR17" i="730"/>
  <c r="DR18" i="730"/>
  <c r="DR19" i="730"/>
  <c r="DR20" i="730"/>
  <c r="DR21" i="730"/>
  <c r="DR22" i="730"/>
  <c r="DR23" i="730"/>
  <c r="DR24" i="730"/>
  <c r="DR25" i="730"/>
  <c r="DR26" i="730"/>
  <c r="DR27" i="730"/>
  <c r="DR28" i="730"/>
  <c r="DR29" i="730"/>
  <c r="DR30" i="730"/>
  <c r="DR31" i="730"/>
  <c r="DR32" i="730"/>
  <c r="DR33" i="730"/>
  <c r="DR34" i="730"/>
  <c r="DR35" i="730"/>
  <c r="DR36" i="730"/>
  <c r="DR37" i="730"/>
  <c r="DR38" i="730"/>
  <c r="DR39" i="730"/>
  <c r="DR40" i="730"/>
  <c r="DM10" i="730"/>
  <c r="DM11" i="730"/>
  <c r="DM12" i="730"/>
  <c r="DM13" i="730"/>
  <c r="DM14" i="730"/>
  <c r="DM15" i="730"/>
  <c r="DM16" i="730"/>
  <c r="DM17" i="730"/>
  <c r="DM18" i="730"/>
  <c r="DL5" i="730" s="1" a="1"/>
  <c r="DL5" i="730" s="1"/>
  <c r="DM19" i="730"/>
  <c r="DM20" i="730"/>
  <c r="DM21" i="730"/>
  <c r="DM22" i="730"/>
  <c r="DM23" i="730"/>
  <c r="DM24" i="730"/>
  <c r="DM25" i="730"/>
  <c r="DM26" i="730"/>
  <c r="DM27" i="730"/>
  <c r="DM28" i="730"/>
  <c r="DM29" i="730"/>
  <c r="DM30" i="730"/>
  <c r="DM31" i="730"/>
  <c r="DM32" i="730"/>
  <c r="DM33" i="730"/>
  <c r="DM34" i="730"/>
  <c r="DM35" i="730"/>
  <c r="DM36" i="730"/>
  <c r="DM37" i="730"/>
  <c r="DM38" i="730"/>
  <c r="DM39" i="730"/>
  <c r="DM40" i="730"/>
  <c r="DF10" i="730"/>
  <c r="DF11" i="730" s="1"/>
  <c r="DN5" i="730"/>
  <c r="DK5" i="730"/>
  <c r="DI5" i="730"/>
  <c r="DI4" i="730"/>
  <c r="DI3" i="730"/>
  <c r="CZ10" i="730"/>
  <c r="CZ11" i="730"/>
  <c r="CZ12" i="730"/>
  <c r="CZ13" i="730"/>
  <c r="CZ14" i="730"/>
  <c r="CZ15" i="730"/>
  <c r="CZ16" i="730"/>
  <c r="CZ17" i="730"/>
  <c r="CZ18" i="730"/>
  <c r="CZ19" i="730"/>
  <c r="CZ20" i="730"/>
  <c r="CZ21" i="730"/>
  <c r="CZ22" i="730"/>
  <c r="CZ23" i="730"/>
  <c r="CZ24" i="730"/>
  <c r="CZ25" i="730"/>
  <c r="CZ26" i="730"/>
  <c r="CZ27" i="730"/>
  <c r="CZ28" i="730"/>
  <c r="CZ29" i="730"/>
  <c r="CZ30" i="730"/>
  <c r="CZ31" i="730"/>
  <c r="CZ32" i="730"/>
  <c r="CZ33" i="730"/>
  <c r="CZ34" i="730"/>
  <c r="CZ35" i="730"/>
  <c r="CZ36" i="730"/>
  <c r="CZ37" i="730"/>
  <c r="CZ38" i="730"/>
  <c r="CZ39" i="730"/>
  <c r="CZ40" i="730"/>
  <c r="CU10" i="730"/>
  <c r="CU11" i="730"/>
  <c r="CU12" i="730"/>
  <c r="CU13" i="730"/>
  <c r="CU14" i="730"/>
  <c r="CU15" i="730"/>
  <c r="CU16" i="730"/>
  <c r="CU17" i="730"/>
  <c r="CU18" i="730"/>
  <c r="CU19" i="730"/>
  <c r="CU20" i="730"/>
  <c r="CU21" i="730"/>
  <c r="CU22" i="730"/>
  <c r="CU23" i="730"/>
  <c r="CU24" i="730"/>
  <c r="CU25" i="730"/>
  <c r="CU26" i="730"/>
  <c r="CU27" i="730"/>
  <c r="CU28" i="730"/>
  <c r="CU29" i="730"/>
  <c r="CU30" i="730"/>
  <c r="CU31" i="730"/>
  <c r="CU32" i="730"/>
  <c r="CU33" i="730"/>
  <c r="CU34" i="730"/>
  <c r="CU35" i="730"/>
  <c r="CU36" i="730"/>
  <c r="CU37" i="730"/>
  <c r="CU38" i="730"/>
  <c r="CU39" i="730"/>
  <c r="CU40" i="730"/>
  <c r="CO10" i="730"/>
  <c r="CN10" i="730"/>
  <c r="CN11" i="730" s="1"/>
  <c r="CN12" i="730" s="1"/>
  <c r="CN13" i="730" s="1"/>
  <c r="CN14" i="730" s="1"/>
  <c r="CN15" i="730" s="1"/>
  <c r="CN16" i="730" s="1"/>
  <c r="CO16" i="730" s="1"/>
  <c r="CV5" i="730"/>
  <c r="CS5" i="730"/>
  <c r="CQ4" i="730"/>
  <c r="CQ3" i="730"/>
  <c r="CQ5" i="730" s="1"/>
  <c r="BV11" i="730"/>
  <c r="BW11" i="730" s="1"/>
  <c r="BV12" i="730"/>
  <c r="BW12" i="730" s="1"/>
  <c r="BV13" i="730"/>
  <c r="BW13" i="730" s="1"/>
  <c r="BV14" i="730"/>
  <c r="CH10" i="730"/>
  <c r="CH11" i="730"/>
  <c r="CH12" i="730"/>
  <c r="CH13" i="730"/>
  <c r="CH14" i="730"/>
  <c r="CE5" i="730" s="1" a="1"/>
  <c r="CE5" i="730" s="1"/>
  <c r="CH15" i="730"/>
  <c r="CH16" i="730"/>
  <c r="CH17" i="730"/>
  <c r="CH18" i="730"/>
  <c r="CH19" i="730"/>
  <c r="CH20" i="730"/>
  <c r="CH21" i="730"/>
  <c r="CH22" i="730"/>
  <c r="CH23" i="730"/>
  <c r="CH24" i="730"/>
  <c r="CH25" i="730"/>
  <c r="CH26" i="730"/>
  <c r="CH27" i="730"/>
  <c r="CH28" i="730"/>
  <c r="CH29" i="730"/>
  <c r="CH30" i="730"/>
  <c r="CH31" i="730"/>
  <c r="CH32" i="730"/>
  <c r="CH33" i="730"/>
  <c r="CH34" i="730"/>
  <c r="CH35" i="730"/>
  <c r="CH36" i="730"/>
  <c r="CH37" i="730"/>
  <c r="CH38" i="730"/>
  <c r="CH39" i="730"/>
  <c r="CH40" i="730"/>
  <c r="CC10" i="730"/>
  <c r="CC11" i="730"/>
  <c r="CC12" i="730"/>
  <c r="CC13" i="730"/>
  <c r="CC14" i="730"/>
  <c r="CC15" i="730"/>
  <c r="CC16" i="730"/>
  <c r="CC17" i="730"/>
  <c r="CC18" i="730"/>
  <c r="CC19" i="730"/>
  <c r="CC20" i="730"/>
  <c r="CC21" i="730"/>
  <c r="CC22" i="730"/>
  <c r="CC23" i="730"/>
  <c r="CC24" i="730"/>
  <c r="CC25" i="730"/>
  <c r="CC26" i="730"/>
  <c r="CC27" i="730"/>
  <c r="CC28" i="730"/>
  <c r="CC29" i="730"/>
  <c r="CC30" i="730"/>
  <c r="CC31" i="730"/>
  <c r="CC32" i="730"/>
  <c r="CC33" i="730"/>
  <c r="CC34" i="730"/>
  <c r="CC35" i="730"/>
  <c r="CC36" i="730"/>
  <c r="CC37" i="730"/>
  <c r="CC38" i="730"/>
  <c r="CC39" i="730"/>
  <c r="CC40" i="730"/>
  <c r="BV10" i="730"/>
  <c r="BW10" i="730" s="1"/>
  <c r="CD5" i="730"/>
  <c r="CA5" i="730"/>
  <c r="BY5" i="730"/>
  <c r="BY4" i="730"/>
  <c r="BY3" i="730"/>
  <c r="BD11" i="730"/>
  <c r="BD12" i="730"/>
  <c r="BE12" i="730" s="1"/>
  <c r="BD13" i="730"/>
  <c r="BE13" i="730" s="1"/>
  <c r="BD14" i="730"/>
  <c r="BE14" i="730" s="1"/>
  <c r="BD15" i="730"/>
  <c r="BE15" i="730" s="1"/>
  <c r="BD16" i="730"/>
  <c r="BE16" i="730" s="1"/>
  <c r="BD17" i="730"/>
  <c r="BP10" i="730"/>
  <c r="BP11" i="730"/>
  <c r="BP12" i="730"/>
  <c r="BP13" i="730"/>
  <c r="BP14" i="730"/>
  <c r="BP15" i="730"/>
  <c r="BP16" i="730"/>
  <c r="BP17" i="730"/>
  <c r="BP18" i="730"/>
  <c r="BP19" i="730"/>
  <c r="BP20" i="730"/>
  <c r="BP21" i="730"/>
  <c r="BP22" i="730"/>
  <c r="BP23" i="730"/>
  <c r="BP24" i="730"/>
  <c r="BP25" i="730"/>
  <c r="BP26" i="730"/>
  <c r="BP27" i="730"/>
  <c r="BP28" i="730"/>
  <c r="BP29" i="730"/>
  <c r="BP30" i="730"/>
  <c r="BP31" i="730"/>
  <c r="BP32" i="730"/>
  <c r="BP33" i="730"/>
  <c r="BP34" i="730"/>
  <c r="BP35" i="730"/>
  <c r="BP36" i="730"/>
  <c r="BP37" i="730"/>
  <c r="BP38" i="730"/>
  <c r="BP39" i="730"/>
  <c r="BP40" i="730"/>
  <c r="BK10" i="730"/>
  <c r="BK11" i="730"/>
  <c r="BK12" i="730"/>
  <c r="BK13" i="730"/>
  <c r="BK14" i="730"/>
  <c r="BK15" i="730"/>
  <c r="BK16" i="730"/>
  <c r="BK17" i="730"/>
  <c r="BK18" i="730"/>
  <c r="BK19" i="730"/>
  <c r="BK20" i="730"/>
  <c r="BK21" i="730"/>
  <c r="BK22" i="730"/>
  <c r="BK23" i="730"/>
  <c r="BK24" i="730"/>
  <c r="BK25" i="730"/>
  <c r="BK26" i="730"/>
  <c r="BK27" i="730"/>
  <c r="BK28" i="730"/>
  <c r="BK29" i="730"/>
  <c r="BK30" i="730"/>
  <c r="BK31" i="730"/>
  <c r="BK32" i="730"/>
  <c r="BK33" i="730"/>
  <c r="BK34" i="730"/>
  <c r="BK35" i="730"/>
  <c r="BK36" i="730"/>
  <c r="BK37" i="730"/>
  <c r="BK38" i="730"/>
  <c r="BK39" i="730"/>
  <c r="BK40" i="730"/>
  <c r="BE10" i="730"/>
  <c r="BE11" i="730"/>
  <c r="BD10" i="730"/>
  <c r="BL5" i="730"/>
  <c r="BI5" i="730"/>
  <c r="BG4" i="730"/>
  <c r="BG3" i="730"/>
  <c r="BG5" i="730" s="1"/>
  <c r="AX10" i="730"/>
  <c r="AU5" i="730" s="1" a="1"/>
  <c r="AU5" i="730" s="1"/>
  <c r="AX11" i="730"/>
  <c r="AX12" i="730"/>
  <c r="AX13" i="730"/>
  <c r="AX14" i="730"/>
  <c r="AX15" i="730"/>
  <c r="AX16" i="730"/>
  <c r="AX17" i="730"/>
  <c r="AX18" i="730"/>
  <c r="AX19" i="730"/>
  <c r="AX20" i="730"/>
  <c r="AX21" i="730"/>
  <c r="AX22" i="730"/>
  <c r="AX23" i="730"/>
  <c r="AX24" i="730"/>
  <c r="AX25" i="730"/>
  <c r="AX26" i="730"/>
  <c r="AX27" i="730"/>
  <c r="AX28" i="730"/>
  <c r="AX29" i="730"/>
  <c r="AX30" i="730"/>
  <c r="AX31" i="730"/>
  <c r="AX32" i="730"/>
  <c r="AX33" i="730"/>
  <c r="AX34" i="730"/>
  <c r="AX35" i="730"/>
  <c r="AX36" i="730"/>
  <c r="AX37" i="730"/>
  <c r="AX38" i="730"/>
  <c r="AX39" i="730"/>
  <c r="AX40" i="730"/>
  <c r="AS10" i="730"/>
  <c r="AS11" i="730"/>
  <c r="AS12" i="730"/>
  <c r="AS13" i="730"/>
  <c r="AS14" i="730"/>
  <c r="AS15" i="730"/>
  <c r="AS16" i="730"/>
  <c r="AS17" i="730"/>
  <c r="AS18" i="730"/>
  <c r="AS19" i="730"/>
  <c r="AS20" i="730"/>
  <c r="AS21" i="730"/>
  <c r="AS22" i="730"/>
  <c r="AS23" i="730"/>
  <c r="AS24" i="730"/>
  <c r="AS25" i="730"/>
  <c r="AS26" i="730"/>
  <c r="AS27" i="730"/>
  <c r="AS28" i="730"/>
  <c r="AS29" i="730"/>
  <c r="AS30" i="730"/>
  <c r="AS31" i="730"/>
  <c r="AS32" i="730"/>
  <c r="AS33" i="730"/>
  <c r="AS34" i="730"/>
  <c r="AS35" i="730"/>
  <c r="AS36" i="730"/>
  <c r="AS37" i="730"/>
  <c r="AS38" i="730"/>
  <c r="AS39" i="730"/>
  <c r="AS40" i="730"/>
  <c r="AL10" i="730"/>
  <c r="AM10" i="730" s="1"/>
  <c r="AT5" i="730"/>
  <c r="AQ5" i="730"/>
  <c r="AO5" i="730"/>
  <c r="AO4" i="730"/>
  <c r="AO3" i="730"/>
  <c r="T12" i="730"/>
  <c r="U12" i="730" s="1"/>
  <c r="T13" i="730"/>
  <c r="U13" i="730" s="1"/>
  <c r="T14" i="730"/>
  <c r="U14" i="730" s="1"/>
  <c r="T15" i="730"/>
  <c r="U15" i="730" s="1"/>
  <c r="T16" i="730"/>
  <c r="U16" i="730" s="1"/>
  <c r="T17" i="730"/>
  <c r="U17" i="730" s="1"/>
  <c r="T18" i="730"/>
  <c r="U18" i="730" s="1"/>
  <c r="T19" i="730"/>
  <c r="AF10" i="730"/>
  <c r="AF11" i="730"/>
  <c r="AF12" i="730"/>
  <c r="AF13" i="730"/>
  <c r="AF14" i="730"/>
  <c r="AF15" i="730"/>
  <c r="AF16" i="730"/>
  <c r="AF17" i="730"/>
  <c r="AF18" i="730"/>
  <c r="AF19" i="730"/>
  <c r="AF20" i="730"/>
  <c r="AF21" i="730"/>
  <c r="AF22" i="730"/>
  <c r="AF23" i="730"/>
  <c r="AF24" i="730"/>
  <c r="AF25" i="730"/>
  <c r="AF26" i="730"/>
  <c r="AF27" i="730"/>
  <c r="AF28" i="730"/>
  <c r="AF29" i="730"/>
  <c r="AF30" i="730"/>
  <c r="AF31" i="730"/>
  <c r="AF32" i="730"/>
  <c r="AF33" i="730"/>
  <c r="AF34" i="730"/>
  <c r="AF35" i="730"/>
  <c r="AF36" i="730"/>
  <c r="AF37" i="730"/>
  <c r="AF38" i="730"/>
  <c r="AF39" i="730"/>
  <c r="AF40" i="730"/>
  <c r="AA10" i="730"/>
  <c r="AA11" i="730"/>
  <c r="AA12" i="730"/>
  <c r="AA13" i="730"/>
  <c r="AA14" i="730"/>
  <c r="AA15" i="730"/>
  <c r="AA16" i="730"/>
  <c r="AA17" i="730"/>
  <c r="AA18" i="730"/>
  <c r="AA19" i="730"/>
  <c r="AA20" i="730"/>
  <c r="AA21" i="730"/>
  <c r="AA22" i="730"/>
  <c r="AA23" i="730"/>
  <c r="AA24" i="730"/>
  <c r="AA25" i="730"/>
  <c r="AA26" i="730"/>
  <c r="AA27" i="730"/>
  <c r="AA28" i="730"/>
  <c r="AA29" i="730"/>
  <c r="AA30" i="730"/>
  <c r="AA31" i="730"/>
  <c r="AA32" i="730"/>
  <c r="AA33" i="730"/>
  <c r="AA34" i="730"/>
  <c r="AA35" i="730"/>
  <c r="AA36" i="730"/>
  <c r="AA37" i="730"/>
  <c r="AA38" i="730"/>
  <c r="AA39" i="730"/>
  <c r="AA40" i="730"/>
  <c r="U10" i="730"/>
  <c r="U11" i="730"/>
  <c r="T10" i="730"/>
  <c r="T11" i="730" s="1"/>
  <c r="AB5" i="730"/>
  <c r="Y5" i="730"/>
  <c r="W4" i="730"/>
  <c r="W3" i="730"/>
  <c r="W5" i="730" s="1"/>
  <c r="B14" i="730"/>
  <c r="C14" i="730" s="1"/>
  <c r="B15" i="730"/>
  <c r="C15" i="730" s="1"/>
  <c r="B16" i="730"/>
  <c r="C16" i="730" s="1"/>
  <c r="B17" i="730"/>
  <c r="C17" i="730" s="1"/>
  <c r="B18" i="730"/>
  <c r="N10" i="730"/>
  <c r="N11" i="730"/>
  <c r="N12" i="730"/>
  <c r="N13" i="730"/>
  <c r="N14" i="730"/>
  <c r="N15" i="730"/>
  <c r="N16" i="730"/>
  <c r="N17" i="730"/>
  <c r="N18" i="730"/>
  <c r="N19" i="730"/>
  <c r="N20" i="730"/>
  <c r="N21" i="730"/>
  <c r="N22" i="730"/>
  <c r="N23" i="730"/>
  <c r="N24" i="730"/>
  <c r="N25" i="730"/>
  <c r="N26" i="730"/>
  <c r="N27" i="730"/>
  <c r="N28" i="730"/>
  <c r="N29" i="730"/>
  <c r="N30" i="730"/>
  <c r="N31" i="730"/>
  <c r="N32" i="730"/>
  <c r="N33" i="730"/>
  <c r="N34" i="730"/>
  <c r="N35" i="730"/>
  <c r="N36" i="730"/>
  <c r="N37" i="730"/>
  <c r="N38" i="730"/>
  <c r="N39" i="730"/>
  <c r="N40" i="730"/>
  <c r="I10" i="730"/>
  <c r="I11" i="730"/>
  <c r="I12" i="730"/>
  <c r="I13" i="730"/>
  <c r="I14" i="730"/>
  <c r="I15" i="730"/>
  <c r="I16" i="730"/>
  <c r="I17" i="730"/>
  <c r="I18" i="730"/>
  <c r="I19" i="730"/>
  <c r="I20" i="730"/>
  <c r="I21" i="730"/>
  <c r="I22" i="730"/>
  <c r="I23" i="730"/>
  <c r="I24" i="730"/>
  <c r="I25" i="730"/>
  <c r="I26" i="730"/>
  <c r="I27" i="730"/>
  <c r="I28" i="730"/>
  <c r="I29" i="730"/>
  <c r="I30" i="730"/>
  <c r="I31" i="730"/>
  <c r="I32" i="730"/>
  <c r="I33" i="730"/>
  <c r="I34" i="730"/>
  <c r="I35" i="730"/>
  <c r="I36" i="730"/>
  <c r="I37" i="730"/>
  <c r="I38" i="730"/>
  <c r="I39" i="730"/>
  <c r="I40" i="730"/>
  <c r="C10" i="730"/>
  <c r="C11" i="730"/>
  <c r="C12" i="730"/>
  <c r="B10" i="730"/>
  <c r="B11" i="730" s="1"/>
  <c r="B12" i="730" s="1"/>
  <c r="B13" i="730" s="1"/>
  <c r="C13" i="730" s="1"/>
  <c r="J5" i="730"/>
  <c r="G5" i="730"/>
  <c r="E4" i="730"/>
  <c r="E3" i="730"/>
  <c r="E5" i="730" s="1"/>
  <c r="HD10" i="728"/>
  <c r="HA5" i="728" s="1" a="1"/>
  <c r="HA5" i="728" s="1"/>
  <c r="HD11" i="728"/>
  <c r="HD12" i="728"/>
  <c r="HD13" i="728"/>
  <c r="HD14" i="728"/>
  <c r="HD15" i="728"/>
  <c r="HD16" i="728"/>
  <c r="HD17" i="728"/>
  <c r="HD18" i="728"/>
  <c r="HD19" i="728"/>
  <c r="HD20" i="728"/>
  <c r="HD21" i="728"/>
  <c r="HD22" i="728"/>
  <c r="HD23" i="728"/>
  <c r="HD24" i="728"/>
  <c r="HD25" i="728"/>
  <c r="HD26" i="728"/>
  <c r="HD27" i="728"/>
  <c r="HD28" i="728"/>
  <c r="HD29" i="728"/>
  <c r="HD30" i="728"/>
  <c r="HD31" i="728"/>
  <c r="HD32" i="728"/>
  <c r="HD33" i="728"/>
  <c r="HD34" i="728"/>
  <c r="HD35" i="728"/>
  <c r="HD36" i="728"/>
  <c r="HD37" i="728"/>
  <c r="HD38" i="728"/>
  <c r="HD39" i="728"/>
  <c r="HD40" i="728"/>
  <c r="GY10" i="728"/>
  <c r="GX5" i="728" s="1" a="1"/>
  <c r="GX5" i="728" s="1"/>
  <c r="GY11" i="728"/>
  <c r="GY12" i="728"/>
  <c r="GY13" i="728"/>
  <c r="GY14" i="728"/>
  <c r="GY15" i="728"/>
  <c r="GY16" i="728"/>
  <c r="GY17" i="728"/>
  <c r="GY18" i="728"/>
  <c r="GY19" i="728"/>
  <c r="GY20" i="728"/>
  <c r="GY21" i="728"/>
  <c r="GY22" i="728"/>
  <c r="GY23" i="728"/>
  <c r="GY24" i="728"/>
  <c r="GY25" i="728"/>
  <c r="GY26" i="728"/>
  <c r="GY27" i="728"/>
  <c r="GY28" i="728"/>
  <c r="GY29" i="728"/>
  <c r="GY30" i="728"/>
  <c r="GY31" i="728"/>
  <c r="GY32" i="728"/>
  <c r="GY33" i="728"/>
  <c r="GY34" i="728"/>
  <c r="GY35" i="728"/>
  <c r="GY36" i="728"/>
  <c r="GY37" i="728"/>
  <c r="GY38" i="728"/>
  <c r="GY39" i="728"/>
  <c r="GY40" i="728"/>
  <c r="GR10" i="728"/>
  <c r="GZ5" i="728"/>
  <c r="GW5" i="728"/>
  <c r="GU4" i="728"/>
  <c r="GU3" i="728"/>
  <c r="GU5" i="728" s="1"/>
  <c r="FZ13" i="728"/>
  <c r="FZ14" i="728"/>
  <c r="GA14" i="728" s="1"/>
  <c r="FZ15" i="728"/>
  <c r="GL10" i="728"/>
  <c r="GL11" i="728"/>
  <c r="GL12" i="728"/>
  <c r="GL13" i="728"/>
  <c r="GL14" i="728"/>
  <c r="GL15" i="728"/>
  <c r="GL16" i="728"/>
  <c r="GL17" i="728"/>
  <c r="GL18" i="728"/>
  <c r="GL19" i="728"/>
  <c r="GL20" i="728"/>
  <c r="GL21" i="728"/>
  <c r="GL22" i="728"/>
  <c r="GL23" i="728"/>
  <c r="GL24" i="728"/>
  <c r="GL25" i="728"/>
  <c r="GL26" i="728"/>
  <c r="GL27" i="728"/>
  <c r="GL28" i="728"/>
  <c r="GL29" i="728"/>
  <c r="GL30" i="728"/>
  <c r="GL31" i="728"/>
  <c r="GL32" i="728"/>
  <c r="GL33" i="728"/>
  <c r="GL34" i="728"/>
  <c r="GL35" i="728"/>
  <c r="GL36" i="728"/>
  <c r="GL37" i="728"/>
  <c r="GL38" i="728"/>
  <c r="GL39" i="728"/>
  <c r="GL40" i="728"/>
  <c r="GG10" i="728"/>
  <c r="GG11" i="728"/>
  <c r="GG12" i="728"/>
  <c r="GF5" i="728" s="1" a="1"/>
  <c r="GF5" i="728" s="1"/>
  <c r="GG13" i="728"/>
  <c r="GG14" i="728"/>
  <c r="GG15" i="728"/>
  <c r="GG16" i="728"/>
  <c r="GG17" i="728"/>
  <c r="GG18" i="728"/>
  <c r="GG19" i="728"/>
  <c r="GG20" i="728"/>
  <c r="GG21" i="728"/>
  <c r="GG22" i="728"/>
  <c r="GG23" i="728"/>
  <c r="GG24" i="728"/>
  <c r="GG25" i="728"/>
  <c r="GG26" i="728"/>
  <c r="GG27" i="728"/>
  <c r="GG28" i="728"/>
  <c r="GG29" i="728"/>
  <c r="GG30" i="728"/>
  <c r="GG31" i="728"/>
  <c r="GG32" i="728"/>
  <c r="GG33" i="728"/>
  <c r="GG34" i="728"/>
  <c r="GG35" i="728"/>
  <c r="GG36" i="728"/>
  <c r="GG37" i="728"/>
  <c r="GG38" i="728"/>
  <c r="GG39" i="728"/>
  <c r="GG40" i="728"/>
  <c r="GA10" i="728"/>
  <c r="GA11" i="728"/>
  <c r="GA12" i="728"/>
  <c r="GA13" i="728"/>
  <c r="FZ10" i="728"/>
  <c r="FZ11" i="728" s="1"/>
  <c r="FZ12" i="728" s="1"/>
  <c r="GH5" i="728"/>
  <c r="GE5" i="728"/>
  <c r="GC4" i="728"/>
  <c r="GC3" i="728"/>
  <c r="GC5" i="728" s="1"/>
  <c r="FH11" i="728"/>
  <c r="FI11" i="728" s="1"/>
  <c r="FH12" i="728"/>
  <c r="FI12" i="728" s="1"/>
  <c r="FH13" i="728"/>
  <c r="FI13" i="728" s="1"/>
  <c r="FH14" i="728"/>
  <c r="FI14" i="728" s="1"/>
  <c r="FH15" i="728"/>
  <c r="FT10" i="728"/>
  <c r="FT11" i="728"/>
  <c r="FT12" i="728"/>
  <c r="FT13" i="728"/>
  <c r="FT14" i="728"/>
  <c r="FT15" i="728"/>
  <c r="FT16" i="728"/>
  <c r="FT17" i="728"/>
  <c r="FT18" i="728"/>
  <c r="FT19" i="728"/>
  <c r="FT20" i="728"/>
  <c r="FT21" i="728"/>
  <c r="FT22" i="728"/>
  <c r="FT23" i="728"/>
  <c r="FT24" i="728"/>
  <c r="FT25" i="728"/>
  <c r="FT26" i="728"/>
  <c r="FT27" i="728"/>
  <c r="FT28" i="728"/>
  <c r="FT29" i="728"/>
  <c r="FT30" i="728"/>
  <c r="FT31" i="728"/>
  <c r="FT32" i="728"/>
  <c r="FT33" i="728"/>
  <c r="FT34" i="728"/>
  <c r="FT35" i="728"/>
  <c r="FT36" i="728"/>
  <c r="FT37" i="728"/>
  <c r="FT38" i="728"/>
  <c r="FT39" i="728"/>
  <c r="FT40" i="728"/>
  <c r="FO10" i="728"/>
  <c r="FO11" i="728"/>
  <c r="FO12" i="728"/>
  <c r="FO13" i="728"/>
  <c r="FO14" i="728"/>
  <c r="FO15" i="728"/>
  <c r="FO16" i="728"/>
  <c r="FO17" i="728"/>
  <c r="FO18" i="728"/>
  <c r="FO19" i="728"/>
  <c r="FO20" i="728"/>
  <c r="FO21" i="728"/>
  <c r="FO22" i="728"/>
  <c r="FO23" i="728"/>
  <c r="FO24" i="728"/>
  <c r="FO25" i="728"/>
  <c r="FO26" i="728"/>
  <c r="FO27" i="728"/>
  <c r="FO28" i="728"/>
  <c r="FO29" i="728"/>
  <c r="FO30" i="728"/>
  <c r="FO31" i="728"/>
  <c r="FO32" i="728"/>
  <c r="FO33" i="728"/>
  <c r="FO34" i="728"/>
  <c r="FO35" i="728"/>
  <c r="FO36" i="728"/>
  <c r="FO37" i="728"/>
  <c r="FO38" i="728"/>
  <c r="FO39" i="728"/>
  <c r="FO40" i="728"/>
  <c r="FI10" i="728"/>
  <c r="FH10" i="728"/>
  <c r="FP5" i="728"/>
  <c r="FM5" i="728"/>
  <c r="FK5" i="728"/>
  <c r="FK4" i="728"/>
  <c r="FK3" i="728"/>
  <c r="FB10" i="728"/>
  <c r="FB11" i="728"/>
  <c r="FB12" i="728"/>
  <c r="FB13" i="728"/>
  <c r="FB14" i="728"/>
  <c r="FB15" i="728"/>
  <c r="FB16" i="728"/>
  <c r="FB17" i="728"/>
  <c r="FB18" i="728"/>
  <c r="FB19" i="728"/>
  <c r="FB20" i="728"/>
  <c r="FB21" i="728"/>
  <c r="FB22" i="728"/>
  <c r="FB23" i="728"/>
  <c r="FB24" i="728"/>
  <c r="FB25" i="728"/>
  <c r="FB26" i="728"/>
  <c r="FB27" i="728"/>
  <c r="FB28" i="728"/>
  <c r="FB29" i="728"/>
  <c r="FB30" i="728"/>
  <c r="FB31" i="728"/>
  <c r="FB32" i="728"/>
  <c r="FB33" i="728"/>
  <c r="FB34" i="728"/>
  <c r="FB35" i="728"/>
  <c r="FB36" i="728"/>
  <c r="FB37" i="728"/>
  <c r="FB38" i="728"/>
  <c r="FB39" i="728"/>
  <c r="FB40" i="728"/>
  <c r="EW10" i="728"/>
  <c r="EW11" i="728"/>
  <c r="EW12" i="728"/>
  <c r="EW13" i="728"/>
  <c r="EW14" i="728"/>
  <c r="EW15" i="728"/>
  <c r="EW16" i="728"/>
  <c r="EW17" i="728"/>
  <c r="EW18" i="728"/>
  <c r="EW19" i="728"/>
  <c r="EW20" i="728"/>
  <c r="EW21" i="728"/>
  <c r="EW22" i="728"/>
  <c r="EW23" i="728"/>
  <c r="EW24" i="728"/>
  <c r="EW25" i="728"/>
  <c r="EW26" i="728"/>
  <c r="EW27" i="728"/>
  <c r="EW28" i="728"/>
  <c r="EW29" i="728"/>
  <c r="EW30" i="728"/>
  <c r="EW31" i="728"/>
  <c r="EW32" i="728"/>
  <c r="EW33" i="728"/>
  <c r="EW34" i="728"/>
  <c r="EW35" i="728"/>
  <c r="EW36" i="728"/>
  <c r="EW37" i="728"/>
  <c r="EW38" i="728"/>
  <c r="EW39" i="728"/>
  <c r="EW40" i="728"/>
  <c r="EQ10" i="728"/>
  <c r="EP10" i="728"/>
  <c r="EP11" i="728" s="1"/>
  <c r="EX5" i="728"/>
  <c r="EU5" i="728"/>
  <c r="ES4" i="728"/>
  <c r="ES3" i="728"/>
  <c r="ES5" i="728" s="1"/>
  <c r="DX11" i="728"/>
  <c r="DX12" i="728" s="1"/>
  <c r="DX13" i="728" s="1"/>
  <c r="DX14" i="728"/>
  <c r="DY14" i="728" s="1"/>
  <c r="DX15" i="728"/>
  <c r="DY15" i="728" s="1"/>
  <c r="DX16" i="728"/>
  <c r="DY16" i="728" s="1"/>
  <c r="DX17" i="728"/>
  <c r="DY17" i="728" s="1"/>
  <c r="DX18" i="728"/>
  <c r="DY18" i="728" s="1"/>
  <c r="DX19" i="728"/>
  <c r="DY19" i="728" s="1"/>
  <c r="DX20" i="728"/>
  <c r="EJ10" i="728"/>
  <c r="EJ11" i="728"/>
  <c r="EJ12" i="728"/>
  <c r="EJ13" i="728"/>
  <c r="EJ14" i="728"/>
  <c r="EJ15" i="728"/>
  <c r="EJ16" i="728"/>
  <c r="EJ17" i="728"/>
  <c r="EJ18" i="728"/>
  <c r="EJ19" i="728"/>
  <c r="EJ20" i="728"/>
  <c r="EJ21" i="728"/>
  <c r="EJ22" i="728"/>
  <c r="EJ23" i="728"/>
  <c r="EJ24" i="728"/>
  <c r="EJ25" i="728"/>
  <c r="EJ26" i="728"/>
  <c r="EJ27" i="728"/>
  <c r="EJ28" i="728"/>
  <c r="EJ29" i="728"/>
  <c r="EJ30" i="728"/>
  <c r="EJ31" i="728"/>
  <c r="EJ32" i="728"/>
  <c r="EJ33" i="728"/>
  <c r="EJ34" i="728"/>
  <c r="EJ35" i="728"/>
  <c r="EJ36" i="728"/>
  <c r="EJ37" i="728"/>
  <c r="EJ38" i="728"/>
  <c r="EJ39" i="728"/>
  <c r="EJ40" i="728"/>
  <c r="EE10" i="728"/>
  <c r="EE11" i="728"/>
  <c r="EE12" i="728"/>
  <c r="EE13" i="728"/>
  <c r="EE14" i="728"/>
  <c r="EE15" i="728"/>
  <c r="EE16" i="728"/>
  <c r="EE17" i="728"/>
  <c r="EE18" i="728"/>
  <c r="EE19" i="728"/>
  <c r="EE20" i="728"/>
  <c r="EE21" i="728"/>
  <c r="EE22" i="728"/>
  <c r="EE23" i="728"/>
  <c r="EE24" i="728"/>
  <c r="EE25" i="728"/>
  <c r="EE26" i="728"/>
  <c r="EE27" i="728"/>
  <c r="EE28" i="728"/>
  <c r="EE29" i="728"/>
  <c r="EE30" i="728"/>
  <c r="EE31" i="728"/>
  <c r="EE32" i="728"/>
  <c r="EE33" i="728"/>
  <c r="EE34" i="728"/>
  <c r="EE35" i="728"/>
  <c r="EE36" i="728"/>
  <c r="EE37" i="728"/>
  <c r="EE38" i="728"/>
  <c r="EE39" i="728"/>
  <c r="EE40" i="728"/>
  <c r="DY10" i="728"/>
  <c r="DY11" i="728"/>
  <c r="DY12" i="728"/>
  <c r="DY13" i="728"/>
  <c r="DX10" i="728"/>
  <c r="EF5" i="728"/>
  <c r="EC5" i="728"/>
  <c r="EA4" i="728"/>
  <c r="EA3" i="728"/>
  <c r="EA5" i="728" s="1"/>
  <c r="DR10" i="728"/>
  <c r="DR11" i="728"/>
  <c r="DR12" i="728"/>
  <c r="DR13" i="728"/>
  <c r="DR14" i="728"/>
  <c r="DR15" i="728"/>
  <c r="DR16" i="728"/>
  <c r="DR17" i="728"/>
  <c r="DR18" i="728"/>
  <c r="DR19" i="728"/>
  <c r="DR20" i="728"/>
  <c r="DR21" i="728"/>
  <c r="DR22" i="728"/>
  <c r="DR23" i="728"/>
  <c r="DR24" i="728"/>
  <c r="DR25" i="728"/>
  <c r="DR26" i="728"/>
  <c r="DR27" i="728"/>
  <c r="DR28" i="728"/>
  <c r="DR29" i="728"/>
  <c r="DR30" i="728"/>
  <c r="DR31" i="728"/>
  <c r="DR32" i="728"/>
  <c r="DR33" i="728"/>
  <c r="DR34" i="728"/>
  <c r="DR35" i="728"/>
  <c r="DR36" i="728"/>
  <c r="DR37" i="728"/>
  <c r="DR38" i="728"/>
  <c r="DR39" i="728"/>
  <c r="DR40" i="728"/>
  <c r="DM10" i="728"/>
  <c r="DM11" i="728"/>
  <c r="DM12" i="728"/>
  <c r="DM13" i="728"/>
  <c r="DM14" i="728"/>
  <c r="DM15" i="728"/>
  <c r="DM16" i="728"/>
  <c r="DM17" i="728"/>
  <c r="DM18" i="728"/>
  <c r="DM19" i="728"/>
  <c r="DM20" i="728"/>
  <c r="DL5" i="728" s="1" a="1"/>
  <c r="DL5" i="728" s="1"/>
  <c r="DM21" i="728"/>
  <c r="DM22" i="728"/>
  <c r="DM23" i="728"/>
  <c r="DM24" i="728"/>
  <c r="DM25" i="728"/>
  <c r="DM26" i="728"/>
  <c r="DM27" i="728"/>
  <c r="DM28" i="728"/>
  <c r="DM29" i="728"/>
  <c r="DM30" i="728"/>
  <c r="DM31" i="728"/>
  <c r="DM32" i="728"/>
  <c r="DM33" i="728"/>
  <c r="DM34" i="728"/>
  <c r="DM35" i="728"/>
  <c r="DM36" i="728"/>
  <c r="DM37" i="728"/>
  <c r="DM38" i="728"/>
  <c r="DM39" i="728"/>
  <c r="DM40" i="728"/>
  <c r="DF10" i="728"/>
  <c r="DN5" i="728"/>
  <c r="DK5" i="728"/>
  <c r="DI5" i="728"/>
  <c r="DI4" i="728"/>
  <c r="DI3" i="728"/>
  <c r="CZ10" i="728"/>
  <c r="CZ11" i="728"/>
  <c r="CZ12" i="728"/>
  <c r="CZ13" i="728"/>
  <c r="CZ14" i="728"/>
  <c r="CZ15" i="728"/>
  <c r="CZ16" i="728"/>
  <c r="CZ17" i="728"/>
  <c r="CZ18" i="728"/>
  <c r="CZ19" i="728"/>
  <c r="CZ20" i="728"/>
  <c r="CZ21" i="728"/>
  <c r="CZ22" i="728"/>
  <c r="CZ23" i="728"/>
  <c r="CZ24" i="728"/>
  <c r="CZ25" i="728"/>
  <c r="CZ26" i="728"/>
  <c r="CZ27" i="728"/>
  <c r="CZ28" i="728"/>
  <c r="CZ29" i="728"/>
  <c r="CZ30" i="728"/>
  <c r="CZ31" i="728"/>
  <c r="CZ32" i="728"/>
  <c r="CZ33" i="728"/>
  <c r="CZ34" i="728"/>
  <c r="CZ35" i="728"/>
  <c r="CZ36" i="728"/>
  <c r="CZ37" i="728"/>
  <c r="CZ38" i="728"/>
  <c r="CZ39" i="728"/>
  <c r="CZ40" i="728"/>
  <c r="CU10" i="728"/>
  <c r="CU11" i="728"/>
  <c r="CU12" i="728"/>
  <c r="CU13" i="728"/>
  <c r="CU14" i="728"/>
  <c r="CU15" i="728"/>
  <c r="CU16" i="728"/>
  <c r="CU17" i="728"/>
  <c r="CU18" i="728"/>
  <c r="CU19" i="728"/>
  <c r="CU20" i="728"/>
  <c r="CU21" i="728"/>
  <c r="CU22" i="728"/>
  <c r="CU23" i="728"/>
  <c r="CU24" i="728"/>
  <c r="CU25" i="728"/>
  <c r="CU26" i="728"/>
  <c r="CU27" i="728"/>
  <c r="CU28" i="728"/>
  <c r="CU29" i="728"/>
  <c r="CU30" i="728"/>
  <c r="CU31" i="728"/>
  <c r="CU32" i="728"/>
  <c r="CU33" i="728"/>
  <c r="CU34" i="728"/>
  <c r="CU35" i="728"/>
  <c r="CU36" i="728"/>
  <c r="CU37" i="728"/>
  <c r="CU38" i="728"/>
  <c r="CU39" i="728"/>
  <c r="CU40" i="728"/>
  <c r="CN10" i="728"/>
  <c r="CW5" i="728" a="1"/>
  <c r="CW5" i="728" s="1"/>
  <c r="CV5" i="728"/>
  <c r="CS5" i="728"/>
  <c r="CQ4" i="728"/>
  <c r="CQ3" i="728"/>
  <c r="CQ5" i="728" s="1"/>
  <c r="BV11" i="728"/>
  <c r="BW11" i="728" s="1"/>
  <c r="BV12" i="728"/>
  <c r="CH10" i="728"/>
  <c r="CH11" i="728"/>
  <c r="CH12" i="728"/>
  <c r="CH13" i="728"/>
  <c r="CH14" i="728"/>
  <c r="CH15" i="728"/>
  <c r="CH16" i="728"/>
  <c r="CH17" i="728"/>
  <c r="CH18" i="728"/>
  <c r="CH19" i="728"/>
  <c r="CH20" i="728"/>
  <c r="CH21" i="728"/>
  <c r="CH22" i="728"/>
  <c r="CH23" i="728"/>
  <c r="CH24" i="728"/>
  <c r="CH25" i="728"/>
  <c r="CH26" i="728"/>
  <c r="CH27" i="728"/>
  <c r="CH28" i="728"/>
  <c r="CH29" i="728"/>
  <c r="CH30" i="728"/>
  <c r="CH31" i="728"/>
  <c r="CH32" i="728"/>
  <c r="CH33" i="728"/>
  <c r="CH34" i="728"/>
  <c r="CH35" i="728"/>
  <c r="CH36" i="728"/>
  <c r="CH37" i="728"/>
  <c r="CH38" i="728"/>
  <c r="CH39" i="728"/>
  <c r="CH40" i="728"/>
  <c r="CC10" i="728"/>
  <c r="CC11" i="728"/>
  <c r="CC12" i="728"/>
  <c r="CC13" i="728"/>
  <c r="CC14" i="728"/>
  <c r="CC15" i="728"/>
  <c r="CC16" i="728"/>
  <c r="CC17" i="728"/>
  <c r="CC18" i="728"/>
  <c r="CC19" i="728"/>
  <c r="CC20" i="728"/>
  <c r="CC21" i="728"/>
  <c r="CC22" i="728"/>
  <c r="CC23" i="728"/>
  <c r="CC24" i="728"/>
  <c r="CC25" i="728"/>
  <c r="CC26" i="728"/>
  <c r="CC27" i="728"/>
  <c r="CC28" i="728"/>
  <c r="CC29" i="728"/>
  <c r="CC30" i="728"/>
  <c r="CC31" i="728"/>
  <c r="CC32" i="728"/>
  <c r="CC33" i="728"/>
  <c r="CC34" i="728"/>
  <c r="CC35" i="728"/>
  <c r="CC36" i="728"/>
  <c r="CC37" i="728"/>
  <c r="CC38" i="728"/>
  <c r="CC39" i="728"/>
  <c r="CC40" i="728"/>
  <c r="BV10" i="728"/>
  <c r="BW10" i="728" s="1"/>
  <c r="CD5" i="728"/>
  <c r="CA5" i="728"/>
  <c r="BY4" i="728"/>
  <c r="BY3" i="728"/>
  <c r="BY5" i="728" s="1"/>
  <c r="BD11" i="728"/>
  <c r="BE11" i="728" s="1"/>
  <c r="BD12" i="728"/>
  <c r="BE12" i="728" s="1"/>
  <c r="BD13" i="728"/>
  <c r="BP10" i="728"/>
  <c r="BP11" i="728"/>
  <c r="BP12" i="728"/>
  <c r="BP13" i="728"/>
  <c r="BM5" i="728" s="1" a="1"/>
  <c r="BM5" i="728" s="1"/>
  <c r="BP14" i="728"/>
  <c r="BP15" i="728"/>
  <c r="BP16" i="728"/>
  <c r="BP17" i="728"/>
  <c r="BP18" i="728"/>
  <c r="BP19" i="728"/>
  <c r="BP20" i="728"/>
  <c r="BP21" i="728"/>
  <c r="BP22" i="728"/>
  <c r="BP23" i="728"/>
  <c r="BP24" i="728"/>
  <c r="BP25" i="728"/>
  <c r="BP26" i="728"/>
  <c r="BP27" i="728"/>
  <c r="BP28" i="728"/>
  <c r="BP29" i="728"/>
  <c r="BP30" i="728"/>
  <c r="BP31" i="728"/>
  <c r="BP32" i="728"/>
  <c r="BP33" i="728"/>
  <c r="BP34" i="728"/>
  <c r="BP35" i="728"/>
  <c r="BP36" i="728"/>
  <c r="BP37" i="728"/>
  <c r="BP38" i="728"/>
  <c r="BP39" i="728"/>
  <c r="BP40" i="728"/>
  <c r="BK10" i="728"/>
  <c r="BK11" i="728"/>
  <c r="BK12" i="728"/>
  <c r="BK13" i="728"/>
  <c r="BK14" i="728"/>
  <c r="BJ5" i="728" s="1" a="1"/>
  <c r="BJ5" i="728" s="1"/>
  <c r="BK15" i="728"/>
  <c r="BK16" i="728"/>
  <c r="BK17" i="728"/>
  <c r="BK18" i="728"/>
  <c r="BK19" i="728"/>
  <c r="BK20" i="728"/>
  <c r="BK21" i="728"/>
  <c r="BK22" i="728"/>
  <c r="BK23" i="728"/>
  <c r="BK24" i="728"/>
  <c r="BK25" i="728"/>
  <c r="BK26" i="728"/>
  <c r="BK27" i="728"/>
  <c r="BK28" i="728"/>
  <c r="BK29" i="728"/>
  <c r="BK30" i="728"/>
  <c r="BK31" i="728"/>
  <c r="BK32" i="728"/>
  <c r="BK33" i="728"/>
  <c r="BK34" i="728"/>
  <c r="BK35" i="728"/>
  <c r="BK36" i="728"/>
  <c r="BK37" i="728"/>
  <c r="BK38" i="728"/>
  <c r="BK39" i="728"/>
  <c r="BK40" i="728"/>
  <c r="BE10" i="728"/>
  <c r="BD10" i="728"/>
  <c r="BL5" i="728"/>
  <c r="BI5" i="728"/>
  <c r="BG4" i="728"/>
  <c r="BG3" i="728"/>
  <c r="BG5" i="728" s="1"/>
  <c r="AX10" i="728"/>
  <c r="AX11" i="728"/>
  <c r="AX12" i="728"/>
  <c r="AX13" i="728"/>
  <c r="AX14" i="728"/>
  <c r="AX15" i="728"/>
  <c r="AX16" i="728"/>
  <c r="AX17" i="728"/>
  <c r="AX18" i="728"/>
  <c r="AX19" i="728"/>
  <c r="AX20" i="728"/>
  <c r="AX21" i="728"/>
  <c r="AX22" i="728"/>
  <c r="AX23" i="728"/>
  <c r="AX24" i="728"/>
  <c r="AX25" i="728"/>
  <c r="AX26" i="728"/>
  <c r="AX27" i="728"/>
  <c r="AX28" i="728"/>
  <c r="AX29" i="728"/>
  <c r="AX30" i="728"/>
  <c r="AX31" i="728"/>
  <c r="AX32" i="728"/>
  <c r="AX33" i="728"/>
  <c r="AX34" i="728"/>
  <c r="AX35" i="728"/>
  <c r="AX36" i="728"/>
  <c r="AX37" i="728"/>
  <c r="AX38" i="728"/>
  <c r="AX39" i="728"/>
  <c r="AX40" i="728"/>
  <c r="AS10" i="728"/>
  <c r="AS11" i="728"/>
  <c r="AR5" i="728" s="1" a="1"/>
  <c r="AR5" i="728" s="1"/>
  <c r="AS12" i="728"/>
  <c r="AS13" i="728"/>
  <c r="AS14" i="728"/>
  <c r="AS15" i="728"/>
  <c r="AS16" i="728"/>
  <c r="AS17" i="728"/>
  <c r="AS18" i="728"/>
  <c r="AS19" i="728"/>
  <c r="AS20" i="728"/>
  <c r="AS21" i="728"/>
  <c r="AS22" i="728"/>
  <c r="AS23" i="728"/>
  <c r="AS24" i="728"/>
  <c r="AS25" i="728"/>
  <c r="AS26" i="728"/>
  <c r="AS27" i="728"/>
  <c r="AS28" i="728"/>
  <c r="AS29" i="728"/>
  <c r="AS30" i="728"/>
  <c r="AS31" i="728"/>
  <c r="AS32" i="728"/>
  <c r="AS33" i="728"/>
  <c r="AS34" i="728"/>
  <c r="AS35" i="728"/>
  <c r="AS36" i="728"/>
  <c r="AS37" i="728"/>
  <c r="AS38" i="728"/>
  <c r="AS39" i="728"/>
  <c r="AS40" i="728"/>
  <c r="AM10" i="728"/>
  <c r="AM11" i="728"/>
  <c r="AM12" i="728"/>
  <c r="AL10" i="728"/>
  <c r="AL11" i="728" s="1"/>
  <c r="AL12" i="728" s="1"/>
  <c r="AL13" i="728" s="1"/>
  <c r="AT5" i="728"/>
  <c r="AQ5" i="728"/>
  <c r="AO4" i="728"/>
  <c r="AO3" i="728"/>
  <c r="AF10" i="728"/>
  <c r="AF11" i="728"/>
  <c r="AF12" i="728"/>
  <c r="AF13" i="728"/>
  <c r="AF14" i="728"/>
  <c r="AF15" i="728"/>
  <c r="AF16" i="728"/>
  <c r="AF17" i="728"/>
  <c r="AF18" i="728"/>
  <c r="AF19" i="728"/>
  <c r="AF20" i="728"/>
  <c r="AF21" i="728"/>
  <c r="AF22" i="728"/>
  <c r="AF23" i="728"/>
  <c r="AF24" i="728"/>
  <c r="AF25" i="728"/>
  <c r="AF26" i="728"/>
  <c r="AF27" i="728"/>
  <c r="AF28" i="728"/>
  <c r="AF29" i="728"/>
  <c r="AF30" i="728"/>
  <c r="AF31" i="728"/>
  <c r="AF32" i="728"/>
  <c r="AF33" i="728"/>
  <c r="AF34" i="728"/>
  <c r="AF35" i="728"/>
  <c r="AF36" i="728"/>
  <c r="AF37" i="728"/>
  <c r="AF38" i="728"/>
  <c r="AF39" i="728"/>
  <c r="AF40" i="728"/>
  <c r="AA10" i="728"/>
  <c r="AA11" i="728"/>
  <c r="AA12" i="728"/>
  <c r="AA13" i="728"/>
  <c r="AA14" i="728"/>
  <c r="AA15" i="728"/>
  <c r="AA16" i="728"/>
  <c r="AA17" i="728"/>
  <c r="AA18" i="728"/>
  <c r="AA19" i="728"/>
  <c r="AA20" i="728"/>
  <c r="AA21" i="728"/>
  <c r="AA22" i="728"/>
  <c r="AA23" i="728"/>
  <c r="AA24" i="728"/>
  <c r="AA25" i="728"/>
  <c r="AA26" i="728"/>
  <c r="AA27" i="728"/>
  <c r="AA28" i="728"/>
  <c r="AA29" i="728"/>
  <c r="AA30" i="728"/>
  <c r="AA31" i="728"/>
  <c r="AA32" i="728"/>
  <c r="AA33" i="728"/>
  <c r="AA34" i="728"/>
  <c r="AA35" i="728"/>
  <c r="AA36" i="728"/>
  <c r="AA37" i="728"/>
  <c r="AA38" i="728"/>
  <c r="AA39" i="728"/>
  <c r="AA40" i="728"/>
  <c r="T10" i="728"/>
  <c r="AB5" i="728"/>
  <c r="Y5" i="728"/>
  <c r="W4" i="728"/>
  <c r="W3" i="728"/>
  <c r="W5" i="728" s="1"/>
  <c r="N10" i="728"/>
  <c r="N11" i="728"/>
  <c r="N12" i="728"/>
  <c r="N13" i="728"/>
  <c r="N14" i="728"/>
  <c r="N15" i="728"/>
  <c r="N16" i="728"/>
  <c r="N17" i="728"/>
  <c r="N18" i="728"/>
  <c r="N19" i="728"/>
  <c r="N20" i="728"/>
  <c r="N21" i="728"/>
  <c r="N22" i="728"/>
  <c r="N23" i="728"/>
  <c r="N24" i="728"/>
  <c r="N25" i="728"/>
  <c r="N26" i="728"/>
  <c r="N27" i="728"/>
  <c r="N28" i="728"/>
  <c r="N29" i="728"/>
  <c r="N30" i="728"/>
  <c r="N31" i="728"/>
  <c r="N32" i="728"/>
  <c r="N33" i="728"/>
  <c r="N34" i="728"/>
  <c r="N35" i="728"/>
  <c r="N36" i="728"/>
  <c r="N37" i="728"/>
  <c r="N38" i="728"/>
  <c r="N39" i="728"/>
  <c r="N40" i="728"/>
  <c r="I10" i="728"/>
  <c r="I11" i="728"/>
  <c r="I12" i="728"/>
  <c r="I13" i="728"/>
  <c r="I14" i="728"/>
  <c r="I15" i="728"/>
  <c r="I16" i="728"/>
  <c r="I17" i="728"/>
  <c r="I18" i="728"/>
  <c r="I19" i="728"/>
  <c r="I20" i="728"/>
  <c r="I21" i="728"/>
  <c r="I22" i="728"/>
  <c r="I23" i="728"/>
  <c r="I24" i="728"/>
  <c r="I25" i="728"/>
  <c r="I26" i="728"/>
  <c r="I27" i="728"/>
  <c r="I28" i="728"/>
  <c r="I29" i="728"/>
  <c r="I30" i="728"/>
  <c r="I31" i="728"/>
  <c r="I32" i="728"/>
  <c r="I33" i="728"/>
  <c r="I34" i="728"/>
  <c r="I35" i="728"/>
  <c r="I36" i="728"/>
  <c r="I37" i="728"/>
  <c r="I38" i="728"/>
  <c r="I39" i="728"/>
  <c r="I40" i="728"/>
  <c r="B10" i="728"/>
  <c r="J5" i="728"/>
  <c r="G5" i="728"/>
  <c r="E5" i="728"/>
  <c r="E4" i="728"/>
  <c r="E3" i="728"/>
  <c r="HD10" i="727"/>
  <c r="HD11" i="727"/>
  <c r="HD12" i="727"/>
  <c r="HD13" i="727"/>
  <c r="HD14" i="727"/>
  <c r="HD15" i="727"/>
  <c r="HD16" i="727"/>
  <c r="HD17" i="727"/>
  <c r="HD18" i="727"/>
  <c r="HD19" i="727"/>
  <c r="HD20" i="727"/>
  <c r="HD21" i="727"/>
  <c r="HD22" i="727"/>
  <c r="HD23" i="727"/>
  <c r="HD24" i="727"/>
  <c r="HD25" i="727"/>
  <c r="HD26" i="727"/>
  <c r="HD27" i="727"/>
  <c r="HD28" i="727"/>
  <c r="HD29" i="727"/>
  <c r="HD30" i="727"/>
  <c r="HD31" i="727"/>
  <c r="HD32" i="727"/>
  <c r="HD33" i="727"/>
  <c r="HD34" i="727"/>
  <c r="HD35" i="727"/>
  <c r="HD36" i="727"/>
  <c r="HD37" i="727"/>
  <c r="HD38" i="727"/>
  <c r="HD39" i="727"/>
  <c r="HD40" i="727"/>
  <c r="GY10" i="727"/>
  <c r="GY11" i="727"/>
  <c r="GY12" i="727"/>
  <c r="GY13" i="727"/>
  <c r="GY14" i="727"/>
  <c r="GY15" i="727"/>
  <c r="GY16" i="727"/>
  <c r="GY17" i="727"/>
  <c r="GY18" i="727"/>
  <c r="GY19" i="727"/>
  <c r="GY20" i="727"/>
  <c r="GY21" i="727"/>
  <c r="GY22" i="727"/>
  <c r="GY23" i="727"/>
  <c r="GY24" i="727"/>
  <c r="GY25" i="727"/>
  <c r="GY26" i="727"/>
  <c r="GY27" i="727"/>
  <c r="GY28" i="727"/>
  <c r="GY29" i="727"/>
  <c r="GY30" i="727"/>
  <c r="GY31" i="727"/>
  <c r="GY32" i="727"/>
  <c r="GY33" i="727"/>
  <c r="GY34" i="727"/>
  <c r="GY35" i="727"/>
  <c r="GY36" i="727"/>
  <c r="GY37" i="727"/>
  <c r="GY38" i="727"/>
  <c r="GY39" i="727"/>
  <c r="GY40" i="727"/>
  <c r="GR10" i="727"/>
  <c r="GR11" i="727" s="1"/>
  <c r="GR12" i="727" s="1"/>
  <c r="GR13" i="727" s="1"/>
  <c r="GR14" i="727" s="1"/>
  <c r="GZ5" i="727"/>
  <c r="GW5" i="727"/>
  <c r="GU4" i="727"/>
  <c r="GU3" i="727"/>
  <c r="GU5" i="727" s="1"/>
  <c r="FZ11" i="727"/>
  <c r="GA11" i="727" s="1"/>
  <c r="FZ12" i="727"/>
  <c r="GA12" i="727" s="1"/>
  <c r="FZ13" i="727"/>
  <c r="FZ14" i="727"/>
  <c r="FZ15" i="727"/>
  <c r="FZ16" i="727"/>
  <c r="FZ17" i="727"/>
  <c r="FZ18" i="727"/>
  <c r="FZ19" i="727"/>
  <c r="FZ20" i="727" s="1"/>
  <c r="GL10" i="727"/>
  <c r="GL11" i="727"/>
  <c r="GL12" i="727"/>
  <c r="GL13" i="727"/>
  <c r="GL14" i="727"/>
  <c r="GL15" i="727"/>
  <c r="GL16" i="727"/>
  <c r="GL17" i="727"/>
  <c r="GL18" i="727"/>
  <c r="GL19" i="727"/>
  <c r="GL20" i="727"/>
  <c r="GL21" i="727"/>
  <c r="GL22" i="727"/>
  <c r="GL23" i="727"/>
  <c r="GL24" i="727"/>
  <c r="GL25" i="727"/>
  <c r="GL26" i="727"/>
  <c r="GL27" i="727"/>
  <c r="GL28" i="727"/>
  <c r="GL29" i="727"/>
  <c r="GL30" i="727"/>
  <c r="GL31" i="727"/>
  <c r="GL32" i="727"/>
  <c r="GL33" i="727"/>
  <c r="GL34" i="727"/>
  <c r="GL35" i="727"/>
  <c r="GL36" i="727"/>
  <c r="GL37" i="727"/>
  <c r="GL38" i="727"/>
  <c r="GL39" i="727"/>
  <c r="GL40" i="727"/>
  <c r="GG10" i="727"/>
  <c r="GG11" i="727"/>
  <c r="GG12" i="727"/>
  <c r="GF5" i="727" s="1" a="1"/>
  <c r="GF5" i="727" s="1"/>
  <c r="GG13" i="727"/>
  <c r="GG14" i="727"/>
  <c r="GG15" i="727"/>
  <c r="GG16" i="727"/>
  <c r="GG17" i="727"/>
  <c r="GG18" i="727"/>
  <c r="GG19" i="727"/>
  <c r="GG20" i="727"/>
  <c r="GG21" i="727"/>
  <c r="GG22" i="727"/>
  <c r="GG23" i="727"/>
  <c r="GG24" i="727"/>
  <c r="GG25" i="727"/>
  <c r="GG26" i="727"/>
  <c r="GG27" i="727"/>
  <c r="GG28" i="727"/>
  <c r="GG29" i="727"/>
  <c r="GG30" i="727"/>
  <c r="GG31" i="727"/>
  <c r="GG32" i="727"/>
  <c r="GG33" i="727"/>
  <c r="GG34" i="727"/>
  <c r="GG35" i="727"/>
  <c r="GG36" i="727"/>
  <c r="GG37" i="727"/>
  <c r="GG38" i="727"/>
  <c r="GG39" i="727"/>
  <c r="GG40" i="727"/>
  <c r="GA10" i="727"/>
  <c r="GA13" i="727"/>
  <c r="GA14" i="727"/>
  <c r="GA15" i="727"/>
  <c r="GA16" i="727"/>
  <c r="GA17" i="727"/>
  <c r="GA18" i="727"/>
  <c r="GA19" i="727"/>
  <c r="FZ10" i="727"/>
  <c r="GH5" i="727"/>
  <c r="GE5" i="727"/>
  <c r="GC4" i="727"/>
  <c r="GC3" i="727"/>
  <c r="GC5" i="727" s="1"/>
  <c r="FT10" i="727"/>
  <c r="FT11" i="727"/>
  <c r="FT12" i="727"/>
  <c r="FT13" i="727"/>
  <c r="FT14" i="727"/>
  <c r="FT15" i="727"/>
  <c r="FT16" i="727"/>
  <c r="FT17" i="727"/>
  <c r="FT18" i="727"/>
  <c r="FT19" i="727"/>
  <c r="FT20" i="727"/>
  <c r="FT21" i="727"/>
  <c r="FT22" i="727"/>
  <c r="FT23" i="727"/>
  <c r="FT24" i="727"/>
  <c r="FT25" i="727"/>
  <c r="FT26" i="727"/>
  <c r="FT27" i="727"/>
  <c r="FT28" i="727"/>
  <c r="FT29" i="727"/>
  <c r="FT30" i="727"/>
  <c r="FT31" i="727"/>
  <c r="FT32" i="727"/>
  <c r="FT33" i="727"/>
  <c r="FT34" i="727"/>
  <c r="FT35" i="727"/>
  <c r="FT36" i="727"/>
  <c r="FT37" i="727"/>
  <c r="FT38" i="727"/>
  <c r="FT39" i="727"/>
  <c r="FT40" i="727"/>
  <c r="FO10" i="727"/>
  <c r="FO11" i="727"/>
  <c r="FO12" i="727"/>
  <c r="FO13" i="727"/>
  <c r="FO14" i="727"/>
  <c r="FO15" i="727"/>
  <c r="FO16" i="727"/>
  <c r="FO17" i="727"/>
  <c r="FO18" i="727"/>
  <c r="FO19" i="727"/>
  <c r="FO20" i="727"/>
  <c r="FO21" i="727"/>
  <c r="FO22" i="727"/>
  <c r="FO23" i="727"/>
  <c r="FO24" i="727"/>
  <c r="FO25" i="727"/>
  <c r="FO26" i="727"/>
  <c r="FO27" i="727"/>
  <c r="FO28" i="727"/>
  <c r="FO29" i="727"/>
  <c r="FO30" i="727"/>
  <c r="FO31" i="727"/>
  <c r="FO32" i="727"/>
  <c r="FO33" i="727"/>
  <c r="FO34" i="727"/>
  <c r="FO35" i="727"/>
  <c r="FO36" i="727"/>
  <c r="FO37" i="727"/>
  <c r="FO38" i="727"/>
  <c r="FO39" i="727"/>
  <c r="FO40" i="727"/>
  <c r="FH10" i="727"/>
  <c r="FI10" i="727" s="1"/>
  <c r="FP5" i="727"/>
  <c r="FM5" i="727"/>
  <c r="FK4" i="727"/>
  <c r="FK3" i="727"/>
  <c r="FK5" i="727" s="1"/>
  <c r="EP11" i="727"/>
  <c r="EP12" i="727" s="1"/>
  <c r="EP13" i="727" s="1"/>
  <c r="EP14" i="727" s="1"/>
  <c r="EP15" i="727"/>
  <c r="FB10" i="727"/>
  <c r="FB11" i="727"/>
  <c r="FB12" i="727"/>
  <c r="FB13" i="727"/>
  <c r="FB14" i="727"/>
  <c r="FB15" i="727"/>
  <c r="FB16" i="727"/>
  <c r="FB17" i="727"/>
  <c r="FB18" i="727"/>
  <c r="FB19" i="727"/>
  <c r="FB20" i="727"/>
  <c r="FB21" i="727"/>
  <c r="FB22" i="727"/>
  <c r="FB23" i="727"/>
  <c r="FB24" i="727"/>
  <c r="FB25" i="727"/>
  <c r="FB26" i="727"/>
  <c r="FB27" i="727"/>
  <c r="FB28" i="727"/>
  <c r="FB29" i="727"/>
  <c r="FB30" i="727"/>
  <c r="FB31" i="727"/>
  <c r="FB32" i="727"/>
  <c r="FB33" i="727"/>
  <c r="FB34" i="727"/>
  <c r="FB35" i="727"/>
  <c r="FB36" i="727"/>
  <c r="FB37" i="727"/>
  <c r="FB38" i="727"/>
  <c r="FB39" i="727"/>
  <c r="FB40" i="727"/>
  <c r="EW10" i="727"/>
  <c r="EW11" i="727"/>
  <c r="EW12" i="727"/>
  <c r="EW13" i="727"/>
  <c r="EW14" i="727"/>
  <c r="EW15" i="727"/>
  <c r="EW16" i="727"/>
  <c r="EW17" i="727"/>
  <c r="EW18" i="727"/>
  <c r="EW19" i="727"/>
  <c r="EW20" i="727"/>
  <c r="EW21" i="727"/>
  <c r="EW22" i="727"/>
  <c r="EW23" i="727"/>
  <c r="EW24" i="727"/>
  <c r="EW25" i="727"/>
  <c r="EW26" i="727"/>
  <c r="EW27" i="727"/>
  <c r="EW28" i="727"/>
  <c r="EW29" i="727"/>
  <c r="EW30" i="727"/>
  <c r="EW31" i="727"/>
  <c r="EW32" i="727"/>
  <c r="EW33" i="727"/>
  <c r="EW34" i="727"/>
  <c r="EW35" i="727"/>
  <c r="EW36" i="727"/>
  <c r="EW37" i="727"/>
  <c r="EW38" i="727"/>
  <c r="EW39" i="727"/>
  <c r="EW40" i="727"/>
  <c r="EQ10" i="727"/>
  <c r="EQ11" i="727"/>
  <c r="EQ12" i="727"/>
  <c r="EQ13" i="727"/>
  <c r="EQ14" i="727"/>
  <c r="EP10" i="727"/>
  <c r="EX5" i="727"/>
  <c r="EU5" i="727"/>
  <c r="ES4" i="727"/>
  <c r="ES3" i="727"/>
  <c r="ES5" i="727" s="1"/>
  <c r="DX11" i="727"/>
  <c r="DY11" i="727" s="1"/>
  <c r="DX12" i="727"/>
  <c r="DY12" i="727" s="1"/>
  <c r="DX13" i="727"/>
  <c r="DY13" i="727" s="1"/>
  <c r="DX14" i="727"/>
  <c r="DY14" i="727" s="1"/>
  <c r="DX15" i="727"/>
  <c r="DX16" i="727" s="1"/>
  <c r="DX17" i="727" s="1"/>
  <c r="DX18" i="727" s="1"/>
  <c r="DX19" i="727" s="1"/>
  <c r="DX20" i="727" s="1"/>
  <c r="DX21" i="727" s="1"/>
  <c r="EJ10" i="727"/>
  <c r="EJ11" i="727"/>
  <c r="EJ12" i="727"/>
  <c r="EJ13" i="727"/>
  <c r="EJ14" i="727"/>
  <c r="EJ15" i="727"/>
  <c r="EJ16" i="727"/>
  <c r="EJ17" i="727"/>
  <c r="EJ18" i="727"/>
  <c r="EJ19" i="727"/>
  <c r="EJ20" i="727"/>
  <c r="EJ21" i="727"/>
  <c r="EJ22" i="727"/>
  <c r="EJ23" i="727"/>
  <c r="EJ24" i="727"/>
  <c r="EJ25" i="727"/>
  <c r="EJ26" i="727"/>
  <c r="EJ27" i="727"/>
  <c r="EJ28" i="727"/>
  <c r="EJ29" i="727"/>
  <c r="EJ30" i="727"/>
  <c r="EJ31" i="727"/>
  <c r="EJ32" i="727"/>
  <c r="EJ33" i="727"/>
  <c r="EJ34" i="727"/>
  <c r="EJ35" i="727"/>
  <c r="EJ36" i="727"/>
  <c r="EJ37" i="727"/>
  <c r="EJ38" i="727"/>
  <c r="EJ39" i="727"/>
  <c r="EJ40" i="727"/>
  <c r="EE10" i="727"/>
  <c r="EE11" i="727"/>
  <c r="EE12" i="727"/>
  <c r="ED5" i="727" s="1" a="1"/>
  <c r="ED5" i="727" s="1"/>
  <c r="EE13" i="727"/>
  <c r="EE14" i="727"/>
  <c r="EE15" i="727"/>
  <c r="EE16" i="727"/>
  <c r="EE17" i="727"/>
  <c r="EE18" i="727"/>
  <c r="EE19" i="727"/>
  <c r="EE20" i="727"/>
  <c r="EE21" i="727"/>
  <c r="EE22" i="727"/>
  <c r="EE23" i="727"/>
  <c r="EE24" i="727"/>
  <c r="EE25" i="727"/>
  <c r="EE26" i="727"/>
  <c r="EE27" i="727"/>
  <c r="EE28" i="727"/>
  <c r="EE29" i="727"/>
  <c r="EE30" i="727"/>
  <c r="EE31" i="727"/>
  <c r="EE32" i="727"/>
  <c r="EE33" i="727"/>
  <c r="EE34" i="727"/>
  <c r="EE35" i="727"/>
  <c r="EE36" i="727"/>
  <c r="EE37" i="727"/>
  <c r="EE38" i="727"/>
  <c r="EE39" i="727"/>
  <c r="EE40" i="727"/>
  <c r="DY15" i="727"/>
  <c r="DY16" i="727"/>
  <c r="DY17" i="727"/>
  <c r="DY18" i="727"/>
  <c r="DY19" i="727"/>
  <c r="DX10" i="727"/>
  <c r="DY10" i="727" s="1"/>
  <c r="EF5" i="727"/>
  <c r="EC5" i="727"/>
  <c r="EA4" i="727"/>
  <c r="EA3" i="727"/>
  <c r="EA5" i="727" s="1"/>
  <c r="DF11" i="727"/>
  <c r="DF12" i="727"/>
  <c r="DF13" i="727"/>
  <c r="DF14" i="727"/>
  <c r="DF15" i="727"/>
  <c r="DF16" i="727"/>
  <c r="DF17" i="727"/>
  <c r="DR10" i="727"/>
  <c r="DR11" i="727"/>
  <c r="DR12" i="727"/>
  <c r="DR13" i="727"/>
  <c r="DR14" i="727"/>
  <c r="DR15" i="727"/>
  <c r="DR16" i="727"/>
  <c r="DR17" i="727"/>
  <c r="DR18" i="727"/>
  <c r="DR19" i="727"/>
  <c r="DR20" i="727"/>
  <c r="DR21" i="727"/>
  <c r="DR22" i="727"/>
  <c r="DR23" i="727"/>
  <c r="DR24" i="727"/>
  <c r="DR25" i="727"/>
  <c r="DR26" i="727"/>
  <c r="DR27" i="727"/>
  <c r="DR28" i="727"/>
  <c r="DR29" i="727"/>
  <c r="DR30" i="727"/>
  <c r="DR31" i="727"/>
  <c r="DR32" i="727"/>
  <c r="DR33" i="727"/>
  <c r="DR34" i="727"/>
  <c r="DR35" i="727"/>
  <c r="DR36" i="727"/>
  <c r="DR37" i="727"/>
  <c r="DR38" i="727"/>
  <c r="DR39" i="727"/>
  <c r="DR40" i="727"/>
  <c r="DM10" i="727"/>
  <c r="DM11" i="727"/>
  <c r="DM12" i="727"/>
  <c r="DL5" i="727" s="1" a="1"/>
  <c r="DL5" i="727" s="1"/>
  <c r="DM13" i="727"/>
  <c r="DM14" i="727"/>
  <c r="DM15" i="727"/>
  <c r="DM16" i="727"/>
  <c r="DM17" i="727"/>
  <c r="DM18" i="727"/>
  <c r="DM19" i="727"/>
  <c r="DM20" i="727"/>
  <c r="DM21" i="727"/>
  <c r="DM22" i="727"/>
  <c r="DM23" i="727"/>
  <c r="DM24" i="727"/>
  <c r="DM25" i="727"/>
  <c r="DM26" i="727"/>
  <c r="DM27" i="727"/>
  <c r="DM28" i="727"/>
  <c r="DM29" i="727"/>
  <c r="DM30" i="727"/>
  <c r="DM31" i="727"/>
  <c r="DM32" i="727"/>
  <c r="DM33" i="727"/>
  <c r="DM34" i="727"/>
  <c r="DM35" i="727"/>
  <c r="DM36" i="727"/>
  <c r="DM37" i="727"/>
  <c r="DM38" i="727"/>
  <c r="DM39" i="727"/>
  <c r="DM40" i="727"/>
  <c r="DG10" i="727"/>
  <c r="DG11" i="727"/>
  <c r="DG12" i="727"/>
  <c r="DG13" i="727"/>
  <c r="DG14" i="727"/>
  <c r="DG15" i="727"/>
  <c r="DG16" i="727"/>
  <c r="DF10" i="727"/>
  <c r="DO5" i="727" a="1"/>
  <c r="DO5" i="727" s="1"/>
  <c r="DN5" i="727"/>
  <c r="DK5" i="727"/>
  <c r="DI4" i="727"/>
  <c r="DI3" i="727"/>
  <c r="DI5" i="727" s="1"/>
  <c r="CZ10" i="727"/>
  <c r="CZ11" i="727"/>
  <c r="CZ12" i="727"/>
  <c r="CZ13" i="727"/>
  <c r="CW5" i="727" s="1" a="1"/>
  <c r="CW5" i="727" s="1"/>
  <c r="CZ14" i="727"/>
  <c r="CZ15" i="727"/>
  <c r="CZ16" i="727"/>
  <c r="CZ17" i="727"/>
  <c r="CZ18" i="727"/>
  <c r="CZ19" i="727"/>
  <c r="CZ20" i="727"/>
  <c r="CZ21" i="727"/>
  <c r="CZ22" i="727"/>
  <c r="CZ23" i="727"/>
  <c r="CZ24" i="727"/>
  <c r="CZ25" i="727"/>
  <c r="CZ26" i="727"/>
  <c r="CZ27" i="727"/>
  <c r="CZ28" i="727"/>
  <c r="CZ29" i="727"/>
  <c r="CZ30" i="727"/>
  <c r="CZ31" i="727"/>
  <c r="CZ32" i="727"/>
  <c r="CZ33" i="727"/>
  <c r="CZ34" i="727"/>
  <c r="CZ35" i="727"/>
  <c r="CZ36" i="727"/>
  <c r="CZ37" i="727"/>
  <c r="CZ38" i="727"/>
  <c r="CZ39" i="727"/>
  <c r="CZ40" i="727"/>
  <c r="CU10" i="727"/>
  <c r="CU11" i="727"/>
  <c r="CU12" i="727"/>
  <c r="CU13" i="727"/>
  <c r="CU14" i="727"/>
  <c r="CT5" i="727" s="1" a="1"/>
  <c r="CT5" i="727" s="1"/>
  <c r="CU15" i="727"/>
  <c r="CU16" i="727"/>
  <c r="CU17" i="727"/>
  <c r="CU18" i="727"/>
  <c r="CU19" i="727"/>
  <c r="CU20" i="727"/>
  <c r="CU21" i="727"/>
  <c r="CU22" i="727"/>
  <c r="CU23" i="727"/>
  <c r="CU24" i="727"/>
  <c r="CU25" i="727"/>
  <c r="CU26" i="727"/>
  <c r="CU27" i="727"/>
  <c r="CU28" i="727"/>
  <c r="CU29" i="727"/>
  <c r="CU30" i="727"/>
  <c r="CU31" i="727"/>
  <c r="CU32" i="727"/>
  <c r="CU33" i="727"/>
  <c r="CU34" i="727"/>
  <c r="CU35" i="727"/>
  <c r="CU36" i="727"/>
  <c r="CU37" i="727"/>
  <c r="CU38" i="727"/>
  <c r="CU39" i="727"/>
  <c r="CU40" i="727"/>
  <c r="CN10" i="727"/>
  <c r="CV5" i="727"/>
  <c r="CS5" i="727"/>
  <c r="CQ4" i="727"/>
  <c r="CQ3" i="727"/>
  <c r="CQ5" i="727" s="1"/>
  <c r="CH10" i="727"/>
  <c r="CH11" i="727"/>
  <c r="CH12" i="727"/>
  <c r="CH13" i="727"/>
  <c r="CH14" i="727"/>
  <c r="CH15" i="727"/>
  <c r="CH16" i="727"/>
  <c r="CE5" i="727" s="1" a="1"/>
  <c r="CE5" i="727" s="1"/>
  <c r="CH17" i="727"/>
  <c r="CH18" i="727"/>
  <c r="CH19" i="727"/>
  <c r="CH20" i="727"/>
  <c r="CH21" i="727"/>
  <c r="CH22" i="727"/>
  <c r="CH23" i="727"/>
  <c r="CH24" i="727"/>
  <c r="CH25" i="727"/>
  <c r="CH26" i="727"/>
  <c r="CH27" i="727"/>
  <c r="CH28" i="727"/>
  <c r="CH29" i="727"/>
  <c r="CH30" i="727"/>
  <c r="CH31" i="727"/>
  <c r="CH32" i="727"/>
  <c r="CH33" i="727"/>
  <c r="CH34" i="727"/>
  <c r="CH35" i="727"/>
  <c r="CH36" i="727"/>
  <c r="CH37" i="727"/>
  <c r="CH38" i="727"/>
  <c r="CH39" i="727"/>
  <c r="CH40" i="727"/>
  <c r="CC10" i="727"/>
  <c r="CC11" i="727"/>
  <c r="CC12" i="727"/>
  <c r="CC13" i="727"/>
  <c r="CC14" i="727"/>
  <c r="CC15" i="727"/>
  <c r="CC16" i="727"/>
  <c r="CC17" i="727"/>
  <c r="CC18" i="727"/>
  <c r="CC19" i="727"/>
  <c r="CC20" i="727"/>
  <c r="CC21" i="727"/>
  <c r="CC22" i="727"/>
  <c r="CC23" i="727"/>
  <c r="CC24" i="727"/>
  <c r="CC25" i="727"/>
  <c r="CC26" i="727"/>
  <c r="CC27" i="727"/>
  <c r="CC28" i="727"/>
  <c r="CC29" i="727"/>
  <c r="CC30" i="727"/>
  <c r="CC31" i="727"/>
  <c r="CC32" i="727"/>
  <c r="CC33" i="727"/>
  <c r="CC34" i="727"/>
  <c r="CC35" i="727"/>
  <c r="CC36" i="727"/>
  <c r="CC37" i="727"/>
  <c r="CC38" i="727"/>
  <c r="CC39" i="727"/>
  <c r="CC40" i="727"/>
  <c r="BV10" i="727"/>
  <c r="CD5" i="727"/>
  <c r="CA5" i="727"/>
  <c r="BY5" i="727"/>
  <c r="BY4" i="727"/>
  <c r="BY3" i="727"/>
  <c r="BP10" i="727"/>
  <c r="BP11" i="727"/>
  <c r="BP12" i="727"/>
  <c r="BP13" i="727"/>
  <c r="BP14" i="727"/>
  <c r="BP15" i="727"/>
  <c r="BP16" i="727"/>
  <c r="BP17" i="727"/>
  <c r="BP18" i="727"/>
  <c r="BP19" i="727"/>
  <c r="BP20" i="727"/>
  <c r="BP21" i="727"/>
  <c r="BP22" i="727"/>
  <c r="BP23" i="727"/>
  <c r="BP24" i="727"/>
  <c r="BP25" i="727"/>
  <c r="BP26" i="727"/>
  <c r="BP27" i="727"/>
  <c r="BP28" i="727"/>
  <c r="BP29" i="727"/>
  <c r="BP30" i="727"/>
  <c r="BP31" i="727"/>
  <c r="BP32" i="727"/>
  <c r="BP33" i="727"/>
  <c r="BP34" i="727"/>
  <c r="BP35" i="727"/>
  <c r="BP36" i="727"/>
  <c r="BP37" i="727"/>
  <c r="BP38" i="727"/>
  <c r="BP39" i="727"/>
  <c r="BP40" i="727"/>
  <c r="BK10" i="727"/>
  <c r="BK11" i="727"/>
  <c r="BK12" i="727"/>
  <c r="BK13" i="727"/>
  <c r="BK14" i="727"/>
  <c r="BK15" i="727"/>
  <c r="BK16" i="727"/>
  <c r="BK17" i="727"/>
  <c r="BK18" i="727"/>
  <c r="BK19" i="727"/>
  <c r="BK20" i="727"/>
  <c r="BK21" i="727"/>
  <c r="BK22" i="727"/>
  <c r="BK23" i="727"/>
  <c r="BK24" i="727"/>
  <c r="BK25" i="727"/>
  <c r="BK26" i="727"/>
  <c r="BK27" i="727"/>
  <c r="BK28" i="727"/>
  <c r="BK29" i="727"/>
  <c r="BK30" i="727"/>
  <c r="BK31" i="727"/>
  <c r="BK32" i="727"/>
  <c r="BK33" i="727"/>
  <c r="BK34" i="727"/>
  <c r="BK35" i="727"/>
  <c r="BK36" i="727"/>
  <c r="BK37" i="727"/>
  <c r="BK38" i="727"/>
  <c r="BK39" i="727"/>
  <c r="BK40" i="727"/>
  <c r="BD10" i="727"/>
  <c r="BE10" i="727" s="1"/>
  <c r="BL5" i="727"/>
  <c r="BI5" i="727"/>
  <c r="BG4" i="727"/>
  <c r="BG3" i="727"/>
  <c r="BG5" i="727" s="1"/>
  <c r="AX10" i="727"/>
  <c r="AX11" i="727"/>
  <c r="AX12" i="727"/>
  <c r="AX13" i="727"/>
  <c r="AX14" i="727"/>
  <c r="AX15" i="727"/>
  <c r="AX16" i="727"/>
  <c r="AX17" i="727"/>
  <c r="AX18" i="727"/>
  <c r="AX19" i="727"/>
  <c r="AX20" i="727"/>
  <c r="AX21" i="727"/>
  <c r="AX22" i="727"/>
  <c r="AX23" i="727"/>
  <c r="AX24" i="727"/>
  <c r="AX25" i="727"/>
  <c r="AX26" i="727"/>
  <c r="AX27" i="727"/>
  <c r="AX28" i="727"/>
  <c r="AX29" i="727"/>
  <c r="AX30" i="727"/>
  <c r="AX31" i="727"/>
  <c r="AX32" i="727"/>
  <c r="AX33" i="727"/>
  <c r="AX34" i="727"/>
  <c r="AX35" i="727"/>
  <c r="AX36" i="727"/>
  <c r="AX37" i="727"/>
  <c r="AX38" i="727"/>
  <c r="AX39" i="727"/>
  <c r="AX40" i="727"/>
  <c r="AS10" i="727"/>
  <c r="AS11" i="727"/>
  <c r="AS12" i="727"/>
  <c r="AS13" i="727"/>
  <c r="AS14" i="727"/>
  <c r="AS15" i="727"/>
  <c r="AS16" i="727"/>
  <c r="AS17" i="727"/>
  <c r="AS18" i="727"/>
  <c r="AS19" i="727"/>
  <c r="AR5" i="727" s="1" a="1"/>
  <c r="AR5" i="727" s="1"/>
  <c r="AS20" i="727"/>
  <c r="AS21" i="727"/>
  <c r="AS22" i="727"/>
  <c r="AS23" i="727"/>
  <c r="AS24" i="727"/>
  <c r="AS25" i="727"/>
  <c r="AS26" i="727"/>
  <c r="AS27" i="727"/>
  <c r="AS28" i="727"/>
  <c r="AS29" i="727"/>
  <c r="AS30" i="727"/>
  <c r="AS31" i="727"/>
  <c r="AS32" i="727"/>
  <c r="AS33" i="727"/>
  <c r="AS34" i="727"/>
  <c r="AS35" i="727"/>
  <c r="AS36" i="727"/>
  <c r="AS37" i="727"/>
  <c r="AS38" i="727"/>
  <c r="AS39" i="727"/>
  <c r="AS40" i="727"/>
  <c r="AL10" i="727"/>
  <c r="AL11" i="727" s="1"/>
  <c r="AT5" i="727"/>
  <c r="AQ5" i="727"/>
  <c r="AO5" i="727"/>
  <c r="AO4" i="727"/>
  <c r="AO3" i="727"/>
  <c r="T12" i="727"/>
  <c r="AF10" i="727"/>
  <c r="AF11" i="727"/>
  <c r="AF12" i="727"/>
  <c r="AF13" i="727"/>
  <c r="AF14" i="727"/>
  <c r="AF15" i="727"/>
  <c r="AF16" i="727"/>
  <c r="AF17" i="727"/>
  <c r="AF18" i="727"/>
  <c r="AF19" i="727"/>
  <c r="AF20" i="727"/>
  <c r="AF21" i="727"/>
  <c r="AF22" i="727"/>
  <c r="AF23" i="727"/>
  <c r="AF24" i="727"/>
  <c r="AF25" i="727"/>
  <c r="AF26" i="727"/>
  <c r="AF27" i="727"/>
  <c r="AF28" i="727"/>
  <c r="AF29" i="727"/>
  <c r="AF30" i="727"/>
  <c r="AF31" i="727"/>
  <c r="AF32" i="727"/>
  <c r="AF33" i="727"/>
  <c r="AF34" i="727"/>
  <c r="AF35" i="727"/>
  <c r="AF36" i="727"/>
  <c r="AF37" i="727"/>
  <c r="AF38" i="727"/>
  <c r="AF39" i="727"/>
  <c r="AF40" i="727"/>
  <c r="AA10" i="727"/>
  <c r="AA11" i="727"/>
  <c r="AA12" i="727"/>
  <c r="AA13" i="727"/>
  <c r="AA14" i="727"/>
  <c r="AA15" i="727"/>
  <c r="AA16" i="727"/>
  <c r="AA17" i="727"/>
  <c r="AA18" i="727"/>
  <c r="AA19" i="727"/>
  <c r="AA20" i="727"/>
  <c r="AA21" i="727"/>
  <c r="AA22" i="727"/>
  <c r="AA23" i="727"/>
  <c r="AA24" i="727"/>
  <c r="AA25" i="727"/>
  <c r="AA26" i="727"/>
  <c r="AA27" i="727"/>
  <c r="AA28" i="727"/>
  <c r="AA29" i="727"/>
  <c r="AA30" i="727"/>
  <c r="AA31" i="727"/>
  <c r="AA32" i="727"/>
  <c r="AA33" i="727"/>
  <c r="AA34" i="727"/>
  <c r="AA35" i="727"/>
  <c r="AA36" i="727"/>
  <c r="AA37" i="727"/>
  <c r="AA38" i="727"/>
  <c r="AA39" i="727"/>
  <c r="AA40" i="727"/>
  <c r="U10" i="727"/>
  <c r="U11" i="727"/>
  <c r="T10" i="727"/>
  <c r="T11" i="727" s="1"/>
  <c r="AB5" i="727"/>
  <c r="Y5" i="727"/>
  <c r="W4" i="727"/>
  <c r="W3" i="727"/>
  <c r="W5" i="727" s="1"/>
  <c r="B11" i="727"/>
  <c r="C11" i="727" s="1"/>
  <c r="N10" i="727"/>
  <c r="N11" i="727"/>
  <c r="N12" i="727"/>
  <c r="N13" i="727"/>
  <c r="N14" i="727"/>
  <c r="N15" i="727"/>
  <c r="N16" i="727"/>
  <c r="N17" i="727"/>
  <c r="N18" i="727"/>
  <c r="N19" i="727"/>
  <c r="N20" i="727"/>
  <c r="N21" i="727"/>
  <c r="N22" i="727"/>
  <c r="N23" i="727"/>
  <c r="N24" i="727"/>
  <c r="N25" i="727"/>
  <c r="N26" i="727"/>
  <c r="N27" i="727"/>
  <c r="N28" i="727"/>
  <c r="N29" i="727"/>
  <c r="N30" i="727"/>
  <c r="N31" i="727"/>
  <c r="N32" i="727"/>
  <c r="N33" i="727"/>
  <c r="N34" i="727"/>
  <c r="N35" i="727"/>
  <c r="N36" i="727"/>
  <c r="N37" i="727"/>
  <c r="N38" i="727"/>
  <c r="N39" i="727"/>
  <c r="N40" i="727"/>
  <c r="I10" i="727"/>
  <c r="I11" i="727"/>
  <c r="I12" i="727"/>
  <c r="I13" i="727"/>
  <c r="I14" i="727"/>
  <c r="I15" i="727"/>
  <c r="I16" i="727"/>
  <c r="I17" i="727"/>
  <c r="I18" i="727"/>
  <c r="I19" i="727"/>
  <c r="I20" i="727"/>
  <c r="I21" i="727"/>
  <c r="I22" i="727"/>
  <c r="I23" i="727"/>
  <c r="I24" i="727"/>
  <c r="I25" i="727"/>
  <c r="I26" i="727"/>
  <c r="I27" i="727"/>
  <c r="I28" i="727"/>
  <c r="I29" i="727"/>
  <c r="I30" i="727"/>
  <c r="I31" i="727"/>
  <c r="I32" i="727"/>
  <c r="I33" i="727"/>
  <c r="I34" i="727"/>
  <c r="I35" i="727"/>
  <c r="I36" i="727"/>
  <c r="I37" i="727"/>
  <c r="I38" i="727"/>
  <c r="I39" i="727"/>
  <c r="I40" i="727"/>
  <c r="C10" i="727"/>
  <c r="B10" i="727"/>
  <c r="J5" i="727"/>
  <c r="G5" i="727"/>
  <c r="E5" i="727"/>
  <c r="E4" i="727"/>
  <c r="E3" i="727"/>
  <c r="HD10" i="725"/>
  <c r="HA5" i="725" s="1" a="1"/>
  <c r="HA5" i="725" s="1"/>
  <c r="HD11" i="725"/>
  <c r="HD12" i="725"/>
  <c r="HD13" i="725"/>
  <c r="HD14" i="725"/>
  <c r="HD15" i="725"/>
  <c r="HD16" i="725"/>
  <c r="HD17" i="725"/>
  <c r="HD18" i="725"/>
  <c r="HD19" i="725"/>
  <c r="HD20" i="725"/>
  <c r="HD21" i="725"/>
  <c r="HD22" i="725"/>
  <c r="HD23" i="725"/>
  <c r="HD24" i="725"/>
  <c r="HD25" i="725"/>
  <c r="HD26" i="725"/>
  <c r="HD27" i="725"/>
  <c r="HD28" i="725"/>
  <c r="HD29" i="725"/>
  <c r="HD30" i="725"/>
  <c r="HD31" i="725"/>
  <c r="HD32" i="725"/>
  <c r="HD33" i="725"/>
  <c r="HD34" i="725"/>
  <c r="HD35" i="725"/>
  <c r="HD36" i="725"/>
  <c r="HD37" i="725"/>
  <c r="HD38" i="725"/>
  <c r="HD39" i="725"/>
  <c r="HD40" i="725"/>
  <c r="GY10" i="725"/>
  <c r="GY11" i="725"/>
  <c r="GY12" i="725"/>
  <c r="GY13" i="725"/>
  <c r="GY14" i="725"/>
  <c r="GY15" i="725"/>
  <c r="GY16" i="725"/>
  <c r="GY17" i="725"/>
  <c r="GY18" i="725"/>
  <c r="GY19" i="725"/>
  <c r="GY20" i="725"/>
  <c r="GY21" i="725"/>
  <c r="GY22" i="725"/>
  <c r="GY23" i="725"/>
  <c r="GY24" i="725"/>
  <c r="GY25" i="725"/>
  <c r="GY26" i="725"/>
  <c r="GY27" i="725"/>
  <c r="GY28" i="725"/>
  <c r="GY29" i="725"/>
  <c r="GY30" i="725"/>
  <c r="GY31" i="725"/>
  <c r="GY32" i="725"/>
  <c r="GY33" i="725"/>
  <c r="GY34" i="725"/>
  <c r="GY35" i="725"/>
  <c r="GY36" i="725"/>
  <c r="GY37" i="725"/>
  <c r="GY38" i="725"/>
  <c r="GY39" i="725"/>
  <c r="GY40" i="725"/>
  <c r="GR10" i="725"/>
  <c r="GZ5" i="725"/>
  <c r="GX5" i="725" a="1"/>
  <c r="GX5" i="725" s="1"/>
  <c r="GW5" i="725"/>
  <c r="GU4" i="725"/>
  <c r="GU3" i="725"/>
  <c r="GU5" i="725" s="1"/>
  <c r="FZ11" i="725"/>
  <c r="GA11" i="725" s="1"/>
  <c r="FZ12" i="725"/>
  <c r="GA12" i="725" s="1"/>
  <c r="FZ13" i="725"/>
  <c r="FZ14" i="725"/>
  <c r="FZ15" i="725"/>
  <c r="GA15" i="725" s="1"/>
  <c r="FZ16" i="725"/>
  <c r="GA16" i="725" s="1"/>
  <c r="FZ17" i="725"/>
  <c r="GA17" i="725" s="1"/>
  <c r="FZ18" i="725"/>
  <c r="GA18" i="725" s="1"/>
  <c r="FZ19" i="725"/>
  <c r="GA19" i="725" s="1"/>
  <c r="FZ20" i="725"/>
  <c r="GA20" i="725" s="1"/>
  <c r="FZ21" i="725"/>
  <c r="GL10" i="725"/>
  <c r="GL11" i="725"/>
  <c r="GL12" i="725"/>
  <c r="GL13" i="725"/>
  <c r="GL14" i="725"/>
  <c r="GL15" i="725"/>
  <c r="GL16" i="725"/>
  <c r="GL17" i="725"/>
  <c r="GL18" i="725"/>
  <c r="GL19" i="725"/>
  <c r="GL20" i="725"/>
  <c r="GL21" i="725"/>
  <c r="GL22" i="725"/>
  <c r="GL23" i="725"/>
  <c r="GL24" i="725"/>
  <c r="GL25" i="725"/>
  <c r="GL26" i="725"/>
  <c r="GL27" i="725"/>
  <c r="GL28" i="725"/>
  <c r="GL29" i="725"/>
  <c r="GL30" i="725"/>
  <c r="GL31" i="725"/>
  <c r="GL32" i="725"/>
  <c r="GL33" i="725"/>
  <c r="GL34" i="725"/>
  <c r="GL35" i="725"/>
  <c r="GL36" i="725"/>
  <c r="GL37" i="725"/>
  <c r="GL38" i="725"/>
  <c r="GL39" i="725"/>
  <c r="GL40" i="725"/>
  <c r="GG10" i="725"/>
  <c r="GG11" i="725"/>
  <c r="GG12" i="725"/>
  <c r="GG13" i="725"/>
  <c r="GG14" i="725"/>
  <c r="GG15" i="725"/>
  <c r="GG16" i="725"/>
  <c r="GG17" i="725"/>
  <c r="GG18" i="725"/>
  <c r="GG19" i="725"/>
  <c r="GG20" i="725"/>
  <c r="GG21" i="725"/>
  <c r="GG22" i="725"/>
  <c r="GG23" i="725"/>
  <c r="GG24" i="725"/>
  <c r="GG25" i="725"/>
  <c r="GG26" i="725"/>
  <c r="GG27" i="725"/>
  <c r="GG28" i="725"/>
  <c r="GG29" i="725"/>
  <c r="GG30" i="725"/>
  <c r="GG31" i="725"/>
  <c r="GG32" i="725"/>
  <c r="GG33" i="725"/>
  <c r="GG34" i="725"/>
  <c r="GG35" i="725"/>
  <c r="GG36" i="725"/>
  <c r="GG37" i="725"/>
  <c r="GG38" i="725"/>
  <c r="GG39" i="725"/>
  <c r="GG40" i="725"/>
  <c r="GA13" i="725"/>
  <c r="GA14" i="725"/>
  <c r="FZ10" i="725"/>
  <c r="GA10" i="725" s="1"/>
  <c r="GH5" i="725"/>
  <c r="GE5" i="725"/>
  <c r="GC4" i="725"/>
  <c r="GC3" i="725"/>
  <c r="GC5" i="725" s="1"/>
  <c r="FH11" i="725"/>
  <c r="FI11" i="725" s="1"/>
  <c r="FH12" i="725"/>
  <c r="FI12" i="725" s="1"/>
  <c r="FH13" i="725"/>
  <c r="FI13" i="725" s="1"/>
  <c r="FH14" i="725"/>
  <c r="FI14" i="725" s="1"/>
  <c r="FH15" i="725"/>
  <c r="FI15" i="725" s="1"/>
  <c r="FH16" i="725"/>
  <c r="FT10" i="725"/>
  <c r="FT11" i="725"/>
  <c r="FT12" i="725"/>
  <c r="FT13" i="725"/>
  <c r="FT14" i="725"/>
  <c r="FT15" i="725"/>
  <c r="FT16" i="725"/>
  <c r="FT17" i="725"/>
  <c r="FT18" i="725"/>
  <c r="FT19" i="725"/>
  <c r="FT20" i="725"/>
  <c r="FT21" i="725"/>
  <c r="FT22" i="725"/>
  <c r="FT23" i="725"/>
  <c r="FT24" i="725"/>
  <c r="FT25" i="725"/>
  <c r="FT26" i="725"/>
  <c r="FT27" i="725"/>
  <c r="FT28" i="725"/>
  <c r="FT29" i="725"/>
  <c r="FT30" i="725"/>
  <c r="FT31" i="725"/>
  <c r="FT32" i="725"/>
  <c r="FT33" i="725"/>
  <c r="FT34" i="725"/>
  <c r="FT35" i="725"/>
  <c r="FT36" i="725"/>
  <c r="FT37" i="725"/>
  <c r="FT38" i="725"/>
  <c r="FT39" i="725"/>
  <c r="FT40" i="725"/>
  <c r="FO10" i="725"/>
  <c r="FN5" i="725" s="1" a="1"/>
  <c r="FN5" i="725" s="1"/>
  <c r="FO11" i="725"/>
  <c r="FO12" i="725"/>
  <c r="FO13" i="725"/>
  <c r="FO14" i="725"/>
  <c r="FO15" i="725"/>
  <c r="FO16" i="725"/>
  <c r="FO17" i="725"/>
  <c r="FO18" i="725"/>
  <c r="FO19" i="725"/>
  <c r="FO20" i="725"/>
  <c r="FO21" i="725"/>
  <c r="FO22" i="725"/>
  <c r="FO23" i="725"/>
  <c r="FO24" i="725"/>
  <c r="FO25" i="725"/>
  <c r="FO26" i="725"/>
  <c r="FO27" i="725"/>
  <c r="FO28" i="725"/>
  <c r="FO29" i="725"/>
  <c r="FO30" i="725"/>
  <c r="FO31" i="725"/>
  <c r="FO32" i="725"/>
  <c r="FO33" i="725"/>
  <c r="FO34" i="725"/>
  <c r="FO35" i="725"/>
  <c r="FO36" i="725"/>
  <c r="FO37" i="725"/>
  <c r="FO38" i="725"/>
  <c r="FO39" i="725"/>
  <c r="FO40" i="725"/>
  <c r="FI10" i="725"/>
  <c r="FH10" i="725"/>
  <c r="FP5" i="725"/>
  <c r="FM5" i="725"/>
  <c r="FK4" i="725"/>
  <c r="FK3" i="725"/>
  <c r="FK5" i="725" s="1"/>
  <c r="EP11" i="725"/>
  <c r="FB10" i="725"/>
  <c r="FB11" i="725"/>
  <c r="FB12" i="725"/>
  <c r="FB13" i="725"/>
  <c r="FB14" i="725"/>
  <c r="FB15" i="725"/>
  <c r="FB16" i="725"/>
  <c r="FB17" i="725"/>
  <c r="FB18" i="725"/>
  <c r="FB19" i="725"/>
  <c r="FB20" i="725"/>
  <c r="FB21" i="725"/>
  <c r="FB22" i="725"/>
  <c r="FB23" i="725"/>
  <c r="FB24" i="725"/>
  <c r="FB25" i="725"/>
  <c r="FB26" i="725"/>
  <c r="FB27" i="725"/>
  <c r="FB28" i="725"/>
  <c r="FB29" i="725"/>
  <c r="FB30" i="725"/>
  <c r="FB31" i="725"/>
  <c r="FB32" i="725"/>
  <c r="FB33" i="725"/>
  <c r="FB34" i="725"/>
  <c r="FB35" i="725"/>
  <c r="FB36" i="725"/>
  <c r="FB37" i="725"/>
  <c r="FB38" i="725"/>
  <c r="FB39" i="725"/>
  <c r="FB40" i="725"/>
  <c r="EW10" i="725"/>
  <c r="EW11" i="725"/>
  <c r="EW12" i="725"/>
  <c r="EW13" i="725"/>
  <c r="EW14" i="725"/>
  <c r="EW15" i="725"/>
  <c r="EW16" i="725"/>
  <c r="EW17" i="725"/>
  <c r="EW18" i="725"/>
  <c r="EW19" i="725"/>
  <c r="EW20" i="725"/>
  <c r="EW21" i="725"/>
  <c r="EW22" i="725"/>
  <c r="EW23" i="725"/>
  <c r="EW24" i="725"/>
  <c r="EW25" i="725"/>
  <c r="EW26" i="725"/>
  <c r="EW27" i="725"/>
  <c r="EW28" i="725"/>
  <c r="EW29" i="725"/>
  <c r="EW30" i="725"/>
  <c r="EW31" i="725"/>
  <c r="EW32" i="725"/>
  <c r="EW33" i="725"/>
  <c r="EW34" i="725"/>
  <c r="EW35" i="725"/>
  <c r="EW36" i="725"/>
  <c r="EW37" i="725"/>
  <c r="EW38" i="725"/>
  <c r="EW39" i="725"/>
  <c r="EW40" i="725"/>
  <c r="EP10" i="725"/>
  <c r="EQ10" i="725" s="1"/>
  <c r="EX5" i="725"/>
  <c r="EU5" i="725"/>
  <c r="ES4" i="725"/>
  <c r="ES3" i="725"/>
  <c r="ES5" i="725" s="1"/>
  <c r="EJ10" i="725"/>
  <c r="EJ11" i="725"/>
  <c r="EJ12" i="725"/>
  <c r="EJ13" i="725"/>
  <c r="EJ14" i="725"/>
  <c r="EJ15" i="725"/>
  <c r="EJ16" i="725"/>
  <c r="EJ17" i="725"/>
  <c r="EJ18" i="725"/>
  <c r="EJ19" i="725"/>
  <c r="EJ20" i="725"/>
  <c r="EJ21" i="725"/>
  <c r="EJ22" i="725"/>
  <c r="EJ23" i="725"/>
  <c r="EJ24" i="725"/>
  <c r="EJ25" i="725"/>
  <c r="EJ26" i="725"/>
  <c r="EJ27" i="725"/>
  <c r="EJ28" i="725"/>
  <c r="EJ29" i="725"/>
  <c r="EJ30" i="725"/>
  <c r="EJ31" i="725"/>
  <c r="EJ32" i="725"/>
  <c r="EJ33" i="725"/>
  <c r="EJ34" i="725"/>
  <c r="EJ35" i="725"/>
  <c r="EJ36" i="725"/>
  <c r="EJ37" i="725"/>
  <c r="EJ38" i="725"/>
  <c r="EJ39" i="725"/>
  <c r="EJ40" i="725"/>
  <c r="EE10" i="725"/>
  <c r="EE11" i="725"/>
  <c r="EE12" i="725"/>
  <c r="EE13" i="725"/>
  <c r="EE14" i="725"/>
  <c r="EE15" i="725"/>
  <c r="EE16" i="725"/>
  <c r="EE17" i="725"/>
  <c r="EE18" i="725"/>
  <c r="EE19" i="725"/>
  <c r="EE20" i="725"/>
  <c r="EE21" i="725"/>
  <c r="EE22" i="725"/>
  <c r="EE23" i="725"/>
  <c r="EE24" i="725"/>
  <c r="EE25" i="725"/>
  <c r="EE26" i="725"/>
  <c r="EE27" i="725"/>
  <c r="EE28" i="725"/>
  <c r="EE29" i="725"/>
  <c r="EE30" i="725"/>
  <c r="EE31" i="725"/>
  <c r="EE32" i="725"/>
  <c r="EE33" i="725"/>
  <c r="EE34" i="725"/>
  <c r="EE35" i="725"/>
  <c r="EE36" i="725"/>
  <c r="EE37" i="725"/>
  <c r="EE38" i="725"/>
  <c r="EE39" i="725"/>
  <c r="EE40" i="725"/>
  <c r="DX10" i="725"/>
  <c r="DY10" i="725" s="1"/>
  <c r="EF5" i="725"/>
  <c r="EC5" i="725"/>
  <c r="EA4" i="725"/>
  <c r="EA3" i="725"/>
  <c r="EA5" i="725" s="1"/>
  <c r="DR10" i="725"/>
  <c r="DR11" i="725"/>
  <c r="DR12" i="725"/>
  <c r="DR13" i="725"/>
  <c r="DR14" i="725"/>
  <c r="DR15" i="725"/>
  <c r="DR16" i="725"/>
  <c r="DR17" i="725"/>
  <c r="DR18" i="725"/>
  <c r="DR19" i="725"/>
  <c r="DR20" i="725"/>
  <c r="DR21" i="725"/>
  <c r="DR22" i="725"/>
  <c r="DR23" i="725"/>
  <c r="DR24" i="725"/>
  <c r="DR25" i="725"/>
  <c r="DR26" i="725"/>
  <c r="DR27" i="725"/>
  <c r="DR28" i="725"/>
  <c r="DR29" i="725"/>
  <c r="DR30" i="725"/>
  <c r="DR31" i="725"/>
  <c r="DR32" i="725"/>
  <c r="DR33" i="725"/>
  <c r="DR34" i="725"/>
  <c r="DR35" i="725"/>
  <c r="DR36" i="725"/>
  <c r="DR37" i="725"/>
  <c r="DR38" i="725"/>
  <c r="DR39" i="725"/>
  <c r="DR40" i="725"/>
  <c r="DM10" i="725"/>
  <c r="DM11" i="725"/>
  <c r="DM12" i="725"/>
  <c r="DM13" i="725"/>
  <c r="DM14" i="725"/>
  <c r="DM15" i="725"/>
  <c r="DM16" i="725"/>
  <c r="DM17" i="725"/>
  <c r="DM18" i="725"/>
  <c r="DM19" i="725"/>
  <c r="DM20" i="725"/>
  <c r="DM21" i="725"/>
  <c r="DM22" i="725"/>
  <c r="DM23" i="725"/>
  <c r="DM24" i="725"/>
  <c r="DM25" i="725"/>
  <c r="DM26" i="725"/>
  <c r="DM27" i="725"/>
  <c r="DM28" i="725"/>
  <c r="DM29" i="725"/>
  <c r="DM30" i="725"/>
  <c r="DM31" i="725"/>
  <c r="DM32" i="725"/>
  <c r="DM33" i="725"/>
  <c r="DM34" i="725"/>
  <c r="DM35" i="725"/>
  <c r="DM36" i="725"/>
  <c r="DM37" i="725"/>
  <c r="DM38" i="725"/>
  <c r="DM39" i="725"/>
  <c r="DM40" i="725"/>
  <c r="DF10" i="725"/>
  <c r="DG10" i="725" s="1"/>
  <c r="DO5" i="725" a="1"/>
  <c r="DO5" i="725"/>
  <c r="DN5" i="725"/>
  <c r="DL5" i="725" a="1"/>
  <c r="DL5" i="725" s="1"/>
  <c r="DK5" i="725"/>
  <c r="DI4" i="725"/>
  <c r="DI3" i="725"/>
  <c r="DI5" i="725" s="1"/>
  <c r="CN11" i="725"/>
  <c r="CN12" i="725"/>
  <c r="CN13" i="725" s="1"/>
  <c r="CN14" i="725" s="1"/>
  <c r="CN15" i="725" s="1"/>
  <c r="CN16" i="725"/>
  <c r="CO16" i="725" s="1"/>
  <c r="CN17" i="725"/>
  <c r="CO17" i="725" s="1"/>
  <c r="CN18" i="725"/>
  <c r="CO18" i="725" s="1"/>
  <c r="CN19" i="725"/>
  <c r="CO19" i="725" s="1"/>
  <c r="CN20" i="725"/>
  <c r="CO20" i="725" s="1"/>
  <c r="CN21" i="725"/>
  <c r="CO21" i="725" s="1"/>
  <c r="CN22" i="725"/>
  <c r="CO22" i="725" s="1"/>
  <c r="CN23" i="725"/>
  <c r="CO23" i="725" s="1"/>
  <c r="CN24" i="725"/>
  <c r="CO24" i="725" s="1"/>
  <c r="CN25" i="725"/>
  <c r="CZ10" i="725"/>
  <c r="CZ11" i="725"/>
  <c r="CZ12" i="725"/>
  <c r="CZ13" i="725"/>
  <c r="CZ14" i="725"/>
  <c r="CZ15" i="725"/>
  <c r="CZ16" i="725"/>
  <c r="CZ17" i="725"/>
  <c r="CZ18" i="725"/>
  <c r="CZ19" i="725"/>
  <c r="CZ20" i="725"/>
  <c r="CZ21" i="725"/>
  <c r="CZ22" i="725"/>
  <c r="CZ23" i="725"/>
  <c r="CZ24" i="725"/>
  <c r="CZ25" i="725"/>
  <c r="CZ26" i="725"/>
  <c r="CZ27" i="725"/>
  <c r="CZ28" i="725"/>
  <c r="CZ29" i="725"/>
  <c r="CZ30" i="725"/>
  <c r="CZ31" i="725"/>
  <c r="CZ32" i="725"/>
  <c r="CZ33" i="725"/>
  <c r="CZ34" i="725"/>
  <c r="CZ35" i="725"/>
  <c r="CZ36" i="725"/>
  <c r="CZ37" i="725"/>
  <c r="CZ38" i="725"/>
  <c r="CZ39" i="725"/>
  <c r="CZ40" i="725"/>
  <c r="CU10" i="725"/>
  <c r="CU11" i="725"/>
  <c r="CU12" i="725"/>
  <c r="CU13" i="725"/>
  <c r="CT5" i="725" s="1" a="1"/>
  <c r="CT5" i="725" s="1"/>
  <c r="CU14" i="725"/>
  <c r="CU15" i="725"/>
  <c r="CU16" i="725"/>
  <c r="CU17" i="725"/>
  <c r="CU18" i="725"/>
  <c r="CU19" i="725"/>
  <c r="CU20" i="725"/>
  <c r="CU21" i="725"/>
  <c r="CU22" i="725"/>
  <c r="CU23" i="725"/>
  <c r="CU24" i="725"/>
  <c r="CU25" i="725"/>
  <c r="CU26" i="725"/>
  <c r="CU27" i="725"/>
  <c r="CU28" i="725"/>
  <c r="CU29" i="725"/>
  <c r="CU30" i="725"/>
  <c r="CU31" i="725"/>
  <c r="CU32" i="725"/>
  <c r="CU33" i="725"/>
  <c r="CU34" i="725"/>
  <c r="CU35" i="725"/>
  <c r="CU36" i="725"/>
  <c r="CU37" i="725"/>
  <c r="CU38" i="725"/>
  <c r="CU39" i="725"/>
  <c r="CU40" i="725"/>
  <c r="CO10" i="725"/>
  <c r="CO11" i="725"/>
  <c r="CO12" i="725"/>
  <c r="CO13" i="725"/>
  <c r="CO14" i="725"/>
  <c r="CO15" i="725"/>
  <c r="CN10" i="725"/>
  <c r="CV5" i="725"/>
  <c r="CS5" i="725"/>
  <c r="CQ4" i="725"/>
  <c r="CQ3" i="725"/>
  <c r="CQ5" i="725" s="1"/>
  <c r="BV11" i="725"/>
  <c r="BW11" i="725" s="1"/>
  <c r="BV12" i="725"/>
  <c r="BW12" i="725" s="1"/>
  <c r="BV13" i="725"/>
  <c r="BW13" i="725" s="1"/>
  <c r="BV14" i="725"/>
  <c r="CH10" i="725"/>
  <c r="CH11" i="725"/>
  <c r="CH12" i="725"/>
  <c r="CH13" i="725"/>
  <c r="CH14" i="725"/>
  <c r="CH15" i="725"/>
  <c r="CH16" i="725"/>
  <c r="CH17" i="725"/>
  <c r="CH18" i="725"/>
  <c r="CH19" i="725"/>
  <c r="CH20" i="725"/>
  <c r="CH21" i="725"/>
  <c r="CH22" i="725"/>
  <c r="CH23" i="725"/>
  <c r="CH24" i="725"/>
  <c r="CH25" i="725"/>
  <c r="CH26" i="725"/>
  <c r="CH27" i="725"/>
  <c r="CH28" i="725"/>
  <c r="CH29" i="725"/>
  <c r="CH30" i="725"/>
  <c r="CH31" i="725"/>
  <c r="CH32" i="725"/>
  <c r="CH33" i="725"/>
  <c r="CH34" i="725"/>
  <c r="CH35" i="725"/>
  <c r="CH36" i="725"/>
  <c r="CH37" i="725"/>
  <c r="CH38" i="725"/>
  <c r="CH39" i="725"/>
  <c r="CH40" i="725"/>
  <c r="CC10" i="725"/>
  <c r="CC11" i="725"/>
  <c r="CC12" i="725"/>
  <c r="CC13" i="725"/>
  <c r="CC14" i="725"/>
  <c r="CC15" i="725"/>
  <c r="CC16" i="725"/>
  <c r="CC17" i="725"/>
  <c r="CC18" i="725"/>
  <c r="CC19" i="725"/>
  <c r="CC20" i="725"/>
  <c r="CC21" i="725"/>
  <c r="CC22" i="725"/>
  <c r="CC23" i="725"/>
  <c r="CC24" i="725"/>
  <c r="CC25" i="725"/>
  <c r="CC26" i="725"/>
  <c r="CC27" i="725"/>
  <c r="CC28" i="725"/>
  <c r="CC29" i="725"/>
  <c r="CC30" i="725"/>
  <c r="CC31" i="725"/>
  <c r="CC32" i="725"/>
  <c r="CC33" i="725"/>
  <c r="CC34" i="725"/>
  <c r="CC35" i="725"/>
  <c r="CC36" i="725"/>
  <c r="CC37" i="725"/>
  <c r="CC38" i="725"/>
  <c r="CC39" i="725"/>
  <c r="CC40" i="725"/>
  <c r="BV10" i="725"/>
  <c r="BW10" i="725" s="1"/>
  <c r="CD5" i="725"/>
  <c r="CA5" i="725"/>
  <c r="BY4" i="725"/>
  <c r="BY3" i="725"/>
  <c r="BY5" i="725" s="1"/>
  <c r="BD11" i="725"/>
  <c r="BD12" i="725"/>
  <c r="BD13" i="725"/>
  <c r="BD14" i="725"/>
  <c r="BD15" i="725"/>
  <c r="BE15" i="725" s="1"/>
  <c r="BD16" i="725"/>
  <c r="BE16" i="725" s="1"/>
  <c r="BD17" i="725"/>
  <c r="BE17" i="725" s="1"/>
  <c r="BD18" i="725"/>
  <c r="BP10" i="725"/>
  <c r="BM5" i="725" s="1" a="1"/>
  <c r="BM5" i="725" s="1"/>
  <c r="BP11" i="725"/>
  <c r="BP12" i="725"/>
  <c r="BP13" i="725"/>
  <c r="BP14" i="725"/>
  <c r="BP15" i="725"/>
  <c r="BP16" i="725"/>
  <c r="BP17" i="725"/>
  <c r="BP18" i="725"/>
  <c r="BP19" i="725"/>
  <c r="BP20" i="725"/>
  <c r="BP21" i="725"/>
  <c r="BP22" i="725"/>
  <c r="BP23" i="725"/>
  <c r="BP24" i="725"/>
  <c r="BP25" i="725"/>
  <c r="BP26" i="725"/>
  <c r="BP27" i="725"/>
  <c r="BP28" i="725"/>
  <c r="BP29" i="725"/>
  <c r="BP30" i="725"/>
  <c r="BP31" i="725"/>
  <c r="BP32" i="725"/>
  <c r="BP33" i="725"/>
  <c r="BP34" i="725"/>
  <c r="BP35" i="725"/>
  <c r="BP36" i="725"/>
  <c r="BP37" i="725"/>
  <c r="BP38" i="725"/>
  <c r="BP39" i="725"/>
  <c r="BP40" i="725"/>
  <c r="BK10" i="725"/>
  <c r="BK11" i="725"/>
  <c r="BK12" i="725"/>
  <c r="BK13" i="725"/>
  <c r="BK14" i="725"/>
  <c r="BK15" i="725"/>
  <c r="BK16" i="725"/>
  <c r="BK17" i="725"/>
  <c r="BK18" i="725"/>
  <c r="BK19" i="725"/>
  <c r="BJ5" i="725" s="1" a="1"/>
  <c r="BJ5" i="725" s="1"/>
  <c r="BK20" i="725"/>
  <c r="BK21" i="725"/>
  <c r="BK22" i="725"/>
  <c r="BK23" i="725"/>
  <c r="BK24" i="725"/>
  <c r="BK25" i="725"/>
  <c r="BK26" i="725"/>
  <c r="BK27" i="725"/>
  <c r="BK28" i="725"/>
  <c r="BK29" i="725"/>
  <c r="BK30" i="725"/>
  <c r="BK31" i="725"/>
  <c r="BK32" i="725"/>
  <c r="BK33" i="725"/>
  <c r="BK34" i="725"/>
  <c r="BK35" i="725"/>
  <c r="BK36" i="725"/>
  <c r="BK37" i="725"/>
  <c r="BK38" i="725"/>
  <c r="BK39" i="725"/>
  <c r="BK40" i="725"/>
  <c r="BE10" i="725"/>
  <c r="BE11" i="725"/>
  <c r="BE12" i="725"/>
  <c r="BE13" i="725"/>
  <c r="BE14" i="725"/>
  <c r="BD10" i="725"/>
  <c r="BL5" i="725"/>
  <c r="BI5" i="725"/>
  <c r="BG4" i="725"/>
  <c r="BG3" i="725"/>
  <c r="BG5" i="725" s="1"/>
  <c r="AL11" i="725"/>
  <c r="AM11" i="725" s="1"/>
  <c r="AL12" i="725"/>
  <c r="AL13" i="725" s="1"/>
  <c r="AL14" i="725" s="1"/>
  <c r="AL15" i="725" s="1"/>
  <c r="AX10" i="725"/>
  <c r="AX11" i="725"/>
  <c r="AX12" i="725"/>
  <c r="AX13" i="725"/>
  <c r="AX14" i="725"/>
  <c r="AX15" i="725"/>
  <c r="AX16" i="725"/>
  <c r="AX17" i="725"/>
  <c r="AX18" i="725"/>
  <c r="AX19" i="725"/>
  <c r="AX20" i="725"/>
  <c r="AX21" i="725"/>
  <c r="AX22" i="725"/>
  <c r="AX23" i="725"/>
  <c r="AX24" i="725"/>
  <c r="AX25" i="725"/>
  <c r="AX26" i="725"/>
  <c r="AX27" i="725"/>
  <c r="AX28" i="725"/>
  <c r="AX29" i="725"/>
  <c r="AX30" i="725"/>
  <c r="AX31" i="725"/>
  <c r="AX32" i="725"/>
  <c r="AX33" i="725"/>
  <c r="AX34" i="725"/>
  <c r="AX35" i="725"/>
  <c r="AX36" i="725"/>
  <c r="AX37" i="725"/>
  <c r="AX38" i="725"/>
  <c r="AX39" i="725"/>
  <c r="AX40" i="725"/>
  <c r="AS10" i="725"/>
  <c r="AS11" i="725"/>
  <c r="AS12" i="725"/>
  <c r="AS13" i="725"/>
  <c r="AS14" i="725"/>
  <c r="AS15" i="725"/>
  <c r="AS16" i="725"/>
  <c r="AS17" i="725"/>
  <c r="AS18" i="725"/>
  <c r="AS19" i="725"/>
  <c r="AS20" i="725"/>
  <c r="AS21" i="725"/>
  <c r="AS22" i="725"/>
  <c r="AS23" i="725"/>
  <c r="AS24" i="725"/>
  <c r="AS25" i="725"/>
  <c r="AS26" i="725"/>
  <c r="AS27" i="725"/>
  <c r="AS28" i="725"/>
  <c r="AS29" i="725"/>
  <c r="AS30" i="725"/>
  <c r="AS31" i="725"/>
  <c r="AS32" i="725"/>
  <c r="AS33" i="725"/>
  <c r="AS34" i="725"/>
  <c r="AS35" i="725"/>
  <c r="AS36" i="725"/>
  <c r="AS37" i="725"/>
  <c r="AS38" i="725"/>
  <c r="AS39" i="725"/>
  <c r="AS40" i="725"/>
  <c r="AL10" i="725"/>
  <c r="AM10" i="725" s="1"/>
  <c r="AT5" i="725"/>
  <c r="AQ5" i="725"/>
  <c r="AO5" i="725"/>
  <c r="AO4" i="725"/>
  <c r="AO3" i="725"/>
  <c r="AF10" i="725"/>
  <c r="AF11" i="725"/>
  <c r="AF12" i="725"/>
  <c r="AF13" i="725"/>
  <c r="AF14" i="725"/>
  <c r="AF15" i="725"/>
  <c r="AF16" i="725"/>
  <c r="AF17" i="725"/>
  <c r="AF18" i="725"/>
  <c r="AF19" i="725"/>
  <c r="AF20" i="725"/>
  <c r="AF21" i="725"/>
  <c r="AF22" i="725"/>
  <c r="AF23" i="725"/>
  <c r="AF24" i="725"/>
  <c r="AF25" i="725"/>
  <c r="AF26" i="725"/>
  <c r="AF27" i="725"/>
  <c r="AF28" i="725"/>
  <c r="AF29" i="725"/>
  <c r="AF30" i="725"/>
  <c r="AF31" i="725"/>
  <c r="AF32" i="725"/>
  <c r="AF33" i="725"/>
  <c r="AF34" i="725"/>
  <c r="AF35" i="725"/>
  <c r="AF36" i="725"/>
  <c r="AF37" i="725"/>
  <c r="AF38" i="725"/>
  <c r="AF39" i="725"/>
  <c r="AF40" i="725"/>
  <c r="AA10" i="725"/>
  <c r="AA11" i="725"/>
  <c r="AA12" i="725"/>
  <c r="AA13" i="725"/>
  <c r="AA14" i="725"/>
  <c r="AA15" i="725"/>
  <c r="AA16" i="725"/>
  <c r="AA17" i="725"/>
  <c r="AA18" i="725"/>
  <c r="AA19" i="725"/>
  <c r="AA20" i="725"/>
  <c r="AA21" i="725"/>
  <c r="AA22" i="725"/>
  <c r="AA23" i="725"/>
  <c r="AA24" i="725"/>
  <c r="AA25" i="725"/>
  <c r="AA26" i="725"/>
  <c r="AA27" i="725"/>
  <c r="AA28" i="725"/>
  <c r="AA29" i="725"/>
  <c r="AA30" i="725"/>
  <c r="AA31" i="725"/>
  <c r="AA32" i="725"/>
  <c r="AA33" i="725"/>
  <c r="AA34" i="725"/>
  <c r="AA35" i="725"/>
  <c r="AA36" i="725"/>
  <c r="AA37" i="725"/>
  <c r="AA38" i="725"/>
  <c r="AA39" i="725"/>
  <c r="AA40" i="725"/>
  <c r="U10" i="725"/>
  <c r="T10" i="725"/>
  <c r="T11" i="725" s="1"/>
  <c r="U11" i="725" s="1"/>
  <c r="AB5" i="725"/>
  <c r="Y5" i="725"/>
  <c r="W4" i="725"/>
  <c r="W3" i="725"/>
  <c r="W5" i="725" s="1"/>
  <c r="B11" i="725"/>
  <c r="B12" i="725" s="1"/>
  <c r="B13" i="725" s="1"/>
  <c r="B14" i="725" s="1"/>
  <c r="B15" i="725" s="1"/>
  <c r="B16" i="725"/>
  <c r="B17" i="725"/>
  <c r="C17" i="725" s="1"/>
  <c r="B18" i="725"/>
  <c r="N10" i="725"/>
  <c r="N11" i="725"/>
  <c r="N12" i="725"/>
  <c r="N13" i="725"/>
  <c r="N14" i="725"/>
  <c r="N15" i="725"/>
  <c r="N16" i="725"/>
  <c r="N17" i="725"/>
  <c r="N18" i="725"/>
  <c r="N19" i="725"/>
  <c r="N20" i="725"/>
  <c r="N21" i="725"/>
  <c r="N22" i="725"/>
  <c r="N23" i="725"/>
  <c r="N24" i="725"/>
  <c r="N25" i="725"/>
  <c r="N26" i="725"/>
  <c r="N27" i="725"/>
  <c r="N28" i="725"/>
  <c r="N29" i="725"/>
  <c r="N30" i="725"/>
  <c r="N31" i="725"/>
  <c r="N32" i="725"/>
  <c r="N33" i="725"/>
  <c r="N34" i="725"/>
  <c r="N35" i="725"/>
  <c r="N36" i="725"/>
  <c r="N37" i="725"/>
  <c r="N38" i="725"/>
  <c r="N39" i="725"/>
  <c r="N40" i="725"/>
  <c r="I10" i="725"/>
  <c r="I11" i="725"/>
  <c r="I12" i="725"/>
  <c r="I13" i="725"/>
  <c r="I14" i="725"/>
  <c r="I15" i="725"/>
  <c r="I16" i="725"/>
  <c r="I17" i="725"/>
  <c r="I18" i="725"/>
  <c r="I19" i="725"/>
  <c r="I20" i="725"/>
  <c r="I21" i="725"/>
  <c r="I22" i="725"/>
  <c r="I23" i="725"/>
  <c r="I24" i="725"/>
  <c r="I25" i="725"/>
  <c r="I26" i="725"/>
  <c r="I27" i="725"/>
  <c r="I28" i="725"/>
  <c r="I29" i="725"/>
  <c r="I30" i="725"/>
  <c r="I31" i="725"/>
  <c r="I32" i="725"/>
  <c r="I33" i="725"/>
  <c r="I34" i="725"/>
  <c r="I35" i="725"/>
  <c r="I36" i="725"/>
  <c r="I37" i="725"/>
  <c r="I38" i="725"/>
  <c r="I39" i="725"/>
  <c r="I40" i="725"/>
  <c r="C10" i="725"/>
  <c r="C11" i="725"/>
  <c r="C13" i="725"/>
  <c r="C14" i="725"/>
  <c r="C15" i="725"/>
  <c r="C16" i="725"/>
  <c r="B10" i="725"/>
  <c r="J5" i="725"/>
  <c r="G5" i="725"/>
  <c r="E4" i="725"/>
  <c r="E3" i="725"/>
  <c r="E5" i="725" s="1"/>
  <c r="HD10" i="724"/>
  <c r="HD11" i="724"/>
  <c r="HD12" i="724"/>
  <c r="HD13" i="724"/>
  <c r="HD14" i="724"/>
  <c r="HD15" i="724"/>
  <c r="HD16" i="724"/>
  <c r="HD17" i="724"/>
  <c r="HD18" i="724"/>
  <c r="HD19" i="724"/>
  <c r="HD20" i="724"/>
  <c r="HD21" i="724"/>
  <c r="HD22" i="724"/>
  <c r="HD23" i="724"/>
  <c r="HD24" i="724"/>
  <c r="HD25" i="724"/>
  <c r="HD26" i="724"/>
  <c r="HD27" i="724"/>
  <c r="HD28" i="724"/>
  <c r="HD29" i="724"/>
  <c r="HD30" i="724"/>
  <c r="HD31" i="724"/>
  <c r="HD32" i="724"/>
  <c r="HD33" i="724"/>
  <c r="HD34" i="724"/>
  <c r="HD35" i="724"/>
  <c r="HD36" i="724"/>
  <c r="HD37" i="724"/>
  <c r="HD38" i="724"/>
  <c r="HD39" i="724"/>
  <c r="HD40" i="724"/>
  <c r="GY10" i="724"/>
  <c r="GY11" i="724"/>
  <c r="GY12" i="724"/>
  <c r="GY13" i="724"/>
  <c r="GY14" i="724"/>
  <c r="GY15" i="724"/>
  <c r="GY16" i="724"/>
  <c r="GY17" i="724"/>
  <c r="GY18" i="724"/>
  <c r="GY19" i="724"/>
  <c r="GY20" i="724"/>
  <c r="GY21" i="724"/>
  <c r="GY22" i="724"/>
  <c r="GY23" i="724"/>
  <c r="GY24" i="724"/>
  <c r="GY25" i="724"/>
  <c r="GY26" i="724"/>
  <c r="GY27" i="724"/>
  <c r="GY28" i="724"/>
  <c r="GY29" i="724"/>
  <c r="GY30" i="724"/>
  <c r="GY31" i="724"/>
  <c r="GY32" i="724"/>
  <c r="GY33" i="724"/>
  <c r="GY34" i="724"/>
  <c r="GY35" i="724"/>
  <c r="GY36" i="724"/>
  <c r="GY37" i="724"/>
  <c r="GY38" i="724"/>
  <c r="GY39" i="724"/>
  <c r="GY40" i="724"/>
  <c r="GS10" i="724"/>
  <c r="GS11" i="724"/>
  <c r="GS12" i="724"/>
  <c r="GR10" i="724"/>
  <c r="GR11" i="724" s="1"/>
  <c r="GR12" i="724" s="1"/>
  <c r="GR13" i="724" s="1"/>
  <c r="GR14" i="724" s="1"/>
  <c r="GZ5" i="724"/>
  <c r="GW5" i="724"/>
  <c r="GU4" i="724"/>
  <c r="GU3" i="724"/>
  <c r="GU5" i="724" s="1"/>
  <c r="FZ11" i="724"/>
  <c r="GA11" i="724" s="1"/>
  <c r="FZ12" i="724"/>
  <c r="GA12" i="724" s="1"/>
  <c r="FZ13" i="724"/>
  <c r="GA13" i="724" s="1"/>
  <c r="FZ14" i="724"/>
  <c r="FZ15" i="724" s="1"/>
  <c r="FZ16" i="724" s="1"/>
  <c r="FZ17" i="724" s="1"/>
  <c r="FZ18" i="724" s="1"/>
  <c r="FZ19" i="724" s="1"/>
  <c r="GA19" i="724" s="1"/>
  <c r="FZ20" i="724"/>
  <c r="GA20" i="724" s="1"/>
  <c r="FZ21" i="724"/>
  <c r="GL10" i="724"/>
  <c r="GL11" i="724"/>
  <c r="GL12" i="724"/>
  <c r="GL13" i="724"/>
  <c r="GL14" i="724"/>
  <c r="GL15" i="724"/>
  <c r="GL16" i="724"/>
  <c r="GL17" i="724"/>
  <c r="GL18" i="724"/>
  <c r="GL19" i="724"/>
  <c r="GL20" i="724"/>
  <c r="GL21" i="724"/>
  <c r="GL22" i="724"/>
  <c r="GL23" i="724"/>
  <c r="GL24" i="724"/>
  <c r="GL25" i="724"/>
  <c r="GL26" i="724"/>
  <c r="GL27" i="724"/>
  <c r="GL28" i="724"/>
  <c r="GL29" i="724"/>
  <c r="GL30" i="724"/>
  <c r="GL31" i="724"/>
  <c r="GL32" i="724"/>
  <c r="GL33" i="724"/>
  <c r="GL34" i="724"/>
  <c r="GL35" i="724"/>
  <c r="GL36" i="724"/>
  <c r="GL37" i="724"/>
  <c r="GL38" i="724"/>
  <c r="GL39" i="724"/>
  <c r="GL40" i="724"/>
  <c r="GG10" i="724"/>
  <c r="GG11" i="724"/>
  <c r="GG12" i="724"/>
  <c r="GG13" i="724"/>
  <c r="GG14" i="724"/>
  <c r="GG15" i="724"/>
  <c r="GG16" i="724"/>
  <c r="GG17" i="724"/>
  <c r="GG18" i="724"/>
  <c r="GG19" i="724"/>
  <c r="GG20" i="724"/>
  <c r="GG21" i="724"/>
  <c r="GG22" i="724"/>
  <c r="GG23" i="724"/>
  <c r="GG24" i="724"/>
  <c r="GG25" i="724"/>
  <c r="GG26" i="724"/>
  <c r="GG27" i="724"/>
  <c r="GG28" i="724"/>
  <c r="GG29" i="724"/>
  <c r="GG30" i="724"/>
  <c r="GG31" i="724"/>
  <c r="GG32" i="724"/>
  <c r="GG33" i="724"/>
  <c r="GG34" i="724"/>
  <c r="GG35" i="724"/>
  <c r="GG36" i="724"/>
  <c r="GG37" i="724"/>
  <c r="GG38" i="724"/>
  <c r="GG39" i="724"/>
  <c r="GG40" i="724"/>
  <c r="GA10" i="724"/>
  <c r="GA14" i="724"/>
  <c r="GA15" i="724"/>
  <c r="GA16" i="724"/>
  <c r="GA17" i="724"/>
  <c r="GA18" i="724"/>
  <c r="FZ10" i="724"/>
  <c r="GH5" i="724"/>
  <c r="GE5" i="724"/>
  <c r="GC4" i="724"/>
  <c r="GC3" i="724"/>
  <c r="GC5" i="724" s="1"/>
  <c r="FT10" i="724"/>
  <c r="FT11" i="724"/>
  <c r="FT12" i="724"/>
  <c r="FT13" i="724"/>
  <c r="FT14" i="724"/>
  <c r="FT15" i="724"/>
  <c r="FT16" i="724"/>
  <c r="FT17" i="724"/>
  <c r="FT18" i="724"/>
  <c r="FT19" i="724"/>
  <c r="FT20" i="724"/>
  <c r="FT21" i="724"/>
  <c r="FT22" i="724"/>
  <c r="FT23" i="724"/>
  <c r="FT24" i="724"/>
  <c r="FT25" i="724"/>
  <c r="FT26" i="724"/>
  <c r="FT27" i="724"/>
  <c r="FT28" i="724"/>
  <c r="FT29" i="724"/>
  <c r="FT30" i="724"/>
  <c r="FT31" i="724"/>
  <c r="FT32" i="724"/>
  <c r="FT33" i="724"/>
  <c r="FT34" i="724"/>
  <c r="FT35" i="724"/>
  <c r="FT36" i="724"/>
  <c r="FT37" i="724"/>
  <c r="FT38" i="724"/>
  <c r="FT39" i="724"/>
  <c r="FT40" i="724"/>
  <c r="FO10" i="724"/>
  <c r="FO11" i="724"/>
  <c r="FO12" i="724"/>
  <c r="FO13" i="724"/>
  <c r="FO14" i="724"/>
  <c r="FO15" i="724"/>
  <c r="FO16" i="724"/>
  <c r="FO17" i="724"/>
  <c r="FO18" i="724"/>
  <c r="FO19" i="724"/>
  <c r="FO20" i="724"/>
  <c r="FO21" i="724"/>
  <c r="FO22" i="724"/>
  <c r="FO23" i="724"/>
  <c r="FO24" i="724"/>
  <c r="FO25" i="724"/>
  <c r="FO26" i="724"/>
  <c r="FO27" i="724"/>
  <c r="FO28" i="724"/>
  <c r="FO29" i="724"/>
  <c r="FO30" i="724"/>
  <c r="FO31" i="724"/>
  <c r="FO32" i="724"/>
  <c r="FO33" i="724"/>
  <c r="FO34" i="724"/>
  <c r="FO35" i="724"/>
  <c r="FO36" i="724"/>
  <c r="FO37" i="724"/>
  <c r="FO38" i="724"/>
  <c r="FO39" i="724"/>
  <c r="FO40" i="724"/>
  <c r="FH10" i="724"/>
  <c r="FI10" i="724" s="1"/>
  <c r="FP5" i="724"/>
  <c r="FM5" i="724"/>
  <c r="FK4" i="724"/>
  <c r="FK3" i="724"/>
  <c r="FK5" i="724" s="1"/>
  <c r="EP11" i="724"/>
  <c r="FB10" i="724"/>
  <c r="FB11" i="724"/>
  <c r="FB12" i="724"/>
  <c r="FB13" i="724"/>
  <c r="FB14" i="724"/>
  <c r="FB15" i="724"/>
  <c r="EY5" i="724" s="1" a="1"/>
  <c r="EY5" i="724" s="1"/>
  <c r="FB16" i="724"/>
  <c r="FB17" i="724"/>
  <c r="FB18" i="724"/>
  <c r="FB19" i="724"/>
  <c r="FB20" i="724"/>
  <c r="FB21" i="724"/>
  <c r="FB22" i="724"/>
  <c r="FB23" i="724"/>
  <c r="FB24" i="724"/>
  <c r="FB25" i="724"/>
  <c r="FB26" i="724"/>
  <c r="FB27" i="724"/>
  <c r="FB28" i="724"/>
  <c r="FB29" i="724"/>
  <c r="FB30" i="724"/>
  <c r="FB31" i="724"/>
  <c r="FB32" i="724"/>
  <c r="FB33" i="724"/>
  <c r="FB34" i="724"/>
  <c r="FB35" i="724"/>
  <c r="FB36" i="724"/>
  <c r="FB37" i="724"/>
  <c r="FB38" i="724"/>
  <c r="FB39" i="724"/>
  <c r="FB40" i="724"/>
  <c r="EW10" i="724"/>
  <c r="EW11" i="724"/>
  <c r="EW12" i="724"/>
  <c r="EW13" i="724"/>
  <c r="EW14" i="724"/>
  <c r="EW15" i="724"/>
  <c r="EW16" i="724"/>
  <c r="EV5" i="724" s="1" a="1"/>
  <c r="EV5" i="724" s="1"/>
  <c r="EW17" i="724"/>
  <c r="EW18" i="724"/>
  <c r="EW19" i="724"/>
  <c r="EW20" i="724"/>
  <c r="EW21" i="724"/>
  <c r="EW22" i="724"/>
  <c r="EW23" i="724"/>
  <c r="EW24" i="724"/>
  <c r="EW25" i="724"/>
  <c r="EW26" i="724"/>
  <c r="EW27" i="724"/>
  <c r="EW28" i="724"/>
  <c r="EW29" i="724"/>
  <c r="EW30" i="724"/>
  <c r="EW31" i="724"/>
  <c r="EW32" i="724"/>
  <c r="EW33" i="724"/>
  <c r="EW34" i="724"/>
  <c r="EW35" i="724"/>
  <c r="EW36" i="724"/>
  <c r="EW37" i="724"/>
  <c r="EW38" i="724"/>
  <c r="EW39" i="724"/>
  <c r="EW40" i="724"/>
  <c r="EQ10" i="724"/>
  <c r="EP10" i="724"/>
  <c r="EX5" i="724"/>
  <c r="EU5" i="724"/>
  <c r="ES4" i="724"/>
  <c r="ES3" i="724"/>
  <c r="ES5" i="724" s="1"/>
  <c r="EJ10" i="724"/>
  <c r="EJ11" i="724"/>
  <c r="EJ12" i="724"/>
  <c r="EJ13" i="724"/>
  <c r="EJ14" i="724"/>
  <c r="EJ15" i="724"/>
  <c r="EJ16" i="724"/>
  <c r="EJ17" i="724"/>
  <c r="EJ18" i="724"/>
  <c r="EJ19" i="724"/>
  <c r="EJ20" i="724"/>
  <c r="EJ21" i="724"/>
  <c r="EJ22" i="724"/>
  <c r="EJ23" i="724"/>
  <c r="EJ24" i="724"/>
  <c r="EJ25" i="724"/>
  <c r="EJ26" i="724"/>
  <c r="EJ27" i="724"/>
  <c r="EJ28" i="724"/>
  <c r="EJ29" i="724"/>
  <c r="EJ30" i="724"/>
  <c r="EJ31" i="724"/>
  <c r="EJ32" i="724"/>
  <c r="EJ33" i="724"/>
  <c r="EJ34" i="724"/>
  <c r="EJ35" i="724"/>
  <c r="EJ36" i="724"/>
  <c r="EJ37" i="724"/>
  <c r="EJ38" i="724"/>
  <c r="EJ39" i="724"/>
  <c r="EJ40" i="724"/>
  <c r="EE10" i="724"/>
  <c r="EE11" i="724"/>
  <c r="EE12" i="724"/>
  <c r="EE13" i="724"/>
  <c r="EE14" i="724"/>
  <c r="EE15" i="724"/>
  <c r="EE16" i="724"/>
  <c r="EE17" i="724"/>
  <c r="EE18" i="724"/>
  <c r="EE19" i="724"/>
  <c r="EE20" i="724"/>
  <c r="EE21" i="724"/>
  <c r="EE22" i="724"/>
  <c r="EE23" i="724"/>
  <c r="EE24" i="724"/>
  <c r="EE25" i="724"/>
  <c r="EE26" i="724"/>
  <c r="EE27" i="724"/>
  <c r="EE28" i="724"/>
  <c r="EE29" i="724"/>
  <c r="EE30" i="724"/>
  <c r="EE31" i="724"/>
  <c r="EE32" i="724"/>
  <c r="EE33" i="724"/>
  <c r="EE34" i="724"/>
  <c r="EE35" i="724"/>
  <c r="EE36" i="724"/>
  <c r="EE37" i="724"/>
  <c r="EE38" i="724"/>
  <c r="EE39" i="724"/>
  <c r="EE40" i="724"/>
  <c r="DX10" i="724"/>
  <c r="EF5" i="724"/>
  <c r="ED5" i="724" a="1"/>
  <c r="ED5" i="724" s="1"/>
  <c r="EC5" i="724"/>
  <c r="EA4" i="724"/>
  <c r="EA3" i="724"/>
  <c r="EA5" i="724" s="1"/>
  <c r="DF11" i="724"/>
  <c r="DG11" i="724" s="1"/>
  <c r="DF12" i="724"/>
  <c r="DF13" i="724" s="1"/>
  <c r="DF14" i="724" s="1"/>
  <c r="DF15" i="724" s="1"/>
  <c r="DF16" i="724" s="1"/>
  <c r="DF17" i="724" s="1"/>
  <c r="DF18" i="724" s="1"/>
  <c r="DF19" i="724" s="1"/>
  <c r="DF20" i="724"/>
  <c r="DG20" i="724" s="1"/>
  <c r="DF21" i="724"/>
  <c r="DG21" i="724" s="1"/>
  <c r="DF22" i="724"/>
  <c r="DG22" i="724" s="1"/>
  <c r="DF23" i="724"/>
  <c r="DG23" i="724" s="1"/>
  <c r="DF24" i="724"/>
  <c r="DG24" i="724" s="1"/>
  <c r="DF25" i="724"/>
  <c r="DG25" i="724" s="1"/>
  <c r="DF26" i="724"/>
  <c r="DG26" i="724" s="1"/>
  <c r="DF27" i="724"/>
  <c r="DG27" i="724" s="1"/>
  <c r="DF28" i="724"/>
  <c r="DG28" i="724" s="1"/>
  <c r="DF29" i="724"/>
  <c r="DF30" i="724" s="1"/>
  <c r="DF31" i="724" s="1"/>
  <c r="DR10" i="724"/>
  <c r="DR11" i="724"/>
  <c r="DR12" i="724"/>
  <c r="DR13" i="724"/>
  <c r="DR14" i="724"/>
  <c r="DR15" i="724"/>
  <c r="DR16" i="724"/>
  <c r="DR17" i="724"/>
  <c r="DR18" i="724"/>
  <c r="DR19" i="724"/>
  <c r="DR20" i="724"/>
  <c r="DR21" i="724"/>
  <c r="DR22" i="724"/>
  <c r="DR23" i="724"/>
  <c r="DR24" i="724"/>
  <c r="DR25" i="724"/>
  <c r="DR26" i="724"/>
  <c r="DR27" i="724"/>
  <c r="DR28" i="724"/>
  <c r="DR29" i="724"/>
  <c r="DR30" i="724"/>
  <c r="DR31" i="724"/>
  <c r="DR32" i="724"/>
  <c r="DR33" i="724"/>
  <c r="DR34" i="724"/>
  <c r="DR35" i="724"/>
  <c r="DR36" i="724"/>
  <c r="DR37" i="724"/>
  <c r="DR38" i="724"/>
  <c r="DR39" i="724"/>
  <c r="DR40" i="724"/>
  <c r="DM10" i="724"/>
  <c r="DM11" i="724"/>
  <c r="DM12" i="724"/>
  <c r="DM13" i="724"/>
  <c r="DM14" i="724"/>
  <c r="DM15" i="724"/>
  <c r="DM16" i="724"/>
  <c r="DM17" i="724"/>
  <c r="DM18" i="724"/>
  <c r="DM19" i="724"/>
  <c r="DM20" i="724"/>
  <c r="DM21" i="724"/>
  <c r="DM22" i="724"/>
  <c r="DM23" i="724"/>
  <c r="DM24" i="724"/>
  <c r="DM25" i="724"/>
  <c r="DM26" i="724"/>
  <c r="DM27" i="724"/>
  <c r="DM28" i="724"/>
  <c r="DM29" i="724"/>
  <c r="DM30" i="724"/>
  <c r="DM31" i="724"/>
  <c r="DM32" i="724"/>
  <c r="DM33" i="724"/>
  <c r="DM34" i="724"/>
  <c r="DM35" i="724"/>
  <c r="DM36" i="724"/>
  <c r="DM37" i="724"/>
  <c r="DM38" i="724"/>
  <c r="DM39" i="724"/>
  <c r="DM40" i="724"/>
  <c r="DG10" i="724"/>
  <c r="DG13" i="724"/>
  <c r="DG14" i="724"/>
  <c r="DG15" i="724"/>
  <c r="DG16" i="724"/>
  <c r="DG17" i="724"/>
  <c r="DG18" i="724"/>
  <c r="DG19" i="724"/>
  <c r="DF10" i="724"/>
  <c r="DN5" i="724"/>
  <c r="DK5" i="724"/>
  <c r="DI4" i="724"/>
  <c r="DI5" i="724" s="1"/>
  <c r="DI3" i="724"/>
  <c r="CN11" i="724"/>
  <c r="CZ10" i="724"/>
  <c r="CW5" i="724" s="1" a="1"/>
  <c r="CW5" i="724" s="1"/>
  <c r="CZ11" i="724"/>
  <c r="CZ12" i="724"/>
  <c r="CZ13" i="724"/>
  <c r="CZ14" i="724"/>
  <c r="CZ15" i="724"/>
  <c r="CZ16" i="724"/>
  <c r="CZ17" i="724"/>
  <c r="CZ18" i="724"/>
  <c r="CZ19" i="724"/>
  <c r="CZ20" i="724"/>
  <c r="CZ21" i="724"/>
  <c r="CZ22" i="724"/>
  <c r="CZ23" i="724"/>
  <c r="CZ24" i="724"/>
  <c r="CZ25" i="724"/>
  <c r="CZ26" i="724"/>
  <c r="CZ27" i="724"/>
  <c r="CZ28" i="724"/>
  <c r="CZ29" i="724"/>
  <c r="CZ30" i="724"/>
  <c r="CZ31" i="724"/>
  <c r="CZ32" i="724"/>
  <c r="CZ33" i="724"/>
  <c r="CZ34" i="724"/>
  <c r="CZ35" i="724"/>
  <c r="CZ36" i="724"/>
  <c r="CZ37" i="724"/>
  <c r="CZ38" i="724"/>
  <c r="CZ39" i="724"/>
  <c r="CZ40" i="724"/>
  <c r="CU10" i="724"/>
  <c r="CU11" i="724"/>
  <c r="CU12" i="724"/>
  <c r="CU13" i="724"/>
  <c r="CU14" i="724"/>
  <c r="CU15" i="724"/>
  <c r="CU16" i="724"/>
  <c r="CU17" i="724"/>
  <c r="CU18" i="724"/>
  <c r="CU19" i="724"/>
  <c r="CU20" i="724"/>
  <c r="CU21" i="724"/>
  <c r="CU22" i="724"/>
  <c r="CU23" i="724"/>
  <c r="CU24" i="724"/>
  <c r="CU25" i="724"/>
  <c r="CU26" i="724"/>
  <c r="CU27" i="724"/>
  <c r="CU28" i="724"/>
  <c r="CU29" i="724"/>
  <c r="CU30" i="724"/>
  <c r="CU31" i="724"/>
  <c r="CU32" i="724"/>
  <c r="CU33" i="724"/>
  <c r="CU34" i="724"/>
  <c r="CU35" i="724"/>
  <c r="CU36" i="724"/>
  <c r="CU37" i="724"/>
  <c r="CU38" i="724"/>
  <c r="CU39" i="724"/>
  <c r="CU40" i="724"/>
  <c r="CN10" i="724"/>
  <c r="CO10" i="724" s="1"/>
  <c r="CV5" i="724"/>
  <c r="CS5" i="724"/>
  <c r="CQ4" i="724"/>
  <c r="CQ3" i="724"/>
  <c r="CQ5" i="724" s="1"/>
  <c r="CH10" i="724"/>
  <c r="CH11" i="724"/>
  <c r="CH12" i="724"/>
  <c r="CH13" i="724"/>
  <c r="CH14" i="724"/>
  <c r="CH15" i="724"/>
  <c r="CH16" i="724"/>
  <c r="CH17" i="724"/>
  <c r="CH18" i="724"/>
  <c r="CH19" i="724"/>
  <c r="CH20" i="724"/>
  <c r="CH21" i="724"/>
  <c r="CH22" i="724"/>
  <c r="CH23" i="724"/>
  <c r="CH24" i="724"/>
  <c r="CH25" i="724"/>
  <c r="CH26" i="724"/>
  <c r="CH27" i="724"/>
  <c r="CH28" i="724"/>
  <c r="CH29" i="724"/>
  <c r="CH30" i="724"/>
  <c r="CH31" i="724"/>
  <c r="CH32" i="724"/>
  <c r="CH33" i="724"/>
  <c r="CH34" i="724"/>
  <c r="CH35" i="724"/>
  <c r="CH36" i="724"/>
  <c r="CH37" i="724"/>
  <c r="CH38" i="724"/>
  <c r="CH39" i="724"/>
  <c r="CH40" i="724"/>
  <c r="CC10" i="724"/>
  <c r="CC11" i="724"/>
  <c r="CC12" i="724"/>
  <c r="CC13" i="724"/>
  <c r="CC14" i="724"/>
  <c r="CB5" i="724" s="1" a="1"/>
  <c r="CB5" i="724" s="1"/>
  <c r="CC15" i="724"/>
  <c r="CC16" i="724"/>
  <c r="CC17" i="724"/>
  <c r="CC18" i="724"/>
  <c r="CC19" i="724"/>
  <c r="CC20" i="724"/>
  <c r="CC21" i="724"/>
  <c r="CC22" i="724"/>
  <c r="CC23" i="724"/>
  <c r="CC24" i="724"/>
  <c r="CC25" i="724"/>
  <c r="CC26" i="724"/>
  <c r="CC27" i="724"/>
  <c r="CC28" i="724"/>
  <c r="CC29" i="724"/>
  <c r="CC30" i="724"/>
  <c r="CC31" i="724"/>
  <c r="CC32" i="724"/>
  <c r="CC33" i="724"/>
  <c r="CC34" i="724"/>
  <c r="CC35" i="724"/>
  <c r="CC36" i="724"/>
  <c r="CC37" i="724"/>
  <c r="CC38" i="724"/>
  <c r="CC39" i="724"/>
  <c r="CC40" i="724"/>
  <c r="BV10" i="724"/>
  <c r="CE5" i="724" a="1"/>
  <c r="CE5" i="724" s="1"/>
  <c r="CD5" i="724"/>
  <c r="CA5" i="724"/>
  <c r="BY4" i="724"/>
  <c r="BY3" i="724"/>
  <c r="BY5" i="724" s="1"/>
  <c r="BP10" i="724"/>
  <c r="BP11" i="724"/>
  <c r="BP12" i="724"/>
  <c r="BP13" i="724"/>
  <c r="BP14" i="724"/>
  <c r="BP15" i="724"/>
  <c r="BP16" i="724"/>
  <c r="BM5" i="724" s="1" a="1"/>
  <c r="BM5" i="724" s="1"/>
  <c r="BP17" i="724"/>
  <c r="BP18" i="724"/>
  <c r="BP19" i="724"/>
  <c r="BP20" i="724"/>
  <c r="BP21" i="724"/>
  <c r="BP22" i="724"/>
  <c r="BP23" i="724"/>
  <c r="BP24" i="724"/>
  <c r="BP25" i="724"/>
  <c r="BP26" i="724"/>
  <c r="BP27" i="724"/>
  <c r="BP28" i="724"/>
  <c r="BP29" i="724"/>
  <c r="BP30" i="724"/>
  <c r="BP31" i="724"/>
  <c r="BP32" i="724"/>
  <c r="BP33" i="724"/>
  <c r="BP34" i="724"/>
  <c r="BP35" i="724"/>
  <c r="BP36" i="724"/>
  <c r="BP37" i="724"/>
  <c r="BP38" i="724"/>
  <c r="BP39" i="724"/>
  <c r="BP40" i="724"/>
  <c r="BK10" i="724"/>
  <c r="BK11" i="724"/>
  <c r="BK12" i="724"/>
  <c r="BK13" i="724"/>
  <c r="BK14" i="724"/>
  <c r="BK15" i="724"/>
  <c r="BK16" i="724"/>
  <c r="BK17" i="724"/>
  <c r="BK18" i="724"/>
  <c r="BK19" i="724"/>
  <c r="BK20" i="724"/>
  <c r="BJ5" i="724" s="1" a="1"/>
  <c r="BJ5" i="724" s="1"/>
  <c r="BK21" i="724"/>
  <c r="BK22" i="724"/>
  <c r="BK23" i="724"/>
  <c r="BK24" i="724"/>
  <c r="BK25" i="724"/>
  <c r="BK26" i="724"/>
  <c r="BK27" i="724"/>
  <c r="BK28" i="724"/>
  <c r="BK29" i="724"/>
  <c r="BK30" i="724"/>
  <c r="BK31" i="724"/>
  <c r="BK32" i="724"/>
  <c r="BK33" i="724"/>
  <c r="BK34" i="724"/>
  <c r="BK35" i="724"/>
  <c r="BK36" i="724"/>
  <c r="BK37" i="724"/>
  <c r="BK38" i="724"/>
  <c r="BK39" i="724"/>
  <c r="BK40" i="724"/>
  <c r="BD10" i="724"/>
  <c r="BD11" i="724" s="1"/>
  <c r="BD12" i="724" s="1"/>
  <c r="BL5" i="724"/>
  <c r="BI5" i="724"/>
  <c r="BG4" i="724"/>
  <c r="BG3" i="724"/>
  <c r="BG5" i="724" s="1"/>
  <c r="AX10" i="724"/>
  <c r="AX11" i="724"/>
  <c r="AX12" i="724"/>
  <c r="AX13" i="724"/>
  <c r="AX14" i="724"/>
  <c r="AX15" i="724"/>
  <c r="AX16" i="724"/>
  <c r="AX17" i="724"/>
  <c r="AX18" i="724"/>
  <c r="AX19" i="724"/>
  <c r="AX20" i="724"/>
  <c r="AX21" i="724"/>
  <c r="AX22" i="724"/>
  <c r="AX23" i="724"/>
  <c r="AX24" i="724"/>
  <c r="AX25" i="724"/>
  <c r="AX26" i="724"/>
  <c r="AX27" i="724"/>
  <c r="AX28" i="724"/>
  <c r="AX29" i="724"/>
  <c r="AX30" i="724"/>
  <c r="AX31" i="724"/>
  <c r="AX32" i="724"/>
  <c r="AX33" i="724"/>
  <c r="AX34" i="724"/>
  <c r="AX35" i="724"/>
  <c r="AX36" i="724"/>
  <c r="AX37" i="724"/>
  <c r="AX38" i="724"/>
  <c r="AX39" i="724"/>
  <c r="AX40" i="724"/>
  <c r="AS10" i="724"/>
  <c r="AR5" i="724" s="1" a="1"/>
  <c r="AR5" i="724" s="1"/>
  <c r="AS11" i="724"/>
  <c r="AS12" i="724"/>
  <c r="AS13" i="724"/>
  <c r="AS14" i="724"/>
  <c r="AS15" i="724"/>
  <c r="AS16" i="724"/>
  <c r="AS17" i="724"/>
  <c r="AS18" i="724"/>
  <c r="AS19" i="724"/>
  <c r="AS20" i="724"/>
  <c r="AS21" i="724"/>
  <c r="AS22" i="724"/>
  <c r="AS23" i="724"/>
  <c r="AS24" i="724"/>
  <c r="AS25" i="724"/>
  <c r="AS26" i="724"/>
  <c r="AS27" i="724"/>
  <c r="AS28" i="724"/>
  <c r="AS29" i="724"/>
  <c r="AS30" i="724"/>
  <c r="AS31" i="724"/>
  <c r="AS32" i="724"/>
  <c r="AS33" i="724"/>
  <c r="AS34" i="724"/>
  <c r="AS35" i="724"/>
  <c r="AS36" i="724"/>
  <c r="AS37" i="724"/>
  <c r="AS38" i="724"/>
  <c r="AS39" i="724"/>
  <c r="AS40" i="724"/>
  <c r="AL10" i="724"/>
  <c r="AU5" i="724" a="1"/>
  <c r="AU5" i="724"/>
  <c r="AT5" i="724"/>
  <c r="AQ5" i="724"/>
  <c r="AO4" i="724"/>
  <c r="AO3" i="724"/>
  <c r="AO5" i="724" s="1"/>
  <c r="T11" i="724"/>
  <c r="U11" i="724" s="1"/>
  <c r="T12" i="724"/>
  <c r="U12" i="724" s="1"/>
  <c r="T13" i="724"/>
  <c r="U13" i="724" s="1"/>
  <c r="T14" i="724"/>
  <c r="U14" i="724" s="1"/>
  <c r="T15" i="724"/>
  <c r="U15" i="724" s="1"/>
  <c r="T16" i="724"/>
  <c r="T17" i="724"/>
  <c r="T18" i="724"/>
  <c r="T19" i="724"/>
  <c r="T20" i="724"/>
  <c r="U20" i="724" s="1"/>
  <c r="T21" i="724"/>
  <c r="AF10" i="724"/>
  <c r="AF11" i="724"/>
  <c r="AF12" i="724"/>
  <c r="AF13" i="724"/>
  <c r="AC5" i="724" s="1" a="1"/>
  <c r="AC5" i="724" s="1"/>
  <c r="AF14" i="724"/>
  <c r="AF15" i="724"/>
  <c r="AF16" i="724"/>
  <c r="AF17" i="724"/>
  <c r="AF18" i="724"/>
  <c r="AF19" i="724"/>
  <c r="AF20" i="724"/>
  <c r="AF21" i="724"/>
  <c r="AF22" i="724"/>
  <c r="AF23" i="724"/>
  <c r="AF24" i="724"/>
  <c r="AF25" i="724"/>
  <c r="AF26" i="724"/>
  <c r="AF27" i="724"/>
  <c r="AF28" i="724"/>
  <c r="AF29" i="724"/>
  <c r="AF30" i="724"/>
  <c r="AF31" i="724"/>
  <c r="AF32" i="724"/>
  <c r="AF33" i="724"/>
  <c r="AF34" i="724"/>
  <c r="AF35" i="724"/>
  <c r="AF36" i="724"/>
  <c r="AF37" i="724"/>
  <c r="AF38" i="724"/>
  <c r="AF39" i="724"/>
  <c r="AF40" i="724"/>
  <c r="AA10" i="724"/>
  <c r="AA11" i="724"/>
  <c r="AA12" i="724"/>
  <c r="Z5" i="724" s="1" a="1"/>
  <c r="Z5" i="724" s="1"/>
  <c r="AA13" i="724"/>
  <c r="AA14" i="724"/>
  <c r="AA15" i="724"/>
  <c r="AA16" i="724"/>
  <c r="AA17" i="724"/>
  <c r="AA18" i="724"/>
  <c r="AA19" i="724"/>
  <c r="AA20" i="724"/>
  <c r="AA21" i="724"/>
  <c r="AA22" i="724"/>
  <c r="AA23" i="724"/>
  <c r="AA24" i="724"/>
  <c r="AA25" i="724"/>
  <c r="AA26" i="724"/>
  <c r="AA27" i="724"/>
  <c r="AA28" i="724"/>
  <c r="AA29" i="724"/>
  <c r="AA30" i="724"/>
  <c r="AA31" i="724"/>
  <c r="AA32" i="724"/>
  <c r="AA33" i="724"/>
  <c r="AA34" i="724"/>
  <c r="AA35" i="724"/>
  <c r="AA36" i="724"/>
  <c r="AA37" i="724"/>
  <c r="AA38" i="724"/>
  <c r="AA39" i="724"/>
  <c r="AA40" i="724"/>
  <c r="U10" i="724"/>
  <c r="U16" i="724"/>
  <c r="U17" i="724"/>
  <c r="U18" i="724"/>
  <c r="U19" i="724"/>
  <c r="T10" i="724"/>
  <c r="AB5" i="724"/>
  <c r="Y5" i="724"/>
  <c r="W4" i="724"/>
  <c r="W3" i="724"/>
  <c r="W5" i="724" s="1"/>
  <c r="B11" i="724"/>
  <c r="C11" i="724" s="1"/>
  <c r="B12" i="724"/>
  <c r="C12" i="724" s="1"/>
  <c r="B13" i="724"/>
  <c r="C13" i="724" s="1"/>
  <c r="B14" i="724"/>
  <c r="C14" i="724" s="1"/>
  <c r="B15" i="724"/>
  <c r="C15" i="724" s="1"/>
  <c r="B16" i="724"/>
  <c r="C16" i="724" s="1"/>
  <c r="B17" i="724"/>
  <c r="C17" i="724" s="1"/>
  <c r="B18" i="724"/>
  <c r="B19" i="724" s="1"/>
  <c r="N10" i="724"/>
  <c r="N11" i="724"/>
  <c r="N12" i="724"/>
  <c r="N13" i="724"/>
  <c r="N14" i="724"/>
  <c r="N15" i="724"/>
  <c r="N16" i="724"/>
  <c r="N17" i="724"/>
  <c r="N18" i="724"/>
  <c r="N19" i="724"/>
  <c r="N20" i="724"/>
  <c r="N21" i="724"/>
  <c r="N22" i="724"/>
  <c r="N23" i="724"/>
  <c r="N24" i="724"/>
  <c r="N25" i="724"/>
  <c r="N26" i="724"/>
  <c r="N27" i="724"/>
  <c r="N28" i="724"/>
  <c r="N29" i="724"/>
  <c r="N30" i="724"/>
  <c r="N31" i="724"/>
  <c r="N32" i="724"/>
  <c r="N33" i="724"/>
  <c r="N34" i="724"/>
  <c r="N35" i="724"/>
  <c r="N36" i="724"/>
  <c r="N37" i="724"/>
  <c r="N38" i="724"/>
  <c r="N39" i="724"/>
  <c r="N40" i="724"/>
  <c r="I10" i="724"/>
  <c r="I11" i="724"/>
  <c r="I12" i="724"/>
  <c r="I13" i="724"/>
  <c r="I14" i="724"/>
  <c r="I15" i="724"/>
  <c r="I16" i="724"/>
  <c r="I17" i="724"/>
  <c r="I18" i="724"/>
  <c r="I19" i="724"/>
  <c r="I20" i="724"/>
  <c r="I21" i="724"/>
  <c r="I22" i="724"/>
  <c r="I23" i="724"/>
  <c r="I24" i="724"/>
  <c r="I25" i="724"/>
  <c r="I26" i="724"/>
  <c r="I27" i="724"/>
  <c r="I28" i="724"/>
  <c r="I29" i="724"/>
  <c r="I30" i="724"/>
  <c r="I31" i="724"/>
  <c r="I32" i="724"/>
  <c r="I33" i="724"/>
  <c r="I34" i="724"/>
  <c r="I35" i="724"/>
  <c r="I36" i="724"/>
  <c r="I37" i="724"/>
  <c r="I38" i="724"/>
  <c r="I39" i="724"/>
  <c r="I40" i="724"/>
  <c r="B10" i="724"/>
  <c r="C10" i="724" s="1"/>
  <c r="J5" i="724"/>
  <c r="G5" i="724"/>
  <c r="E4" i="724"/>
  <c r="E3" i="724"/>
  <c r="E5" i="724" s="1"/>
  <c r="C135" i="723"/>
  <c r="D135" i="723" s="1"/>
  <c r="E135" i="723" s="1"/>
  <c r="AJ139" i="723"/>
  <c r="AJ140" i="723" s="1"/>
  <c r="AJ138" i="723"/>
  <c r="AJ137" i="723"/>
  <c r="AJ136" i="723"/>
  <c r="AJ135" i="723"/>
  <c r="AJ134" i="723"/>
  <c r="D123" i="723"/>
  <c r="E123" i="723"/>
  <c r="F123" i="723"/>
  <c r="G123" i="723"/>
  <c r="G122" i="723" s="1"/>
  <c r="H123" i="723"/>
  <c r="H122" i="723" s="1"/>
  <c r="I123" i="723"/>
  <c r="I122" i="723" s="1"/>
  <c r="J123" i="723"/>
  <c r="J122" i="723" s="1"/>
  <c r="K123" i="723"/>
  <c r="K122" i="723" s="1"/>
  <c r="L123" i="723"/>
  <c r="L122" i="723" s="1"/>
  <c r="M123" i="723"/>
  <c r="M122" i="723" s="1"/>
  <c r="N123" i="723"/>
  <c r="O123" i="723" s="1"/>
  <c r="P123" i="723" s="1"/>
  <c r="C122" i="723"/>
  <c r="D122" i="723"/>
  <c r="E122" i="723"/>
  <c r="F122" i="723"/>
  <c r="C123" i="723"/>
  <c r="AJ127" i="723"/>
  <c r="AJ126" i="723"/>
  <c r="AJ128" i="723" s="1"/>
  <c r="AJ125" i="723"/>
  <c r="AJ124" i="723"/>
  <c r="AJ123" i="723"/>
  <c r="AJ122" i="723"/>
  <c r="D111" i="723"/>
  <c r="D110" i="723" s="1"/>
  <c r="E111" i="723"/>
  <c r="E110" i="723" s="1"/>
  <c r="F111" i="723"/>
  <c r="F110" i="723" s="1"/>
  <c r="G111" i="723"/>
  <c r="H111" i="723" s="1"/>
  <c r="I111" i="723" s="1"/>
  <c r="J111" i="723" s="1"/>
  <c r="K111" i="723" s="1"/>
  <c r="C111" i="723"/>
  <c r="C110" i="723" s="1"/>
  <c r="AJ115" i="723"/>
  <c r="AJ114" i="723"/>
  <c r="AJ116" i="723" s="1"/>
  <c r="AJ113" i="723"/>
  <c r="AJ112" i="723"/>
  <c r="AJ111" i="723"/>
  <c r="AJ110" i="723"/>
  <c r="C99" i="723"/>
  <c r="D99" i="723" s="1"/>
  <c r="E99" i="723" s="1"/>
  <c r="F99" i="723" s="1"/>
  <c r="AJ104" i="723"/>
  <c r="AJ103" i="723"/>
  <c r="AJ102" i="723"/>
  <c r="AJ101" i="723"/>
  <c r="AJ100" i="723"/>
  <c r="AJ99" i="723"/>
  <c r="AJ98" i="723"/>
  <c r="D87" i="723"/>
  <c r="D86" i="723" s="1"/>
  <c r="E87" i="723"/>
  <c r="F87" i="723"/>
  <c r="F86" i="723" s="1"/>
  <c r="G87" i="723"/>
  <c r="G86" i="723" s="1"/>
  <c r="H87" i="723"/>
  <c r="H86" i="723" s="1"/>
  <c r="I87" i="723"/>
  <c r="I86" i="723" s="1"/>
  <c r="J87" i="723"/>
  <c r="J86" i="723" s="1"/>
  <c r="K87" i="723"/>
  <c r="K86" i="723" s="1"/>
  <c r="L87" i="723"/>
  <c r="L86" i="723" s="1"/>
  <c r="M87" i="723"/>
  <c r="N87" i="723" s="1"/>
  <c r="O87" i="723" s="1"/>
  <c r="P87" i="723" s="1"/>
  <c r="Q87" i="723" s="1"/>
  <c r="C86" i="723"/>
  <c r="E86" i="723"/>
  <c r="P86" i="723"/>
  <c r="C87" i="723"/>
  <c r="AJ91" i="723"/>
  <c r="AJ90" i="723"/>
  <c r="AJ92" i="723" s="1"/>
  <c r="AJ89" i="723"/>
  <c r="AJ88" i="723"/>
  <c r="AJ87" i="723"/>
  <c r="AJ86" i="723"/>
  <c r="D75" i="723"/>
  <c r="D74" i="723" s="1"/>
  <c r="E75" i="723"/>
  <c r="F75" i="723" s="1"/>
  <c r="G75" i="723" s="1"/>
  <c r="H75" i="723" s="1"/>
  <c r="I75" i="723" s="1"/>
  <c r="J75" i="723" s="1"/>
  <c r="K75" i="723" s="1"/>
  <c r="L75" i="723" s="1"/>
  <c r="I74" i="723"/>
  <c r="J74" i="723"/>
  <c r="K74" i="723"/>
  <c r="C75" i="723"/>
  <c r="C74" i="723" s="1"/>
  <c r="AJ79" i="723"/>
  <c r="AJ78" i="723"/>
  <c r="AJ80" i="723" s="1"/>
  <c r="AJ77" i="723"/>
  <c r="AJ76" i="723"/>
  <c r="AJ75" i="723"/>
  <c r="AJ74" i="723"/>
  <c r="D63" i="723"/>
  <c r="E63" i="723"/>
  <c r="F63" i="723" s="1"/>
  <c r="G63" i="723" s="1"/>
  <c r="C62" i="723"/>
  <c r="D62" i="723"/>
  <c r="E62" i="723"/>
  <c r="F62" i="723"/>
  <c r="C63" i="723"/>
  <c r="AJ67" i="723"/>
  <c r="AJ66" i="723"/>
  <c r="AJ68" i="723" s="1"/>
  <c r="AJ65" i="723"/>
  <c r="AJ64" i="723"/>
  <c r="AJ63" i="723"/>
  <c r="AJ62" i="723"/>
  <c r="D51" i="723"/>
  <c r="D50" i="723" s="1"/>
  <c r="E51" i="723"/>
  <c r="F51" i="723"/>
  <c r="G51" i="723"/>
  <c r="H51" i="723"/>
  <c r="C50" i="723"/>
  <c r="E50" i="723"/>
  <c r="F50" i="723"/>
  <c r="G50" i="723"/>
  <c r="C51" i="723"/>
  <c r="AJ55" i="723"/>
  <c r="AJ54" i="723"/>
  <c r="AJ56" i="723" s="1"/>
  <c r="AJ53" i="723"/>
  <c r="AJ52" i="723"/>
  <c r="AJ51" i="723"/>
  <c r="AJ50" i="723"/>
  <c r="C38" i="723"/>
  <c r="C39" i="723"/>
  <c r="D39" i="723" s="1"/>
  <c r="AJ43" i="723"/>
  <c r="AJ42" i="723"/>
  <c r="AJ44" i="723" s="1"/>
  <c r="AJ41" i="723"/>
  <c r="AJ40" i="723"/>
  <c r="AJ39" i="723"/>
  <c r="AJ38" i="723"/>
  <c r="D27" i="723"/>
  <c r="E27" i="723" s="1"/>
  <c r="F27" i="723" s="1"/>
  <c r="G27" i="723" s="1"/>
  <c r="H27" i="723" s="1"/>
  <c r="C26" i="723"/>
  <c r="E26" i="723"/>
  <c r="F26" i="723"/>
  <c r="G26" i="723"/>
  <c r="C27" i="723"/>
  <c r="AJ31" i="723"/>
  <c r="AJ30" i="723"/>
  <c r="AJ32" i="723" s="1"/>
  <c r="AJ29" i="723"/>
  <c r="AJ28" i="723"/>
  <c r="AJ27" i="723"/>
  <c r="AJ26" i="723"/>
  <c r="C15" i="723"/>
  <c r="AJ19" i="723"/>
  <c r="AJ18" i="723"/>
  <c r="AJ20" i="723" s="1"/>
  <c r="AJ17" i="723"/>
  <c r="AJ16" i="723"/>
  <c r="AJ15" i="723"/>
  <c r="AJ14" i="723"/>
  <c r="C2" i="723"/>
  <c r="E2" i="723"/>
  <c r="F2" i="723"/>
  <c r="C3" i="723"/>
  <c r="D3" i="723" s="1"/>
  <c r="E3" i="723" s="1"/>
  <c r="F3" i="723" s="1"/>
  <c r="G3" i="723" s="1"/>
  <c r="AJ7" i="723"/>
  <c r="AJ6" i="723"/>
  <c r="AJ8" i="723" s="1"/>
  <c r="AJ5" i="723"/>
  <c r="AJ4" i="723"/>
  <c r="AJ3" i="723"/>
  <c r="AJ2" i="723"/>
  <c r="C134" i="722"/>
  <c r="D134" i="722"/>
  <c r="C135" i="722"/>
  <c r="D135" i="722" s="1"/>
  <c r="E135" i="722" s="1"/>
  <c r="AJ139" i="722"/>
  <c r="AJ140" i="722" s="1"/>
  <c r="AJ138" i="722"/>
  <c r="AJ137" i="722"/>
  <c r="AJ136" i="722"/>
  <c r="AJ135" i="722"/>
  <c r="AJ134" i="722"/>
  <c r="D123" i="722"/>
  <c r="D122" i="722" s="1"/>
  <c r="E123" i="722"/>
  <c r="E122" i="722" s="1"/>
  <c r="F123" i="722"/>
  <c r="F122" i="722" s="1"/>
  <c r="G123" i="722"/>
  <c r="G122" i="722" s="1"/>
  <c r="H123" i="722"/>
  <c r="C122" i="722"/>
  <c r="C123" i="722"/>
  <c r="AJ127" i="722"/>
  <c r="AJ126" i="722"/>
  <c r="AJ128" i="722" s="1"/>
  <c r="AJ125" i="722"/>
  <c r="AJ124" i="722"/>
  <c r="AJ123" i="722"/>
  <c r="AJ122" i="722"/>
  <c r="D111" i="722"/>
  <c r="D110" i="722" s="1"/>
  <c r="E111" i="722"/>
  <c r="E110" i="722" s="1"/>
  <c r="F111" i="722"/>
  <c r="F110" i="722" s="1"/>
  <c r="G111" i="722"/>
  <c r="G110" i="722" s="1"/>
  <c r="H111" i="722"/>
  <c r="H110" i="722" s="1"/>
  <c r="I111" i="722"/>
  <c r="C110" i="722"/>
  <c r="C111" i="722"/>
  <c r="AJ115" i="722"/>
  <c r="AJ114" i="722"/>
  <c r="AJ116" i="722" s="1"/>
  <c r="AJ113" i="722"/>
  <c r="AJ112" i="722"/>
  <c r="AJ111" i="722"/>
  <c r="AJ110" i="722"/>
  <c r="D99" i="722"/>
  <c r="C98" i="722"/>
  <c r="C99" i="722"/>
  <c r="AJ103" i="722"/>
  <c r="AJ102" i="722"/>
  <c r="AJ101" i="722"/>
  <c r="AJ100" i="722"/>
  <c r="AJ99" i="722"/>
  <c r="AJ98" i="722"/>
  <c r="D87" i="722"/>
  <c r="D86" i="722" s="1"/>
  <c r="E87" i="722"/>
  <c r="E86" i="722" s="1"/>
  <c r="F87" i="722"/>
  <c r="C86" i="722"/>
  <c r="C87" i="722"/>
  <c r="AJ91" i="722"/>
  <c r="AJ90" i="722"/>
  <c r="AJ92" i="722" s="1"/>
  <c r="AJ89" i="722"/>
  <c r="AJ88" i="722"/>
  <c r="AJ87" i="722"/>
  <c r="AJ86" i="722"/>
  <c r="C75" i="722"/>
  <c r="AJ80" i="722"/>
  <c r="AJ79" i="722"/>
  <c r="AJ78" i="722"/>
  <c r="AJ77" i="722"/>
  <c r="AJ76" i="722"/>
  <c r="AJ75" i="722"/>
  <c r="AJ74" i="722"/>
  <c r="D63" i="722"/>
  <c r="E63" i="722"/>
  <c r="C62" i="722"/>
  <c r="D62" i="722"/>
  <c r="C63" i="722"/>
  <c r="AJ67" i="722"/>
  <c r="AJ66" i="722"/>
  <c r="AJ68" i="722" s="1"/>
  <c r="AJ65" i="722"/>
  <c r="AJ64" i="722"/>
  <c r="AJ63" i="722"/>
  <c r="AJ62" i="722"/>
  <c r="D51" i="722"/>
  <c r="E51" i="722"/>
  <c r="E50" i="722" s="1"/>
  <c r="F51" i="722"/>
  <c r="F50" i="722" s="1"/>
  <c r="G51" i="722"/>
  <c r="C50" i="722"/>
  <c r="D50" i="722"/>
  <c r="C51" i="722"/>
  <c r="AJ55" i="722"/>
  <c r="AJ54" i="722"/>
  <c r="AJ53" i="722"/>
  <c r="AJ52" i="722"/>
  <c r="AJ51" i="722"/>
  <c r="AJ50" i="722"/>
  <c r="F39" i="722"/>
  <c r="G39" i="722"/>
  <c r="H39" i="722"/>
  <c r="H38" i="722" s="1"/>
  <c r="I39" i="722"/>
  <c r="I38" i="722" s="1"/>
  <c r="J39" i="722"/>
  <c r="J38" i="722" s="1"/>
  <c r="K39" i="722"/>
  <c r="C38" i="722"/>
  <c r="D38" i="722"/>
  <c r="E38" i="722"/>
  <c r="F38" i="722"/>
  <c r="G38" i="722"/>
  <c r="C39" i="722"/>
  <c r="D39" i="722" s="1"/>
  <c r="E39" i="722" s="1"/>
  <c r="AJ43" i="722"/>
  <c r="AJ42" i="722"/>
  <c r="AJ44" i="722" s="1"/>
  <c r="AJ41" i="722"/>
  <c r="AJ40" i="722"/>
  <c r="AJ39" i="722"/>
  <c r="AJ38" i="722"/>
  <c r="C27" i="722"/>
  <c r="C26" i="722" s="1"/>
  <c r="AJ31" i="722"/>
  <c r="AJ30" i="722"/>
  <c r="AJ32" i="722" s="1"/>
  <c r="AJ29" i="722"/>
  <c r="AJ28" i="722"/>
  <c r="AJ27" i="722"/>
  <c r="AJ26" i="722"/>
  <c r="D15" i="722"/>
  <c r="C15" i="722"/>
  <c r="C14" i="722" s="1"/>
  <c r="AJ19" i="722"/>
  <c r="AJ18" i="722"/>
  <c r="AJ20" i="722" s="1"/>
  <c r="AJ17" i="722"/>
  <c r="AJ16" i="722"/>
  <c r="AJ15" i="722"/>
  <c r="AJ14" i="722"/>
  <c r="D3" i="722"/>
  <c r="E3" i="722"/>
  <c r="F3" i="722"/>
  <c r="G3" i="722"/>
  <c r="G2" i="722" s="1"/>
  <c r="H3" i="722"/>
  <c r="H2" i="722" s="1"/>
  <c r="I3" i="722"/>
  <c r="I2" i="722" s="1"/>
  <c r="J3" i="722"/>
  <c r="J2" i="722" s="1"/>
  <c r="K3" i="722"/>
  <c r="C2" i="722"/>
  <c r="D2" i="722"/>
  <c r="E2" i="722"/>
  <c r="F2" i="722"/>
  <c r="C3" i="722"/>
  <c r="AJ7" i="722"/>
  <c r="AJ8" i="722" s="1"/>
  <c r="AJ6" i="722"/>
  <c r="AJ5" i="722"/>
  <c r="AJ4" i="722"/>
  <c r="AJ3" i="722"/>
  <c r="AJ2" i="722"/>
  <c r="C135" i="721"/>
  <c r="AJ139" i="721"/>
  <c r="AJ140" i="721" s="1"/>
  <c r="AJ138" i="721"/>
  <c r="AJ137" i="721"/>
  <c r="AJ136" i="721"/>
  <c r="AJ135" i="721"/>
  <c r="AJ134" i="721"/>
  <c r="D123" i="721"/>
  <c r="D122" i="721" s="1"/>
  <c r="E123" i="721"/>
  <c r="F123" i="721"/>
  <c r="G123" i="721"/>
  <c r="H123" i="721"/>
  <c r="I123" i="721"/>
  <c r="J123" i="721"/>
  <c r="K123" i="721"/>
  <c r="L123" i="721"/>
  <c r="L122" i="721" s="1"/>
  <c r="M123" i="721"/>
  <c r="M122" i="721" s="1"/>
  <c r="N123" i="721"/>
  <c r="C122" i="721"/>
  <c r="E122" i="721"/>
  <c r="F122" i="721"/>
  <c r="G122" i="721"/>
  <c r="H122" i="721"/>
  <c r="I122" i="721"/>
  <c r="J122" i="721"/>
  <c r="K122" i="721"/>
  <c r="C123" i="721"/>
  <c r="AJ127" i="721"/>
  <c r="AJ126" i="721"/>
  <c r="AJ128" i="721" s="1"/>
  <c r="AJ125" i="721"/>
  <c r="AJ124" i="721"/>
  <c r="AJ123" i="721"/>
  <c r="AJ122" i="721"/>
  <c r="D111" i="721"/>
  <c r="D110" i="721" s="1"/>
  <c r="E111" i="721"/>
  <c r="F111" i="721"/>
  <c r="F110" i="721" s="1"/>
  <c r="G111" i="721"/>
  <c r="G110" i="721" s="1"/>
  <c r="H111" i="721"/>
  <c r="H110" i="721" s="1"/>
  <c r="I111" i="721"/>
  <c r="C110" i="721"/>
  <c r="E110" i="721"/>
  <c r="C111" i="721"/>
  <c r="AJ115" i="721"/>
  <c r="AJ114" i="721"/>
  <c r="AJ116" i="721" s="1"/>
  <c r="AJ113" i="721"/>
  <c r="AJ112" i="721"/>
  <c r="AJ111" i="721"/>
  <c r="AJ110" i="721"/>
  <c r="C99" i="721"/>
  <c r="C98" i="721" s="1"/>
  <c r="AJ104" i="721"/>
  <c r="AJ103" i="721"/>
  <c r="AJ102" i="721"/>
  <c r="AJ101" i="721"/>
  <c r="AJ100" i="721"/>
  <c r="AJ99" i="721"/>
  <c r="AJ98" i="721"/>
  <c r="D87" i="721"/>
  <c r="D86" i="721" s="1"/>
  <c r="E87" i="721"/>
  <c r="F87" i="721"/>
  <c r="G87" i="721"/>
  <c r="H87" i="721"/>
  <c r="I87" i="721"/>
  <c r="J87" i="721"/>
  <c r="J86" i="721" s="1"/>
  <c r="K87" i="721"/>
  <c r="K86" i="721" s="1"/>
  <c r="L87" i="721"/>
  <c r="L86" i="721" s="1"/>
  <c r="M87" i="721"/>
  <c r="M86" i="721" s="1"/>
  <c r="E86" i="721"/>
  <c r="F86" i="721"/>
  <c r="G86" i="721"/>
  <c r="H86" i="721"/>
  <c r="I86" i="721"/>
  <c r="C87" i="721"/>
  <c r="C86" i="721" s="1"/>
  <c r="AJ91" i="721"/>
  <c r="AJ90" i="721"/>
  <c r="AJ92" i="721" s="1"/>
  <c r="AJ89" i="721"/>
  <c r="AJ88" i="721"/>
  <c r="AJ87" i="721"/>
  <c r="AJ86" i="721"/>
  <c r="D75" i="721"/>
  <c r="E75" i="721"/>
  <c r="E74" i="721" s="1"/>
  <c r="C74" i="721"/>
  <c r="D74" i="721"/>
  <c r="C75" i="721"/>
  <c r="AJ79" i="721"/>
  <c r="AJ78" i="721"/>
  <c r="AJ80" i="721" s="1"/>
  <c r="AJ77" i="721"/>
  <c r="AJ76" i="721"/>
  <c r="AJ75" i="721"/>
  <c r="AJ74" i="721"/>
  <c r="D63" i="721"/>
  <c r="D62" i="721" s="1"/>
  <c r="C63" i="721"/>
  <c r="C62" i="721" s="1"/>
  <c r="AJ67" i="721"/>
  <c r="AJ66" i="721"/>
  <c r="AJ68" i="721" s="1"/>
  <c r="AJ65" i="721"/>
  <c r="AJ64" i="721"/>
  <c r="AJ63" i="721"/>
  <c r="AJ62" i="721"/>
  <c r="D51" i="721"/>
  <c r="D50" i="721" s="1"/>
  <c r="E51" i="721"/>
  <c r="E50" i="721" s="1"/>
  <c r="F51" i="721"/>
  <c r="G51" i="721"/>
  <c r="H51" i="721"/>
  <c r="I51" i="721"/>
  <c r="J51" i="721"/>
  <c r="J50" i="721" s="1"/>
  <c r="K51" i="721"/>
  <c r="K50" i="721" s="1"/>
  <c r="L51" i="721"/>
  <c r="L50" i="721" s="1"/>
  <c r="M51" i="721"/>
  <c r="M50" i="721" s="1"/>
  <c r="N51" i="721"/>
  <c r="N50" i="721" s="1"/>
  <c r="O51" i="721"/>
  <c r="O50" i="721" s="1"/>
  <c r="P51" i="721"/>
  <c r="C50" i="721"/>
  <c r="F50" i="721"/>
  <c r="G50" i="721"/>
  <c r="H50" i="721"/>
  <c r="I50" i="721"/>
  <c r="C51" i="721"/>
  <c r="AJ55" i="721"/>
  <c r="AJ54" i="721"/>
  <c r="AJ56" i="721" s="1"/>
  <c r="AJ53" i="721"/>
  <c r="AJ52" i="721"/>
  <c r="AJ51" i="721"/>
  <c r="AJ50" i="721"/>
  <c r="D39" i="721"/>
  <c r="D38" i="721" s="1"/>
  <c r="E39" i="721"/>
  <c r="E38" i="721" s="1"/>
  <c r="F39" i="721"/>
  <c r="F38" i="721" s="1"/>
  <c r="G39" i="721"/>
  <c r="G38" i="721" s="1"/>
  <c r="H39" i="721"/>
  <c r="I39" i="721" s="1"/>
  <c r="J39" i="721" s="1"/>
  <c r="K39" i="721" s="1"/>
  <c r="L39" i="721" s="1"/>
  <c r="M39" i="721" s="1"/>
  <c r="C39" i="721"/>
  <c r="C38" i="721" s="1"/>
  <c r="AJ43" i="721"/>
  <c r="AJ42" i="721"/>
  <c r="AJ44" i="721" s="1"/>
  <c r="AJ41" i="721"/>
  <c r="AJ40" i="721"/>
  <c r="AJ39" i="721"/>
  <c r="AJ38" i="721"/>
  <c r="E26" i="721"/>
  <c r="F26" i="721"/>
  <c r="G26" i="721"/>
  <c r="C27" i="721"/>
  <c r="D27" i="721" s="1"/>
  <c r="E27" i="721" s="1"/>
  <c r="F27" i="721" s="1"/>
  <c r="G27" i="721" s="1"/>
  <c r="H27" i="721" s="1"/>
  <c r="AJ31" i="721"/>
  <c r="AJ32" i="721" s="1"/>
  <c r="AJ30" i="721"/>
  <c r="AJ29" i="721"/>
  <c r="AJ28" i="721"/>
  <c r="AJ27" i="721"/>
  <c r="AJ26" i="721"/>
  <c r="C15" i="721"/>
  <c r="AJ19" i="721"/>
  <c r="AJ18" i="721"/>
  <c r="AJ20" i="721" s="1"/>
  <c r="AJ17" i="721"/>
  <c r="AJ16" i="721"/>
  <c r="AJ15" i="721"/>
  <c r="AJ14" i="721"/>
  <c r="C3" i="721"/>
  <c r="C2" i="721" s="1"/>
  <c r="AJ7" i="721"/>
  <c r="AJ6" i="721"/>
  <c r="AJ8" i="721" s="1"/>
  <c r="AJ5" i="721"/>
  <c r="AJ4" i="721"/>
  <c r="AJ3" i="721"/>
  <c r="AJ2" i="721"/>
  <c r="C135" i="720"/>
  <c r="AJ139" i="720"/>
  <c r="AJ140" i="720" s="1"/>
  <c r="AJ138" i="720"/>
  <c r="AJ137" i="720"/>
  <c r="AJ136" i="720"/>
  <c r="AJ135" i="720"/>
  <c r="AJ134" i="720"/>
  <c r="D123" i="720"/>
  <c r="D122" i="720" s="1"/>
  <c r="E123" i="720"/>
  <c r="E122" i="720" s="1"/>
  <c r="C122" i="720"/>
  <c r="C123" i="720"/>
  <c r="AJ127" i="720"/>
  <c r="AJ126" i="720"/>
  <c r="AJ128" i="720" s="1"/>
  <c r="AJ125" i="720"/>
  <c r="AJ124" i="720"/>
  <c r="AJ123" i="720"/>
  <c r="AJ122" i="720"/>
  <c r="D111" i="720"/>
  <c r="D110" i="720" s="1"/>
  <c r="C111" i="720"/>
  <c r="C110" i="720" s="1"/>
  <c r="AJ115" i="720"/>
  <c r="AJ114" i="720"/>
  <c r="AJ116" i="720" s="1"/>
  <c r="AJ113" i="720"/>
  <c r="AJ112" i="720"/>
  <c r="AJ111" i="720"/>
  <c r="AJ110" i="720"/>
  <c r="C99" i="720"/>
  <c r="C98" i="720" s="1"/>
  <c r="AJ103" i="720"/>
  <c r="AJ102" i="720"/>
  <c r="AJ104" i="720" s="1"/>
  <c r="AJ101" i="720"/>
  <c r="AJ100" i="720"/>
  <c r="AJ99" i="720"/>
  <c r="AJ98" i="720"/>
  <c r="D87" i="720"/>
  <c r="D86" i="720" s="1"/>
  <c r="E87" i="720"/>
  <c r="E86" i="720" s="1"/>
  <c r="F87" i="720"/>
  <c r="C87" i="720"/>
  <c r="C86" i="720" s="1"/>
  <c r="AJ91" i="720"/>
  <c r="AJ90" i="720"/>
  <c r="AJ92" i="720" s="1"/>
  <c r="AJ89" i="720"/>
  <c r="AJ88" i="720"/>
  <c r="AJ87" i="720"/>
  <c r="AJ86" i="720"/>
  <c r="H75" i="720"/>
  <c r="I75" i="720"/>
  <c r="I74" i="720" s="1"/>
  <c r="J75" i="720"/>
  <c r="K75" i="720" s="1"/>
  <c r="L75" i="720" s="1"/>
  <c r="D74" i="720"/>
  <c r="E74" i="720"/>
  <c r="F74" i="720"/>
  <c r="G74" i="720"/>
  <c r="H74" i="720"/>
  <c r="J74" i="720"/>
  <c r="K74" i="720"/>
  <c r="C75" i="720"/>
  <c r="D75" i="720" s="1"/>
  <c r="E75" i="720" s="1"/>
  <c r="F75" i="720" s="1"/>
  <c r="G75" i="720" s="1"/>
  <c r="AJ79" i="720"/>
  <c r="AJ78" i="720"/>
  <c r="AJ80" i="720" s="1"/>
  <c r="AJ77" i="720"/>
  <c r="AJ76" i="720"/>
  <c r="AJ75" i="720"/>
  <c r="AJ74" i="720"/>
  <c r="D62" i="720"/>
  <c r="E62" i="720"/>
  <c r="F62" i="720"/>
  <c r="C63" i="720"/>
  <c r="D63" i="720" s="1"/>
  <c r="E63" i="720" s="1"/>
  <c r="F63" i="720" s="1"/>
  <c r="G63" i="720" s="1"/>
  <c r="AJ67" i="720"/>
  <c r="AJ66" i="720"/>
  <c r="AJ68" i="720" s="1"/>
  <c r="AJ65" i="720"/>
  <c r="AJ64" i="720"/>
  <c r="AJ63" i="720"/>
  <c r="AJ62" i="720"/>
  <c r="D51" i="720"/>
  <c r="D50" i="720" s="1"/>
  <c r="E51" i="720"/>
  <c r="E50" i="720" s="1"/>
  <c r="F51" i="720"/>
  <c r="F50" i="720" s="1"/>
  <c r="C50" i="720"/>
  <c r="C51" i="720"/>
  <c r="AJ55" i="720"/>
  <c r="AJ54" i="720"/>
  <c r="AJ56" i="720" s="1"/>
  <c r="AJ53" i="720"/>
  <c r="AJ52" i="720"/>
  <c r="AJ51" i="720"/>
  <c r="AJ50" i="720"/>
  <c r="D39" i="720"/>
  <c r="E39" i="720"/>
  <c r="E38" i="720" s="1"/>
  <c r="F39" i="720"/>
  <c r="F38" i="720" s="1"/>
  <c r="G39" i="720"/>
  <c r="G38" i="720" s="1"/>
  <c r="H39" i="720"/>
  <c r="H38" i="720" s="1"/>
  <c r="I39" i="720"/>
  <c r="I38" i="720" s="1"/>
  <c r="J39" i="720"/>
  <c r="C38" i="720"/>
  <c r="D38" i="720"/>
  <c r="C39" i="720"/>
  <c r="AJ43" i="720"/>
  <c r="AJ42" i="720"/>
  <c r="AJ44" i="720" s="1"/>
  <c r="AJ41" i="720"/>
  <c r="AJ40" i="720"/>
  <c r="AJ39" i="720"/>
  <c r="AJ38" i="720"/>
  <c r="D27" i="720"/>
  <c r="E27" i="720"/>
  <c r="E26" i="720" s="1"/>
  <c r="F27" i="720"/>
  <c r="C26" i="720"/>
  <c r="D26" i="720"/>
  <c r="C27" i="720"/>
  <c r="AJ31" i="720"/>
  <c r="AJ30" i="720"/>
  <c r="AJ32" i="720" s="1"/>
  <c r="AJ29" i="720"/>
  <c r="AJ28" i="720"/>
  <c r="AJ27" i="720"/>
  <c r="AJ26" i="720"/>
  <c r="C15" i="720"/>
  <c r="AJ19" i="720"/>
  <c r="AJ18" i="720"/>
  <c r="AJ20" i="720" s="1"/>
  <c r="AJ17" i="720"/>
  <c r="AJ16" i="720"/>
  <c r="AJ15" i="720"/>
  <c r="AJ14" i="720"/>
  <c r="D3" i="720"/>
  <c r="D2" i="720" s="1"/>
  <c r="E3" i="720"/>
  <c r="E2" i="720" s="1"/>
  <c r="F3" i="720"/>
  <c r="G3" i="720" s="1"/>
  <c r="H3" i="720" s="1"/>
  <c r="I3" i="720" s="1"/>
  <c r="J3" i="720" s="1"/>
  <c r="K3" i="720"/>
  <c r="L3" i="720"/>
  <c r="M3" i="720" s="1"/>
  <c r="N3" i="720" s="1"/>
  <c r="C2" i="720"/>
  <c r="I2" i="720"/>
  <c r="J2" i="720"/>
  <c r="K2" i="720"/>
  <c r="L2" i="720"/>
  <c r="C3" i="720"/>
  <c r="AJ7" i="720"/>
  <c r="AJ6" i="720"/>
  <c r="AJ8" i="720" s="1"/>
  <c r="AJ5" i="720"/>
  <c r="AJ4" i="720"/>
  <c r="AJ3" i="720"/>
  <c r="AJ2" i="720"/>
  <c r="C135" i="719"/>
  <c r="D135" i="719" s="1"/>
  <c r="E135" i="719" s="1"/>
  <c r="AJ139" i="719"/>
  <c r="AJ140" i="719" s="1"/>
  <c r="AJ138" i="719"/>
  <c r="AJ137" i="719"/>
  <c r="AJ136" i="719"/>
  <c r="AJ135" i="719"/>
  <c r="AJ134" i="719"/>
  <c r="D123" i="719"/>
  <c r="D122" i="719" s="1"/>
  <c r="E123" i="719"/>
  <c r="E122" i="719" s="1"/>
  <c r="F123" i="719"/>
  <c r="C122" i="719"/>
  <c r="C123" i="719"/>
  <c r="AJ127" i="719"/>
  <c r="AJ126" i="719"/>
  <c r="AJ128" i="719" s="1"/>
  <c r="AJ125" i="719"/>
  <c r="AJ124" i="719"/>
  <c r="AJ123" i="719"/>
  <c r="AJ122" i="719"/>
  <c r="D111" i="719"/>
  <c r="D110" i="719" s="1"/>
  <c r="C111" i="719"/>
  <c r="C110" i="719" s="1"/>
  <c r="AJ115" i="719"/>
  <c r="AJ114" i="719"/>
  <c r="AJ116" i="719" s="1"/>
  <c r="AJ113" i="719"/>
  <c r="AJ112" i="719"/>
  <c r="AJ111" i="719"/>
  <c r="AJ110" i="719"/>
  <c r="D99" i="719"/>
  <c r="E99" i="719" s="1"/>
  <c r="F99" i="719" s="1"/>
  <c r="C98" i="719"/>
  <c r="C99" i="719"/>
  <c r="AJ103" i="719"/>
  <c r="AJ102" i="719"/>
  <c r="AJ104" i="719" s="1"/>
  <c r="AJ101" i="719"/>
  <c r="AJ100" i="719"/>
  <c r="AJ99" i="719"/>
  <c r="AJ98" i="719"/>
  <c r="D87" i="719"/>
  <c r="D86" i="719" s="1"/>
  <c r="E87" i="719"/>
  <c r="E86" i="719" s="1"/>
  <c r="F87" i="719"/>
  <c r="F86" i="719" s="1"/>
  <c r="G87" i="719"/>
  <c r="H87" i="719"/>
  <c r="H86" i="719" s="1"/>
  <c r="I87" i="719"/>
  <c r="I86" i="719" s="1"/>
  <c r="J87" i="719"/>
  <c r="J86" i="719" s="1"/>
  <c r="K87" i="719"/>
  <c r="G86" i="719"/>
  <c r="C87" i="719"/>
  <c r="C86" i="719" s="1"/>
  <c r="AJ91" i="719"/>
  <c r="AJ90" i="719"/>
  <c r="AJ92" i="719" s="1"/>
  <c r="AJ89" i="719"/>
  <c r="AJ88" i="719"/>
  <c r="AJ87" i="719"/>
  <c r="AJ86" i="719"/>
  <c r="C74" i="719"/>
  <c r="C75" i="719"/>
  <c r="D75" i="719" s="1"/>
  <c r="AJ80" i="719"/>
  <c r="AJ79" i="719"/>
  <c r="AJ78" i="719"/>
  <c r="AJ77" i="719"/>
  <c r="AJ76" i="719"/>
  <c r="AJ75" i="719"/>
  <c r="AJ74" i="719"/>
  <c r="C62" i="719"/>
  <c r="D62" i="719"/>
  <c r="E62" i="719"/>
  <c r="F62" i="719"/>
  <c r="C63" i="719"/>
  <c r="D63" i="719" s="1"/>
  <c r="E63" i="719" s="1"/>
  <c r="F63" i="719" s="1"/>
  <c r="G63" i="719" s="1"/>
  <c r="AJ67" i="719"/>
  <c r="AJ66" i="719"/>
  <c r="AJ68" i="719" s="1"/>
  <c r="AJ65" i="719"/>
  <c r="AJ64" i="719"/>
  <c r="AJ63" i="719"/>
  <c r="AJ62" i="719"/>
  <c r="C51" i="719"/>
  <c r="C50" i="719" s="1"/>
  <c r="AJ55" i="719"/>
  <c r="AJ54" i="719"/>
  <c r="AJ56" i="719" s="1"/>
  <c r="AJ53" i="719"/>
  <c r="AJ52" i="719"/>
  <c r="AJ51" i="719"/>
  <c r="AJ50" i="719"/>
  <c r="D39" i="719"/>
  <c r="E39" i="719"/>
  <c r="F39" i="719"/>
  <c r="G39" i="719"/>
  <c r="H39" i="719"/>
  <c r="I39" i="719"/>
  <c r="I38" i="719" s="1"/>
  <c r="J39" i="719"/>
  <c r="J38" i="719" s="1"/>
  <c r="K39" i="719"/>
  <c r="L39" i="719" s="1"/>
  <c r="M39" i="719" s="1"/>
  <c r="C38" i="719"/>
  <c r="D38" i="719"/>
  <c r="E38" i="719"/>
  <c r="F38" i="719"/>
  <c r="G38" i="719"/>
  <c r="H38" i="719"/>
  <c r="C39" i="719"/>
  <c r="AJ43" i="719"/>
  <c r="AJ42" i="719"/>
  <c r="AJ44" i="719" s="1"/>
  <c r="AJ41" i="719"/>
  <c r="AJ40" i="719"/>
  <c r="AJ39" i="719"/>
  <c r="AJ38" i="719"/>
  <c r="C27" i="719"/>
  <c r="AJ31" i="719"/>
  <c r="AJ30" i="719"/>
  <c r="AJ32" i="719" s="1"/>
  <c r="AJ29" i="719"/>
  <c r="AJ28" i="719"/>
  <c r="AJ27" i="719"/>
  <c r="AJ26" i="719"/>
  <c r="C15" i="719"/>
  <c r="AJ19" i="719"/>
  <c r="AJ20" i="719" s="1"/>
  <c r="AJ18" i="719"/>
  <c r="AJ17" i="719"/>
  <c r="AJ16" i="719"/>
  <c r="AJ15" i="719"/>
  <c r="AJ14" i="719"/>
  <c r="D3" i="719"/>
  <c r="E3" i="719"/>
  <c r="F3" i="719"/>
  <c r="G3" i="719"/>
  <c r="H3" i="719"/>
  <c r="I3" i="719"/>
  <c r="I2" i="719" s="1"/>
  <c r="J3" i="719"/>
  <c r="J2" i="719" s="1"/>
  <c r="K3" i="719"/>
  <c r="L3" i="719" s="1"/>
  <c r="C2" i="719"/>
  <c r="D2" i="719"/>
  <c r="E2" i="719"/>
  <c r="F2" i="719"/>
  <c r="G2" i="719"/>
  <c r="H2" i="719"/>
  <c r="C3" i="719"/>
  <c r="AJ7" i="719"/>
  <c r="AJ8" i="719" s="1"/>
  <c r="AJ6" i="719"/>
  <c r="AJ5" i="719"/>
  <c r="AJ4" i="719"/>
  <c r="AJ3" i="719"/>
  <c r="AJ2" i="719"/>
  <c r="C135" i="718"/>
  <c r="AJ139" i="718"/>
  <c r="AJ140" i="718" s="1"/>
  <c r="AJ138" i="718"/>
  <c r="AJ137" i="718"/>
  <c r="AJ136" i="718"/>
  <c r="AJ135" i="718"/>
  <c r="AJ134" i="718"/>
  <c r="D123" i="718"/>
  <c r="D122" i="718" s="1"/>
  <c r="E123" i="718"/>
  <c r="F123" i="718"/>
  <c r="G123" i="718"/>
  <c r="H123" i="718"/>
  <c r="I123" i="718"/>
  <c r="J123" i="718" s="1"/>
  <c r="C122" i="718"/>
  <c r="E122" i="718"/>
  <c r="F122" i="718"/>
  <c r="G122" i="718"/>
  <c r="H122" i="718"/>
  <c r="I122" i="718"/>
  <c r="C123" i="718"/>
  <c r="AJ127" i="718"/>
  <c r="AJ126" i="718"/>
  <c r="AJ128" i="718" s="1"/>
  <c r="AJ125" i="718"/>
  <c r="AJ124" i="718"/>
  <c r="AJ123" i="718"/>
  <c r="AJ122" i="718"/>
  <c r="C110" i="718"/>
  <c r="C111" i="718"/>
  <c r="D111" i="718" s="1"/>
  <c r="D110" i="718" s="1"/>
  <c r="AJ115" i="718"/>
  <c r="AJ114" i="718"/>
  <c r="AJ116" i="718" s="1"/>
  <c r="AJ113" i="718"/>
  <c r="AJ112" i="718"/>
  <c r="AJ111" i="718"/>
  <c r="AJ110" i="718"/>
  <c r="D99" i="718"/>
  <c r="E99" i="718" s="1"/>
  <c r="F99" i="718" s="1"/>
  <c r="C98" i="718"/>
  <c r="E98" i="718"/>
  <c r="C99" i="718"/>
  <c r="AJ103" i="718"/>
  <c r="AJ102" i="718"/>
  <c r="AJ104" i="718" s="1"/>
  <c r="AJ101" i="718"/>
  <c r="AJ100" i="718"/>
  <c r="AJ99" i="718"/>
  <c r="AJ98" i="718"/>
  <c r="D87" i="718"/>
  <c r="D86" i="718" s="1"/>
  <c r="E87" i="718"/>
  <c r="E86" i="718" s="1"/>
  <c r="F87" i="718"/>
  <c r="F86" i="718" s="1"/>
  <c r="G87" i="718"/>
  <c r="G86" i="718" s="1"/>
  <c r="H87" i="718"/>
  <c r="C87" i="718"/>
  <c r="C86" i="718" s="1"/>
  <c r="AJ91" i="718"/>
  <c r="AJ90" i="718"/>
  <c r="AJ92" i="718" s="1"/>
  <c r="AJ89" i="718"/>
  <c r="AJ88" i="718"/>
  <c r="AJ87" i="718"/>
  <c r="AJ86" i="718"/>
  <c r="I75" i="718"/>
  <c r="I74" i="718" s="1"/>
  <c r="J75" i="718"/>
  <c r="K75" i="718" s="1"/>
  <c r="E74" i="718"/>
  <c r="F74" i="718"/>
  <c r="G74" i="718"/>
  <c r="H74" i="718"/>
  <c r="C75" i="718"/>
  <c r="D75" i="718" s="1"/>
  <c r="E75" i="718" s="1"/>
  <c r="F75" i="718" s="1"/>
  <c r="G75" i="718" s="1"/>
  <c r="H75" i="718" s="1"/>
  <c r="AJ79" i="718"/>
  <c r="AJ78" i="718"/>
  <c r="AJ80" i="718" s="1"/>
  <c r="AJ77" i="718"/>
  <c r="AJ76" i="718"/>
  <c r="AJ75" i="718"/>
  <c r="AJ74" i="718"/>
  <c r="D63" i="718"/>
  <c r="E63" i="718"/>
  <c r="F63" i="718" s="1"/>
  <c r="C62" i="718"/>
  <c r="D62" i="718"/>
  <c r="C63" i="718"/>
  <c r="AJ67" i="718"/>
  <c r="AJ66" i="718"/>
  <c r="AJ68" i="718" s="1"/>
  <c r="AJ65" i="718"/>
  <c r="AJ64" i="718"/>
  <c r="AJ63" i="718"/>
  <c r="AJ62" i="718"/>
  <c r="D51" i="718"/>
  <c r="D50" i="718" s="1"/>
  <c r="E51" i="718"/>
  <c r="E50" i="718" s="1"/>
  <c r="F51" i="718"/>
  <c r="F50" i="718" s="1"/>
  <c r="G51" i="718"/>
  <c r="C50" i="718"/>
  <c r="C51" i="718"/>
  <c r="AJ55" i="718"/>
  <c r="AJ54" i="718"/>
  <c r="AJ56" i="718" s="1"/>
  <c r="AJ53" i="718"/>
  <c r="AJ52" i="718"/>
  <c r="AJ51" i="718"/>
  <c r="AJ50" i="718"/>
  <c r="D39" i="718"/>
  <c r="E39" i="718"/>
  <c r="F39" i="718"/>
  <c r="F38" i="718" s="1"/>
  <c r="C38" i="718"/>
  <c r="D38" i="718"/>
  <c r="E38" i="718"/>
  <c r="C39" i="718"/>
  <c r="AJ43" i="718"/>
  <c r="AJ42" i="718"/>
  <c r="AJ44" i="718" s="1"/>
  <c r="AJ41" i="718"/>
  <c r="AJ40" i="718"/>
  <c r="AJ39" i="718"/>
  <c r="AJ38" i="718"/>
  <c r="C27" i="718"/>
  <c r="C26" i="718" s="1"/>
  <c r="AJ31" i="718"/>
  <c r="AJ30" i="718"/>
  <c r="AJ32" i="718" s="1"/>
  <c r="AJ29" i="718"/>
  <c r="AJ28" i="718"/>
  <c r="AJ27" i="718"/>
  <c r="AJ26" i="718"/>
  <c r="C15" i="718"/>
  <c r="AJ19" i="718"/>
  <c r="AJ20" i="718" s="1"/>
  <c r="AJ18" i="718"/>
  <c r="AJ17" i="718"/>
  <c r="AJ16" i="718"/>
  <c r="AJ15" i="718"/>
  <c r="AJ14" i="718"/>
  <c r="D3" i="718"/>
  <c r="E3" i="718"/>
  <c r="F3" i="718"/>
  <c r="G3" i="718"/>
  <c r="G2" i="718" s="1"/>
  <c r="H3" i="718"/>
  <c r="H2" i="718" s="1"/>
  <c r="I3" i="718"/>
  <c r="I2" i="718" s="1"/>
  <c r="J3" i="718"/>
  <c r="J2" i="718" s="1"/>
  <c r="K3" i="718"/>
  <c r="K2" i="718" s="1"/>
  <c r="L3" i="718"/>
  <c r="C2" i="718"/>
  <c r="D2" i="718"/>
  <c r="E2" i="718"/>
  <c r="F2" i="718"/>
  <c r="C3" i="718"/>
  <c r="AJ7" i="718"/>
  <c r="AJ6" i="718"/>
  <c r="AJ8" i="718" s="1"/>
  <c r="AJ5" i="718"/>
  <c r="AJ4" i="718"/>
  <c r="AJ3" i="718"/>
  <c r="AJ2" i="718"/>
  <c r="A2" i="504"/>
  <c r="A3" i="504"/>
  <c r="A4" i="504"/>
  <c r="A5" i="504"/>
  <c r="A6" i="504"/>
  <c r="A7" i="504"/>
  <c r="A8" i="504"/>
  <c r="A9" i="504"/>
  <c r="A10" i="504"/>
  <c r="A11" i="504"/>
  <c r="A12" i="504"/>
  <c r="A13" i="504"/>
  <c r="A14" i="504"/>
  <c r="A15" i="504"/>
  <c r="A16" i="504"/>
  <c r="A17" i="504"/>
  <c r="A18" i="504"/>
  <c r="A19" i="504"/>
  <c r="A20" i="504"/>
  <c r="A21" i="504"/>
  <c r="A22" i="504"/>
  <c r="A23" i="504"/>
  <c r="A24" i="504"/>
  <c r="A25" i="504"/>
  <c r="A26" i="504"/>
  <c r="A27" i="504"/>
  <c r="A28" i="504"/>
  <c r="A29" i="504"/>
  <c r="A30" i="504"/>
  <c r="A31" i="504"/>
  <c r="A32" i="504"/>
  <c r="A33" i="504"/>
  <c r="A34" i="504"/>
  <c r="A35" i="504"/>
  <c r="A36" i="504"/>
  <c r="A37" i="504"/>
  <c r="A38" i="504"/>
  <c r="A39" i="504"/>
  <c r="A40" i="504"/>
  <c r="A41" i="504"/>
  <c r="A42" i="504"/>
  <c r="A43" i="504"/>
  <c r="A44" i="504"/>
  <c r="A45" i="504"/>
  <c r="A46" i="504"/>
  <c r="A47" i="504"/>
  <c r="A48" i="504"/>
  <c r="A49" i="504"/>
  <c r="A50" i="504"/>
  <c r="A51" i="504"/>
  <c r="A52" i="504"/>
  <c r="A53" i="504"/>
  <c r="A54" i="504"/>
  <c r="A55" i="504"/>
  <c r="A56" i="504"/>
  <c r="A57" i="504"/>
  <c r="A58" i="504"/>
  <c r="A59" i="504"/>
  <c r="A60" i="504"/>
  <c r="A61" i="504"/>
  <c r="A62" i="504"/>
  <c r="A63" i="504"/>
  <c r="A64" i="504"/>
  <c r="A65" i="504"/>
  <c r="A66" i="504"/>
  <c r="A67" i="504"/>
  <c r="A68" i="504"/>
  <c r="A69" i="504"/>
  <c r="A70" i="504"/>
  <c r="A71" i="504"/>
  <c r="A72" i="504"/>
  <c r="A73" i="504"/>
  <c r="A74" i="504"/>
  <c r="A75" i="504"/>
  <c r="A76" i="504"/>
  <c r="A77" i="504"/>
  <c r="A78" i="504"/>
  <c r="A79" i="504"/>
  <c r="A80" i="504"/>
  <c r="A81" i="504"/>
  <c r="A82" i="504"/>
  <c r="A83" i="504"/>
  <c r="A84" i="504"/>
  <c r="A85" i="504"/>
  <c r="A86" i="504"/>
  <c r="A87" i="504"/>
  <c r="A88" i="504"/>
  <c r="A89" i="504"/>
  <c r="A90" i="504"/>
  <c r="A91" i="504"/>
  <c r="A92" i="504"/>
  <c r="A93" i="504"/>
  <c r="A94" i="504"/>
  <c r="A95" i="504"/>
  <c r="A96" i="504"/>
  <c r="A97" i="504"/>
  <c r="A98" i="504"/>
  <c r="A99" i="504"/>
  <c r="A100" i="504"/>
  <c r="A101" i="504"/>
  <c r="A102" i="504"/>
  <c r="A103" i="504"/>
  <c r="A104" i="504"/>
  <c r="A105" i="504"/>
  <c r="A106" i="504"/>
  <c r="A107" i="504"/>
  <c r="A108" i="504"/>
  <c r="A109" i="504"/>
  <c r="A110" i="504"/>
  <c r="A111" i="504"/>
  <c r="A112" i="504"/>
  <c r="A113" i="504"/>
  <c r="A114" i="504"/>
  <c r="A115" i="504"/>
  <c r="A116" i="504"/>
  <c r="A117" i="504"/>
  <c r="A118" i="504"/>
  <c r="A119" i="504"/>
  <c r="A120" i="504"/>
  <c r="A121" i="504"/>
  <c r="A122" i="504"/>
  <c r="A123" i="504"/>
  <c r="A124" i="504"/>
  <c r="A125" i="504"/>
  <c r="A126" i="504"/>
  <c r="A127" i="504"/>
  <c r="A128" i="504"/>
  <c r="A129" i="504"/>
  <c r="A130" i="504"/>
  <c r="A131" i="504"/>
  <c r="A132" i="504"/>
  <c r="A133" i="504"/>
  <c r="A134" i="504"/>
  <c r="A135" i="504"/>
  <c r="A136" i="504"/>
  <c r="A137" i="504"/>
  <c r="A138" i="504"/>
  <c r="A139" i="504"/>
  <c r="A140" i="504"/>
  <c r="A141" i="504"/>
  <c r="A142" i="504"/>
  <c r="A143" i="504"/>
  <c r="A144" i="504"/>
  <c r="A145" i="504"/>
  <c r="A146" i="504"/>
  <c r="A147" i="504"/>
  <c r="A148" i="504"/>
  <c r="A149" i="504"/>
  <c r="A150" i="504"/>
  <c r="A151" i="504"/>
  <c r="A152" i="504"/>
  <c r="A153" i="504"/>
  <c r="A154" i="504"/>
  <c r="A155" i="504"/>
  <c r="A156" i="504"/>
  <c r="A157" i="504"/>
  <c r="A158" i="504"/>
  <c r="A159" i="504"/>
  <c r="A160" i="504"/>
  <c r="A161" i="504"/>
  <c r="A162" i="504"/>
  <c r="A163" i="504"/>
  <c r="A164" i="504"/>
  <c r="A165" i="504"/>
  <c r="A166" i="504"/>
  <c r="A167" i="504"/>
  <c r="A168" i="504"/>
  <c r="A169" i="504"/>
  <c r="A170" i="504"/>
  <c r="A171" i="504"/>
  <c r="A172" i="504"/>
  <c r="A173" i="504"/>
  <c r="A174" i="504"/>
  <c r="A175" i="504"/>
  <c r="A176" i="504"/>
  <c r="A177" i="504"/>
  <c r="A178" i="504"/>
  <c r="A179" i="504"/>
  <c r="A180" i="504"/>
  <c r="A181" i="504"/>
  <c r="A182" i="504"/>
  <c r="A183" i="504"/>
  <c r="A184" i="504"/>
  <c r="A185" i="504"/>
  <c r="A186" i="504"/>
  <c r="A187" i="504"/>
  <c r="A188" i="504"/>
  <c r="A189" i="504"/>
  <c r="A190" i="504"/>
  <c r="A191" i="504"/>
  <c r="A192" i="504"/>
  <c r="A193" i="504"/>
  <c r="A194" i="504"/>
  <c r="A195" i="504"/>
  <c r="A196" i="504"/>
  <c r="A197" i="504"/>
  <c r="A198" i="504"/>
  <c r="A199" i="504"/>
  <c r="A200" i="504"/>
  <c r="A201" i="504"/>
  <c r="A202" i="504"/>
  <c r="A203" i="504"/>
  <c r="A204" i="504"/>
  <c r="A205" i="504"/>
  <c r="A206" i="504"/>
  <c r="A207" i="504"/>
  <c r="A208" i="504"/>
  <c r="A209" i="504"/>
  <c r="A210" i="504"/>
  <c r="A211" i="504"/>
  <c r="A212" i="504"/>
  <c r="A213" i="504"/>
  <c r="A214" i="504"/>
  <c r="A215" i="504"/>
  <c r="A216" i="504"/>
  <c r="DO5" i="733" l="1" a="1"/>
  <c r="DO5" i="733" s="1"/>
  <c r="AR5" i="733" a="1"/>
  <c r="AR5" i="733" s="1"/>
  <c r="CE5" i="733" a="1"/>
  <c r="CE5" i="733" s="1"/>
  <c r="ED5" i="733" a="1"/>
  <c r="ED5" i="733" s="1"/>
  <c r="EY5" i="733" a="1"/>
  <c r="EY5" i="733" s="1"/>
  <c r="CT5" i="733" a="1"/>
  <c r="CT5" i="733" s="1"/>
  <c r="FH17" i="733"/>
  <c r="FI16" i="733"/>
  <c r="DF11" i="733"/>
  <c r="DG10" i="733"/>
  <c r="BW11" i="733"/>
  <c r="BV12" i="733"/>
  <c r="AU5" i="733" a="1"/>
  <c r="AU5" i="733" s="1"/>
  <c r="CB5" i="733" a="1"/>
  <c r="CB5" i="733" s="1"/>
  <c r="AL15" i="733"/>
  <c r="AM14" i="733"/>
  <c r="EV5" i="733" a="1"/>
  <c r="EV5" i="733" s="1"/>
  <c r="CW5" i="733" a="1"/>
  <c r="CW5" i="733" s="1"/>
  <c r="B13" i="733"/>
  <c r="C12" i="733"/>
  <c r="BJ5" i="733" a="1"/>
  <c r="BJ5" i="733" s="1"/>
  <c r="BM5" i="733" a="1"/>
  <c r="BM5" i="733" s="1"/>
  <c r="T11" i="733"/>
  <c r="U10" i="733"/>
  <c r="BE19" i="733"/>
  <c r="GR11" i="733"/>
  <c r="GS10" i="733"/>
  <c r="BE17" i="733"/>
  <c r="BE16" i="733"/>
  <c r="GF5" i="733" a="1"/>
  <c r="GF5" i="733" s="1"/>
  <c r="EQ15" i="733"/>
  <c r="EP16" i="733"/>
  <c r="EQ14" i="733"/>
  <c r="GI5" i="733" a="1"/>
  <c r="GI5" i="733" s="1"/>
  <c r="DL5" i="733" a="1"/>
  <c r="DL5" i="733" s="1"/>
  <c r="BE22" i="733"/>
  <c r="BD23" i="733"/>
  <c r="FZ22" i="733"/>
  <c r="GA21" i="733"/>
  <c r="BE20" i="733"/>
  <c r="BE18" i="733"/>
  <c r="DX11" i="733"/>
  <c r="Z5" i="733" a="1"/>
  <c r="Z5" i="733" s="1"/>
  <c r="CN13" i="733"/>
  <c r="CO12" i="733"/>
  <c r="EQ13" i="733"/>
  <c r="EG5" i="733" a="1"/>
  <c r="EG5" i="733" s="1"/>
  <c r="T20" i="730"/>
  <c r="U19" i="730"/>
  <c r="BD18" i="730"/>
  <c r="BE17" i="730"/>
  <c r="DO5" i="730" a="1"/>
  <c r="DO5" i="730" s="1"/>
  <c r="H5" i="730" a="1"/>
  <c r="H5" i="730" s="1"/>
  <c r="GI5" i="730" a="1"/>
  <c r="GI5" i="730" s="1"/>
  <c r="ED5" i="730" a="1"/>
  <c r="ED5" i="730" s="1"/>
  <c r="BW14" i="730"/>
  <c r="BV15" i="730"/>
  <c r="C18" i="730"/>
  <c r="B19" i="730"/>
  <c r="Z5" i="730" a="1"/>
  <c r="Z5" i="730" s="1"/>
  <c r="CT5" i="730" a="1"/>
  <c r="CT5" i="730" s="1"/>
  <c r="EP12" i="730"/>
  <c r="EQ11" i="730"/>
  <c r="K5" i="730" a="1"/>
  <c r="K5" i="730" s="1"/>
  <c r="DF12" i="730"/>
  <c r="DG11" i="730"/>
  <c r="AC5" i="730" a="1"/>
  <c r="AC5" i="730" s="1"/>
  <c r="AR5" i="730" a="1"/>
  <c r="AR5" i="730" s="1"/>
  <c r="EG5" i="730" a="1"/>
  <c r="EG5" i="730" s="1"/>
  <c r="GA18" i="730"/>
  <c r="FZ19" i="730"/>
  <c r="GX5" i="730" a="1"/>
  <c r="GX5" i="730" s="1"/>
  <c r="BM5" i="730" a="1"/>
  <c r="BM5" i="730" s="1"/>
  <c r="BJ5" i="730" a="1"/>
  <c r="BJ5" i="730" s="1"/>
  <c r="AL11" i="730"/>
  <c r="CO15" i="730"/>
  <c r="CO13" i="730"/>
  <c r="GS14" i="730"/>
  <c r="GR15" i="730"/>
  <c r="CW5" i="730" a="1"/>
  <c r="CW5" i="730" s="1"/>
  <c r="CB5" i="730" a="1"/>
  <c r="CB5" i="730" s="1"/>
  <c r="CO11" i="730"/>
  <c r="CN17" i="730"/>
  <c r="GS13" i="730"/>
  <c r="DG10" i="730"/>
  <c r="CO14" i="730"/>
  <c r="FH11" i="730"/>
  <c r="FN5" i="730" a="1"/>
  <c r="FN5" i="730" s="1"/>
  <c r="CO12" i="730"/>
  <c r="GS12" i="730"/>
  <c r="HA5" i="730" a="1"/>
  <c r="HA5" i="730" s="1"/>
  <c r="DX11" i="730"/>
  <c r="C10" i="728"/>
  <c r="B11" i="728"/>
  <c r="CB5" i="728" a="1"/>
  <c r="CB5" i="728" s="1"/>
  <c r="AC5" i="728" a="1"/>
  <c r="AC5" i="728" s="1"/>
  <c r="ED5" i="728" a="1"/>
  <c r="ED5" i="728" s="1"/>
  <c r="BE13" i="728"/>
  <c r="BD14" i="728"/>
  <c r="H5" i="728" a="1"/>
  <c r="H5" i="728" s="1"/>
  <c r="K5" i="728" a="1"/>
  <c r="K5" i="728" s="1"/>
  <c r="DG10" i="728"/>
  <c r="DF11" i="728"/>
  <c r="Z5" i="728" a="1"/>
  <c r="Z5" i="728" s="1"/>
  <c r="EG5" i="728" a="1"/>
  <c r="EG5" i="728" s="1"/>
  <c r="FI15" i="728"/>
  <c r="FH16" i="728"/>
  <c r="GA15" i="728"/>
  <c r="FZ16" i="728"/>
  <c r="AU5" i="728" a="1"/>
  <c r="AU5" i="728" s="1"/>
  <c r="DY20" i="728"/>
  <c r="DX21" i="728"/>
  <c r="FN5" i="728" a="1"/>
  <c r="FN5" i="728" s="1"/>
  <c r="BV13" i="728"/>
  <c r="BW12" i="728"/>
  <c r="GR11" i="728"/>
  <c r="GS10" i="728"/>
  <c r="CE5" i="728" a="1"/>
  <c r="CE5" i="728" s="1"/>
  <c r="CO10" i="728"/>
  <c r="CN11" i="728"/>
  <c r="AM13" i="728"/>
  <c r="AL14" i="728"/>
  <c r="EY5" i="728" a="1"/>
  <c r="EY5" i="728" s="1"/>
  <c r="U10" i="728"/>
  <c r="T11" i="728"/>
  <c r="CT5" i="728" a="1"/>
  <c r="CT5" i="728" s="1"/>
  <c r="GI5" i="728" a="1"/>
  <c r="GI5" i="728" s="1"/>
  <c r="EV5" i="728" a="1"/>
  <c r="EV5" i="728" s="1"/>
  <c r="AO5" i="728"/>
  <c r="EQ11" i="728"/>
  <c r="EP12" i="728"/>
  <c r="DO5" i="728" a="1"/>
  <c r="DO5" i="728" s="1"/>
  <c r="FQ5" i="728" a="1"/>
  <c r="FQ5" i="728" s="1"/>
  <c r="H5" i="727" a="1"/>
  <c r="H5" i="727" s="1"/>
  <c r="EG5" i="727" a="1"/>
  <c r="EG5" i="727" s="1"/>
  <c r="FQ5" i="727" a="1"/>
  <c r="FQ5" i="727" s="1"/>
  <c r="AU5" i="727" a="1"/>
  <c r="AU5" i="727" s="1"/>
  <c r="BM5" i="727" a="1"/>
  <c r="BM5" i="727" s="1"/>
  <c r="EQ15" i="727"/>
  <c r="EP16" i="727"/>
  <c r="GS12" i="727"/>
  <c r="GX5" i="727" a="1"/>
  <c r="GX5" i="727" s="1"/>
  <c r="B12" i="727"/>
  <c r="GS10" i="727"/>
  <c r="FN5" i="727" a="1"/>
  <c r="FN5" i="727" s="1"/>
  <c r="K5" i="727" a="1"/>
  <c r="K5" i="727" s="1"/>
  <c r="DY21" i="727"/>
  <c r="DX22" i="727"/>
  <c r="GS14" i="727"/>
  <c r="GR15" i="727"/>
  <c r="GA20" i="727"/>
  <c r="FZ21" i="727"/>
  <c r="AL12" i="727"/>
  <c r="AM11" i="727"/>
  <c r="GS13" i="727"/>
  <c r="HA5" i="727" a="1"/>
  <c r="HA5" i="727" s="1"/>
  <c r="BV11" i="727"/>
  <c r="BW10" i="727"/>
  <c r="EV5" i="727" a="1"/>
  <c r="EV5" i="727" s="1"/>
  <c r="GS11" i="727"/>
  <c r="CO10" i="727"/>
  <c r="CN11" i="727"/>
  <c r="DF18" i="727"/>
  <c r="DG17" i="727"/>
  <c r="DY20" i="727"/>
  <c r="GI5" i="727" a="1"/>
  <c r="GI5" i="727" s="1"/>
  <c r="FH11" i="727"/>
  <c r="BJ5" i="727" a="1"/>
  <c r="BJ5" i="727" s="1"/>
  <c r="BD11" i="727"/>
  <c r="EY5" i="727" a="1"/>
  <c r="EY5" i="727" s="1"/>
  <c r="AC5" i="727" a="1"/>
  <c r="AC5" i="727" s="1"/>
  <c r="Z5" i="727" a="1"/>
  <c r="Z5" i="727" s="1"/>
  <c r="AM10" i="727"/>
  <c r="U12" i="727"/>
  <c r="T13" i="727"/>
  <c r="CB5" i="727" a="1"/>
  <c r="CB5" i="727" s="1"/>
  <c r="CE5" i="725" a="1"/>
  <c r="CE5" i="725" s="1"/>
  <c r="BV15" i="725"/>
  <c r="BW14" i="725"/>
  <c r="AC5" i="725" a="1"/>
  <c r="AC5" i="725" s="1"/>
  <c r="EY5" i="725" a="1"/>
  <c r="EY5" i="725" s="1"/>
  <c r="EV5" i="725" a="1"/>
  <c r="EV5" i="725" s="1"/>
  <c r="AU5" i="725" a="1"/>
  <c r="AU5" i="725" s="1"/>
  <c r="CN26" i="725"/>
  <c r="CO25" i="725"/>
  <c r="B19" i="725"/>
  <c r="C18" i="725"/>
  <c r="AL16" i="725"/>
  <c r="AM15" i="725"/>
  <c r="CB5" i="725" a="1"/>
  <c r="CB5" i="725" s="1"/>
  <c r="ED5" i="725" a="1"/>
  <c r="ED5" i="725" s="1"/>
  <c r="K5" i="725" a="1"/>
  <c r="K5" i="725" s="1"/>
  <c r="EG5" i="725" a="1"/>
  <c r="EG5" i="725" s="1"/>
  <c r="H5" i="725" a="1"/>
  <c r="H5" i="725" s="1"/>
  <c r="AM13" i="725"/>
  <c r="AR5" i="725" a="1"/>
  <c r="AR5" i="725" s="1"/>
  <c r="GR11" i="725"/>
  <c r="GS10" i="725"/>
  <c r="CW5" i="725" a="1"/>
  <c r="CW5" i="725" s="1"/>
  <c r="GF5" i="725" a="1"/>
  <c r="GF5" i="725" s="1"/>
  <c r="C12" i="725"/>
  <c r="AM14" i="725"/>
  <c r="FH17" i="725"/>
  <c r="FI16" i="725"/>
  <c r="AM12" i="725"/>
  <c r="EP12" i="725"/>
  <c r="EQ11" i="725"/>
  <c r="FZ22" i="725"/>
  <c r="GA21" i="725"/>
  <c r="BD19" i="725"/>
  <c r="BE18" i="725"/>
  <c r="FQ5" i="725" a="1"/>
  <c r="FQ5" i="725" s="1"/>
  <c r="T12" i="725"/>
  <c r="DF11" i="725"/>
  <c r="GI5" i="725" a="1"/>
  <c r="GI5" i="725" s="1"/>
  <c r="DX11" i="725"/>
  <c r="Z5" i="725" a="1"/>
  <c r="Z5" i="725" s="1"/>
  <c r="B20" i="724"/>
  <c r="C19" i="724"/>
  <c r="DF32" i="724"/>
  <c r="DG31" i="724"/>
  <c r="BW10" i="724"/>
  <c r="BV11" i="724"/>
  <c r="DG29" i="724"/>
  <c r="K5" i="724" a="1"/>
  <c r="K5" i="724" s="1"/>
  <c r="T22" i="724"/>
  <c r="U21" i="724"/>
  <c r="CT5" i="724" a="1"/>
  <c r="CT5" i="724" s="1"/>
  <c r="AL11" i="724"/>
  <c r="AM10" i="724"/>
  <c r="H5" i="724" a="1"/>
  <c r="H5" i="724" s="1"/>
  <c r="CO11" i="724"/>
  <c r="CN12" i="724"/>
  <c r="DY10" i="724"/>
  <c r="DX11" i="724"/>
  <c r="FQ5" i="724" a="1"/>
  <c r="FQ5" i="724" s="1"/>
  <c r="DG30" i="724"/>
  <c r="EG5" i="724" a="1"/>
  <c r="EG5" i="724" s="1"/>
  <c r="C18" i="724"/>
  <c r="DL5" i="724" a="1"/>
  <c r="DL5" i="724" s="1"/>
  <c r="FZ22" i="724"/>
  <c r="GA21" i="724"/>
  <c r="GX5" i="724" a="1"/>
  <c r="GX5" i="724" s="1"/>
  <c r="BD13" i="724"/>
  <c r="BE12" i="724"/>
  <c r="EP12" i="724"/>
  <c r="EQ11" i="724"/>
  <c r="GF5" i="724" a="1"/>
  <c r="GF5" i="724" s="1"/>
  <c r="BE10" i="724"/>
  <c r="DG12" i="724"/>
  <c r="GS14" i="724"/>
  <c r="GR15" i="724"/>
  <c r="GS13" i="724"/>
  <c r="GI5" i="724" a="1"/>
  <c r="GI5" i="724" s="1"/>
  <c r="BE11" i="724"/>
  <c r="FN5" i="724" a="1"/>
  <c r="FN5" i="724" s="1"/>
  <c r="FH11" i="724"/>
  <c r="DO5" i="724" a="1"/>
  <c r="DO5" i="724" s="1"/>
  <c r="HA5" i="724" a="1"/>
  <c r="HA5" i="724" s="1"/>
  <c r="G2" i="723"/>
  <c r="H3" i="723"/>
  <c r="D38" i="723"/>
  <c r="E39" i="723"/>
  <c r="I51" i="723"/>
  <c r="H50" i="723"/>
  <c r="L74" i="723"/>
  <c r="M75" i="723"/>
  <c r="Q86" i="723"/>
  <c r="R87" i="723"/>
  <c r="D134" i="723"/>
  <c r="F74" i="723"/>
  <c r="N86" i="723"/>
  <c r="J110" i="723"/>
  <c r="E74" i="723"/>
  <c r="N122" i="723"/>
  <c r="C98" i="723"/>
  <c r="H26" i="723"/>
  <c r="I27" i="723"/>
  <c r="P122" i="723"/>
  <c r="Q123" i="723"/>
  <c r="H74" i="723"/>
  <c r="K110" i="723"/>
  <c r="L111" i="723"/>
  <c r="G74" i="723"/>
  <c r="O86" i="723"/>
  <c r="E134" i="723"/>
  <c r="F135" i="723"/>
  <c r="F98" i="723"/>
  <c r="G99" i="723"/>
  <c r="E98" i="723"/>
  <c r="O122" i="723"/>
  <c r="C134" i="723"/>
  <c r="M86" i="723"/>
  <c r="D98" i="723"/>
  <c r="I110" i="723"/>
  <c r="D2" i="723"/>
  <c r="H110" i="723"/>
  <c r="G110" i="723"/>
  <c r="D26" i="723"/>
  <c r="C14" i="723"/>
  <c r="D15" i="723"/>
  <c r="G62" i="723"/>
  <c r="H63" i="723"/>
  <c r="L3" i="722"/>
  <c r="K2" i="722"/>
  <c r="E99" i="722"/>
  <c r="D98" i="722"/>
  <c r="L39" i="722"/>
  <c r="K38" i="722"/>
  <c r="D14" i="722"/>
  <c r="E15" i="722"/>
  <c r="D27" i="722"/>
  <c r="AJ104" i="722"/>
  <c r="I123" i="722"/>
  <c r="H122" i="722"/>
  <c r="C74" i="722"/>
  <c r="D75" i="722"/>
  <c r="J111" i="722"/>
  <c r="I110" i="722"/>
  <c r="G50" i="722"/>
  <c r="H51" i="722"/>
  <c r="G87" i="722"/>
  <c r="F86" i="722"/>
  <c r="F63" i="722"/>
  <c r="E62" i="722"/>
  <c r="AJ56" i="722"/>
  <c r="E134" i="722"/>
  <c r="F135" i="722"/>
  <c r="J111" i="721"/>
  <c r="I110" i="721"/>
  <c r="H38" i="721"/>
  <c r="C26" i="721"/>
  <c r="Q51" i="721"/>
  <c r="P50" i="721"/>
  <c r="L38" i="721"/>
  <c r="J38" i="721"/>
  <c r="I38" i="721"/>
  <c r="D3" i="721"/>
  <c r="M38" i="721"/>
  <c r="N39" i="721"/>
  <c r="K38" i="721"/>
  <c r="D99" i="721"/>
  <c r="O123" i="721"/>
  <c r="N122" i="721"/>
  <c r="H26" i="721"/>
  <c r="I27" i="721"/>
  <c r="D26" i="721"/>
  <c r="D135" i="721"/>
  <c r="C134" i="721"/>
  <c r="E63" i="721"/>
  <c r="F75" i="721"/>
  <c r="N87" i="721"/>
  <c r="C14" i="721"/>
  <c r="D15" i="721"/>
  <c r="H2" i="720"/>
  <c r="G62" i="720"/>
  <c r="H63" i="720"/>
  <c r="C62" i="720"/>
  <c r="C14" i="720"/>
  <c r="D15" i="720"/>
  <c r="G51" i="720"/>
  <c r="E111" i="720"/>
  <c r="K39" i="720"/>
  <c r="J38" i="720"/>
  <c r="N2" i="720"/>
  <c r="O3" i="720"/>
  <c r="L74" i="720"/>
  <c r="M75" i="720"/>
  <c r="F2" i="720"/>
  <c r="G27" i="720"/>
  <c r="F26" i="720"/>
  <c r="G2" i="720"/>
  <c r="D135" i="720"/>
  <c r="C134" i="720"/>
  <c r="G87" i="720"/>
  <c r="F86" i="720"/>
  <c r="C74" i="720"/>
  <c r="D99" i="720"/>
  <c r="M2" i="720"/>
  <c r="F123" i="720"/>
  <c r="M3" i="719"/>
  <c r="L2" i="719"/>
  <c r="E75" i="719"/>
  <c r="D74" i="719"/>
  <c r="K2" i="719"/>
  <c r="C26" i="719"/>
  <c r="D27" i="719"/>
  <c r="M38" i="719"/>
  <c r="N39" i="719"/>
  <c r="K38" i="719"/>
  <c r="L87" i="719"/>
  <c r="K86" i="719"/>
  <c r="F98" i="719"/>
  <c r="G99" i="719"/>
  <c r="C14" i="719"/>
  <c r="D15" i="719"/>
  <c r="E98" i="719"/>
  <c r="L38" i="719"/>
  <c r="G123" i="719"/>
  <c r="F122" i="719"/>
  <c r="G62" i="719"/>
  <c r="H63" i="719"/>
  <c r="D98" i="719"/>
  <c r="E111" i="719"/>
  <c r="D134" i="719"/>
  <c r="E134" i="719"/>
  <c r="F135" i="719"/>
  <c r="C134" i="719"/>
  <c r="D51" i="719"/>
  <c r="C14" i="718"/>
  <c r="D15" i="718"/>
  <c r="H51" i="718"/>
  <c r="G50" i="718"/>
  <c r="J122" i="718"/>
  <c r="K123" i="718"/>
  <c r="M3" i="718"/>
  <c r="L2" i="718"/>
  <c r="I87" i="718"/>
  <c r="H86" i="718"/>
  <c r="L75" i="718"/>
  <c r="K74" i="718"/>
  <c r="F98" i="718"/>
  <c r="G99" i="718"/>
  <c r="G39" i="718"/>
  <c r="D74" i="718"/>
  <c r="D98" i="718"/>
  <c r="E111" i="718"/>
  <c r="E62" i="718"/>
  <c r="C74" i="718"/>
  <c r="G63" i="718"/>
  <c r="F62" i="718"/>
  <c r="J74" i="718"/>
  <c r="D135" i="718"/>
  <c r="C134" i="718"/>
  <c r="D27" i="718"/>
  <c r="EQ16" i="733" l="1"/>
  <c r="EP17" i="733"/>
  <c r="FH18" i="733"/>
  <c r="FI17" i="733"/>
  <c r="FZ23" i="733"/>
  <c r="GA22" i="733"/>
  <c r="BE23" i="733"/>
  <c r="BD24" i="733"/>
  <c r="C13" i="733"/>
  <c r="B14" i="733"/>
  <c r="AL16" i="733"/>
  <c r="AM15" i="733"/>
  <c r="CN14" i="733"/>
  <c r="CO13" i="733"/>
  <c r="BW12" i="733"/>
  <c r="BV13" i="733"/>
  <c r="DY11" i="733"/>
  <c r="DX12" i="733"/>
  <c r="GR12" i="733"/>
  <c r="GS11" i="733"/>
  <c r="DF12" i="733"/>
  <c r="DG11" i="733"/>
  <c r="U11" i="733"/>
  <c r="T12" i="733"/>
  <c r="GS15" i="730"/>
  <c r="GR16" i="730"/>
  <c r="DY11" i="730"/>
  <c r="DX12" i="730"/>
  <c r="AM11" i="730"/>
  <c r="AL12" i="730"/>
  <c r="B20" i="730"/>
  <c r="C19" i="730"/>
  <c r="BV16" i="730"/>
  <c r="BW15" i="730"/>
  <c r="FH12" i="730"/>
  <c r="FI11" i="730"/>
  <c r="FZ20" i="730"/>
  <c r="GA19" i="730"/>
  <c r="CO17" i="730"/>
  <c r="CN18" i="730"/>
  <c r="BD19" i="730"/>
  <c r="BE18" i="730"/>
  <c r="DG12" i="730"/>
  <c r="DF13" i="730"/>
  <c r="EP13" i="730"/>
  <c r="EQ12" i="730"/>
  <c r="T21" i="730"/>
  <c r="U20" i="730"/>
  <c r="FH17" i="728"/>
  <c r="FI16" i="728"/>
  <c r="AM14" i="728"/>
  <c r="AL15" i="728"/>
  <c r="EQ12" i="728"/>
  <c r="EP13" i="728"/>
  <c r="BE14" i="728"/>
  <c r="BD15" i="728"/>
  <c r="BV14" i="728"/>
  <c r="BW13" i="728"/>
  <c r="DY21" i="728"/>
  <c r="DX22" i="728"/>
  <c r="CN12" i="728"/>
  <c r="CO11" i="728"/>
  <c r="DG11" i="728"/>
  <c r="DF12" i="728"/>
  <c r="GR12" i="728"/>
  <c r="GS11" i="728"/>
  <c r="C11" i="728"/>
  <c r="B12" i="728"/>
  <c r="U11" i="728"/>
  <c r="T12" i="728"/>
  <c r="FZ17" i="728"/>
  <c r="GA16" i="728"/>
  <c r="DX23" i="727"/>
  <c r="DY22" i="727"/>
  <c r="DF19" i="727"/>
  <c r="DG18" i="727"/>
  <c r="CO11" i="727"/>
  <c r="CN12" i="727"/>
  <c r="C12" i="727"/>
  <c r="B13" i="727"/>
  <c r="FI11" i="727"/>
  <c r="FH12" i="727"/>
  <c r="U13" i="727"/>
  <c r="T14" i="727"/>
  <c r="BW11" i="727"/>
  <c r="BV12" i="727"/>
  <c r="EQ16" i="727"/>
  <c r="EP17" i="727"/>
  <c r="BD12" i="727"/>
  <c r="BE11" i="727"/>
  <c r="AM12" i="727"/>
  <c r="AL13" i="727"/>
  <c r="FZ22" i="727"/>
  <c r="GA21" i="727"/>
  <c r="GS15" i="727"/>
  <c r="GR16" i="727"/>
  <c r="FZ23" i="725"/>
  <c r="GA22" i="725"/>
  <c r="AL17" i="725"/>
  <c r="AM16" i="725"/>
  <c r="FH18" i="725"/>
  <c r="FI17" i="725"/>
  <c r="B20" i="725"/>
  <c r="C19" i="725"/>
  <c r="CN27" i="725"/>
  <c r="CO26" i="725"/>
  <c r="U12" i="725"/>
  <c r="T13" i="725"/>
  <c r="GR12" i="725"/>
  <c r="GS11" i="725"/>
  <c r="BD20" i="725"/>
  <c r="BE19" i="725"/>
  <c r="BV16" i="725"/>
  <c r="BW15" i="725"/>
  <c r="EP13" i="725"/>
  <c r="EQ12" i="725"/>
  <c r="DY11" i="725"/>
  <c r="DX12" i="725"/>
  <c r="DG11" i="725"/>
  <c r="DF12" i="725"/>
  <c r="CN13" i="724"/>
  <c r="CO12" i="724"/>
  <c r="EP13" i="724"/>
  <c r="EQ12" i="724"/>
  <c r="AL12" i="724"/>
  <c r="AM11" i="724"/>
  <c r="BE13" i="724"/>
  <c r="BD14" i="724"/>
  <c r="T23" i="724"/>
  <c r="U22" i="724"/>
  <c r="FI11" i="724"/>
  <c r="FH12" i="724"/>
  <c r="FZ23" i="724"/>
  <c r="GA22" i="724"/>
  <c r="DY11" i="724"/>
  <c r="DX12" i="724"/>
  <c r="BW11" i="724"/>
  <c r="BV12" i="724"/>
  <c r="GS15" i="724"/>
  <c r="GR16" i="724"/>
  <c r="DF33" i="724"/>
  <c r="DG32" i="724"/>
  <c r="B21" i="724"/>
  <c r="C20" i="724"/>
  <c r="F134" i="723"/>
  <c r="G135" i="723"/>
  <c r="M111" i="723"/>
  <c r="L110" i="723"/>
  <c r="J51" i="723"/>
  <c r="I50" i="723"/>
  <c r="H2" i="723"/>
  <c r="I3" i="723"/>
  <c r="H99" i="723"/>
  <c r="G98" i="723"/>
  <c r="H62" i="723"/>
  <c r="I63" i="723"/>
  <c r="D14" i="723"/>
  <c r="E15" i="723"/>
  <c r="S87" i="723"/>
  <c r="R86" i="723"/>
  <c r="M74" i="723"/>
  <c r="N75" i="723"/>
  <c r="R123" i="723"/>
  <c r="Q122" i="723"/>
  <c r="E38" i="723"/>
  <c r="F39" i="723"/>
  <c r="I26" i="723"/>
  <c r="J27" i="723"/>
  <c r="K111" i="722"/>
  <c r="J110" i="722"/>
  <c r="J123" i="722"/>
  <c r="I122" i="722"/>
  <c r="F134" i="722"/>
  <c r="G135" i="722"/>
  <c r="F15" i="722"/>
  <c r="E14" i="722"/>
  <c r="G63" i="722"/>
  <c r="F62" i="722"/>
  <c r="M39" i="722"/>
  <c r="L38" i="722"/>
  <c r="H87" i="722"/>
  <c r="G86" i="722"/>
  <c r="F99" i="722"/>
  <c r="E98" i="722"/>
  <c r="H50" i="722"/>
  <c r="I51" i="722"/>
  <c r="E75" i="722"/>
  <c r="D74" i="722"/>
  <c r="D26" i="722"/>
  <c r="E27" i="722"/>
  <c r="M3" i="722"/>
  <c r="L2" i="722"/>
  <c r="E99" i="721"/>
  <c r="D98" i="721"/>
  <c r="N38" i="721"/>
  <c r="O39" i="721"/>
  <c r="D2" i="721"/>
  <c r="E3" i="721"/>
  <c r="D14" i="721"/>
  <c r="E15" i="721"/>
  <c r="F63" i="721"/>
  <c r="E62" i="721"/>
  <c r="R51" i="721"/>
  <c r="Q50" i="721"/>
  <c r="I26" i="721"/>
  <c r="J27" i="721"/>
  <c r="P123" i="721"/>
  <c r="O122" i="721"/>
  <c r="N86" i="721"/>
  <c r="O87" i="721"/>
  <c r="F74" i="721"/>
  <c r="G75" i="721"/>
  <c r="E135" i="721"/>
  <c r="D134" i="721"/>
  <c r="K111" i="721"/>
  <c r="J110" i="721"/>
  <c r="O2" i="720"/>
  <c r="P3" i="720"/>
  <c r="H27" i="720"/>
  <c r="G26" i="720"/>
  <c r="M74" i="720"/>
  <c r="N75" i="720"/>
  <c r="G123" i="720"/>
  <c r="F122" i="720"/>
  <c r="L39" i="720"/>
  <c r="K38" i="720"/>
  <c r="E99" i="720"/>
  <c r="D98" i="720"/>
  <c r="F111" i="720"/>
  <c r="E110" i="720"/>
  <c r="H51" i="720"/>
  <c r="G50" i="720"/>
  <c r="D14" i="720"/>
  <c r="E15" i="720"/>
  <c r="H87" i="720"/>
  <c r="G86" i="720"/>
  <c r="E135" i="720"/>
  <c r="D134" i="720"/>
  <c r="H62" i="720"/>
  <c r="I63" i="720"/>
  <c r="G98" i="719"/>
  <c r="H99" i="719"/>
  <c r="F134" i="719"/>
  <c r="G135" i="719"/>
  <c r="D14" i="719"/>
  <c r="E15" i="719"/>
  <c r="M87" i="719"/>
  <c r="L86" i="719"/>
  <c r="F111" i="719"/>
  <c r="E110" i="719"/>
  <c r="H123" i="719"/>
  <c r="G122" i="719"/>
  <c r="E74" i="719"/>
  <c r="F75" i="719"/>
  <c r="E51" i="719"/>
  <c r="D50" i="719"/>
  <c r="N38" i="719"/>
  <c r="O39" i="719"/>
  <c r="E27" i="719"/>
  <c r="D26" i="719"/>
  <c r="H62" i="719"/>
  <c r="I63" i="719"/>
  <c r="N3" i="719"/>
  <c r="M2" i="719"/>
  <c r="G98" i="718"/>
  <c r="H99" i="718"/>
  <c r="H39" i="718"/>
  <c r="G38" i="718"/>
  <c r="L74" i="718"/>
  <c r="M75" i="718"/>
  <c r="D26" i="718"/>
  <c r="E27" i="718"/>
  <c r="K122" i="718"/>
  <c r="L123" i="718"/>
  <c r="G62" i="718"/>
  <c r="H63" i="718"/>
  <c r="I51" i="718"/>
  <c r="H50" i="718"/>
  <c r="E135" i="718"/>
  <c r="D134" i="718"/>
  <c r="N3" i="718"/>
  <c r="M2" i="718"/>
  <c r="D14" i="718"/>
  <c r="E15" i="718"/>
  <c r="J87" i="718"/>
  <c r="I86" i="718"/>
  <c r="E110" i="718"/>
  <c r="F111" i="718"/>
  <c r="CN15" i="733" l="1"/>
  <c r="CO14" i="733"/>
  <c r="AM16" i="733"/>
  <c r="AL17" i="733"/>
  <c r="B15" i="733"/>
  <c r="C14" i="733"/>
  <c r="U12" i="733"/>
  <c r="T13" i="733"/>
  <c r="DY12" i="733"/>
  <c r="DX13" i="733"/>
  <c r="EQ17" i="733"/>
  <c r="EP18" i="733"/>
  <c r="BW13" i="733"/>
  <c r="BV14" i="733"/>
  <c r="BE24" i="733"/>
  <c r="BD25" i="733"/>
  <c r="DF13" i="733"/>
  <c r="DG12" i="733"/>
  <c r="FZ24" i="733"/>
  <c r="GA23" i="733"/>
  <c r="GR13" i="733"/>
  <c r="GS12" i="733"/>
  <c r="FH19" i="733"/>
  <c r="FI18" i="733"/>
  <c r="FZ21" i="730"/>
  <c r="GA20" i="730"/>
  <c r="FH13" i="730"/>
  <c r="FI12" i="730"/>
  <c r="BV17" i="730"/>
  <c r="BW16" i="730"/>
  <c r="B21" i="730"/>
  <c r="C20" i="730"/>
  <c r="AL13" i="730"/>
  <c r="AM12" i="730"/>
  <c r="EP14" i="730"/>
  <c r="EQ13" i="730"/>
  <c r="DG13" i="730"/>
  <c r="DF14" i="730"/>
  <c r="GS16" i="730"/>
  <c r="GR17" i="730"/>
  <c r="CO18" i="730"/>
  <c r="CN19" i="730"/>
  <c r="T22" i="730"/>
  <c r="U21" i="730"/>
  <c r="DY12" i="730"/>
  <c r="DX13" i="730"/>
  <c r="BD20" i="730"/>
  <c r="BE19" i="730"/>
  <c r="FZ18" i="728"/>
  <c r="GA17" i="728"/>
  <c r="U12" i="728"/>
  <c r="T13" i="728"/>
  <c r="EP14" i="728"/>
  <c r="EQ13" i="728"/>
  <c r="CN13" i="728"/>
  <c r="CO12" i="728"/>
  <c r="BV15" i="728"/>
  <c r="BW14" i="728"/>
  <c r="BE15" i="728"/>
  <c r="BD16" i="728"/>
  <c r="AM15" i="728"/>
  <c r="AL16" i="728"/>
  <c r="DG12" i="728"/>
  <c r="DF13" i="728"/>
  <c r="DX23" i="728"/>
  <c r="DY22" i="728"/>
  <c r="C12" i="728"/>
  <c r="B13" i="728"/>
  <c r="GR13" i="728"/>
  <c r="GS12" i="728"/>
  <c r="FH18" i="728"/>
  <c r="FI17" i="728"/>
  <c r="FI12" i="727"/>
  <c r="FH13" i="727"/>
  <c r="GS16" i="727"/>
  <c r="GR17" i="727"/>
  <c r="DF20" i="727"/>
  <c r="DG19" i="727"/>
  <c r="EQ17" i="727"/>
  <c r="EP18" i="727"/>
  <c r="BW12" i="727"/>
  <c r="BV13" i="727"/>
  <c r="U14" i="727"/>
  <c r="T15" i="727"/>
  <c r="C13" i="727"/>
  <c r="B14" i="727"/>
  <c r="CN13" i="727"/>
  <c r="CO12" i="727"/>
  <c r="FZ23" i="727"/>
  <c r="GA22" i="727"/>
  <c r="AL14" i="727"/>
  <c r="AM13" i="727"/>
  <c r="BD13" i="727"/>
  <c r="BE12" i="727"/>
  <c r="DX24" i="727"/>
  <c r="DY23" i="727"/>
  <c r="GR13" i="725"/>
  <c r="GS12" i="725"/>
  <c r="CN28" i="725"/>
  <c r="CO27" i="725"/>
  <c r="B21" i="725"/>
  <c r="C20" i="725"/>
  <c r="FH19" i="725"/>
  <c r="FI18" i="725"/>
  <c r="BD21" i="725"/>
  <c r="BE20" i="725"/>
  <c r="U13" i="725"/>
  <c r="T14" i="725"/>
  <c r="DG12" i="725"/>
  <c r="DF13" i="725"/>
  <c r="DY12" i="725"/>
  <c r="DX13" i="725"/>
  <c r="EP14" i="725"/>
  <c r="EQ13" i="725"/>
  <c r="AM17" i="725"/>
  <c r="AL18" i="725"/>
  <c r="BV17" i="725"/>
  <c r="BW16" i="725"/>
  <c r="FZ24" i="725"/>
  <c r="GA23" i="725"/>
  <c r="GA23" i="724"/>
  <c r="FZ24" i="724"/>
  <c r="T24" i="724"/>
  <c r="U23" i="724"/>
  <c r="BE14" i="724"/>
  <c r="BD15" i="724"/>
  <c r="AL13" i="724"/>
  <c r="AM12" i="724"/>
  <c r="GR17" i="724"/>
  <c r="GS16" i="724"/>
  <c r="EQ13" i="724"/>
  <c r="EP14" i="724"/>
  <c r="BW12" i="724"/>
  <c r="BV13" i="724"/>
  <c r="DX13" i="724"/>
  <c r="DY12" i="724"/>
  <c r="FI12" i="724"/>
  <c r="FH13" i="724"/>
  <c r="B22" i="724"/>
  <c r="C21" i="724"/>
  <c r="DF34" i="724"/>
  <c r="DG33" i="724"/>
  <c r="CN14" i="724"/>
  <c r="CO13" i="724"/>
  <c r="S86" i="723"/>
  <c r="T87" i="723"/>
  <c r="E14" i="723"/>
  <c r="F15" i="723"/>
  <c r="H98" i="723"/>
  <c r="I99" i="723"/>
  <c r="J26" i="723"/>
  <c r="K27" i="723"/>
  <c r="F38" i="723"/>
  <c r="G39" i="723"/>
  <c r="G134" i="723"/>
  <c r="H135" i="723"/>
  <c r="I62" i="723"/>
  <c r="J63" i="723"/>
  <c r="I2" i="723"/>
  <c r="J3" i="723"/>
  <c r="K51" i="723"/>
  <c r="J50" i="723"/>
  <c r="R122" i="723"/>
  <c r="S123" i="723"/>
  <c r="M110" i="723"/>
  <c r="N111" i="723"/>
  <c r="N74" i="723"/>
  <c r="O75" i="723"/>
  <c r="F98" i="722"/>
  <c r="G99" i="722"/>
  <c r="G15" i="722"/>
  <c r="F14" i="722"/>
  <c r="J51" i="722"/>
  <c r="I50" i="722"/>
  <c r="I87" i="722"/>
  <c r="H86" i="722"/>
  <c r="M38" i="722"/>
  <c r="N39" i="722"/>
  <c r="G62" i="722"/>
  <c r="H63" i="722"/>
  <c r="N3" i="722"/>
  <c r="M2" i="722"/>
  <c r="E26" i="722"/>
  <c r="F27" i="722"/>
  <c r="G134" i="722"/>
  <c r="H135" i="722"/>
  <c r="F75" i="722"/>
  <c r="E74" i="722"/>
  <c r="K123" i="722"/>
  <c r="J122" i="722"/>
  <c r="K110" i="722"/>
  <c r="L111" i="722"/>
  <c r="P122" i="721"/>
  <c r="Q123" i="721"/>
  <c r="G63" i="721"/>
  <c r="F62" i="721"/>
  <c r="E14" i="721"/>
  <c r="F15" i="721"/>
  <c r="E134" i="721"/>
  <c r="F135" i="721"/>
  <c r="O38" i="721"/>
  <c r="P39" i="721"/>
  <c r="J26" i="721"/>
  <c r="K27" i="721"/>
  <c r="R50" i="721"/>
  <c r="S51" i="721"/>
  <c r="K110" i="721"/>
  <c r="L111" i="721"/>
  <c r="E2" i="721"/>
  <c r="F3" i="721"/>
  <c r="G74" i="721"/>
  <c r="H75" i="721"/>
  <c r="P87" i="721"/>
  <c r="O86" i="721"/>
  <c r="F99" i="721"/>
  <c r="E98" i="721"/>
  <c r="F99" i="720"/>
  <c r="E98" i="720"/>
  <c r="M39" i="720"/>
  <c r="L38" i="720"/>
  <c r="J63" i="720"/>
  <c r="I62" i="720"/>
  <c r="H123" i="720"/>
  <c r="G122" i="720"/>
  <c r="O75" i="720"/>
  <c r="N74" i="720"/>
  <c r="I87" i="720"/>
  <c r="H86" i="720"/>
  <c r="H26" i="720"/>
  <c r="I27" i="720"/>
  <c r="I51" i="720"/>
  <c r="H50" i="720"/>
  <c r="G111" i="720"/>
  <c r="F110" i="720"/>
  <c r="E134" i="720"/>
  <c r="F135" i="720"/>
  <c r="F15" i="720"/>
  <c r="E14" i="720"/>
  <c r="Q3" i="720"/>
  <c r="P2" i="720"/>
  <c r="G75" i="719"/>
  <c r="F74" i="719"/>
  <c r="N2" i="719"/>
  <c r="O3" i="719"/>
  <c r="H122" i="719"/>
  <c r="I123" i="719"/>
  <c r="G111" i="719"/>
  <c r="F110" i="719"/>
  <c r="N87" i="719"/>
  <c r="M86" i="719"/>
  <c r="F15" i="719"/>
  <c r="E14" i="719"/>
  <c r="F27" i="719"/>
  <c r="E26" i="719"/>
  <c r="P39" i="719"/>
  <c r="O38" i="719"/>
  <c r="F51" i="719"/>
  <c r="E50" i="719"/>
  <c r="J63" i="719"/>
  <c r="I62" i="719"/>
  <c r="G134" i="719"/>
  <c r="H135" i="719"/>
  <c r="I99" i="719"/>
  <c r="H98" i="719"/>
  <c r="E134" i="718"/>
  <c r="F135" i="718"/>
  <c r="H62" i="718"/>
  <c r="I63" i="718"/>
  <c r="E26" i="718"/>
  <c r="F27" i="718"/>
  <c r="J51" i="718"/>
  <c r="I50" i="718"/>
  <c r="L122" i="718"/>
  <c r="M123" i="718"/>
  <c r="M74" i="718"/>
  <c r="N75" i="718"/>
  <c r="H38" i="718"/>
  <c r="I39" i="718"/>
  <c r="F110" i="718"/>
  <c r="G111" i="718"/>
  <c r="K87" i="718"/>
  <c r="J86" i="718"/>
  <c r="I99" i="718"/>
  <c r="H98" i="718"/>
  <c r="E14" i="718"/>
  <c r="F15" i="718"/>
  <c r="N2" i="718"/>
  <c r="O3" i="718"/>
  <c r="BE25" i="733" l="1"/>
  <c r="BD26" i="733"/>
  <c r="BW14" i="733"/>
  <c r="BV15" i="733"/>
  <c r="EQ18" i="733"/>
  <c r="EP19" i="733"/>
  <c r="DY13" i="733"/>
  <c r="DX14" i="733"/>
  <c r="C15" i="733"/>
  <c r="B16" i="733"/>
  <c r="AM17" i="733"/>
  <c r="AL18" i="733"/>
  <c r="U13" i="733"/>
  <c r="T14" i="733"/>
  <c r="FH20" i="733"/>
  <c r="FI19" i="733"/>
  <c r="GR14" i="733"/>
  <c r="GS13" i="733"/>
  <c r="FZ25" i="733"/>
  <c r="GA24" i="733"/>
  <c r="DF14" i="733"/>
  <c r="DG13" i="733"/>
  <c r="CO15" i="733"/>
  <c r="CN16" i="733"/>
  <c r="EQ14" i="730"/>
  <c r="EP15" i="730"/>
  <c r="AL14" i="730"/>
  <c r="AM13" i="730"/>
  <c r="B22" i="730"/>
  <c r="C21" i="730"/>
  <c r="DX14" i="730"/>
  <c r="DY13" i="730"/>
  <c r="T23" i="730"/>
  <c r="U22" i="730"/>
  <c r="CN20" i="730"/>
  <c r="CO19" i="730"/>
  <c r="GR18" i="730"/>
  <c r="GS17" i="730"/>
  <c r="DG14" i="730"/>
  <c r="DF15" i="730"/>
  <c r="BD21" i="730"/>
  <c r="BE20" i="730"/>
  <c r="BV18" i="730"/>
  <c r="BW17" i="730"/>
  <c r="FH14" i="730"/>
  <c r="FI13" i="730"/>
  <c r="FZ22" i="730"/>
  <c r="GA21" i="730"/>
  <c r="DG13" i="728"/>
  <c r="DF14" i="728"/>
  <c r="BV16" i="728"/>
  <c r="BW15" i="728"/>
  <c r="FH19" i="728"/>
  <c r="FI18" i="728"/>
  <c r="BE16" i="728"/>
  <c r="BD17" i="728"/>
  <c r="EP15" i="728"/>
  <c r="EQ14" i="728"/>
  <c r="T14" i="728"/>
  <c r="U13" i="728"/>
  <c r="AM16" i="728"/>
  <c r="AL17" i="728"/>
  <c r="CN14" i="728"/>
  <c r="CO13" i="728"/>
  <c r="GR14" i="728"/>
  <c r="GS13" i="728"/>
  <c r="B14" i="728"/>
  <c r="C13" i="728"/>
  <c r="DX24" i="728"/>
  <c r="DY23" i="728"/>
  <c r="GA18" i="728"/>
  <c r="FZ19" i="728"/>
  <c r="C14" i="727"/>
  <c r="B15" i="727"/>
  <c r="T16" i="727"/>
  <c r="U15" i="727"/>
  <c r="BW13" i="727"/>
  <c r="BV14" i="727"/>
  <c r="DX25" i="727"/>
  <c r="DY24" i="727"/>
  <c r="BD14" i="727"/>
  <c r="BE13" i="727"/>
  <c r="AL15" i="727"/>
  <c r="AM14" i="727"/>
  <c r="FI13" i="727"/>
  <c r="FH14" i="727"/>
  <c r="CN14" i="727"/>
  <c r="CO13" i="727"/>
  <c r="EQ18" i="727"/>
  <c r="EP19" i="727"/>
  <c r="DF21" i="727"/>
  <c r="DG20" i="727"/>
  <c r="GS17" i="727"/>
  <c r="GR18" i="727"/>
  <c r="FZ24" i="727"/>
  <c r="GA23" i="727"/>
  <c r="BD22" i="725"/>
  <c r="BE21" i="725"/>
  <c r="FZ25" i="725"/>
  <c r="GA24" i="725"/>
  <c r="FH20" i="725"/>
  <c r="FI19" i="725"/>
  <c r="BV18" i="725"/>
  <c r="BW17" i="725"/>
  <c r="AM18" i="725"/>
  <c r="AL19" i="725"/>
  <c r="CN29" i="725"/>
  <c r="CO28" i="725"/>
  <c r="DY13" i="725"/>
  <c r="DX14" i="725"/>
  <c r="DG13" i="725"/>
  <c r="DF14" i="725"/>
  <c r="U14" i="725"/>
  <c r="T15" i="725"/>
  <c r="B22" i="725"/>
  <c r="C21" i="725"/>
  <c r="EP15" i="725"/>
  <c r="EQ14" i="725"/>
  <c r="GR14" i="725"/>
  <c r="GS13" i="725"/>
  <c r="DX14" i="724"/>
  <c r="DY13" i="724"/>
  <c r="GR18" i="724"/>
  <c r="GS17" i="724"/>
  <c r="AL14" i="724"/>
  <c r="AM13" i="724"/>
  <c r="FH14" i="724"/>
  <c r="FI13" i="724"/>
  <c r="BW13" i="724"/>
  <c r="BV14" i="724"/>
  <c r="EQ14" i="724"/>
  <c r="EP15" i="724"/>
  <c r="CN15" i="724"/>
  <c r="CO14" i="724"/>
  <c r="BE15" i="724"/>
  <c r="BD16" i="724"/>
  <c r="DF35" i="724"/>
  <c r="DG34" i="724"/>
  <c r="B23" i="724"/>
  <c r="C22" i="724"/>
  <c r="T25" i="724"/>
  <c r="U24" i="724"/>
  <c r="GA24" i="724"/>
  <c r="FZ25" i="724"/>
  <c r="J2" i="723"/>
  <c r="K3" i="723"/>
  <c r="G38" i="723"/>
  <c r="H39" i="723"/>
  <c r="O74" i="723"/>
  <c r="P75" i="723"/>
  <c r="N110" i="723"/>
  <c r="O111" i="723"/>
  <c r="S122" i="723"/>
  <c r="T123" i="723"/>
  <c r="T86" i="723"/>
  <c r="U87" i="723"/>
  <c r="K63" i="723"/>
  <c r="J62" i="723"/>
  <c r="H134" i="723"/>
  <c r="I135" i="723"/>
  <c r="L27" i="723"/>
  <c r="K26" i="723"/>
  <c r="I98" i="723"/>
  <c r="J99" i="723"/>
  <c r="F14" i="723"/>
  <c r="G15" i="723"/>
  <c r="L51" i="723"/>
  <c r="K50" i="723"/>
  <c r="N2" i="722"/>
  <c r="O3" i="722"/>
  <c r="H62" i="722"/>
  <c r="I63" i="722"/>
  <c r="N38" i="722"/>
  <c r="O39" i="722"/>
  <c r="L110" i="722"/>
  <c r="M111" i="722"/>
  <c r="L123" i="722"/>
  <c r="K122" i="722"/>
  <c r="G75" i="722"/>
  <c r="F74" i="722"/>
  <c r="I135" i="722"/>
  <c r="H134" i="722"/>
  <c r="G98" i="722"/>
  <c r="H99" i="722"/>
  <c r="G27" i="722"/>
  <c r="F26" i="722"/>
  <c r="J87" i="722"/>
  <c r="I86" i="722"/>
  <c r="K51" i="722"/>
  <c r="J50" i="722"/>
  <c r="H15" i="722"/>
  <c r="G14" i="722"/>
  <c r="P38" i="721"/>
  <c r="Q39" i="721"/>
  <c r="F134" i="721"/>
  <c r="G135" i="721"/>
  <c r="F98" i="721"/>
  <c r="G99" i="721"/>
  <c r="F14" i="721"/>
  <c r="G15" i="721"/>
  <c r="Q87" i="721"/>
  <c r="P86" i="721"/>
  <c r="G62" i="721"/>
  <c r="H63" i="721"/>
  <c r="F2" i="721"/>
  <c r="G3" i="721"/>
  <c r="Q122" i="721"/>
  <c r="R123" i="721"/>
  <c r="L110" i="721"/>
  <c r="M111" i="721"/>
  <c r="S50" i="721"/>
  <c r="T51" i="721"/>
  <c r="K26" i="721"/>
  <c r="L27" i="721"/>
  <c r="H74" i="721"/>
  <c r="I75" i="721"/>
  <c r="J51" i="720"/>
  <c r="I50" i="720"/>
  <c r="F14" i="720"/>
  <c r="G15" i="720"/>
  <c r="I26" i="720"/>
  <c r="J27" i="720"/>
  <c r="J87" i="720"/>
  <c r="I86" i="720"/>
  <c r="G135" i="720"/>
  <c r="F134" i="720"/>
  <c r="O74" i="720"/>
  <c r="P75" i="720"/>
  <c r="Q2" i="720"/>
  <c r="R3" i="720"/>
  <c r="I123" i="720"/>
  <c r="H122" i="720"/>
  <c r="J62" i="720"/>
  <c r="K63" i="720"/>
  <c r="M38" i="720"/>
  <c r="N39" i="720"/>
  <c r="G110" i="720"/>
  <c r="H111" i="720"/>
  <c r="F98" i="720"/>
  <c r="G99" i="720"/>
  <c r="O87" i="719"/>
  <c r="N86" i="719"/>
  <c r="Q39" i="719"/>
  <c r="P38" i="719"/>
  <c r="F14" i="719"/>
  <c r="G15" i="719"/>
  <c r="O2" i="719"/>
  <c r="P3" i="719"/>
  <c r="G27" i="719"/>
  <c r="F26" i="719"/>
  <c r="J99" i="719"/>
  <c r="I98" i="719"/>
  <c r="I135" i="719"/>
  <c r="H134" i="719"/>
  <c r="K63" i="719"/>
  <c r="J62" i="719"/>
  <c r="H111" i="719"/>
  <c r="G110" i="719"/>
  <c r="I122" i="719"/>
  <c r="J123" i="719"/>
  <c r="F50" i="719"/>
  <c r="G51" i="719"/>
  <c r="H75" i="719"/>
  <c r="G74" i="719"/>
  <c r="I38" i="718"/>
  <c r="J39" i="718"/>
  <c r="N74" i="718"/>
  <c r="O75" i="718"/>
  <c r="M122" i="718"/>
  <c r="N123" i="718"/>
  <c r="P3" i="718"/>
  <c r="O2" i="718"/>
  <c r="G27" i="718"/>
  <c r="F26" i="718"/>
  <c r="G110" i="718"/>
  <c r="H111" i="718"/>
  <c r="F134" i="718"/>
  <c r="G135" i="718"/>
  <c r="K51" i="718"/>
  <c r="J50" i="718"/>
  <c r="F14" i="718"/>
  <c r="G15" i="718"/>
  <c r="I62" i="718"/>
  <c r="J63" i="718"/>
  <c r="I98" i="718"/>
  <c r="J99" i="718"/>
  <c r="L87" i="718"/>
  <c r="K86" i="718"/>
  <c r="U14" i="733" l="1"/>
  <c r="T15" i="733"/>
  <c r="AM18" i="733"/>
  <c r="AL19" i="733"/>
  <c r="DF15" i="733"/>
  <c r="DG14" i="733"/>
  <c r="BE26" i="733"/>
  <c r="BD27" i="733"/>
  <c r="FI20" i="733"/>
  <c r="FH21" i="733"/>
  <c r="C16" i="733"/>
  <c r="B17" i="733"/>
  <c r="CO16" i="733"/>
  <c r="CN17" i="733"/>
  <c r="DY14" i="733"/>
  <c r="DX15" i="733"/>
  <c r="EP20" i="733"/>
  <c r="EQ19" i="733"/>
  <c r="BW15" i="733"/>
  <c r="BV16" i="733"/>
  <c r="GA25" i="733"/>
  <c r="FZ26" i="733"/>
  <c r="GS14" i="733"/>
  <c r="GR15" i="733"/>
  <c r="DG15" i="730"/>
  <c r="DF16" i="730"/>
  <c r="GR19" i="730"/>
  <c r="GS18" i="730"/>
  <c r="FZ23" i="730"/>
  <c r="GA22" i="730"/>
  <c r="FH15" i="730"/>
  <c r="FI14" i="730"/>
  <c r="EQ15" i="730"/>
  <c r="EP16" i="730"/>
  <c r="CN21" i="730"/>
  <c r="CO20" i="730"/>
  <c r="T24" i="730"/>
  <c r="U23" i="730"/>
  <c r="DY14" i="730"/>
  <c r="DX15" i="730"/>
  <c r="B23" i="730"/>
  <c r="C22" i="730"/>
  <c r="BV19" i="730"/>
  <c r="BW18" i="730"/>
  <c r="AL15" i="730"/>
  <c r="AM14" i="730"/>
  <c r="BE21" i="730"/>
  <c r="BD22" i="730"/>
  <c r="U14" i="728"/>
  <c r="T15" i="728"/>
  <c r="GA19" i="728"/>
  <c r="FZ20" i="728"/>
  <c r="C14" i="728"/>
  <c r="B15" i="728"/>
  <c r="BW16" i="728"/>
  <c r="BV17" i="728"/>
  <c r="AM17" i="728"/>
  <c r="AL18" i="728"/>
  <c r="DX25" i="728"/>
  <c r="DY24" i="728"/>
  <c r="DG14" i="728"/>
  <c r="DF15" i="728"/>
  <c r="CN15" i="728"/>
  <c r="CO14" i="728"/>
  <c r="EP16" i="728"/>
  <c r="EQ15" i="728"/>
  <c r="BE17" i="728"/>
  <c r="BD18" i="728"/>
  <c r="FH20" i="728"/>
  <c r="FI19" i="728"/>
  <c r="GR15" i="728"/>
  <c r="GS14" i="728"/>
  <c r="CN15" i="727"/>
  <c r="CO14" i="727"/>
  <c r="AL16" i="727"/>
  <c r="AM15" i="727"/>
  <c r="DX26" i="727"/>
  <c r="DY25" i="727"/>
  <c r="GR19" i="727"/>
  <c r="GS18" i="727"/>
  <c r="BV15" i="727"/>
  <c r="BW14" i="727"/>
  <c r="FH15" i="727"/>
  <c r="FI14" i="727"/>
  <c r="BD15" i="727"/>
  <c r="BE14" i="727"/>
  <c r="FZ25" i="727"/>
  <c r="GA24" i="727"/>
  <c r="DG21" i="727"/>
  <c r="DF22" i="727"/>
  <c r="U16" i="727"/>
  <c r="T17" i="727"/>
  <c r="EP20" i="727"/>
  <c r="EQ19" i="727"/>
  <c r="B16" i="727"/>
  <c r="C15" i="727"/>
  <c r="DY14" i="725"/>
  <c r="DX15" i="725"/>
  <c r="GS14" i="725"/>
  <c r="GR15" i="725"/>
  <c r="EQ15" i="725"/>
  <c r="EP16" i="725"/>
  <c r="U15" i="725"/>
  <c r="T16" i="725"/>
  <c r="DG14" i="725"/>
  <c r="DF15" i="725"/>
  <c r="CN30" i="725"/>
  <c r="CO29" i="725"/>
  <c r="AM19" i="725"/>
  <c r="AL20" i="725"/>
  <c r="BV19" i="725"/>
  <c r="BW18" i="725"/>
  <c r="FI20" i="725"/>
  <c r="FH21" i="725"/>
  <c r="C22" i="725"/>
  <c r="B23" i="725"/>
  <c r="GA25" i="725"/>
  <c r="FZ26" i="725"/>
  <c r="BE22" i="725"/>
  <c r="BD23" i="725"/>
  <c r="CO15" i="724"/>
  <c r="CN16" i="724"/>
  <c r="BW14" i="724"/>
  <c r="BV15" i="724"/>
  <c r="FH15" i="724"/>
  <c r="FI14" i="724"/>
  <c r="AM14" i="724"/>
  <c r="AL15" i="724"/>
  <c r="BE16" i="724"/>
  <c r="BD17" i="724"/>
  <c r="EQ15" i="724"/>
  <c r="EP16" i="724"/>
  <c r="GA25" i="724"/>
  <c r="FZ26" i="724"/>
  <c r="T26" i="724"/>
  <c r="U25" i="724"/>
  <c r="C23" i="724"/>
  <c r="B24" i="724"/>
  <c r="GS18" i="724"/>
  <c r="GR19" i="724"/>
  <c r="DF36" i="724"/>
  <c r="DG35" i="724"/>
  <c r="DX15" i="724"/>
  <c r="DY14" i="724"/>
  <c r="J135" i="723"/>
  <c r="I134" i="723"/>
  <c r="P111" i="723"/>
  <c r="O110" i="723"/>
  <c r="M51" i="723"/>
  <c r="L50" i="723"/>
  <c r="G14" i="723"/>
  <c r="H15" i="723"/>
  <c r="K99" i="723"/>
  <c r="J98" i="723"/>
  <c r="K2" i="723"/>
  <c r="L3" i="723"/>
  <c r="L63" i="723"/>
  <c r="K62" i="723"/>
  <c r="V87" i="723"/>
  <c r="U86" i="723"/>
  <c r="U123" i="723"/>
  <c r="T122" i="723"/>
  <c r="P74" i="723"/>
  <c r="Q75" i="723"/>
  <c r="H38" i="723"/>
  <c r="I39" i="723"/>
  <c r="L26" i="723"/>
  <c r="M27" i="723"/>
  <c r="H75" i="722"/>
  <c r="G74" i="722"/>
  <c r="I15" i="722"/>
  <c r="H14" i="722"/>
  <c r="L51" i="722"/>
  <c r="K50" i="722"/>
  <c r="O2" i="722"/>
  <c r="P3" i="722"/>
  <c r="I99" i="722"/>
  <c r="H98" i="722"/>
  <c r="J135" i="722"/>
  <c r="I134" i="722"/>
  <c r="M123" i="722"/>
  <c r="L122" i="722"/>
  <c r="M110" i="722"/>
  <c r="N111" i="722"/>
  <c r="O38" i="722"/>
  <c r="P39" i="722"/>
  <c r="I62" i="722"/>
  <c r="J63" i="722"/>
  <c r="K87" i="722"/>
  <c r="J86" i="722"/>
  <c r="H27" i="722"/>
  <c r="G26" i="722"/>
  <c r="I74" i="721"/>
  <c r="J75" i="721"/>
  <c r="G98" i="721"/>
  <c r="H99" i="721"/>
  <c r="M110" i="721"/>
  <c r="N111" i="721"/>
  <c r="R39" i="721"/>
  <c r="Q38" i="721"/>
  <c r="R122" i="721"/>
  <c r="S123" i="721"/>
  <c r="G2" i="721"/>
  <c r="H3" i="721"/>
  <c r="H62" i="721"/>
  <c r="I63" i="721"/>
  <c r="Q86" i="721"/>
  <c r="R87" i="721"/>
  <c r="H15" i="721"/>
  <c r="G14" i="721"/>
  <c r="M27" i="721"/>
  <c r="L26" i="721"/>
  <c r="T50" i="721"/>
  <c r="U51" i="721"/>
  <c r="H135" i="721"/>
  <c r="G134" i="721"/>
  <c r="H135" i="720"/>
  <c r="G134" i="720"/>
  <c r="K87" i="720"/>
  <c r="J86" i="720"/>
  <c r="K27" i="720"/>
  <c r="J26" i="720"/>
  <c r="J123" i="720"/>
  <c r="I122" i="720"/>
  <c r="R2" i="720"/>
  <c r="S3" i="720"/>
  <c r="P74" i="720"/>
  <c r="Q75" i="720"/>
  <c r="G98" i="720"/>
  <c r="H99" i="720"/>
  <c r="I111" i="720"/>
  <c r="H110" i="720"/>
  <c r="O39" i="720"/>
  <c r="N38" i="720"/>
  <c r="G14" i="720"/>
  <c r="H15" i="720"/>
  <c r="K62" i="720"/>
  <c r="L63" i="720"/>
  <c r="J50" i="720"/>
  <c r="K51" i="720"/>
  <c r="H27" i="719"/>
  <c r="G26" i="719"/>
  <c r="H74" i="719"/>
  <c r="I75" i="719"/>
  <c r="K62" i="719"/>
  <c r="L63" i="719"/>
  <c r="G14" i="719"/>
  <c r="H15" i="719"/>
  <c r="Q38" i="719"/>
  <c r="R39" i="719"/>
  <c r="J98" i="719"/>
  <c r="K99" i="719"/>
  <c r="P2" i="719"/>
  <c r="Q3" i="719"/>
  <c r="I134" i="719"/>
  <c r="J135" i="719"/>
  <c r="G50" i="719"/>
  <c r="H51" i="719"/>
  <c r="J122" i="719"/>
  <c r="K123" i="719"/>
  <c r="H110" i="719"/>
  <c r="I111" i="719"/>
  <c r="P87" i="719"/>
  <c r="O86" i="719"/>
  <c r="H135" i="718"/>
  <c r="G134" i="718"/>
  <c r="P2" i="718"/>
  <c r="Q3" i="718"/>
  <c r="J62" i="718"/>
  <c r="K63" i="718"/>
  <c r="I111" i="718"/>
  <c r="H110" i="718"/>
  <c r="J98" i="718"/>
  <c r="K99" i="718"/>
  <c r="H15" i="718"/>
  <c r="G14" i="718"/>
  <c r="J38" i="718"/>
  <c r="K39" i="718"/>
  <c r="L51" i="718"/>
  <c r="K50" i="718"/>
  <c r="H27" i="718"/>
  <c r="G26" i="718"/>
  <c r="M87" i="718"/>
  <c r="L86" i="718"/>
  <c r="O123" i="718"/>
  <c r="N122" i="718"/>
  <c r="O74" i="718"/>
  <c r="P75" i="718"/>
  <c r="DY15" i="733" l="1"/>
  <c r="DX16" i="733"/>
  <c r="CO17" i="733"/>
  <c r="CN18" i="733"/>
  <c r="C17" i="733"/>
  <c r="B18" i="733"/>
  <c r="FI21" i="733"/>
  <c r="FH22" i="733"/>
  <c r="GS15" i="733"/>
  <c r="GR16" i="733"/>
  <c r="DF16" i="733"/>
  <c r="DG15" i="733"/>
  <c r="T16" i="733"/>
  <c r="U15" i="733"/>
  <c r="BE27" i="733"/>
  <c r="BD28" i="733"/>
  <c r="GA26" i="733"/>
  <c r="FZ27" i="733"/>
  <c r="BV17" i="733"/>
  <c r="BW16" i="733"/>
  <c r="AM19" i="733"/>
  <c r="AL20" i="733"/>
  <c r="EP21" i="733"/>
  <c r="EQ20" i="733"/>
  <c r="T25" i="730"/>
  <c r="U24" i="730"/>
  <c r="CN22" i="730"/>
  <c r="CO21" i="730"/>
  <c r="BE22" i="730"/>
  <c r="BD23" i="730"/>
  <c r="DG16" i="730"/>
  <c r="DF17" i="730"/>
  <c r="DX16" i="730"/>
  <c r="DY15" i="730"/>
  <c r="EQ16" i="730"/>
  <c r="EP17" i="730"/>
  <c r="FH16" i="730"/>
  <c r="FI15" i="730"/>
  <c r="AL16" i="730"/>
  <c r="AM15" i="730"/>
  <c r="FZ24" i="730"/>
  <c r="GA23" i="730"/>
  <c r="BV20" i="730"/>
  <c r="BW19" i="730"/>
  <c r="GS19" i="730"/>
  <c r="GR20" i="730"/>
  <c r="C23" i="730"/>
  <c r="B24" i="730"/>
  <c r="DG15" i="728"/>
  <c r="DF16" i="728"/>
  <c r="AL19" i="728"/>
  <c r="AM18" i="728"/>
  <c r="GR16" i="728"/>
  <c r="GS15" i="728"/>
  <c r="U15" i="728"/>
  <c r="T16" i="728"/>
  <c r="CN16" i="728"/>
  <c r="CO15" i="728"/>
  <c r="DX26" i="728"/>
  <c r="DY25" i="728"/>
  <c r="BW17" i="728"/>
  <c r="BV18" i="728"/>
  <c r="C15" i="728"/>
  <c r="B16" i="728"/>
  <c r="FH21" i="728"/>
  <c r="FI20" i="728"/>
  <c r="BD19" i="728"/>
  <c r="BE18" i="728"/>
  <c r="GA20" i="728"/>
  <c r="FZ21" i="728"/>
  <c r="EP17" i="728"/>
  <c r="EQ16" i="728"/>
  <c r="BD16" i="727"/>
  <c r="BE15" i="727"/>
  <c r="FI15" i="727"/>
  <c r="FH16" i="727"/>
  <c r="BV16" i="727"/>
  <c r="BW15" i="727"/>
  <c r="GR20" i="727"/>
  <c r="GS19" i="727"/>
  <c r="EQ20" i="727"/>
  <c r="EP21" i="727"/>
  <c r="DY26" i="727"/>
  <c r="DX27" i="727"/>
  <c r="T18" i="727"/>
  <c r="U17" i="727"/>
  <c r="AM16" i="727"/>
  <c r="AL17" i="727"/>
  <c r="DG22" i="727"/>
  <c r="DF23" i="727"/>
  <c r="GA25" i="727"/>
  <c r="FZ26" i="727"/>
  <c r="B17" i="727"/>
  <c r="C16" i="727"/>
  <c r="CN16" i="727"/>
  <c r="CO15" i="727"/>
  <c r="BV20" i="725"/>
  <c r="BW19" i="725"/>
  <c r="AL21" i="725"/>
  <c r="AM20" i="725"/>
  <c r="U16" i="725"/>
  <c r="T17" i="725"/>
  <c r="GA26" i="725"/>
  <c r="FZ27" i="725"/>
  <c r="EQ16" i="725"/>
  <c r="EP17" i="725"/>
  <c r="C23" i="725"/>
  <c r="B24" i="725"/>
  <c r="GS15" i="725"/>
  <c r="GR16" i="725"/>
  <c r="FI21" i="725"/>
  <c r="FH22" i="725"/>
  <c r="DY15" i="725"/>
  <c r="DX16" i="725"/>
  <c r="CN31" i="725"/>
  <c r="CO30" i="725"/>
  <c r="DF16" i="725"/>
  <c r="DG15" i="725"/>
  <c r="BE23" i="725"/>
  <c r="BD24" i="725"/>
  <c r="T27" i="724"/>
  <c r="U26" i="724"/>
  <c r="GA26" i="724"/>
  <c r="FZ27" i="724"/>
  <c r="EQ16" i="724"/>
  <c r="EP17" i="724"/>
  <c r="BE17" i="724"/>
  <c r="BD18" i="724"/>
  <c r="DX16" i="724"/>
  <c r="DY15" i="724"/>
  <c r="FI15" i="724"/>
  <c r="FH16" i="724"/>
  <c r="BW15" i="724"/>
  <c r="BV16" i="724"/>
  <c r="B25" i="724"/>
  <c r="C24" i="724"/>
  <c r="CO16" i="724"/>
  <c r="CN17" i="724"/>
  <c r="AM15" i="724"/>
  <c r="AL16" i="724"/>
  <c r="DF37" i="724"/>
  <c r="DG36" i="724"/>
  <c r="GR20" i="724"/>
  <c r="GS19" i="724"/>
  <c r="M3" i="723"/>
  <c r="L2" i="723"/>
  <c r="N27" i="723"/>
  <c r="M26" i="723"/>
  <c r="I38" i="723"/>
  <c r="J39" i="723"/>
  <c r="N51" i="723"/>
  <c r="M50" i="723"/>
  <c r="Q111" i="723"/>
  <c r="P110" i="723"/>
  <c r="W87" i="723"/>
  <c r="V86" i="723"/>
  <c r="M63" i="723"/>
  <c r="L62" i="723"/>
  <c r="L99" i="723"/>
  <c r="K98" i="723"/>
  <c r="H14" i="723"/>
  <c r="I15" i="723"/>
  <c r="R75" i="723"/>
  <c r="Q74" i="723"/>
  <c r="V123" i="723"/>
  <c r="U122" i="723"/>
  <c r="K135" i="723"/>
  <c r="J134" i="723"/>
  <c r="O111" i="722"/>
  <c r="N110" i="722"/>
  <c r="K135" i="722"/>
  <c r="J134" i="722"/>
  <c r="L87" i="722"/>
  <c r="K86" i="722"/>
  <c r="M51" i="722"/>
  <c r="L50" i="722"/>
  <c r="J62" i="722"/>
  <c r="K63" i="722"/>
  <c r="J15" i="722"/>
  <c r="I14" i="722"/>
  <c r="P38" i="722"/>
  <c r="Q39" i="722"/>
  <c r="N123" i="722"/>
  <c r="M122" i="722"/>
  <c r="J99" i="722"/>
  <c r="I98" i="722"/>
  <c r="Q3" i="722"/>
  <c r="P2" i="722"/>
  <c r="H26" i="722"/>
  <c r="I27" i="722"/>
  <c r="I75" i="722"/>
  <c r="H74" i="722"/>
  <c r="I62" i="721"/>
  <c r="J63" i="721"/>
  <c r="I3" i="721"/>
  <c r="H2" i="721"/>
  <c r="S39" i="721"/>
  <c r="R38" i="721"/>
  <c r="N110" i="721"/>
  <c r="O111" i="721"/>
  <c r="N27" i="721"/>
  <c r="M26" i="721"/>
  <c r="H134" i="721"/>
  <c r="I135" i="721"/>
  <c r="K75" i="721"/>
  <c r="J74" i="721"/>
  <c r="R86" i="721"/>
  <c r="S87" i="721"/>
  <c r="S122" i="721"/>
  <c r="T123" i="721"/>
  <c r="U50" i="721"/>
  <c r="V51" i="721"/>
  <c r="H98" i="721"/>
  <c r="I99" i="721"/>
  <c r="H14" i="721"/>
  <c r="I15" i="721"/>
  <c r="T3" i="720"/>
  <c r="S2" i="720"/>
  <c r="K123" i="720"/>
  <c r="J122" i="720"/>
  <c r="J111" i="720"/>
  <c r="I110" i="720"/>
  <c r="L62" i="720"/>
  <c r="M63" i="720"/>
  <c r="I99" i="720"/>
  <c r="H98" i="720"/>
  <c r="R75" i="720"/>
  <c r="Q74" i="720"/>
  <c r="K50" i="720"/>
  <c r="L51" i="720"/>
  <c r="K26" i="720"/>
  <c r="L27" i="720"/>
  <c r="H14" i="720"/>
  <c r="I15" i="720"/>
  <c r="L87" i="720"/>
  <c r="K86" i="720"/>
  <c r="P39" i="720"/>
  <c r="O38" i="720"/>
  <c r="H134" i="720"/>
  <c r="I135" i="720"/>
  <c r="I15" i="719"/>
  <c r="H14" i="719"/>
  <c r="K98" i="719"/>
  <c r="L99" i="719"/>
  <c r="R38" i="719"/>
  <c r="S39" i="719"/>
  <c r="L62" i="719"/>
  <c r="M63" i="719"/>
  <c r="J134" i="719"/>
  <c r="K135" i="719"/>
  <c r="Q2" i="719"/>
  <c r="R3" i="719"/>
  <c r="L123" i="719"/>
  <c r="K122" i="719"/>
  <c r="I51" i="719"/>
  <c r="H50" i="719"/>
  <c r="Q87" i="719"/>
  <c r="P86" i="719"/>
  <c r="J111" i="719"/>
  <c r="I110" i="719"/>
  <c r="I74" i="719"/>
  <c r="J75" i="719"/>
  <c r="H26" i="719"/>
  <c r="I27" i="719"/>
  <c r="P74" i="718"/>
  <c r="Q75" i="718"/>
  <c r="L39" i="718"/>
  <c r="K38" i="718"/>
  <c r="P123" i="718"/>
  <c r="O122" i="718"/>
  <c r="N87" i="718"/>
  <c r="M86" i="718"/>
  <c r="K98" i="718"/>
  <c r="L99" i="718"/>
  <c r="Q2" i="718"/>
  <c r="R3" i="718"/>
  <c r="M51" i="718"/>
  <c r="L50" i="718"/>
  <c r="I15" i="718"/>
  <c r="H14" i="718"/>
  <c r="J111" i="718"/>
  <c r="I110" i="718"/>
  <c r="K62" i="718"/>
  <c r="L63" i="718"/>
  <c r="H26" i="718"/>
  <c r="I27" i="718"/>
  <c r="H134" i="718"/>
  <c r="I135" i="718"/>
  <c r="BD29" i="733" l="1"/>
  <c r="BE28" i="733"/>
  <c r="FI22" i="733"/>
  <c r="FH23" i="733"/>
  <c r="EP22" i="733"/>
  <c r="EQ21" i="733"/>
  <c r="AM20" i="733"/>
  <c r="AL21" i="733"/>
  <c r="BV18" i="733"/>
  <c r="BW17" i="733"/>
  <c r="GA27" i="733"/>
  <c r="FZ28" i="733"/>
  <c r="DY16" i="733"/>
  <c r="DX17" i="733"/>
  <c r="T17" i="733"/>
  <c r="U16" i="733"/>
  <c r="DG16" i="733"/>
  <c r="DF17" i="733"/>
  <c r="GS16" i="733"/>
  <c r="GR17" i="733"/>
  <c r="C18" i="733"/>
  <c r="B19" i="733"/>
  <c r="CO18" i="733"/>
  <c r="CN19" i="733"/>
  <c r="DX17" i="730"/>
  <c r="DY16" i="730"/>
  <c r="C24" i="730"/>
  <c r="B25" i="730"/>
  <c r="GR21" i="730"/>
  <c r="GS20" i="730"/>
  <c r="BE23" i="730"/>
  <c r="BD24" i="730"/>
  <c r="AL17" i="730"/>
  <c r="AM16" i="730"/>
  <c r="FH17" i="730"/>
  <c r="FI16" i="730"/>
  <c r="EQ17" i="730"/>
  <c r="EP18" i="730"/>
  <c r="DF18" i="730"/>
  <c r="DG17" i="730"/>
  <c r="BV21" i="730"/>
  <c r="BW20" i="730"/>
  <c r="CO22" i="730"/>
  <c r="CN23" i="730"/>
  <c r="FZ25" i="730"/>
  <c r="GA24" i="730"/>
  <c r="T26" i="730"/>
  <c r="U25" i="730"/>
  <c r="C16" i="728"/>
  <c r="B17" i="728"/>
  <c r="BV19" i="728"/>
  <c r="BW18" i="728"/>
  <c r="DX27" i="728"/>
  <c r="DY26" i="728"/>
  <c r="CN17" i="728"/>
  <c r="CO16" i="728"/>
  <c r="U16" i="728"/>
  <c r="T17" i="728"/>
  <c r="EP18" i="728"/>
  <c r="EQ17" i="728"/>
  <c r="GA21" i="728"/>
  <c r="FZ22" i="728"/>
  <c r="GR17" i="728"/>
  <c r="GS16" i="728"/>
  <c r="BD20" i="728"/>
  <c r="BE19" i="728"/>
  <c r="AM19" i="728"/>
  <c r="AL20" i="728"/>
  <c r="DF17" i="728"/>
  <c r="DG16" i="728"/>
  <c r="FH22" i="728"/>
  <c r="FI21" i="728"/>
  <c r="AM17" i="727"/>
  <c r="AL18" i="727"/>
  <c r="DY27" i="727"/>
  <c r="DX28" i="727"/>
  <c r="EQ21" i="727"/>
  <c r="EP22" i="727"/>
  <c r="CO16" i="727"/>
  <c r="CN17" i="727"/>
  <c r="C17" i="727"/>
  <c r="B18" i="727"/>
  <c r="GA26" i="727"/>
  <c r="FZ27" i="727"/>
  <c r="U18" i="727"/>
  <c r="T19" i="727"/>
  <c r="GR21" i="727"/>
  <c r="GS20" i="727"/>
  <c r="BV17" i="727"/>
  <c r="BW16" i="727"/>
  <c r="FH17" i="727"/>
  <c r="FI16" i="727"/>
  <c r="DG23" i="727"/>
  <c r="DF24" i="727"/>
  <c r="BD17" i="727"/>
  <c r="BE16" i="727"/>
  <c r="FI22" i="725"/>
  <c r="FH23" i="725"/>
  <c r="C24" i="725"/>
  <c r="B25" i="725"/>
  <c r="GA27" i="725"/>
  <c r="FZ28" i="725"/>
  <c r="U17" i="725"/>
  <c r="T18" i="725"/>
  <c r="DY16" i="725"/>
  <c r="DX17" i="725"/>
  <c r="GS16" i="725"/>
  <c r="GR17" i="725"/>
  <c r="EQ17" i="725"/>
  <c r="EP18" i="725"/>
  <c r="BE24" i="725"/>
  <c r="BD25" i="725"/>
  <c r="DF17" i="725"/>
  <c r="DG16" i="725"/>
  <c r="CN32" i="725"/>
  <c r="CO31" i="725"/>
  <c r="AL22" i="725"/>
  <c r="AM21" i="725"/>
  <c r="BV21" i="725"/>
  <c r="BW20" i="725"/>
  <c r="C25" i="724"/>
  <c r="B26" i="724"/>
  <c r="BW16" i="724"/>
  <c r="BV17" i="724"/>
  <c r="FH17" i="724"/>
  <c r="FI16" i="724"/>
  <c r="GS20" i="724"/>
  <c r="GR21" i="724"/>
  <c r="GA27" i="724"/>
  <c r="FZ28" i="724"/>
  <c r="CO17" i="724"/>
  <c r="CN18" i="724"/>
  <c r="DY16" i="724"/>
  <c r="DX17" i="724"/>
  <c r="BD19" i="724"/>
  <c r="BE18" i="724"/>
  <c r="EQ17" i="724"/>
  <c r="EP18" i="724"/>
  <c r="DG37" i="724"/>
  <c r="DF38" i="724"/>
  <c r="AM16" i="724"/>
  <c r="AL17" i="724"/>
  <c r="U27" i="724"/>
  <c r="T28" i="724"/>
  <c r="L98" i="723"/>
  <c r="M99" i="723"/>
  <c r="L135" i="723"/>
  <c r="K134" i="723"/>
  <c r="O51" i="723"/>
  <c r="N50" i="723"/>
  <c r="K39" i="723"/>
  <c r="J38" i="723"/>
  <c r="W123" i="723"/>
  <c r="V122" i="723"/>
  <c r="M62" i="723"/>
  <c r="N63" i="723"/>
  <c r="X87" i="723"/>
  <c r="W86" i="723"/>
  <c r="R111" i="723"/>
  <c r="Q110" i="723"/>
  <c r="R74" i="723"/>
  <c r="S75" i="723"/>
  <c r="O27" i="723"/>
  <c r="N26" i="723"/>
  <c r="J15" i="723"/>
  <c r="I14" i="723"/>
  <c r="N3" i="723"/>
  <c r="M2" i="723"/>
  <c r="O123" i="722"/>
  <c r="N122" i="722"/>
  <c r="K15" i="722"/>
  <c r="J14" i="722"/>
  <c r="K62" i="722"/>
  <c r="L63" i="722"/>
  <c r="N51" i="722"/>
  <c r="M50" i="722"/>
  <c r="I26" i="722"/>
  <c r="J27" i="722"/>
  <c r="Q38" i="722"/>
  <c r="R39" i="722"/>
  <c r="I74" i="722"/>
  <c r="J75" i="722"/>
  <c r="M87" i="722"/>
  <c r="L86" i="722"/>
  <c r="R3" i="722"/>
  <c r="Q2" i="722"/>
  <c r="L135" i="722"/>
  <c r="K134" i="722"/>
  <c r="K99" i="722"/>
  <c r="J98" i="722"/>
  <c r="P111" i="722"/>
  <c r="O110" i="722"/>
  <c r="O27" i="721"/>
  <c r="N26" i="721"/>
  <c r="O110" i="721"/>
  <c r="P111" i="721"/>
  <c r="S38" i="721"/>
  <c r="T39" i="721"/>
  <c r="S86" i="721"/>
  <c r="T87" i="721"/>
  <c r="L75" i="721"/>
  <c r="K74" i="721"/>
  <c r="I98" i="721"/>
  <c r="J99" i="721"/>
  <c r="J3" i="721"/>
  <c r="I2" i="721"/>
  <c r="T122" i="721"/>
  <c r="U123" i="721"/>
  <c r="J62" i="721"/>
  <c r="K63" i="721"/>
  <c r="I134" i="721"/>
  <c r="J135" i="721"/>
  <c r="J15" i="721"/>
  <c r="I14" i="721"/>
  <c r="W51" i="721"/>
  <c r="V50" i="721"/>
  <c r="L26" i="720"/>
  <c r="M27" i="720"/>
  <c r="L50" i="720"/>
  <c r="M51" i="720"/>
  <c r="I98" i="720"/>
  <c r="J99" i="720"/>
  <c r="K122" i="720"/>
  <c r="L123" i="720"/>
  <c r="S75" i="720"/>
  <c r="R74" i="720"/>
  <c r="I134" i="720"/>
  <c r="J135" i="720"/>
  <c r="N63" i="720"/>
  <c r="M62" i="720"/>
  <c r="P38" i="720"/>
  <c r="Q39" i="720"/>
  <c r="K111" i="720"/>
  <c r="J110" i="720"/>
  <c r="M87" i="720"/>
  <c r="L86" i="720"/>
  <c r="I14" i="720"/>
  <c r="J15" i="720"/>
  <c r="U3" i="720"/>
  <c r="T2" i="720"/>
  <c r="M123" i="719"/>
  <c r="L122" i="719"/>
  <c r="K134" i="719"/>
  <c r="L135" i="719"/>
  <c r="M62" i="719"/>
  <c r="N63" i="719"/>
  <c r="K75" i="719"/>
  <c r="J74" i="719"/>
  <c r="R2" i="719"/>
  <c r="S3" i="719"/>
  <c r="I26" i="719"/>
  <c r="J27" i="719"/>
  <c r="L98" i="719"/>
  <c r="M99" i="719"/>
  <c r="K111" i="719"/>
  <c r="J110" i="719"/>
  <c r="J51" i="719"/>
  <c r="I50" i="719"/>
  <c r="S38" i="719"/>
  <c r="T39" i="719"/>
  <c r="Q86" i="719"/>
  <c r="R87" i="719"/>
  <c r="J15" i="719"/>
  <c r="I14" i="719"/>
  <c r="N51" i="718"/>
  <c r="M50" i="718"/>
  <c r="L98" i="718"/>
  <c r="M99" i="718"/>
  <c r="M39" i="718"/>
  <c r="L38" i="718"/>
  <c r="S3" i="718"/>
  <c r="R2" i="718"/>
  <c r="I26" i="718"/>
  <c r="J27" i="718"/>
  <c r="Q74" i="718"/>
  <c r="R75" i="718"/>
  <c r="J15" i="718"/>
  <c r="I14" i="718"/>
  <c r="I134" i="718"/>
  <c r="J135" i="718"/>
  <c r="O87" i="718"/>
  <c r="N86" i="718"/>
  <c r="P122" i="718"/>
  <c r="Q123" i="718"/>
  <c r="L62" i="718"/>
  <c r="M63" i="718"/>
  <c r="K111" i="718"/>
  <c r="J110" i="718"/>
  <c r="DY17" i="733" l="1"/>
  <c r="DX18" i="733"/>
  <c r="GA28" i="733"/>
  <c r="FZ29" i="733"/>
  <c r="CO19" i="733"/>
  <c r="CN20" i="733"/>
  <c r="B20" i="733"/>
  <c r="C19" i="733"/>
  <c r="GS17" i="733"/>
  <c r="GR18" i="733"/>
  <c r="DF18" i="733"/>
  <c r="DG17" i="733"/>
  <c r="T18" i="733"/>
  <c r="U17" i="733"/>
  <c r="BV19" i="733"/>
  <c r="BW18" i="733"/>
  <c r="AM21" i="733"/>
  <c r="AL22" i="733"/>
  <c r="EQ22" i="733"/>
  <c r="EP23" i="733"/>
  <c r="FH24" i="733"/>
  <c r="FI23" i="733"/>
  <c r="BE29" i="733"/>
  <c r="BD30" i="733"/>
  <c r="DF19" i="730"/>
  <c r="DG18" i="730"/>
  <c r="AM17" i="730"/>
  <c r="AL18" i="730"/>
  <c r="BE24" i="730"/>
  <c r="BD25" i="730"/>
  <c r="T27" i="730"/>
  <c r="U26" i="730"/>
  <c r="GR22" i="730"/>
  <c r="GS21" i="730"/>
  <c r="B26" i="730"/>
  <c r="C25" i="730"/>
  <c r="EQ18" i="730"/>
  <c r="EP19" i="730"/>
  <c r="FH18" i="730"/>
  <c r="FI17" i="730"/>
  <c r="GA25" i="730"/>
  <c r="FZ26" i="730"/>
  <c r="CO23" i="730"/>
  <c r="CN24" i="730"/>
  <c r="BV22" i="730"/>
  <c r="BW21" i="730"/>
  <c r="DX18" i="730"/>
  <c r="DY17" i="730"/>
  <c r="GR18" i="728"/>
  <c r="GS17" i="728"/>
  <c r="EP19" i="728"/>
  <c r="EQ18" i="728"/>
  <c r="U17" i="728"/>
  <c r="T18" i="728"/>
  <c r="FH23" i="728"/>
  <c r="FI22" i="728"/>
  <c r="DF18" i="728"/>
  <c r="DG17" i="728"/>
  <c r="AM20" i="728"/>
  <c r="AL21" i="728"/>
  <c r="C17" i="728"/>
  <c r="B18" i="728"/>
  <c r="GA22" i="728"/>
  <c r="FZ23" i="728"/>
  <c r="CN18" i="728"/>
  <c r="CO17" i="728"/>
  <c r="DX28" i="728"/>
  <c r="DY27" i="728"/>
  <c r="BV20" i="728"/>
  <c r="BW19" i="728"/>
  <c r="BD21" i="728"/>
  <c r="BE20" i="728"/>
  <c r="T20" i="727"/>
  <c r="U19" i="727"/>
  <c r="GA27" i="727"/>
  <c r="FZ28" i="727"/>
  <c r="B19" i="727"/>
  <c r="C18" i="727"/>
  <c r="AM18" i="727"/>
  <c r="AL19" i="727"/>
  <c r="GR22" i="727"/>
  <c r="GS21" i="727"/>
  <c r="CO17" i="727"/>
  <c r="CN18" i="727"/>
  <c r="BD18" i="727"/>
  <c r="BE17" i="727"/>
  <c r="DG24" i="727"/>
  <c r="DF25" i="727"/>
  <c r="EQ22" i="727"/>
  <c r="EP23" i="727"/>
  <c r="DY28" i="727"/>
  <c r="DX29" i="727"/>
  <c r="FH18" i="727"/>
  <c r="FI17" i="727"/>
  <c r="BW17" i="727"/>
  <c r="BV18" i="727"/>
  <c r="EP19" i="725"/>
  <c r="EQ18" i="725"/>
  <c r="GS17" i="725"/>
  <c r="GR18" i="725"/>
  <c r="DY17" i="725"/>
  <c r="DX18" i="725"/>
  <c r="BV22" i="725"/>
  <c r="BW21" i="725"/>
  <c r="C25" i="725"/>
  <c r="B26" i="725"/>
  <c r="FI23" i="725"/>
  <c r="FH24" i="725"/>
  <c r="BD26" i="725"/>
  <c r="BE25" i="725"/>
  <c r="U18" i="725"/>
  <c r="T19" i="725"/>
  <c r="GA28" i="725"/>
  <c r="FZ29" i="725"/>
  <c r="AL23" i="725"/>
  <c r="AM22" i="725"/>
  <c r="CO32" i="725"/>
  <c r="CN33" i="725"/>
  <c r="DF18" i="725"/>
  <c r="DG17" i="725"/>
  <c r="DY17" i="724"/>
  <c r="DX18" i="724"/>
  <c r="FH18" i="724"/>
  <c r="FI17" i="724"/>
  <c r="BW17" i="724"/>
  <c r="BV18" i="724"/>
  <c r="C26" i="724"/>
  <c r="B27" i="724"/>
  <c r="BD20" i="724"/>
  <c r="BE19" i="724"/>
  <c r="CN19" i="724"/>
  <c r="CO18" i="724"/>
  <c r="GA28" i="724"/>
  <c r="FZ29" i="724"/>
  <c r="U28" i="724"/>
  <c r="T29" i="724"/>
  <c r="GS21" i="724"/>
  <c r="GR22" i="724"/>
  <c r="AM17" i="724"/>
  <c r="AL18" i="724"/>
  <c r="DG38" i="724"/>
  <c r="DF39" i="724"/>
  <c r="EQ18" i="724"/>
  <c r="EP19" i="724"/>
  <c r="N62" i="723"/>
  <c r="O63" i="723"/>
  <c r="N2" i="723"/>
  <c r="O3" i="723"/>
  <c r="J14" i="723"/>
  <c r="K15" i="723"/>
  <c r="S74" i="723"/>
  <c r="T75" i="723"/>
  <c r="N99" i="723"/>
  <c r="M98" i="723"/>
  <c r="S111" i="723"/>
  <c r="R110" i="723"/>
  <c r="X86" i="723"/>
  <c r="Y87" i="723"/>
  <c r="X123" i="723"/>
  <c r="W122" i="723"/>
  <c r="L39" i="723"/>
  <c r="K38" i="723"/>
  <c r="P51" i="723"/>
  <c r="O50" i="723"/>
  <c r="O26" i="723"/>
  <c r="P27" i="723"/>
  <c r="M135" i="723"/>
  <c r="L134" i="723"/>
  <c r="N87" i="722"/>
  <c r="M86" i="722"/>
  <c r="K75" i="722"/>
  <c r="J74" i="722"/>
  <c r="M135" i="722"/>
  <c r="L134" i="722"/>
  <c r="S39" i="722"/>
  <c r="R38" i="722"/>
  <c r="J26" i="722"/>
  <c r="K27" i="722"/>
  <c r="P110" i="722"/>
  <c r="Q111" i="722"/>
  <c r="N50" i="722"/>
  <c r="O51" i="722"/>
  <c r="L62" i="722"/>
  <c r="M63" i="722"/>
  <c r="K98" i="722"/>
  <c r="L99" i="722"/>
  <c r="L15" i="722"/>
  <c r="K14" i="722"/>
  <c r="S3" i="722"/>
  <c r="R2" i="722"/>
  <c r="P123" i="722"/>
  <c r="O122" i="722"/>
  <c r="X51" i="721"/>
  <c r="W50" i="721"/>
  <c r="U39" i="721"/>
  <c r="T38" i="721"/>
  <c r="J98" i="721"/>
  <c r="K99" i="721"/>
  <c r="L74" i="721"/>
  <c r="M75" i="721"/>
  <c r="Q111" i="721"/>
  <c r="P110" i="721"/>
  <c r="L63" i="721"/>
  <c r="K62" i="721"/>
  <c r="U122" i="721"/>
  <c r="V123" i="721"/>
  <c r="K3" i="721"/>
  <c r="J2" i="721"/>
  <c r="T86" i="721"/>
  <c r="U87" i="721"/>
  <c r="J14" i="721"/>
  <c r="K15" i="721"/>
  <c r="J134" i="721"/>
  <c r="K135" i="721"/>
  <c r="P27" i="721"/>
  <c r="O26" i="721"/>
  <c r="Q38" i="720"/>
  <c r="R39" i="720"/>
  <c r="O63" i="720"/>
  <c r="N62" i="720"/>
  <c r="J134" i="720"/>
  <c r="K135" i="720"/>
  <c r="S74" i="720"/>
  <c r="T75" i="720"/>
  <c r="L122" i="720"/>
  <c r="M123" i="720"/>
  <c r="J98" i="720"/>
  <c r="K99" i="720"/>
  <c r="J14" i="720"/>
  <c r="K15" i="720"/>
  <c r="M50" i="720"/>
  <c r="N51" i="720"/>
  <c r="M26" i="720"/>
  <c r="N27" i="720"/>
  <c r="V3" i="720"/>
  <c r="U2" i="720"/>
  <c r="M86" i="720"/>
  <c r="N87" i="720"/>
  <c r="K110" i="720"/>
  <c r="L111" i="720"/>
  <c r="R86" i="719"/>
  <c r="S87" i="719"/>
  <c r="M98" i="719"/>
  <c r="N99" i="719"/>
  <c r="K15" i="719"/>
  <c r="J14" i="719"/>
  <c r="O63" i="719"/>
  <c r="N62" i="719"/>
  <c r="M135" i="719"/>
  <c r="L134" i="719"/>
  <c r="K110" i="719"/>
  <c r="L111" i="719"/>
  <c r="K27" i="719"/>
  <c r="J26" i="719"/>
  <c r="S2" i="719"/>
  <c r="T3" i="719"/>
  <c r="L75" i="719"/>
  <c r="K74" i="719"/>
  <c r="T38" i="719"/>
  <c r="U39" i="719"/>
  <c r="K51" i="719"/>
  <c r="J50" i="719"/>
  <c r="N123" i="719"/>
  <c r="M122" i="719"/>
  <c r="J26" i="718"/>
  <c r="K27" i="718"/>
  <c r="K135" i="718"/>
  <c r="J134" i="718"/>
  <c r="R74" i="718"/>
  <c r="S75" i="718"/>
  <c r="Q122" i="718"/>
  <c r="R123" i="718"/>
  <c r="K110" i="718"/>
  <c r="L111" i="718"/>
  <c r="M62" i="718"/>
  <c r="N63" i="718"/>
  <c r="M38" i="718"/>
  <c r="N39" i="718"/>
  <c r="M98" i="718"/>
  <c r="N99" i="718"/>
  <c r="K15" i="718"/>
  <c r="J14" i="718"/>
  <c r="T3" i="718"/>
  <c r="S2" i="718"/>
  <c r="P87" i="718"/>
  <c r="O86" i="718"/>
  <c r="N50" i="718"/>
  <c r="O51" i="718"/>
  <c r="BV20" i="733" l="1"/>
  <c r="BW19" i="733"/>
  <c r="T19" i="733"/>
  <c r="U18" i="733"/>
  <c r="DF19" i="733"/>
  <c r="DG18" i="733"/>
  <c r="B21" i="733"/>
  <c r="C20" i="733"/>
  <c r="FZ30" i="733"/>
  <c r="GA29" i="733"/>
  <c r="AM22" i="733"/>
  <c r="AL23" i="733"/>
  <c r="DX19" i="733"/>
  <c r="DY18" i="733"/>
  <c r="GR19" i="733"/>
  <c r="GS18" i="733"/>
  <c r="BE30" i="733"/>
  <c r="BD31" i="733"/>
  <c r="CN21" i="733"/>
  <c r="CO20" i="733"/>
  <c r="FH25" i="733"/>
  <c r="FI24" i="733"/>
  <c r="EQ23" i="733"/>
  <c r="EP24" i="733"/>
  <c r="FH19" i="730"/>
  <c r="FI18" i="730"/>
  <c r="B27" i="730"/>
  <c r="C26" i="730"/>
  <c r="GR23" i="730"/>
  <c r="GS22" i="730"/>
  <c r="AM18" i="730"/>
  <c r="AL19" i="730"/>
  <c r="GA26" i="730"/>
  <c r="FZ27" i="730"/>
  <c r="EQ19" i="730"/>
  <c r="EP20" i="730"/>
  <c r="DY18" i="730"/>
  <c r="DX19" i="730"/>
  <c r="T28" i="730"/>
  <c r="U27" i="730"/>
  <c r="BE25" i="730"/>
  <c r="BD26" i="730"/>
  <c r="BV23" i="730"/>
  <c r="BW22" i="730"/>
  <c r="CO24" i="730"/>
  <c r="CN25" i="730"/>
  <c r="DF20" i="730"/>
  <c r="DG19" i="730"/>
  <c r="DF19" i="728"/>
  <c r="DG18" i="728"/>
  <c r="FH24" i="728"/>
  <c r="FI23" i="728"/>
  <c r="T19" i="728"/>
  <c r="U18" i="728"/>
  <c r="BV21" i="728"/>
  <c r="BW20" i="728"/>
  <c r="GA23" i="728"/>
  <c r="FZ24" i="728"/>
  <c r="C18" i="728"/>
  <c r="B19" i="728"/>
  <c r="AM21" i="728"/>
  <c r="AL22" i="728"/>
  <c r="BD22" i="728"/>
  <c r="BE21" i="728"/>
  <c r="DX29" i="728"/>
  <c r="DY28" i="728"/>
  <c r="EQ19" i="728"/>
  <c r="EP20" i="728"/>
  <c r="CN19" i="728"/>
  <c r="CO18" i="728"/>
  <c r="GS18" i="728"/>
  <c r="GR19" i="728"/>
  <c r="BD19" i="727"/>
  <c r="BE18" i="727"/>
  <c r="CO18" i="727"/>
  <c r="CN19" i="727"/>
  <c r="AM19" i="727"/>
  <c r="AL20" i="727"/>
  <c r="B20" i="727"/>
  <c r="C19" i="727"/>
  <c r="FZ29" i="727"/>
  <c r="GA28" i="727"/>
  <c r="EQ23" i="727"/>
  <c r="EP24" i="727"/>
  <c r="DF26" i="727"/>
  <c r="DG25" i="727"/>
  <c r="GR23" i="727"/>
  <c r="GS22" i="727"/>
  <c r="BW18" i="727"/>
  <c r="BV19" i="727"/>
  <c r="FH19" i="727"/>
  <c r="FI18" i="727"/>
  <c r="DY29" i="727"/>
  <c r="DX30" i="727"/>
  <c r="U20" i="727"/>
  <c r="T21" i="727"/>
  <c r="BD27" i="725"/>
  <c r="BE26" i="725"/>
  <c r="BW22" i="725"/>
  <c r="BV23" i="725"/>
  <c r="DX19" i="725"/>
  <c r="DY18" i="725"/>
  <c r="GR19" i="725"/>
  <c r="GS18" i="725"/>
  <c r="FZ30" i="725"/>
  <c r="GA29" i="725"/>
  <c r="U19" i="725"/>
  <c r="T20" i="725"/>
  <c r="FH25" i="725"/>
  <c r="FI24" i="725"/>
  <c r="C26" i="725"/>
  <c r="B27" i="725"/>
  <c r="DF19" i="725"/>
  <c r="DG18" i="725"/>
  <c r="CO33" i="725"/>
  <c r="CN34" i="725"/>
  <c r="AL24" i="725"/>
  <c r="AM23" i="725"/>
  <c r="EP20" i="725"/>
  <c r="EQ19" i="725"/>
  <c r="CN20" i="724"/>
  <c r="CO19" i="724"/>
  <c r="BD21" i="724"/>
  <c r="BE20" i="724"/>
  <c r="EQ19" i="724"/>
  <c r="EP20" i="724"/>
  <c r="BV19" i="724"/>
  <c r="BW18" i="724"/>
  <c r="GS22" i="724"/>
  <c r="GR23" i="724"/>
  <c r="DY18" i="724"/>
  <c r="DX19" i="724"/>
  <c r="U29" i="724"/>
  <c r="T30" i="724"/>
  <c r="FZ30" i="724"/>
  <c r="GA29" i="724"/>
  <c r="C27" i="724"/>
  <c r="B28" i="724"/>
  <c r="DF40" i="724"/>
  <c r="DG40" i="724" s="1"/>
  <c r="DG39" i="724"/>
  <c r="AL19" i="724"/>
  <c r="AM18" i="724"/>
  <c r="FH19" i="724"/>
  <c r="FI18" i="724"/>
  <c r="Y86" i="723"/>
  <c r="Z87" i="723"/>
  <c r="T111" i="723"/>
  <c r="S110" i="723"/>
  <c r="O99" i="723"/>
  <c r="N98" i="723"/>
  <c r="T74" i="723"/>
  <c r="U75" i="723"/>
  <c r="N135" i="723"/>
  <c r="M134" i="723"/>
  <c r="P26" i="723"/>
  <c r="Q27" i="723"/>
  <c r="K14" i="723"/>
  <c r="L15" i="723"/>
  <c r="O2" i="723"/>
  <c r="P3" i="723"/>
  <c r="O62" i="723"/>
  <c r="P63" i="723"/>
  <c r="Y123" i="723"/>
  <c r="X122" i="723"/>
  <c r="Q51" i="723"/>
  <c r="P50" i="723"/>
  <c r="M39" i="723"/>
  <c r="L38" i="723"/>
  <c r="O50" i="722"/>
  <c r="P51" i="722"/>
  <c r="S2" i="722"/>
  <c r="T3" i="722"/>
  <c r="M62" i="722"/>
  <c r="N63" i="722"/>
  <c r="R111" i="722"/>
  <c r="Q110" i="722"/>
  <c r="K26" i="722"/>
  <c r="L27" i="722"/>
  <c r="P122" i="722"/>
  <c r="Q123" i="722"/>
  <c r="T39" i="722"/>
  <c r="S38" i="722"/>
  <c r="N135" i="722"/>
  <c r="M134" i="722"/>
  <c r="M15" i="722"/>
  <c r="L14" i="722"/>
  <c r="L75" i="722"/>
  <c r="K74" i="722"/>
  <c r="L98" i="722"/>
  <c r="M99" i="722"/>
  <c r="O87" i="722"/>
  <c r="N86" i="722"/>
  <c r="L3" i="721"/>
  <c r="K2" i="721"/>
  <c r="W123" i="721"/>
  <c r="V122" i="721"/>
  <c r="M74" i="721"/>
  <c r="N75" i="721"/>
  <c r="L99" i="721"/>
  <c r="K98" i="721"/>
  <c r="M63" i="721"/>
  <c r="L62" i="721"/>
  <c r="R111" i="721"/>
  <c r="Q110" i="721"/>
  <c r="U86" i="721"/>
  <c r="V87" i="721"/>
  <c r="P26" i="721"/>
  <c r="Q27" i="721"/>
  <c r="L135" i="721"/>
  <c r="K134" i="721"/>
  <c r="K14" i="721"/>
  <c r="L15" i="721"/>
  <c r="U38" i="721"/>
  <c r="V39" i="721"/>
  <c r="Y51" i="721"/>
  <c r="X50" i="721"/>
  <c r="N50" i="720"/>
  <c r="O51" i="720"/>
  <c r="K98" i="720"/>
  <c r="L99" i="720"/>
  <c r="T74" i="720"/>
  <c r="U75" i="720"/>
  <c r="L135" i="720"/>
  <c r="K134" i="720"/>
  <c r="W3" i="720"/>
  <c r="V2" i="720"/>
  <c r="O62" i="720"/>
  <c r="P63" i="720"/>
  <c r="L15" i="720"/>
  <c r="K14" i="720"/>
  <c r="M122" i="720"/>
  <c r="N123" i="720"/>
  <c r="L110" i="720"/>
  <c r="M111" i="720"/>
  <c r="N86" i="720"/>
  <c r="O87" i="720"/>
  <c r="O27" i="720"/>
  <c r="N26" i="720"/>
  <c r="S39" i="720"/>
  <c r="R38" i="720"/>
  <c r="T2" i="719"/>
  <c r="U3" i="719"/>
  <c r="L27" i="719"/>
  <c r="K26" i="719"/>
  <c r="N135" i="719"/>
  <c r="M134" i="719"/>
  <c r="O123" i="719"/>
  <c r="N122" i="719"/>
  <c r="P63" i="719"/>
  <c r="O62" i="719"/>
  <c r="L51" i="719"/>
  <c r="K50" i="719"/>
  <c r="U38" i="719"/>
  <c r="V39" i="719"/>
  <c r="T87" i="719"/>
  <c r="S86" i="719"/>
  <c r="L110" i="719"/>
  <c r="M111" i="719"/>
  <c r="L15" i="719"/>
  <c r="K14" i="719"/>
  <c r="O99" i="719"/>
  <c r="N98" i="719"/>
  <c r="L74" i="719"/>
  <c r="M75" i="719"/>
  <c r="P51" i="718"/>
  <c r="O50" i="718"/>
  <c r="N38" i="718"/>
  <c r="O39" i="718"/>
  <c r="N62" i="718"/>
  <c r="O63" i="718"/>
  <c r="L110" i="718"/>
  <c r="M111" i="718"/>
  <c r="U3" i="718"/>
  <c r="T2" i="718"/>
  <c r="L135" i="718"/>
  <c r="K134" i="718"/>
  <c r="N98" i="718"/>
  <c r="O99" i="718"/>
  <c r="S74" i="718"/>
  <c r="T75" i="718"/>
  <c r="Q87" i="718"/>
  <c r="P86" i="718"/>
  <c r="K26" i="718"/>
  <c r="L27" i="718"/>
  <c r="S123" i="718"/>
  <c r="R122" i="718"/>
  <c r="L15" i="718"/>
  <c r="K14" i="718"/>
  <c r="AM23" i="733" l="1"/>
  <c r="AL24" i="733"/>
  <c r="EQ24" i="733"/>
  <c r="EP25" i="733"/>
  <c r="FH26" i="733"/>
  <c r="FI25" i="733"/>
  <c r="BE31" i="733"/>
  <c r="BD32" i="733"/>
  <c r="GR20" i="733"/>
  <c r="GS19" i="733"/>
  <c r="DX20" i="733"/>
  <c r="DY19" i="733"/>
  <c r="FZ31" i="733"/>
  <c r="GA30" i="733"/>
  <c r="B22" i="733"/>
  <c r="C21" i="733"/>
  <c r="DF20" i="733"/>
  <c r="DG19" i="733"/>
  <c r="CN22" i="733"/>
  <c r="CO21" i="733"/>
  <c r="T20" i="733"/>
  <c r="U19" i="733"/>
  <c r="BW20" i="733"/>
  <c r="BV21" i="733"/>
  <c r="U28" i="730"/>
  <c r="T29" i="730"/>
  <c r="DX20" i="730"/>
  <c r="DY19" i="730"/>
  <c r="CO25" i="730"/>
  <c r="CN26" i="730"/>
  <c r="BV24" i="730"/>
  <c r="BW23" i="730"/>
  <c r="BD27" i="730"/>
  <c r="BE26" i="730"/>
  <c r="EP21" i="730"/>
  <c r="EQ20" i="730"/>
  <c r="GA27" i="730"/>
  <c r="FZ28" i="730"/>
  <c r="AM19" i="730"/>
  <c r="AL20" i="730"/>
  <c r="DF21" i="730"/>
  <c r="DG20" i="730"/>
  <c r="GS23" i="730"/>
  <c r="GR24" i="730"/>
  <c r="B28" i="730"/>
  <c r="C27" i="730"/>
  <c r="FH20" i="730"/>
  <c r="FI19" i="730"/>
  <c r="BD23" i="728"/>
  <c r="BE22" i="728"/>
  <c r="C19" i="728"/>
  <c r="B20" i="728"/>
  <c r="GA24" i="728"/>
  <c r="FZ25" i="728"/>
  <c r="GS19" i="728"/>
  <c r="GR20" i="728"/>
  <c r="BV22" i="728"/>
  <c r="BW21" i="728"/>
  <c r="AM22" i="728"/>
  <c r="AL23" i="728"/>
  <c r="CN20" i="728"/>
  <c r="CO19" i="728"/>
  <c r="T20" i="728"/>
  <c r="U19" i="728"/>
  <c r="EQ20" i="728"/>
  <c r="EP21" i="728"/>
  <c r="FH25" i="728"/>
  <c r="FI24" i="728"/>
  <c r="DX30" i="728"/>
  <c r="DY29" i="728"/>
  <c r="DF20" i="728"/>
  <c r="DG19" i="728"/>
  <c r="GS23" i="727"/>
  <c r="GR24" i="727"/>
  <c r="DF27" i="727"/>
  <c r="DG26" i="727"/>
  <c r="FZ30" i="727"/>
  <c r="GA29" i="727"/>
  <c r="B21" i="727"/>
  <c r="C20" i="727"/>
  <c r="AL21" i="727"/>
  <c r="AM20" i="727"/>
  <c r="CN20" i="727"/>
  <c r="CO19" i="727"/>
  <c r="BW19" i="727"/>
  <c r="BV20" i="727"/>
  <c r="EQ24" i="727"/>
  <c r="EP25" i="727"/>
  <c r="T22" i="727"/>
  <c r="U21" i="727"/>
  <c r="DY30" i="727"/>
  <c r="DX31" i="727"/>
  <c r="FH20" i="727"/>
  <c r="FI19" i="727"/>
  <c r="BD20" i="727"/>
  <c r="BE19" i="727"/>
  <c r="FH26" i="725"/>
  <c r="FI25" i="725"/>
  <c r="FZ31" i="725"/>
  <c r="GA30" i="725"/>
  <c r="GR20" i="725"/>
  <c r="GS19" i="725"/>
  <c r="DY19" i="725"/>
  <c r="DX20" i="725"/>
  <c r="C27" i="725"/>
  <c r="B28" i="725"/>
  <c r="T21" i="725"/>
  <c r="U20" i="725"/>
  <c r="EP21" i="725"/>
  <c r="EQ20" i="725"/>
  <c r="AL25" i="725"/>
  <c r="AM24" i="725"/>
  <c r="CO34" i="725"/>
  <c r="CN35" i="725"/>
  <c r="BV24" i="725"/>
  <c r="BW23" i="725"/>
  <c r="DF20" i="725"/>
  <c r="DG19" i="725"/>
  <c r="BD28" i="725"/>
  <c r="BE27" i="725"/>
  <c r="FZ31" i="724"/>
  <c r="GA30" i="724"/>
  <c r="DY19" i="724"/>
  <c r="DX20" i="724"/>
  <c r="BV20" i="724"/>
  <c r="BW19" i="724"/>
  <c r="EQ20" i="724"/>
  <c r="EP21" i="724"/>
  <c r="AL20" i="724"/>
  <c r="AM19" i="724"/>
  <c r="U30" i="724"/>
  <c r="T31" i="724"/>
  <c r="GS23" i="724"/>
  <c r="GR24" i="724"/>
  <c r="FH20" i="724"/>
  <c r="FI19" i="724"/>
  <c r="BD22" i="724"/>
  <c r="BE21" i="724"/>
  <c r="C28" i="724"/>
  <c r="B29" i="724"/>
  <c r="CN21" i="724"/>
  <c r="CO20" i="724"/>
  <c r="O135" i="723"/>
  <c r="N134" i="723"/>
  <c r="U74" i="723"/>
  <c r="V75" i="723"/>
  <c r="M38" i="723"/>
  <c r="N39" i="723"/>
  <c r="R51" i="723"/>
  <c r="Q50" i="723"/>
  <c r="P62" i="723"/>
  <c r="Q63" i="723"/>
  <c r="P2" i="723"/>
  <c r="Q3" i="723"/>
  <c r="M15" i="723"/>
  <c r="L14" i="723"/>
  <c r="Q26" i="723"/>
  <c r="R27" i="723"/>
  <c r="O98" i="723"/>
  <c r="P99" i="723"/>
  <c r="Y122" i="723"/>
  <c r="Z123" i="723"/>
  <c r="U111" i="723"/>
  <c r="T110" i="723"/>
  <c r="Z86" i="723"/>
  <c r="AA87" i="723"/>
  <c r="S111" i="722"/>
  <c r="R110" i="722"/>
  <c r="N99" i="722"/>
  <c r="M98" i="722"/>
  <c r="T2" i="722"/>
  <c r="U3" i="722"/>
  <c r="L74" i="722"/>
  <c r="M75" i="722"/>
  <c r="Q51" i="722"/>
  <c r="P50" i="722"/>
  <c r="N134" i="722"/>
  <c r="O135" i="722"/>
  <c r="U39" i="722"/>
  <c r="T38" i="722"/>
  <c r="Q122" i="722"/>
  <c r="R123" i="722"/>
  <c r="M27" i="722"/>
  <c r="L26" i="722"/>
  <c r="P87" i="722"/>
  <c r="O86" i="722"/>
  <c r="N62" i="722"/>
  <c r="O63" i="722"/>
  <c r="N15" i="722"/>
  <c r="M14" i="722"/>
  <c r="Q26" i="721"/>
  <c r="R27" i="721"/>
  <c r="W87" i="721"/>
  <c r="V86" i="721"/>
  <c r="N63" i="721"/>
  <c r="M62" i="721"/>
  <c r="Z51" i="721"/>
  <c r="Y50" i="721"/>
  <c r="M99" i="721"/>
  <c r="L98" i="721"/>
  <c r="N74" i="721"/>
  <c r="O75" i="721"/>
  <c r="X123" i="721"/>
  <c r="W122" i="721"/>
  <c r="S111" i="721"/>
  <c r="R110" i="721"/>
  <c r="V38" i="721"/>
  <c r="W39" i="721"/>
  <c r="L14" i="721"/>
  <c r="M15" i="721"/>
  <c r="M135" i="721"/>
  <c r="L134" i="721"/>
  <c r="M3" i="721"/>
  <c r="L2" i="721"/>
  <c r="M15" i="720"/>
  <c r="L14" i="720"/>
  <c r="W2" i="720"/>
  <c r="X3" i="720"/>
  <c r="P87" i="720"/>
  <c r="O86" i="720"/>
  <c r="M99" i="720"/>
  <c r="L98" i="720"/>
  <c r="O123" i="720"/>
  <c r="N122" i="720"/>
  <c r="Q63" i="720"/>
  <c r="P62" i="720"/>
  <c r="T39" i="720"/>
  <c r="S38" i="720"/>
  <c r="M135" i="720"/>
  <c r="L134" i="720"/>
  <c r="U74" i="720"/>
  <c r="V75" i="720"/>
  <c r="P27" i="720"/>
  <c r="O26" i="720"/>
  <c r="N111" i="720"/>
  <c r="M110" i="720"/>
  <c r="O50" i="720"/>
  <c r="P51" i="720"/>
  <c r="U87" i="719"/>
  <c r="T86" i="719"/>
  <c r="M74" i="719"/>
  <c r="N75" i="719"/>
  <c r="P123" i="719"/>
  <c r="O122" i="719"/>
  <c r="M15" i="719"/>
  <c r="L14" i="719"/>
  <c r="L26" i="719"/>
  <c r="M27" i="719"/>
  <c r="P62" i="719"/>
  <c r="Q63" i="719"/>
  <c r="N111" i="719"/>
  <c r="M110" i="719"/>
  <c r="V3" i="719"/>
  <c r="U2" i="719"/>
  <c r="W39" i="719"/>
  <c r="V38" i="719"/>
  <c r="L50" i="719"/>
  <c r="M51" i="719"/>
  <c r="P99" i="719"/>
  <c r="O98" i="719"/>
  <c r="O135" i="719"/>
  <c r="N134" i="719"/>
  <c r="N111" i="718"/>
  <c r="M110" i="718"/>
  <c r="O62" i="718"/>
  <c r="P63" i="718"/>
  <c r="L26" i="718"/>
  <c r="M27" i="718"/>
  <c r="T74" i="718"/>
  <c r="U75" i="718"/>
  <c r="O98" i="718"/>
  <c r="P99" i="718"/>
  <c r="M135" i="718"/>
  <c r="L134" i="718"/>
  <c r="V3" i="718"/>
  <c r="U2" i="718"/>
  <c r="M15" i="718"/>
  <c r="L14" i="718"/>
  <c r="O38" i="718"/>
  <c r="P39" i="718"/>
  <c r="S122" i="718"/>
  <c r="T123" i="718"/>
  <c r="Q86" i="718"/>
  <c r="R87" i="718"/>
  <c r="Q51" i="718"/>
  <c r="P50" i="718"/>
  <c r="C22" i="733" l="1"/>
  <c r="B23" i="733"/>
  <c r="FZ32" i="733"/>
  <c r="GA31" i="733"/>
  <c r="DX21" i="733"/>
  <c r="DY20" i="733"/>
  <c r="GR21" i="733"/>
  <c r="GS20" i="733"/>
  <c r="BE32" i="733"/>
  <c r="BD33" i="733"/>
  <c r="AM24" i="733"/>
  <c r="AL25" i="733"/>
  <c r="BW21" i="733"/>
  <c r="BV22" i="733"/>
  <c r="T21" i="733"/>
  <c r="U20" i="733"/>
  <c r="FH27" i="733"/>
  <c r="FI26" i="733"/>
  <c r="EQ25" i="733"/>
  <c r="EP26" i="733"/>
  <c r="CN23" i="733"/>
  <c r="CO22" i="733"/>
  <c r="DG20" i="733"/>
  <c r="DF21" i="733"/>
  <c r="AL21" i="730"/>
  <c r="AM20" i="730"/>
  <c r="FZ29" i="730"/>
  <c r="GA28" i="730"/>
  <c r="FI20" i="730"/>
  <c r="FH21" i="730"/>
  <c r="GS24" i="730"/>
  <c r="GR25" i="730"/>
  <c r="U29" i="730"/>
  <c r="T30" i="730"/>
  <c r="EP22" i="730"/>
  <c r="EQ21" i="730"/>
  <c r="BD28" i="730"/>
  <c r="BE27" i="730"/>
  <c r="BV25" i="730"/>
  <c r="BW24" i="730"/>
  <c r="CO26" i="730"/>
  <c r="CN27" i="730"/>
  <c r="B29" i="730"/>
  <c r="C28" i="730"/>
  <c r="DX21" i="730"/>
  <c r="DY20" i="730"/>
  <c r="DG21" i="730"/>
  <c r="DF22" i="730"/>
  <c r="AM23" i="728"/>
  <c r="AL24" i="728"/>
  <c r="FZ26" i="728"/>
  <c r="GA25" i="728"/>
  <c r="T21" i="728"/>
  <c r="U20" i="728"/>
  <c r="CN21" i="728"/>
  <c r="CO20" i="728"/>
  <c r="BW22" i="728"/>
  <c r="BV23" i="728"/>
  <c r="GS20" i="728"/>
  <c r="GR21" i="728"/>
  <c r="DG20" i="728"/>
  <c r="DF21" i="728"/>
  <c r="DX31" i="728"/>
  <c r="DY30" i="728"/>
  <c r="C20" i="728"/>
  <c r="B21" i="728"/>
  <c r="FI25" i="728"/>
  <c r="FH26" i="728"/>
  <c r="EQ21" i="728"/>
  <c r="EP22" i="728"/>
  <c r="BD24" i="728"/>
  <c r="BE23" i="728"/>
  <c r="EP26" i="727"/>
  <c r="EQ25" i="727"/>
  <c r="BV21" i="727"/>
  <c r="BW20" i="727"/>
  <c r="B22" i="727"/>
  <c r="C21" i="727"/>
  <c r="FI20" i="727"/>
  <c r="FH21" i="727"/>
  <c r="GR25" i="727"/>
  <c r="GS24" i="727"/>
  <c r="CN21" i="727"/>
  <c r="CO20" i="727"/>
  <c r="AL22" i="727"/>
  <c r="AM21" i="727"/>
  <c r="BD21" i="727"/>
  <c r="BE20" i="727"/>
  <c r="FZ31" i="727"/>
  <c r="GA30" i="727"/>
  <c r="DY31" i="727"/>
  <c r="DX32" i="727"/>
  <c r="DF28" i="727"/>
  <c r="DG27" i="727"/>
  <c r="U22" i="727"/>
  <c r="T23" i="727"/>
  <c r="AM25" i="725"/>
  <c r="AL26" i="725"/>
  <c r="C28" i="725"/>
  <c r="B29" i="725"/>
  <c r="DF21" i="725"/>
  <c r="DG20" i="725"/>
  <c r="CO35" i="725"/>
  <c r="CN36" i="725"/>
  <c r="EP22" i="725"/>
  <c r="EQ21" i="725"/>
  <c r="T22" i="725"/>
  <c r="U21" i="725"/>
  <c r="DY20" i="725"/>
  <c r="DX21" i="725"/>
  <c r="BD29" i="725"/>
  <c r="BE28" i="725"/>
  <c r="GR21" i="725"/>
  <c r="GS20" i="725"/>
  <c r="BV25" i="725"/>
  <c r="BW24" i="725"/>
  <c r="FZ32" i="725"/>
  <c r="GA31" i="725"/>
  <c r="FH27" i="725"/>
  <c r="FI26" i="725"/>
  <c r="AL21" i="724"/>
  <c r="AM20" i="724"/>
  <c r="EP22" i="724"/>
  <c r="EQ21" i="724"/>
  <c r="BV21" i="724"/>
  <c r="BW20" i="724"/>
  <c r="FI20" i="724"/>
  <c r="FH21" i="724"/>
  <c r="GS24" i="724"/>
  <c r="GR25" i="724"/>
  <c r="U31" i="724"/>
  <c r="T32" i="724"/>
  <c r="CN22" i="724"/>
  <c r="CO21" i="724"/>
  <c r="C29" i="724"/>
  <c r="B30" i="724"/>
  <c r="DY20" i="724"/>
  <c r="DX21" i="724"/>
  <c r="BE22" i="724"/>
  <c r="BD23" i="724"/>
  <c r="GA31" i="724"/>
  <c r="FZ32" i="724"/>
  <c r="N15" i="723"/>
  <c r="M14" i="723"/>
  <c r="Q62" i="723"/>
  <c r="R63" i="723"/>
  <c r="AA86" i="723"/>
  <c r="AB87" i="723"/>
  <c r="N38" i="723"/>
  <c r="O39" i="723"/>
  <c r="U110" i="723"/>
  <c r="V111" i="723"/>
  <c r="AA123" i="723"/>
  <c r="Z122" i="723"/>
  <c r="V74" i="723"/>
  <c r="W75" i="723"/>
  <c r="P98" i="723"/>
  <c r="Q99" i="723"/>
  <c r="R26" i="723"/>
  <c r="S27" i="723"/>
  <c r="Q2" i="723"/>
  <c r="R3" i="723"/>
  <c r="R50" i="723"/>
  <c r="S51" i="723"/>
  <c r="O134" i="723"/>
  <c r="P135" i="723"/>
  <c r="R122" i="722"/>
  <c r="S123" i="722"/>
  <c r="V39" i="722"/>
  <c r="U38" i="722"/>
  <c r="O62" i="722"/>
  <c r="P63" i="722"/>
  <c r="Q87" i="722"/>
  <c r="P86" i="722"/>
  <c r="O134" i="722"/>
  <c r="P135" i="722"/>
  <c r="R51" i="722"/>
  <c r="Q50" i="722"/>
  <c r="M74" i="722"/>
  <c r="N75" i="722"/>
  <c r="N14" i="722"/>
  <c r="O15" i="722"/>
  <c r="V3" i="722"/>
  <c r="U2" i="722"/>
  <c r="N98" i="722"/>
  <c r="O99" i="722"/>
  <c r="N27" i="722"/>
  <c r="M26" i="722"/>
  <c r="T111" i="722"/>
  <c r="S110" i="722"/>
  <c r="N99" i="721"/>
  <c r="M98" i="721"/>
  <c r="N3" i="721"/>
  <c r="M2" i="721"/>
  <c r="AA51" i="721"/>
  <c r="Z50" i="721"/>
  <c r="N135" i="721"/>
  <c r="M134" i="721"/>
  <c r="M14" i="721"/>
  <c r="N15" i="721"/>
  <c r="X87" i="721"/>
  <c r="W86" i="721"/>
  <c r="W38" i="721"/>
  <c r="X39" i="721"/>
  <c r="R26" i="721"/>
  <c r="S27" i="721"/>
  <c r="T111" i="721"/>
  <c r="S110" i="721"/>
  <c r="Y123" i="721"/>
  <c r="X122" i="721"/>
  <c r="O74" i="721"/>
  <c r="P75" i="721"/>
  <c r="O63" i="721"/>
  <c r="N62" i="721"/>
  <c r="N135" i="720"/>
  <c r="M134" i="720"/>
  <c r="Q62" i="720"/>
  <c r="R63" i="720"/>
  <c r="P123" i="720"/>
  <c r="O122" i="720"/>
  <c r="N110" i="720"/>
  <c r="O111" i="720"/>
  <c r="Q87" i="720"/>
  <c r="P86" i="720"/>
  <c r="Q27" i="720"/>
  <c r="P26" i="720"/>
  <c r="Q51" i="720"/>
  <c r="P50" i="720"/>
  <c r="U39" i="720"/>
  <c r="T38" i="720"/>
  <c r="N99" i="720"/>
  <c r="M98" i="720"/>
  <c r="X2" i="720"/>
  <c r="Y3" i="720"/>
  <c r="V74" i="720"/>
  <c r="W75" i="720"/>
  <c r="N15" i="720"/>
  <c r="M14" i="720"/>
  <c r="W3" i="719"/>
  <c r="V2" i="719"/>
  <c r="Q62" i="719"/>
  <c r="R63" i="719"/>
  <c r="N27" i="719"/>
  <c r="M26" i="719"/>
  <c r="P135" i="719"/>
  <c r="O134" i="719"/>
  <c r="Q99" i="719"/>
  <c r="P98" i="719"/>
  <c r="O111" i="719"/>
  <c r="N110" i="719"/>
  <c r="M50" i="719"/>
  <c r="N51" i="719"/>
  <c r="N15" i="719"/>
  <c r="M14" i="719"/>
  <c r="P122" i="719"/>
  <c r="Q123" i="719"/>
  <c r="O75" i="719"/>
  <c r="N74" i="719"/>
  <c r="W38" i="719"/>
  <c r="X39" i="719"/>
  <c r="U86" i="719"/>
  <c r="V87" i="719"/>
  <c r="W3" i="718"/>
  <c r="V2" i="718"/>
  <c r="P98" i="718"/>
  <c r="Q99" i="718"/>
  <c r="V75" i="718"/>
  <c r="U74" i="718"/>
  <c r="N27" i="718"/>
  <c r="M26" i="718"/>
  <c r="R51" i="718"/>
  <c r="Q50" i="718"/>
  <c r="T122" i="718"/>
  <c r="U123" i="718"/>
  <c r="M14" i="718"/>
  <c r="N15" i="718"/>
  <c r="N135" i="718"/>
  <c r="M134" i="718"/>
  <c r="R86" i="718"/>
  <c r="S87" i="718"/>
  <c r="Q63" i="718"/>
  <c r="P62" i="718"/>
  <c r="P38" i="718"/>
  <c r="Q39" i="718"/>
  <c r="N110" i="718"/>
  <c r="O111" i="718"/>
  <c r="T22" i="733" l="1"/>
  <c r="U21" i="733"/>
  <c r="DG21" i="733"/>
  <c r="DF22" i="733"/>
  <c r="DX22" i="733"/>
  <c r="DY21" i="733"/>
  <c r="EQ26" i="733"/>
  <c r="EP27" i="733"/>
  <c r="C23" i="733"/>
  <c r="B24" i="733"/>
  <c r="BW22" i="733"/>
  <c r="BV23" i="733"/>
  <c r="AM25" i="733"/>
  <c r="AL26" i="733"/>
  <c r="BE33" i="733"/>
  <c r="BD34" i="733"/>
  <c r="GR22" i="733"/>
  <c r="GS21" i="733"/>
  <c r="CN24" i="733"/>
  <c r="CO23" i="733"/>
  <c r="GA32" i="733"/>
  <c r="FZ33" i="733"/>
  <c r="FH28" i="733"/>
  <c r="FI27" i="733"/>
  <c r="BD29" i="730"/>
  <c r="BE28" i="730"/>
  <c r="EP23" i="730"/>
  <c r="EQ22" i="730"/>
  <c r="T31" i="730"/>
  <c r="U30" i="730"/>
  <c r="DG22" i="730"/>
  <c r="DF23" i="730"/>
  <c r="CO27" i="730"/>
  <c r="CN28" i="730"/>
  <c r="BV26" i="730"/>
  <c r="BW25" i="730"/>
  <c r="GS25" i="730"/>
  <c r="GR26" i="730"/>
  <c r="FI21" i="730"/>
  <c r="FH22" i="730"/>
  <c r="DX22" i="730"/>
  <c r="DY21" i="730"/>
  <c r="B30" i="730"/>
  <c r="C29" i="730"/>
  <c r="FZ30" i="730"/>
  <c r="GA29" i="730"/>
  <c r="AM21" i="730"/>
  <c r="AL22" i="730"/>
  <c r="DY31" i="728"/>
  <c r="DX32" i="728"/>
  <c r="BW23" i="728"/>
  <c r="BV24" i="728"/>
  <c r="BD25" i="728"/>
  <c r="BE24" i="728"/>
  <c r="B22" i="728"/>
  <c r="C21" i="728"/>
  <c r="AL25" i="728"/>
  <c r="AM24" i="728"/>
  <c r="DG21" i="728"/>
  <c r="DF22" i="728"/>
  <c r="GS21" i="728"/>
  <c r="GR22" i="728"/>
  <c r="CO21" i="728"/>
  <c r="CN22" i="728"/>
  <c r="EP23" i="728"/>
  <c r="EQ22" i="728"/>
  <c r="U21" i="728"/>
  <c r="T22" i="728"/>
  <c r="FI26" i="728"/>
  <c r="FH27" i="728"/>
  <c r="FZ27" i="728"/>
  <c r="GA26" i="728"/>
  <c r="BD22" i="727"/>
  <c r="BE21" i="727"/>
  <c r="AL23" i="727"/>
  <c r="AM22" i="727"/>
  <c r="CO21" i="727"/>
  <c r="CN22" i="727"/>
  <c r="GR26" i="727"/>
  <c r="GS25" i="727"/>
  <c r="U23" i="727"/>
  <c r="T24" i="727"/>
  <c r="DF29" i="727"/>
  <c r="DG28" i="727"/>
  <c r="BW21" i="727"/>
  <c r="BV22" i="727"/>
  <c r="FI21" i="727"/>
  <c r="FH22" i="727"/>
  <c r="B23" i="727"/>
  <c r="C22" i="727"/>
  <c r="DY32" i="727"/>
  <c r="DX33" i="727"/>
  <c r="FZ32" i="727"/>
  <c r="GA31" i="727"/>
  <c r="EP27" i="727"/>
  <c r="EQ26" i="727"/>
  <c r="BE29" i="725"/>
  <c r="BD30" i="725"/>
  <c r="T23" i="725"/>
  <c r="U22" i="725"/>
  <c r="EP23" i="725"/>
  <c r="EQ22" i="725"/>
  <c r="CN37" i="725"/>
  <c r="CO36" i="725"/>
  <c r="FH28" i="725"/>
  <c r="FI27" i="725"/>
  <c r="FZ33" i="725"/>
  <c r="GA32" i="725"/>
  <c r="AM26" i="725"/>
  <c r="AL27" i="725"/>
  <c r="DY21" i="725"/>
  <c r="DX22" i="725"/>
  <c r="DG21" i="725"/>
  <c r="DF22" i="725"/>
  <c r="B30" i="725"/>
  <c r="C29" i="725"/>
  <c r="BV26" i="725"/>
  <c r="BW25" i="725"/>
  <c r="GR22" i="725"/>
  <c r="GS21" i="725"/>
  <c r="C30" i="724"/>
  <c r="B31" i="724"/>
  <c r="U32" i="724"/>
  <c r="T33" i="724"/>
  <c r="FI21" i="724"/>
  <c r="FH22" i="724"/>
  <c r="BV22" i="724"/>
  <c r="BW21" i="724"/>
  <c r="CN23" i="724"/>
  <c r="CO22" i="724"/>
  <c r="GS25" i="724"/>
  <c r="GR26" i="724"/>
  <c r="FZ33" i="724"/>
  <c r="GA32" i="724"/>
  <c r="BE23" i="724"/>
  <c r="BD24" i="724"/>
  <c r="EP23" i="724"/>
  <c r="EQ22" i="724"/>
  <c r="DY21" i="724"/>
  <c r="DX22" i="724"/>
  <c r="AM21" i="724"/>
  <c r="AL22" i="724"/>
  <c r="Q98" i="723"/>
  <c r="R99" i="723"/>
  <c r="W74" i="723"/>
  <c r="X75" i="723"/>
  <c r="Q135" i="723"/>
  <c r="P134" i="723"/>
  <c r="AB86" i="723"/>
  <c r="AC87" i="723"/>
  <c r="S26" i="723"/>
  <c r="T27" i="723"/>
  <c r="AA122" i="723"/>
  <c r="AB123" i="723"/>
  <c r="V110" i="723"/>
  <c r="W111" i="723"/>
  <c r="O38" i="723"/>
  <c r="P39" i="723"/>
  <c r="S50" i="723"/>
  <c r="T51" i="723"/>
  <c r="S3" i="723"/>
  <c r="R2" i="723"/>
  <c r="R62" i="723"/>
  <c r="S63" i="723"/>
  <c r="O15" i="723"/>
  <c r="N14" i="723"/>
  <c r="R50" i="722"/>
  <c r="S51" i="722"/>
  <c r="P134" i="722"/>
  <c r="Q135" i="722"/>
  <c r="U111" i="722"/>
  <c r="T110" i="722"/>
  <c r="Q86" i="722"/>
  <c r="R87" i="722"/>
  <c r="Q63" i="722"/>
  <c r="P62" i="722"/>
  <c r="N26" i="722"/>
  <c r="O27" i="722"/>
  <c r="O98" i="722"/>
  <c r="P99" i="722"/>
  <c r="T123" i="722"/>
  <c r="S122" i="722"/>
  <c r="O14" i="722"/>
  <c r="P15" i="722"/>
  <c r="O75" i="722"/>
  <c r="N74" i="722"/>
  <c r="W39" i="722"/>
  <c r="V38" i="722"/>
  <c r="W3" i="722"/>
  <c r="V2" i="722"/>
  <c r="X38" i="721"/>
  <c r="Y39" i="721"/>
  <c r="Z123" i="721"/>
  <c r="Y122" i="721"/>
  <c r="Y87" i="721"/>
  <c r="X86" i="721"/>
  <c r="O135" i="721"/>
  <c r="N134" i="721"/>
  <c r="N2" i="721"/>
  <c r="O3" i="721"/>
  <c r="S26" i="721"/>
  <c r="T27" i="721"/>
  <c r="N14" i="721"/>
  <c r="O15" i="721"/>
  <c r="P63" i="721"/>
  <c r="O62" i="721"/>
  <c r="Q75" i="721"/>
  <c r="P74" i="721"/>
  <c r="AB51" i="721"/>
  <c r="AA50" i="721"/>
  <c r="U111" i="721"/>
  <c r="T110" i="721"/>
  <c r="O99" i="721"/>
  <c r="N98" i="721"/>
  <c r="O110" i="720"/>
  <c r="P111" i="720"/>
  <c r="Y2" i="720"/>
  <c r="Z3" i="720"/>
  <c r="U38" i="720"/>
  <c r="V39" i="720"/>
  <c r="Q86" i="720"/>
  <c r="R87" i="720"/>
  <c r="X75" i="720"/>
  <c r="W74" i="720"/>
  <c r="R62" i="720"/>
  <c r="S63" i="720"/>
  <c r="R51" i="720"/>
  <c r="Q50" i="720"/>
  <c r="R27" i="720"/>
  <c r="Q26" i="720"/>
  <c r="O15" i="720"/>
  <c r="N14" i="720"/>
  <c r="P122" i="720"/>
  <c r="Q123" i="720"/>
  <c r="O99" i="720"/>
  <c r="N98" i="720"/>
  <c r="O135" i="720"/>
  <c r="N134" i="720"/>
  <c r="O51" i="719"/>
  <c r="N50" i="719"/>
  <c r="O110" i="719"/>
  <c r="P111" i="719"/>
  <c r="R99" i="719"/>
  <c r="Q98" i="719"/>
  <c r="Q135" i="719"/>
  <c r="P134" i="719"/>
  <c r="P75" i="719"/>
  <c r="O74" i="719"/>
  <c r="N14" i="719"/>
  <c r="O15" i="719"/>
  <c r="V86" i="719"/>
  <c r="W87" i="719"/>
  <c r="Y39" i="719"/>
  <c r="X38" i="719"/>
  <c r="O27" i="719"/>
  <c r="N26" i="719"/>
  <c r="R62" i="719"/>
  <c r="S63" i="719"/>
  <c r="Q122" i="719"/>
  <c r="R123" i="719"/>
  <c r="X3" i="719"/>
  <c r="W2" i="719"/>
  <c r="O110" i="718"/>
  <c r="P111" i="718"/>
  <c r="O15" i="718"/>
  <c r="N14" i="718"/>
  <c r="U122" i="718"/>
  <c r="V123" i="718"/>
  <c r="Q38" i="718"/>
  <c r="R39" i="718"/>
  <c r="O135" i="718"/>
  <c r="N134" i="718"/>
  <c r="R50" i="718"/>
  <c r="S51" i="718"/>
  <c r="O27" i="718"/>
  <c r="N26" i="718"/>
  <c r="S86" i="718"/>
  <c r="T87" i="718"/>
  <c r="W75" i="718"/>
  <c r="V74" i="718"/>
  <c r="R99" i="718"/>
  <c r="Q98" i="718"/>
  <c r="R63" i="718"/>
  <c r="Q62" i="718"/>
  <c r="X3" i="718"/>
  <c r="W2" i="718"/>
  <c r="BD35" i="733" l="1"/>
  <c r="BE34" i="733"/>
  <c r="AL27" i="733"/>
  <c r="AM26" i="733"/>
  <c r="BV24" i="733"/>
  <c r="BW23" i="733"/>
  <c r="C24" i="733"/>
  <c r="B25" i="733"/>
  <c r="DX23" i="733"/>
  <c r="DY22" i="733"/>
  <c r="DG22" i="733"/>
  <c r="DF23" i="733"/>
  <c r="EP28" i="733"/>
  <c r="EQ27" i="733"/>
  <c r="FI28" i="733"/>
  <c r="FH29" i="733"/>
  <c r="GA33" i="733"/>
  <c r="FZ34" i="733"/>
  <c r="CN25" i="733"/>
  <c r="CO24" i="733"/>
  <c r="GR23" i="733"/>
  <c r="GS22" i="733"/>
  <c r="U22" i="733"/>
  <c r="T23" i="733"/>
  <c r="BV27" i="730"/>
  <c r="BW26" i="730"/>
  <c r="DG23" i="730"/>
  <c r="DF24" i="730"/>
  <c r="FZ31" i="730"/>
  <c r="GA30" i="730"/>
  <c r="T32" i="730"/>
  <c r="U31" i="730"/>
  <c r="FI22" i="730"/>
  <c r="FH23" i="730"/>
  <c r="GR27" i="730"/>
  <c r="GS26" i="730"/>
  <c r="CN29" i="730"/>
  <c r="CO28" i="730"/>
  <c r="AL23" i="730"/>
  <c r="AM22" i="730"/>
  <c r="B31" i="730"/>
  <c r="C30" i="730"/>
  <c r="EP24" i="730"/>
  <c r="EQ23" i="730"/>
  <c r="DX23" i="730"/>
  <c r="DY22" i="730"/>
  <c r="BD30" i="730"/>
  <c r="BE29" i="730"/>
  <c r="CO22" i="728"/>
  <c r="CN23" i="728"/>
  <c r="GR23" i="728"/>
  <c r="GS22" i="728"/>
  <c r="AL26" i="728"/>
  <c r="AM25" i="728"/>
  <c r="FZ28" i="728"/>
  <c r="GA27" i="728"/>
  <c r="FI27" i="728"/>
  <c r="FH28" i="728"/>
  <c r="T23" i="728"/>
  <c r="U22" i="728"/>
  <c r="DY32" i="728"/>
  <c r="DX33" i="728"/>
  <c r="DF23" i="728"/>
  <c r="DG22" i="728"/>
  <c r="C22" i="728"/>
  <c r="B23" i="728"/>
  <c r="BD26" i="728"/>
  <c r="BE25" i="728"/>
  <c r="BW24" i="728"/>
  <c r="BV25" i="728"/>
  <c r="EP24" i="728"/>
  <c r="EQ23" i="728"/>
  <c r="DG29" i="727"/>
  <c r="DF30" i="727"/>
  <c r="EP28" i="727"/>
  <c r="EQ27" i="727"/>
  <c r="GR27" i="727"/>
  <c r="GS26" i="727"/>
  <c r="CN23" i="727"/>
  <c r="CO22" i="727"/>
  <c r="FZ33" i="727"/>
  <c r="GA32" i="727"/>
  <c r="AL24" i="727"/>
  <c r="AM23" i="727"/>
  <c r="FI22" i="727"/>
  <c r="FH23" i="727"/>
  <c r="BV23" i="727"/>
  <c r="BW22" i="727"/>
  <c r="T25" i="727"/>
  <c r="U24" i="727"/>
  <c r="DY33" i="727"/>
  <c r="DX34" i="727"/>
  <c r="C23" i="727"/>
  <c r="B24" i="727"/>
  <c r="BE22" i="727"/>
  <c r="BD23" i="727"/>
  <c r="DX23" i="725"/>
  <c r="DY22" i="725"/>
  <c r="AM27" i="725"/>
  <c r="AL28" i="725"/>
  <c r="GR23" i="725"/>
  <c r="GS22" i="725"/>
  <c r="BW26" i="725"/>
  <c r="BV27" i="725"/>
  <c r="B31" i="725"/>
  <c r="C30" i="725"/>
  <c r="DG22" i="725"/>
  <c r="DF23" i="725"/>
  <c r="BD31" i="725"/>
  <c r="BE30" i="725"/>
  <c r="GA33" i="725"/>
  <c r="FZ34" i="725"/>
  <c r="FI28" i="725"/>
  <c r="FH29" i="725"/>
  <c r="CN38" i="725"/>
  <c r="CO37" i="725"/>
  <c r="EQ23" i="725"/>
  <c r="EP24" i="725"/>
  <c r="T24" i="725"/>
  <c r="U23" i="725"/>
  <c r="BD25" i="724"/>
  <c r="BE24" i="724"/>
  <c r="GR27" i="724"/>
  <c r="GS26" i="724"/>
  <c r="AM22" i="724"/>
  <c r="AL23" i="724"/>
  <c r="DX23" i="724"/>
  <c r="DY22" i="724"/>
  <c r="B32" i="724"/>
  <c r="C31" i="724"/>
  <c r="FZ34" i="724"/>
  <c r="GA33" i="724"/>
  <c r="CN24" i="724"/>
  <c r="CO23" i="724"/>
  <c r="BV23" i="724"/>
  <c r="BW22" i="724"/>
  <c r="FH23" i="724"/>
  <c r="FI22" i="724"/>
  <c r="U33" i="724"/>
  <c r="T34" i="724"/>
  <c r="EP24" i="724"/>
  <c r="EQ23" i="724"/>
  <c r="W110" i="723"/>
  <c r="X111" i="723"/>
  <c r="AC86" i="723"/>
  <c r="AD87" i="723"/>
  <c r="P15" i="723"/>
  <c r="O14" i="723"/>
  <c r="T3" i="723"/>
  <c r="S2" i="723"/>
  <c r="R98" i="723"/>
  <c r="S99" i="723"/>
  <c r="Q39" i="723"/>
  <c r="P38" i="723"/>
  <c r="AB122" i="723"/>
  <c r="AC123" i="723"/>
  <c r="U27" i="723"/>
  <c r="T26" i="723"/>
  <c r="S62" i="723"/>
  <c r="T63" i="723"/>
  <c r="Q134" i="723"/>
  <c r="R135" i="723"/>
  <c r="Y75" i="723"/>
  <c r="X74" i="723"/>
  <c r="T50" i="723"/>
  <c r="U51" i="723"/>
  <c r="Q134" i="722"/>
  <c r="R135" i="722"/>
  <c r="P14" i="722"/>
  <c r="Q15" i="722"/>
  <c r="S50" i="722"/>
  <c r="T51" i="722"/>
  <c r="U123" i="722"/>
  <c r="T122" i="722"/>
  <c r="P98" i="722"/>
  <c r="Q99" i="722"/>
  <c r="O26" i="722"/>
  <c r="P27" i="722"/>
  <c r="R63" i="722"/>
  <c r="Q62" i="722"/>
  <c r="R86" i="722"/>
  <c r="S87" i="722"/>
  <c r="X3" i="722"/>
  <c r="W2" i="722"/>
  <c r="X39" i="722"/>
  <c r="W38" i="722"/>
  <c r="V111" i="722"/>
  <c r="U110" i="722"/>
  <c r="P75" i="722"/>
  <c r="O74" i="722"/>
  <c r="O14" i="721"/>
  <c r="P15" i="721"/>
  <c r="T26" i="721"/>
  <c r="U27" i="721"/>
  <c r="Z87" i="721"/>
  <c r="Y86" i="721"/>
  <c r="Q63" i="721"/>
  <c r="P62" i="721"/>
  <c r="P99" i="721"/>
  <c r="O98" i="721"/>
  <c r="P135" i="721"/>
  <c r="O134" i="721"/>
  <c r="V111" i="721"/>
  <c r="U110" i="721"/>
  <c r="Y38" i="721"/>
  <c r="Z39" i="721"/>
  <c r="O2" i="721"/>
  <c r="P3" i="721"/>
  <c r="AC51" i="721"/>
  <c r="AB50" i="721"/>
  <c r="AA123" i="721"/>
  <c r="Z122" i="721"/>
  <c r="R75" i="721"/>
  <c r="Q74" i="721"/>
  <c r="S62" i="720"/>
  <c r="T63" i="720"/>
  <c r="Y75" i="720"/>
  <c r="X74" i="720"/>
  <c r="R50" i="720"/>
  <c r="S51" i="720"/>
  <c r="R86" i="720"/>
  <c r="S87" i="720"/>
  <c r="V38" i="720"/>
  <c r="W39" i="720"/>
  <c r="R123" i="720"/>
  <c r="Q122" i="720"/>
  <c r="P110" i="720"/>
  <c r="Q111" i="720"/>
  <c r="S27" i="720"/>
  <c r="R26" i="720"/>
  <c r="O134" i="720"/>
  <c r="P135" i="720"/>
  <c r="P99" i="720"/>
  <c r="O98" i="720"/>
  <c r="Z2" i="720"/>
  <c r="AA3" i="720"/>
  <c r="P15" i="720"/>
  <c r="O14" i="720"/>
  <c r="Z39" i="719"/>
  <c r="Y38" i="719"/>
  <c r="O14" i="719"/>
  <c r="P15" i="719"/>
  <c r="P74" i="719"/>
  <c r="Q75" i="719"/>
  <c r="R135" i="719"/>
  <c r="Q134" i="719"/>
  <c r="X87" i="719"/>
  <c r="W86" i="719"/>
  <c r="Y3" i="719"/>
  <c r="X2" i="719"/>
  <c r="P110" i="719"/>
  <c r="Q111" i="719"/>
  <c r="R122" i="719"/>
  <c r="S123" i="719"/>
  <c r="S99" i="719"/>
  <c r="R98" i="719"/>
  <c r="T63" i="719"/>
  <c r="S62" i="719"/>
  <c r="P27" i="719"/>
  <c r="O26" i="719"/>
  <c r="O50" i="719"/>
  <c r="P51" i="719"/>
  <c r="T86" i="718"/>
  <c r="U87" i="718"/>
  <c r="P27" i="718"/>
  <c r="O26" i="718"/>
  <c r="S39" i="718"/>
  <c r="R38" i="718"/>
  <c r="S99" i="718"/>
  <c r="R98" i="718"/>
  <c r="O14" i="718"/>
  <c r="P15" i="718"/>
  <c r="P135" i="718"/>
  <c r="O134" i="718"/>
  <c r="Y3" i="718"/>
  <c r="X2" i="718"/>
  <c r="W123" i="718"/>
  <c r="V122" i="718"/>
  <c r="S63" i="718"/>
  <c r="R62" i="718"/>
  <c r="P110" i="718"/>
  <c r="Q111" i="718"/>
  <c r="S50" i="718"/>
  <c r="T51" i="718"/>
  <c r="X75" i="718"/>
  <c r="W74" i="718"/>
  <c r="EP29" i="733" l="1"/>
  <c r="EQ28" i="733"/>
  <c r="DG23" i="733"/>
  <c r="DF24" i="733"/>
  <c r="C25" i="733"/>
  <c r="B26" i="733"/>
  <c r="GA34" i="733"/>
  <c r="FZ35" i="733"/>
  <c r="FH30" i="733"/>
  <c r="FI29" i="733"/>
  <c r="DX24" i="733"/>
  <c r="DY23" i="733"/>
  <c r="U23" i="733"/>
  <c r="T24" i="733"/>
  <c r="GR24" i="733"/>
  <c r="GS23" i="733"/>
  <c r="BV25" i="733"/>
  <c r="BW24" i="733"/>
  <c r="CN26" i="733"/>
  <c r="CO25" i="733"/>
  <c r="AL28" i="733"/>
  <c r="AM27" i="733"/>
  <c r="BD36" i="733"/>
  <c r="BE35" i="733"/>
  <c r="AM23" i="730"/>
  <c r="AL24" i="730"/>
  <c r="CN30" i="730"/>
  <c r="CO29" i="730"/>
  <c r="GR28" i="730"/>
  <c r="GS27" i="730"/>
  <c r="DX24" i="730"/>
  <c r="DY23" i="730"/>
  <c r="FH24" i="730"/>
  <c r="FI23" i="730"/>
  <c r="BD31" i="730"/>
  <c r="BE30" i="730"/>
  <c r="T33" i="730"/>
  <c r="U32" i="730"/>
  <c r="FZ32" i="730"/>
  <c r="GA31" i="730"/>
  <c r="DF25" i="730"/>
  <c r="DG24" i="730"/>
  <c r="EP25" i="730"/>
  <c r="EQ24" i="730"/>
  <c r="B32" i="730"/>
  <c r="C31" i="730"/>
  <c r="BW27" i="730"/>
  <c r="BV28" i="730"/>
  <c r="DF24" i="728"/>
  <c r="DG23" i="728"/>
  <c r="T24" i="728"/>
  <c r="U23" i="728"/>
  <c r="FZ29" i="728"/>
  <c r="GA28" i="728"/>
  <c r="BV26" i="728"/>
  <c r="BW25" i="728"/>
  <c r="AL27" i="728"/>
  <c r="AM26" i="728"/>
  <c r="BD27" i="728"/>
  <c r="BE26" i="728"/>
  <c r="GR24" i="728"/>
  <c r="GS23" i="728"/>
  <c r="B24" i="728"/>
  <c r="C23" i="728"/>
  <c r="CO23" i="728"/>
  <c r="CN24" i="728"/>
  <c r="DX34" i="728"/>
  <c r="DY33" i="728"/>
  <c r="FI28" i="728"/>
  <c r="FH29" i="728"/>
  <c r="EQ24" i="728"/>
  <c r="EP25" i="728"/>
  <c r="BV24" i="727"/>
  <c r="BW23" i="727"/>
  <c r="BE23" i="727"/>
  <c r="BD24" i="727"/>
  <c r="C24" i="727"/>
  <c r="B25" i="727"/>
  <c r="DF31" i="727"/>
  <c r="DG30" i="727"/>
  <c r="FH24" i="727"/>
  <c r="FI23" i="727"/>
  <c r="AL25" i="727"/>
  <c r="AM24" i="727"/>
  <c r="FZ34" i="727"/>
  <c r="GA33" i="727"/>
  <c r="CN24" i="727"/>
  <c r="CO23" i="727"/>
  <c r="GR28" i="727"/>
  <c r="GS27" i="727"/>
  <c r="DX35" i="727"/>
  <c r="DY34" i="727"/>
  <c r="EP29" i="727"/>
  <c r="EQ28" i="727"/>
  <c r="T26" i="727"/>
  <c r="U25" i="727"/>
  <c r="GA34" i="725"/>
  <c r="FZ35" i="725"/>
  <c r="DG23" i="725"/>
  <c r="DF24" i="725"/>
  <c r="GR24" i="725"/>
  <c r="GS23" i="725"/>
  <c r="AM28" i="725"/>
  <c r="AL29" i="725"/>
  <c r="BE31" i="725"/>
  <c r="BD32" i="725"/>
  <c r="B32" i="725"/>
  <c r="C31" i="725"/>
  <c r="BW27" i="725"/>
  <c r="BV28" i="725"/>
  <c r="T25" i="725"/>
  <c r="U24" i="725"/>
  <c r="EQ24" i="725"/>
  <c r="EP25" i="725"/>
  <c r="CO38" i="725"/>
  <c r="CN39" i="725"/>
  <c r="FI29" i="725"/>
  <c r="FH30" i="725"/>
  <c r="DX24" i="725"/>
  <c r="DY23" i="725"/>
  <c r="CN25" i="724"/>
  <c r="CO24" i="724"/>
  <c r="FZ35" i="724"/>
  <c r="GA34" i="724"/>
  <c r="BV24" i="724"/>
  <c r="BW23" i="724"/>
  <c r="B33" i="724"/>
  <c r="C32" i="724"/>
  <c r="DX24" i="724"/>
  <c r="DY23" i="724"/>
  <c r="AM23" i="724"/>
  <c r="AL24" i="724"/>
  <c r="EP25" i="724"/>
  <c r="EQ24" i="724"/>
  <c r="U34" i="724"/>
  <c r="T35" i="724"/>
  <c r="GR28" i="724"/>
  <c r="GS27" i="724"/>
  <c r="FH24" i="724"/>
  <c r="FI23" i="724"/>
  <c r="BD26" i="724"/>
  <c r="BE25" i="724"/>
  <c r="AC122" i="723"/>
  <c r="AD123" i="723"/>
  <c r="U3" i="723"/>
  <c r="T2" i="723"/>
  <c r="Q15" i="723"/>
  <c r="P14" i="723"/>
  <c r="U63" i="723"/>
  <c r="T62" i="723"/>
  <c r="X110" i="723"/>
  <c r="Y111" i="723"/>
  <c r="U26" i="723"/>
  <c r="V27" i="723"/>
  <c r="R39" i="723"/>
  <c r="Q38" i="723"/>
  <c r="S98" i="723"/>
  <c r="T99" i="723"/>
  <c r="U50" i="723"/>
  <c r="V51" i="723"/>
  <c r="Z75" i="723"/>
  <c r="Y74" i="723"/>
  <c r="R134" i="723"/>
  <c r="S135" i="723"/>
  <c r="AD86" i="723"/>
  <c r="AE87" i="723"/>
  <c r="S63" i="722"/>
  <c r="R62" i="722"/>
  <c r="Q27" i="722"/>
  <c r="P26" i="722"/>
  <c r="V110" i="722"/>
  <c r="W111" i="722"/>
  <c r="S135" i="722"/>
  <c r="R134" i="722"/>
  <c r="S86" i="722"/>
  <c r="T87" i="722"/>
  <c r="R99" i="722"/>
  <c r="Q98" i="722"/>
  <c r="P74" i="722"/>
  <c r="Q75" i="722"/>
  <c r="U122" i="722"/>
  <c r="V123" i="722"/>
  <c r="U51" i="722"/>
  <c r="T50" i="722"/>
  <c r="R15" i="722"/>
  <c r="Q14" i="722"/>
  <c r="Y39" i="722"/>
  <c r="X38" i="722"/>
  <c r="Y3" i="722"/>
  <c r="X2" i="722"/>
  <c r="W111" i="721"/>
  <c r="V110" i="721"/>
  <c r="Q135" i="721"/>
  <c r="P134" i="721"/>
  <c r="S75" i="721"/>
  <c r="R74" i="721"/>
  <c r="Q62" i="721"/>
  <c r="R63" i="721"/>
  <c r="AB123" i="721"/>
  <c r="AA122" i="721"/>
  <c r="Z38" i="721"/>
  <c r="AA39" i="721"/>
  <c r="Q99" i="721"/>
  <c r="P98" i="721"/>
  <c r="AA87" i="721"/>
  <c r="Z86" i="721"/>
  <c r="U26" i="721"/>
  <c r="V27" i="721"/>
  <c r="AD51" i="721"/>
  <c r="AC50" i="721"/>
  <c r="P2" i="721"/>
  <c r="Q3" i="721"/>
  <c r="Q15" i="721"/>
  <c r="P14" i="721"/>
  <c r="T27" i="720"/>
  <c r="S26" i="720"/>
  <c r="Q110" i="720"/>
  <c r="R111" i="720"/>
  <c r="S123" i="720"/>
  <c r="R122" i="720"/>
  <c r="AB3" i="720"/>
  <c r="AA2" i="720"/>
  <c r="Q99" i="720"/>
  <c r="P98" i="720"/>
  <c r="Z75" i="720"/>
  <c r="Y74" i="720"/>
  <c r="Q135" i="720"/>
  <c r="P134" i="720"/>
  <c r="T62" i="720"/>
  <c r="U63" i="720"/>
  <c r="W38" i="720"/>
  <c r="X39" i="720"/>
  <c r="S86" i="720"/>
  <c r="T87" i="720"/>
  <c r="P14" i="720"/>
  <c r="Q15" i="720"/>
  <c r="S50" i="720"/>
  <c r="T51" i="720"/>
  <c r="R111" i="719"/>
  <c r="Q110" i="719"/>
  <c r="Z3" i="719"/>
  <c r="Y2" i="719"/>
  <c r="Q51" i="719"/>
  <c r="P50" i="719"/>
  <c r="S135" i="719"/>
  <c r="R134" i="719"/>
  <c r="P26" i="719"/>
  <c r="Q27" i="719"/>
  <c r="U63" i="719"/>
  <c r="T62" i="719"/>
  <c r="Y87" i="719"/>
  <c r="X86" i="719"/>
  <c r="T123" i="719"/>
  <c r="S122" i="719"/>
  <c r="Q74" i="719"/>
  <c r="R75" i="719"/>
  <c r="Q15" i="719"/>
  <c r="P14" i="719"/>
  <c r="S98" i="719"/>
  <c r="T99" i="719"/>
  <c r="Z38" i="719"/>
  <c r="AA39" i="719"/>
  <c r="Q27" i="718"/>
  <c r="P26" i="718"/>
  <c r="Q135" i="718"/>
  <c r="P134" i="718"/>
  <c r="P14" i="718"/>
  <c r="Q15" i="718"/>
  <c r="T99" i="718"/>
  <c r="S98" i="718"/>
  <c r="U86" i="718"/>
  <c r="V87" i="718"/>
  <c r="X123" i="718"/>
  <c r="W122" i="718"/>
  <c r="Z3" i="718"/>
  <c r="Y2" i="718"/>
  <c r="Y75" i="718"/>
  <c r="X74" i="718"/>
  <c r="T50" i="718"/>
  <c r="U51" i="718"/>
  <c r="T39" i="718"/>
  <c r="S38" i="718"/>
  <c r="Q110" i="718"/>
  <c r="R111" i="718"/>
  <c r="T63" i="718"/>
  <c r="S62" i="718"/>
  <c r="GS24" i="733" l="1"/>
  <c r="GR25" i="733"/>
  <c r="DX25" i="733"/>
  <c r="DY24" i="733"/>
  <c r="FI30" i="733"/>
  <c r="FH31" i="733"/>
  <c r="FZ36" i="733"/>
  <c r="GA35" i="733"/>
  <c r="B27" i="733"/>
  <c r="C26" i="733"/>
  <c r="CN27" i="733"/>
  <c r="CO26" i="733"/>
  <c r="T25" i="733"/>
  <c r="U24" i="733"/>
  <c r="BD37" i="733"/>
  <c r="BE36" i="733"/>
  <c r="AL29" i="733"/>
  <c r="AM28" i="733"/>
  <c r="DG24" i="733"/>
  <c r="DF25" i="733"/>
  <c r="BV26" i="733"/>
  <c r="BW25" i="733"/>
  <c r="EP30" i="733"/>
  <c r="EQ29" i="733"/>
  <c r="BD32" i="730"/>
  <c r="BE31" i="730"/>
  <c r="FI24" i="730"/>
  <c r="FH25" i="730"/>
  <c r="BW28" i="730"/>
  <c r="BV29" i="730"/>
  <c r="B33" i="730"/>
  <c r="C32" i="730"/>
  <c r="AL25" i="730"/>
  <c r="AM24" i="730"/>
  <c r="GA32" i="730"/>
  <c r="FZ33" i="730"/>
  <c r="T34" i="730"/>
  <c r="U33" i="730"/>
  <c r="DX25" i="730"/>
  <c r="DY24" i="730"/>
  <c r="GR29" i="730"/>
  <c r="GS28" i="730"/>
  <c r="EQ25" i="730"/>
  <c r="EP26" i="730"/>
  <c r="CN31" i="730"/>
  <c r="CO30" i="730"/>
  <c r="DF26" i="730"/>
  <c r="DG25" i="730"/>
  <c r="BE27" i="728"/>
  <c r="BD28" i="728"/>
  <c r="AL28" i="728"/>
  <c r="AM27" i="728"/>
  <c r="EQ25" i="728"/>
  <c r="EP26" i="728"/>
  <c r="FZ30" i="728"/>
  <c r="GA29" i="728"/>
  <c r="DY34" i="728"/>
  <c r="DX35" i="728"/>
  <c r="T25" i="728"/>
  <c r="U24" i="728"/>
  <c r="CO24" i="728"/>
  <c r="CN25" i="728"/>
  <c r="B25" i="728"/>
  <c r="C24" i="728"/>
  <c r="GS24" i="728"/>
  <c r="GR25" i="728"/>
  <c r="BV27" i="728"/>
  <c r="BW26" i="728"/>
  <c r="FI29" i="728"/>
  <c r="FH30" i="728"/>
  <c r="DG24" i="728"/>
  <c r="DF25" i="728"/>
  <c r="CN25" i="727"/>
  <c r="CO24" i="727"/>
  <c r="FZ35" i="727"/>
  <c r="GA34" i="727"/>
  <c r="AL26" i="727"/>
  <c r="AM25" i="727"/>
  <c r="FH25" i="727"/>
  <c r="FI24" i="727"/>
  <c r="DG31" i="727"/>
  <c r="DF32" i="727"/>
  <c r="C25" i="727"/>
  <c r="B26" i="727"/>
  <c r="BE24" i="727"/>
  <c r="BD25" i="727"/>
  <c r="DX36" i="727"/>
  <c r="DY35" i="727"/>
  <c r="T27" i="727"/>
  <c r="U26" i="727"/>
  <c r="EP30" i="727"/>
  <c r="EQ29" i="727"/>
  <c r="GR29" i="727"/>
  <c r="GS28" i="727"/>
  <c r="BV25" i="727"/>
  <c r="BW24" i="727"/>
  <c r="BW28" i="725"/>
  <c r="BV29" i="725"/>
  <c r="BE32" i="725"/>
  <c r="BD33" i="725"/>
  <c r="GS24" i="725"/>
  <c r="GR25" i="725"/>
  <c r="EQ25" i="725"/>
  <c r="EP26" i="725"/>
  <c r="GA35" i="725"/>
  <c r="FZ36" i="725"/>
  <c r="T26" i="725"/>
  <c r="U25" i="725"/>
  <c r="B33" i="725"/>
  <c r="C32" i="725"/>
  <c r="AL30" i="725"/>
  <c r="AM29" i="725"/>
  <c r="DX25" i="725"/>
  <c r="DY24" i="725"/>
  <c r="FI30" i="725"/>
  <c r="FH31" i="725"/>
  <c r="CO39" i="725"/>
  <c r="CN40" i="725"/>
  <c r="CO40" i="725" s="1"/>
  <c r="DG24" i="725"/>
  <c r="DF25" i="725"/>
  <c r="EP26" i="724"/>
  <c r="EQ25" i="724"/>
  <c r="DY24" i="724"/>
  <c r="DX25" i="724"/>
  <c r="B34" i="724"/>
  <c r="C33" i="724"/>
  <c r="T36" i="724"/>
  <c r="U35" i="724"/>
  <c r="AL25" i="724"/>
  <c r="AM24" i="724"/>
  <c r="BD27" i="724"/>
  <c r="BE26" i="724"/>
  <c r="BV25" i="724"/>
  <c r="BW24" i="724"/>
  <c r="FI24" i="724"/>
  <c r="FH25" i="724"/>
  <c r="FZ36" i="724"/>
  <c r="GA35" i="724"/>
  <c r="GR29" i="724"/>
  <c r="GS28" i="724"/>
  <c r="CO25" i="724"/>
  <c r="CN26" i="724"/>
  <c r="U99" i="723"/>
  <c r="T98" i="723"/>
  <c r="Z111" i="723"/>
  <c r="Y110" i="723"/>
  <c r="V63" i="723"/>
  <c r="U62" i="723"/>
  <c r="AA75" i="723"/>
  <c r="Z74" i="723"/>
  <c r="V50" i="723"/>
  <c r="W51" i="723"/>
  <c r="AE123" i="723"/>
  <c r="AD122" i="723"/>
  <c r="S39" i="723"/>
  <c r="R38" i="723"/>
  <c r="W27" i="723"/>
  <c r="V26" i="723"/>
  <c r="AF87" i="723"/>
  <c r="AE86" i="723"/>
  <c r="T135" i="723"/>
  <c r="S134" i="723"/>
  <c r="R15" i="723"/>
  <c r="Q14" i="723"/>
  <c r="V3" i="723"/>
  <c r="U2" i="723"/>
  <c r="V122" i="722"/>
  <c r="W123" i="722"/>
  <c r="Q74" i="722"/>
  <c r="R75" i="722"/>
  <c r="T86" i="722"/>
  <c r="U87" i="722"/>
  <c r="Z3" i="722"/>
  <c r="Y2" i="722"/>
  <c r="T135" i="722"/>
  <c r="S134" i="722"/>
  <c r="X111" i="722"/>
  <c r="W110" i="722"/>
  <c r="Z39" i="722"/>
  <c r="Y38" i="722"/>
  <c r="S15" i="722"/>
  <c r="R14" i="722"/>
  <c r="R27" i="722"/>
  <c r="Q26" i="722"/>
  <c r="S99" i="722"/>
  <c r="R98" i="722"/>
  <c r="V51" i="722"/>
  <c r="U50" i="722"/>
  <c r="T63" i="722"/>
  <c r="S62" i="722"/>
  <c r="AB39" i="721"/>
  <c r="AA38" i="721"/>
  <c r="AC123" i="721"/>
  <c r="AB122" i="721"/>
  <c r="S63" i="721"/>
  <c r="R62" i="721"/>
  <c r="AD50" i="721"/>
  <c r="AE51" i="721"/>
  <c r="AB87" i="721"/>
  <c r="AA86" i="721"/>
  <c r="R15" i="721"/>
  <c r="Q14" i="721"/>
  <c r="Q2" i="721"/>
  <c r="R3" i="721"/>
  <c r="T75" i="721"/>
  <c r="S74" i="721"/>
  <c r="W27" i="721"/>
  <c r="V26" i="721"/>
  <c r="R99" i="721"/>
  <c r="Q98" i="721"/>
  <c r="Q134" i="721"/>
  <c r="R135" i="721"/>
  <c r="W110" i="721"/>
  <c r="X111" i="721"/>
  <c r="AA75" i="720"/>
  <c r="Z74" i="720"/>
  <c r="R99" i="720"/>
  <c r="Q98" i="720"/>
  <c r="T50" i="720"/>
  <c r="U51" i="720"/>
  <c r="T86" i="720"/>
  <c r="U87" i="720"/>
  <c r="X38" i="720"/>
  <c r="Y39" i="720"/>
  <c r="V63" i="720"/>
  <c r="U62" i="720"/>
  <c r="Q134" i="720"/>
  <c r="R135" i="720"/>
  <c r="AC3" i="720"/>
  <c r="AB2" i="720"/>
  <c r="R15" i="720"/>
  <c r="Q14" i="720"/>
  <c r="S122" i="720"/>
  <c r="T123" i="720"/>
  <c r="S111" i="720"/>
  <c r="R110" i="720"/>
  <c r="T26" i="720"/>
  <c r="U27" i="720"/>
  <c r="T122" i="719"/>
  <c r="U123" i="719"/>
  <c r="V63" i="719"/>
  <c r="U62" i="719"/>
  <c r="U99" i="719"/>
  <c r="T98" i="719"/>
  <c r="AB39" i="719"/>
  <c r="AA38" i="719"/>
  <c r="T135" i="719"/>
  <c r="S134" i="719"/>
  <c r="R15" i="719"/>
  <c r="Q14" i="719"/>
  <c r="S75" i="719"/>
  <c r="R74" i="719"/>
  <c r="Y86" i="719"/>
  <c r="Z87" i="719"/>
  <c r="R27" i="719"/>
  <c r="Q26" i="719"/>
  <c r="R51" i="719"/>
  <c r="Q50" i="719"/>
  <c r="AA3" i="719"/>
  <c r="Z2" i="719"/>
  <c r="S111" i="719"/>
  <c r="R110" i="719"/>
  <c r="Z75" i="718"/>
  <c r="Y74" i="718"/>
  <c r="Z2" i="718"/>
  <c r="AA3" i="718"/>
  <c r="Y123" i="718"/>
  <c r="X122" i="718"/>
  <c r="V86" i="718"/>
  <c r="W87" i="718"/>
  <c r="U99" i="718"/>
  <c r="T98" i="718"/>
  <c r="U39" i="718"/>
  <c r="T38" i="718"/>
  <c r="Q134" i="718"/>
  <c r="R135" i="718"/>
  <c r="S111" i="718"/>
  <c r="R110" i="718"/>
  <c r="R15" i="718"/>
  <c r="Q14" i="718"/>
  <c r="U63" i="718"/>
  <c r="T62" i="718"/>
  <c r="U50" i="718"/>
  <c r="V51" i="718"/>
  <c r="R27" i="718"/>
  <c r="Q26" i="718"/>
  <c r="BE37" i="733" l="1"/>
  <c r="BD38" i="733"/>
  <c r="T26" i="733"/>
  <c r="U25" i="733"/>
  <c r="CN28" i="733"/>
  <c r="CO27" i="733"/>
  <c r="B28" i="733"/>
  <c r="C27" i="733"/>
  <c r="FZ37" i="733"/>
  <c r="GA36" i="733"/>
  <c r="FH32" i="733"/>
  <c r="FI31" i="733"/>
  <c r="BW26" i="733"/>
  <c r="BV27" i="733"/>
  <c r="GS25" i="733"/>
  <c r="GR26" i="733"/>
  <c r="EQ30" i="733"/>
  <c r="EP31" i="733"/>
  <c r="DG25" i="733"/>
  <c r="DF26" i="733"/>
  <c r="DX26" i="733"/>
  <c r="DY25" i="733"/>
  <c r="AL30" i="733"/>
  <c r="AM29" i="733"/>
  <c r="FZ34" i="730"/>
  <c r="GA33" i="730"/>
  <c r="CN32" i="730"/>
  <c r="CO31" i="730"/>
  <c r="EQ26" i="730"/>
  <c r="EP27" i="730"/>
  <c r="DY25" i="730"/>
  <c r="DX26" i="730"/>
  <c r="U34" i="730"/>
  <c r="T35" i="730"/>
  <c r="AL26" i="730"/>
  <c r="AM25" i="730"/>
  <c r="DF27" i="730"/>
  <c r="DG26" i="730"/>
  <c r="C33" i="730"/>
  <c r="B34" i="730"/>
  <c r="BW29" i="730"/>
  <c r="BV30" i="730"/>
  <c r="FI25" i="730"/>
  <c r="FH26" i="730"/>
  <c r="GR30" i="730"/>
  <c r="GS29" i="730"/>
  <c r="BD33" i="730"/>
  <c r="BE32" i="730"/>
  <c r="B26" i="728"/>
  <c r="C25" i="728"/>
  <c r="T26" i="728"/>
  <c r="U25" i="728"/>
  <c r="GA30" i="728"/>
  <c r="FZ31" i="728"/>
  <c r="EQ26" i="728"/>
  <c r="EP27" i="728"/>
  <c r="BV28" i="728"/>
  <c r="BW27" i="728"/>
  <c r="AL29" i="728"/>
  <c r="AM28" i="728"/>
  <c r="GS25" i="728"/>
  <c r="GR26" i="728"/>
  <c r="BD29" i="728"/>
  <c r="BE28" i="728"/>
  <c r="CO25" i="728"/>
  <c r="CN26" i="728"/>
  <c r="DY35" i="728"/>
  <c r="DX36" i="728"/>
  <c r="DG25" i="728"/>
  <c r="DF26" i="728"/>
  <c r="FI30" i="728"/>
  <c r="FH31" i="728"/>
  <c r="DX37" i="727"/>
  <c r="DY36" i="727"/>
  <c r="BV26" i="727"/>
  <c r="BW25" i="727"/>
  <c r="GR30" i="727"/>
  <c r="GS29" i="727"/>
  <c r="AM26" i="727"/>
  <c r="AL27" i="727"/>
  <c r="BE25" i="727"/>
  <c r="BD26" i="727"/>
  <c r="B27" i="727"/>
  <c r="C26" i="727"/>
  <c r="DF33" i="727"/>
  <c r="DG32" i="727"/>
  <c r="FH26" i="727"/>
  <c r="FI25" i="727"/>
  <c r="EP31" i="727"/>
  <c r="EQ30" i="727"/>
  <c r="FZ36" i="727"/>
  <c r="GA35" i="727"/>
  <c r="U27" i="727"/>
  <c r="T28" i="727"/>
  <c r="CO25" i="727"/>
  <c r="CN26" i="727"/>
  <c r="GA36" i="725"/>
  <c r="FZ37" i="725"/>
  <c r="EQ26" i="725"/>
  <c r="EP27" i="725"/>
  <c r="FH32" i="725"/>
  <c r="FI31" i="725"/>
  <c r="BD34" i="725"/>
  <c r="BE33" i="725"/>
  <c r="BW29" i="725"/>
  <c r="BV30" i="725"/>
  <c r="AL31" i="725"/>
  <c r="AM30" i="725"/>
  <c r="B34" i="725"/>
  <c r="C33" i="725"/>
  <c r="T27" i="725"/>
  <c r="U26" i="725"/>
  <c r="DG25" i="725"/>
  <c r="DF26" i="725"/>
  <c r="GS25" i="725"/>
  <c r="GR26" i="725"/>
  <c r="DX26" i="725"/>
  <c r="DY25" i="725"/>
  <c r="BV26" i="724"/>
  <c r="BW25" i="724"/>
  <c r="B35" i="724"/>
  <c r="C34" i="724"/>
  <c r="DX26" i="724"/>
  <c r="DY25" i="724"/>
  <c r="FH26" i="724"/>
  <c r="FI25" i="724"/>
  <c r="BD28" i="724"/>
  <c r="BE27" i="724"/>
  <c r="AL26" i="724"/>
  <c r="AM25" i="724"/>
  <c r="T37" i="724"/>
  <c r="U36" i="724"/>
  <c r="CO26" i="724"/>
  <c r="CN27" i="724"/>
  <c r="GR30" i="724"/>
  <c r="GS29" i="724"/>
  <c r="FZ37" i="724"/>
  <c r="GA36" i="724"/>
  <c r="EP27" i="724"/>
  <c r="EQ26" i="724"/>
  <c r="X27" i="723"/>
  <c r="W26" i="723"/>
  <c r="T39" i="723"/>
  <c r="S38" i="723"/>
  <c r="AF123" i="723"/>
  <c r="AE122" i="723"/>
  <c r="W50" i="723"/>
  <c r="X51" i="723"/>
  <c r="AB75" i="723"/>
  <c r="AA74" i="723"/>
  <c r="S15" i="723"/>
  <c r="R14" i="723"/>
  <c r="U135" i="723"/>
  <c r="T134" i="723"/>
  <c r="W3" i="723"/>
  <c r="V2" i="723"/>
  <c r="W63" i="723"/>
  <c r="V62" i="723"/>
  <c r="AA111" i="723"/>
  <c r="Z110" i="723"/>
  <c r="AG87" i="723"/>
  <c r="AG86" i="723" s="1"/>
  <c r="AF86" i="723"/>
  <c r="V99" i="723"/>
  <c r="U98" i="723"/>
  <c r="AA39" i="722"/>
  <c r="Z38" i="722"/>
  <c r="U63" i="722"/>
  <c r="T62" i="722"/>
  <c r="AA3" i="722"/>
  <c r="Z2" i="722"/>
  <c r="U86" i="722"/>
  <c r="V87" i="722"/>
  <c r="V50" i="722"/>
  <c r="W51" i="722"/>
  <c r="R74" i="722"/>
  <c r="S75" i="722"/>
  <c r="T99" i="722"/>
  <c r="S98" i="722"/>
  <c r="W122" i="722"/>
  <c r="X123" i="722"/>
  <c r="S14" i="722"/>
  <c r="T15" i="722"/>
  <c r="Y111" i="722"/>
  <c r="X110" i="722"/>
  <c r="U135" i="722"/>
  <c r="T134" i="722"/>
  <c r="S27" i="722"/>
  <c r="R26" i="722"/>
  <c r="U75" i="721"/>
  <c r="T74" i="721"/>
  <c r="AC87" i="721"/>
  <c r="AB86" i="721"/>
  <c r="S62" i="721"/>
  <c r="T63" i="721"/>
  <c r="AC122" i="721"/>
  <c r="AD123" i="721"/>
  <c r="S15" i="721"/>
  <c r="R14" i="721"/>
  <c r="X110" i="721"/>
  <c r="Y111" i="721"/>
  <c r="R134" i="721"/>
  <c r="S135" i="721"/>
  <c r="R98" i="721"/>
  <c r="S99" i="721"/>
  <c r="S3" i="721"/>
  <c r="R2" i="721"/>
  <c r="AE50" i="721"/>
  <c r="AF51" i="721"/>
  <c r="X27" i="721"/>
  <c r="W26" i="721"/>
  <c r="AC39" i="721"/>
  <c r="AB38" i="721"/>
  <c r="AD3" i="720"/>
  <c r="AC2" i="720"/>
  <c r="R134" i="720"/>
  <c r="S135" i="720"/>
  <c r="W63" i="720"/>
  <c r="V62" i="720"/>
  <c r="T111" i="720"/>
  <c r="S110" i="720"/>
  <c r="U86" i="720"/>
  <c r="V87" i="720"/>
  <c r="U50" i="720"/>
  <c r="V51" i="720"/>
  <c r="T122" i="720"/>
  <c r="U123" i="720"/>
  <c r="S99" i="720"/>
  <c r="R98" i="720"/>
  <c r="Z39" i="720"/>
  <c r="Y38" i="720"/>
  <c r="V27" i="720"/>
  <c r="U26" i="720"/>
  <c r="S15" i="720"/>
  <c r="R14" i="720"/>
  <c r="AB75" i="720"/>
  <c r="AA74" i="720"/>
  <c r="Z86" i="719"/>
  <c r="AA87" i="719"/>
  <c r="T111" i="719"/>
  <c r="S110" i="719"/>
  <c r="AC39" i="719"/>
  <c r="AB38" i="719"/>
  <c r="R50" i="719"/>
  <c r="S51" i="719"/>
  <c r="W63" i="719"/>
  <c r="V62" i="719"/>
  <c r="S15" i="719"/>
  <c r="R14" i="719"/>
  <c r="U135" i="719"/>
  <c r="T134" i="719"/>
  <c r="AB3" i="719"/>
  <c r="AA2" i="719"/>
  <c r="U122" i="719"/>
  <c r="V123" i="719"/>
  <c r="S74" i="719"/>
  <c r="T75" i="719"/>
  <c r="V99" i="719"/>
  <c r="U98" i="719"/>
  <c r="R26" i="719"/>
  <c r="S27" i="719"/>
  <c r="V39" i="718"/>
  <c r="U38" i="718"/>
  <c r="V99" i="718"/>
  <c r="U98" i="718"/>
  <c r="S27" i="718"/>
  <c r="R26" i="718"/>
  <c r="V63" i="718"/>
  <c r="U62" i="718"/>
  <c r="T111" i="718"/>
  <c r="S110" i="718"/>
  <c r="W86" i="718"/>
  <c r="X87" i="718"/>
  <c r="R134" i="718"/>
  <c r="S135" i="718"/>
  <c r="V50" i="718"/>
  <c r="W51" i="718"/>
  <c r="Z123" i="718"/>
  <c r="Y122" i="718"/>
  <c r="AA2" i="718"/>
  <c r="AB3" i="718"/>
  <c r="S15" i="718"/>
  <c r="R14" i="718"/>
  <c r="AA75" i="718"/>
  <c r="Z74" i="718"/>
  <c r="GR27" i="733" l="1"/>
  <c r="GS26" i="733"/>
  <c r="BW27" i="733"/>
  <c r="BV28" i="733"/>
  <c r="FH33" i="733"/>
  <c r="FI32" i="733"/>
  <c r="FZ38" i="733"/>
  <c r="GA37" i="733"/>
  <c r="B29" i="733"/>
  <c r="C28" i="733"/>
  <c r="CN29" i="733"/>
  <c r="CO28" i="733"/>
  <c r="DG26" i="733"/>
  <c r="DF27" i="733"/>
  <c r="EQ31" i="733"/>
  <c r="EP32" i="733"/>
  <c r="BE38" i="733"/>
  <c r="BD39" i="733"/>
  <c r="AL31" i="733"/>
  <c r="AM30" i="733"/>
  <c r="DY26" i="733"/>
  <c r="DX27" i="733"/>
  <c r="T27" i="733"/>
  <c r="U26" i="733"/>
  <c r="U35" i="730"/>
  <c r="T36" i="730"/>
  <c r="EP28" i="730"/>
  <c r="EQ27" i="730"/>
  <c r="GS30" i="730"/>
  <c r="GR31" i="730"/>
  <c r="FI26" i="730"/>
  <c r="FH27" i="730"/>
  <c r="BV31" i="730"/>
  <c r="BW30" i="730"/>
  <c r="C34" i="730"/>
  <c r="B35" i="730"/>
  <c r="DG27" i="730"/>
  <c r="DF28" i="730"/>
  <c r="AM26" i="730"/>
  <c r="AL27" i="730"/>
  <c r="DY26" i="730"/>
  <c r="DX27" i="730"/>
  <c r="BE33" i="730"/>
  <c r="BD34" i="730"/>
  <c r="CO32" i="730"/>
  <c r="CN33" i="730"/>
  <c r="GA34" i="730"/>
  <c r="FZ35" i="730"/>
  <c r="GS26" i="728"/>
  <c r="GR27" i="728"/>
  <c r="AL30" i="728"/>
  <c r="AM29" i="728"/>
  <c r="BV29" i="728"/>
  <c r="BW28" i="728"/>
  <c r="FH32" i="728"/>
  <c r="FI31" i="728"/>
  <c r="GA31" i="728"/>
  <c r="FZ32" i="728"/>
  <c r="T27" i="728"/>
  <c r="U26" i="728"/>
  <c r="CO26" i="728"/>
  <c r="CN27" i="728"/>
  <c r="BE29" i="728"/>
  <c r="BD30" i="728"/>
  <c r="EQ27" i="728"/>
  <c r="EP28" i="728"/>
  <c r="DG26" i="728"/>
  <c r="DF27" i="728"/>
  <c r="DX37" i="728"/>
  <c r="DY36" i="728"/>
  <c r="B27" i="728"/>
  <c r="C26" i="728"/>
  <c r="FH27" i="727"/>
  <c r="FI26" i="727"/>
  <c r="DF34" i="727"/>
  <c r="DG33" i="727"/>
  <c r="B28" i="727"/>
  <c r="C27" i="727"/>
  <c r="CO26" i="727"/>
  <c r="CN27" i="727"/>
  <c r="U28" i="727"/>
  <c r="T29" i="727"/>
  <c r="FZ37" i="727"/>
  <c r="GA36" i="727"/>
  <c r="BE26" i="727"/>
  <c r="BD27" i="727"/>
  <c r="AM27" i="727"/>
  <c r="AL28" i="727"/>
  <c r="GS30" i="727"/>
  <c r="GR31" i="727"/>
  <c r="BV27" i="727"/>
  <c r="BW26" i="727"/>
  <c r="EQ31" i="727"/>
  <c r="EP32" i="727"/>
  <c r="DX38" i="727"/>
  <c r="DY37" i="727"/>
  <c r="T28" i="725"/>
  <c r="U27" i="725"/>
  <c r="BW30" i="725"/>
  <c r="BV31" i="725"/>
  <c r="DY26" i="725"/>
  <c r="DX27" i="725"/>
  <c r="FH33" i="725"/>
  <c r="FI32" i="725"/>
  <c r="EP28" i="725"/>
  <c r="EQ27" i="725"/>
  <c r="DG26" i="725"/>
  <c r="DF27" i="725"/>
  <c r="FZ38" i="725"/>
  <c r="GA37" i="725"/>
  <c r="C34" i="725"/>
  <c r="B35" i="725"/>
  <c r="AL32" i="725"/>
  <c r="AM31" i="725"/>
  <c r="BD35" i="725"/>
  <c r="BE34" i="725"/>
  <c r="GR27" i="725"/>
  <c r="GS26" i="725"/>
  <c r="CO27" i="724"/>
  <c r="CN28" i="724"/>
  <c r="U37" i="724"/>
  <c r="T38" i="724"/>
  <c r="AL27" i="724"/>
  <c r="AM26" i="724"/>
  <c r="DY26" i="724"/>
  <c r="DX27" i="724"/>
  <c r="BD29" i="724"/>
  <c r="BE28" i="724"/>
  <c r="FI26" i="724"/>
  <c r="FH27" i="724"/>
  <c r="EP28" i="724"/>
  <c r="EQ27" i="724"/>
  <c r="FZ38" i="724"/>
  <c r="GA37" i="724"/>
  <c r="B36" i="724"/>
  <c r="C35" i="724"/>
  <c r="GS30" i="724"/>
  <c r="GR31" i="724"/>
  <c r="BV27" i="724"/>
  <c r="BW26" i="724"/>
  <c r="X3" i="723"/>
  <c r="W2" i="723"/>
  <c r="AB74" i="723"/>
  <c r="AC75" i="723"/>
  <c r="Y51" i="723"/>
  <c r="X50" i="723"/>
  <c r="AF122" i="723"/>
  <c r="AG123" i="723"/>
  <c r="AG122" i="723" s="1"/>
  <c r="U134" i="723"/>
  <c r="V135" i="723"/>
  <c r="S14" i="723"/>
  <c r="T15" i="723"/>
  <c r="V98" i="723"/>
  <c r="W99" i="723"/>
  <c r="AA110" i="723"/>
  <c r="AB111" i="723"/>
  <c r="U39" i="723"/>
  <c r="T38" i="723"/>
  <c r="W62" i="723"/>
  <c r="X63" i="723"/>
  <c r="X26" i="723"/>
  <c r="Y27" i="723"/>
  <c r="X122" i="722"/>
  <c r="Y123" i="722"/>
  <c r="S74" i="722"/>
  <c r="T75" i="722"/>
  <c r="W50" i="722"/>
  <c r="X51" i="722"/>
  <c r="W87" i="722"/>
  <c r="V86" i="722"/>
  <c r="T27" i="722"/>
  <c r="S26" i="722"/>
  <c r="U134" i="722"/>
  <c r="V135" i="722"/>
  <c r="AA2" i="722"/>
  <c r="AB3" i="722"/>
  <c r="Z111" i="722"/>
  <c r="Y110" i="722"/>
  <c r="V63" i="722"/>
  <c r="U62" i="722"/>
  <c r="T14" i="722"/>
  <c r="U15" i="722"/>
  <c r="U99" i="722"/>
  <c r="T98" i="722"/>
  <c r="AB39" i="722"/>
  <c r="AA38" i="722"/>
  <c r="AE123" i="721"/>
  <c r="AD122" i="721"/>
  <c r="Z111" i="721"/>
  <c r="Y110" i="721"/>
  <c r="T62" i="721"/>
  <c r="U63" i="721"/>
  <c r="AC86" i="721"/>
  <c r="AD87" i="721"/>
  <c r="S98" i="721"/>
  <c r="T99" i="721"/>
  <c r="T135" i="721"/>
  <c r="S134" i="721"/>
  <c r="S14" i="721"/>
  <c r="T15" i="721"/>
  <c r="AC38" i="721"/>
  <c r="AD39" i="721"/>
  <c r="X26" i="721"/>
  <c r="Y27" i="721"/>
  <c r="AG51" i="721"/>
  <c r="AG50" i="721" s="1"/>
  <c r="AF50" i="721"/>
  <c r="T3" i="721"/>
  <c r="S2" i="721"/>
  <c r="V75" i="721"/>
  <c r="U74" i="721"/>
  <c r="U122" i="720"/>
  <c r="V123" i="720"/>
  <c r="V50" i="720"/>
  <c r="W51" i="720"/>
  <c r="AB74" i="720"/>
  <c r="AC75" i="720"/>
  <c r="U111" i="720"/>
  <c r="T110" i="720"/>
  <c r="W62" i="720"/>
  <c r="X63" i="720"/>
  <c r="T99" i="720"/>
  <c r="S98" i="720"/>
  <c r="W27" i="720"/>
  <c r="V26" i="720"/>
  <c r="V86" i="720"/>
  <c r="W87" i="720"/>
  <c r="S14" i="720"/>
  <c r="T15" i="720"/>
  <c r="T135" i="720"/>
  <c r="S134" i="720"/>
  <c r="Z38" i="720"/>
  <c r="AA39" i="720"/>
  <c r="AD2" i="720"/>
  <c r="AE3" i="720"/>
  <c r="S26" i="719"/>
  <c r="T27" i="719"/>
  <c r="S14" i="719"/>
  <c r="T15" i="719"/>
  <c r="W62" i="719"/>
  <c r="X63" i="719"/>
  <c r="U111" i="719"/>
  <c r="T110" i="719"/>
  <c r="AC3" i="719"/>
  <c r="AB2" i="719"/>
  <c r="U134" i="719"/>
  <c r="V135" i="719"/>
  <c r="V122" i="719"/>
  <c r="W123" i="719"/>
  <c r="AA86" i="719"/>
  <c r="AB87" i="719"/>
  <c r="S50" i="719"/>
  <c r="T51" i="719"/>
  <c r="V98" i="719"/>
  <c r="W99" i="719"/>
  <c r="AC38" i="719"/>
  <c r="AD39" i="719"/>
  <c r="T74" i="719"/>
  <c r="U75" i="719"/>
  <c r="T110" i="718"/>
  <c r="U111" i="718"/>
  <c r="V98" i="718"/>
  <c r="W99" i="718"/>
  <c r="T27" i="718"/>
  <c r="S26" i="718"/>
  <c r="AC3" i="718"/>
  <c r="AB2" i="718"/>
  <c r="W50" i="718"/>
  <c r="X51" i="718"/>
  <c r="T135" i="718"/>
  <c r="S134" i="718"/>
  <c r="X86" i="718"/>
  <c r="Y87" i="718"/>
  <c r="AB75" i="718"/>
  <c r="AA74" i="718"/>
  <c r="W63" i="718"/>
  <c r="V62" i="718"/>
  <c r="S14" i="718"/>
  <c r="T15" i="718"/>
  <c r="AA123" i="718"/>
  <c r="Z122" i="718"/>
  <c r="W39" i="718"/>
  <c r="V38" i="718"/>
  <c r="EQ32" i="733" l="1"/>
  <c r="EP33" i="733"/>
  <c r="DG27" i="733"/>
  <c r="DF28" i="733"/>
  <c r="CN30" i="733"/>
  <c r="CO29" i="733"/>
  <c r="B30" i="733"/>
  <c r="C29" i="733"/>
  <c r="FZ39" i="733"/>
  <c r="GA38" i="733"/>
  <c r="FH34" i="733"/>
  <c r="FI33" i="733"/>
  <c r="BE39" i="733"/>
  <c r="BD40" i="733"/>
  <c r="BE40" i="733" s="1"/>
  <c r="U27" i="733"/>
  <c r="T28" i="733"/>
  <c r="DY27" i="733"/>
  <c r="DX28" i="733"/>
  <c r="BW28" i="733"/>
  <c r="BV29" i="733"/>
  <c r="AL32" i="733"/>
  <c r="AM31" i="733"/>
  <c r="GR28" i="733"/>
  <c r="GS27" i="733"/>
  <c r="BW31" i="730"/>
  <c r="BV32" i="730"/>
  <c r="FI27" i="730"/>
  <c r="FH28" i="730"/>
  <c r="GS31" i="730"/>
  <c r="GR32" i="730"/>
  <c r="BD35" i="730"/>
  <c r="BE34" i="730"/>
  <c r="DY27" i="730"/>
  <c r="DX28" i="730"/>
  <c r="U36" i="730"/>
  <c r="T37" i="730"/>
  <c r="AL28" i="730"/>
  <c r="AM27" i="730"/>
  <c r="DG28" i="730"/>
  <c r="DF29" i="730"/>
  <c r="B36" i="730"/>
  <c r="C35" i="730"/>
  <c r="GA35" i="730"/>
  <c r="FZ36" i="730"/>
  <c r="CO33" i="730"/>
  <c r="CN34" i="730"/>
  <c r="EP29" i="730"/>
  <c r="EQ28" i="730"/>
  <c r="BE30" i="728"/>
  <c r="BD31" i="728"/>
  <c r="U27" i="728"/>
  <c r="T28" i="728"/>
  <c r="C27" i="728"/>
  <c r="B28" i="728"/>
  <c r="EQ28" i="728"/>
  <c r="EP29" i="728"/>
  <c r="GS27" i="728"/>
  <c r="GR28" i="728"/>
  <c r="CO27" i="728"/>
  <c r="CN28" i="728"/>
  <c r="FZ33" i="728"/>
  <c r="GA32" i="728"/>
  <c r="FI32" i="728"/>
  <c r="FH33" i="728"/>
  <c r="DY37" i="728"/>
  <c r="DX38" i="728"/>
  <c r="BV30" i="728"/>
  <c r="BW29" i="728"/>
  <c r="DG27" i="728"/>
  <c r="DF28" i="728"/>
  <c r="AM30" i="728"/>
  <c r="AL31" i="728"/>
  <c r="FZ38" i="727"/>
  <c r="GA37" i="727"/>
  <c r="CO27" i="727"/>
  <c r="CN28" i="727"/>
  <c r="DX39" i="727"/>
  <c r="DY38" i="727"/>
  <c r="B29" i="727"/>
  <c r="C28" i="727"/>
  <c r="GS31" i="727"/>
  <c r="GR32" i="727"/>
  <c r="AL29" i="727"/>
  <c r="AM28" i="727"/>
  <c r="BE27" i="727"/>
  <c r="BD28" i="727"/>
  <c r="U29" i="727"/>
  <c r="T30" i="727"/>
  <c r="EQ32" i="727"/>
  <c r="EP33" i="727"/>
  <c r="BW27" i="727"/>
  <c r="BV28" i="727"/>
  <c r="DF35" i="727"/>
  <c r="DG34" i="727"/>
  <c r="FI27" i="727"/>
  <c r="FH28" i="727"/>
  <c r="FZ39" i="725"/>
  <c r="GA38" i="725"/>
  <c r="GR28" i="725"/>
  <c r="GS27" i="725"/>
  <c r="BD36" i="725"/>
  <c r="BE35" i="725"/>
  <c r="B36" i="725"/>
  <c r="C35" i="725"/>
  <c r="DG27" i="725"/>
  <c r="DF28" i="725"/>
  <c r="EP29" i="725"/>
  <c r="EQ28" i="725"/>
  <c r="FH34" i="725"/>
  <c r="FI33" i="725"/>
  <c r="DY27" i="725"/>
  <c r="DX28" i="725"/>
  <c r="BW31" i="725"/>
  <c r="BV32" i="725"/>
  <c r="AM32" i="725"/>
  <c r="AL33" i="725"/>
  <c r="U28" i="725"/>
  <c r="T29" i="725"/>
  <c r="FI27" i="724"/>
  <c r="FH28" i="724"/>
  <c r="AL28" i="724"/>
  <c r="AM27" i="724"/>
  <c r="GS31" i="724"/>
  <c r="GR32" i="724"/>
  <c r="CN29" i="724"/>
  <c r="CO28" i="724"/>
  <c r="FZ39" i="724"/>
  <c r="GA38" i="724"/>
  <c r="EP29" i="724"/>
  <c r="EQ28" i="724"/>
  <c r="BE29" i="724"/>
  <c r="BD30" i="724"/>
  <c r="DY27" i="724"/>
  <c r="DX28" i="724"/>
  <c r="BW27" i="724"/>
  <c r="BV28" i="724"/>
  <c r="U38" i="724"/>
  <c r="T39" i="724"/>
  <c r="B37" i="724"/>
  <c r="C36" i="724"/>
  <c r="X99" i="723"/>
  <c r="W98" i="723"/>
  <c r="T14" i="723"/>
  <c r="U15" i="723"/>
  <c r="W135" i="723"/>
  <c r="V134" i="723"/>
  <c r="Y50" i="723"/>
  <c r="Z51" i="723"/>
  <c r="AC111" i="723"/>
  <c r="AB110" i="723"/>
  <c r="Y26" i="723"/>
  <c r="Z27" i="723"/>
  <c r="X62" i="723"/>
  <c r="Y63" i="723"/>
  <c r="AC74" i="723"/>
  <c r="AD75" i="723"/>
  <c r="V39" i="723"/>
  <c r="U38" i="723"/>
  <c r="Y3" i="723"/>
  <c r="X2" i="723"/>
  <c r="AA111" i="722"/>
  <c r="Z110" i="722"/>
  <c r="AC3" i="722"/>
  <c r="AB2" i="722"/>
  <c r="V134" i="722"/>
  <c r="W135" i="722"/>
  <c r="W86" i="722"/>
  <c r="X87" i="722"/>
  <c r="X50" i="722"/>
  <c r="Y51" i="722"/>
  <c r="V99" i="722"/>
  <c r="U98" i="722"/>
  <c r="U14" i="722"/>
  <c r="V15" i="722"/>
  <c r="T74" i="722"/>
  <c r="U75" i="722"/>
  <c r="Z123" i="722"/>
  <c r="Y122" i="722"/>
  <c r="T26" i="722"/>
  <c r="U27" i="722"/>
  <c r="AC39" i="722"/>
  <c r="AB38" i="722"/>
  <c r="W63" i="722"/>
  <c r="V62" i="722"/>
  <c r="AD38" i="721"/>
  <c r="AE39" i="721"/>
  <c r="T14" i="721"/>
  <c r="U15" i="721"/>
  <c r="U135" i="721"/>
  <c r="T134" i="721"/>
  <c r="W75" i="721"/>
  <c r="V74" i="721"/>
  <c r="V63" i="721"/>
  <c r="U62" i="721"/>
  <c r="U3" i="721"/>
  <c r="T2" i="721"/>
  <c r="Y26" i="721"/>
  <c r="Z27" i="721"/>
  <c r="U99" i="721"/>
  <c r="T98" i="721"/>
  <c r="AE87" i="721"/>
  <c r="AD86" i="721"/>
  <c r="AA111" i="721"/>
  <c r="Z110" i="721"/>
  <c r="AF123" i="721"/>
  <c r="AE122" i="721"/>
  <c r="X27" i="720"/>
  <c r="W26" i="720"/>
  <c r="U99" i="720"/>
  <c r="T98" i="720"/>
  <c r="W86" i="720"/>
  <c r="X87" i="720"/>
  <c r="X62" i="720"/>
  <c r="Y63" i="720"/>
  <c r="AE2" i="720"/>
  <c r="AF3" i="720"/>
  <c r="U110" i="720"/>
  <c r="V111" i="720"/>
  <c r="AC74" i="720"/>
  <c r="AD75" i="720"/>
  <c r="T14" i="720"/>
  <c r="U15" i="720"/>
  <c r="V122" i="720"/>
  <c r="W123" i="720"/>
  <c r="AB39" i="720"/>
  <c r="AA38" i="720"/>
  <c r="X51" i="720"/>
  <c r="W50" i="720"/>
  <c r="U135" i="720"/>
  <c r="T134" i="720"/>
  <c r="U74" i="719"/>
  <c r="V75" i="719"/>
  <c r="AB86" i="719"/>
  <c r="AC87" i="719"/>
  <c r="AD3" i="719"/>
  <c r="AC2" i="719"/>
  <c r="U110" i="719"/>
  <c r="V111" i="719"/>
  <c r="U51" i="719"/>
  <c r="T50" i="719"/>
  <c r="T26" i="719"/>
  <c r="U27" i="719"/>
  <c r="X123" i="719"/>
  <c r="W122" i="719"/>
  <c r="V134" i="719"/>
  <c r="W135" i="719"/>
  <c r="AD38" i="719"/>
  <c r="AE39" i="719"/>
  <c r="X62" i="719"/>
  <c r="Y63" i="719"/>
  <c r="W98" i="719"/>
  <c r="X99" i="719"/>
  <c r="T14" i="719"/>
  <c r="U15" i="719"/>
  <c r="T14" i="718"/>
  <c r="U15" i="718"/>
  <c r="AB74" i="718"/>
  <c r="AC75" i="718"/>
  <c r="Y86" i="718"/>
  <c r="Z87" i="718"/>
  <c r="AB123" i="718"/>
  <c r="AA122" i="718"/>
  <c r="V111" i="718"/>
  <c r="U110" i="718"/>
  <c r="U135" i="718"/>
  <c r="T134" i="718"/>
  <c r="X50" i="718"/>
  <c r="Y51" i="718"/>
  <c r="X39" i="718"/>
  <c r="W38" i="718"/>
  <c r="AD3" i="718"/>
  <c r="AC2" i="718"/>
  <c r="T26" i="718"/>
  <c r="U27" i="718"/>
  <c r="W98" i="718"/>
  <c r="X99" i="718"/>
  <c r="W62" i="718"/>
  <c r="X63" i="718"/>
  <c r="AL33" i="733" l="1"/>
  <c r="AM32" i="733"/>
  <c r="BW29" i="733"/>
  <c r="BV30" i="733"/>
  <c r="DG28" i="733"/>
  <c r="DF29" i="733"/>
  <c r="DY28" i="733"/>
  <c r="DX29" i="733"/>
  <c r="EQ33" i="733"/>
  <c r="EP34" i="733"/>
  <c r="U28" i="733"/>
  <c r="T29" i="733"/>
  <c r="FH35" i="733"/>
  <c r="FI34" i="733"/>
  <c r="FZ40" i="733"/>
  <c r="GA40" i="733" s="1"/>
  <c r="GA39" i="733"/>
  <c r="GR29" i="733"/>
  <c r="GS28" i="733"/>
  <c r="B31" i="733"/>
  <c r="C30" i="733"/>
  <c r="CN31" i="733"/>
  <c r="CO30" i="733"/>
  <c r="AM28" i="730"/>
  <c r="AL29" i="730"/>
  <c r="EP30" i="730"/>
  <c r="EQ29" i="730"/>
  <c r="GS32" i="730"/>
  <c r="GR33" i="730"/>
  <c r="GA36" i="730"/>
  <c r="FZ37" i="730"/>
  <c r="BW32" i="730"/>
  <c r="BV33" i="730"/>
  <c r="DF30" i="730"/>
  <c r="DG29" i="730"/>
  <c r="T38" i="730"/>
  <c r="U37" i="730"/>
  <c r="DY28" i="730"/>
  <c r="DX29" i="730"/>
  <c r="BD36" i="730"/>
  <c r="BE35" i="730"/>
  <c r="CO34" i="730"/>
  <c r="CN35" i="730"/>
  <c r="FH29" i="730"/>
  <c r="FI28" i="730"/>
  <c r="B37" i="730"/>
  <c r="C36" i="730"/>
  <c r="FZ34" i="728"/>
  <c r="GA33" i="728"/>
  <c r="CO28" i="728"/>
  <c r="CN29" i="728"/>
  <c r="EQ29" i="728"/>
  <c r="EP30" i="728"/>
  <c r="DF29" i="728"/>
  <c r="DG28" i="728"/>
  <c r="U28" i="728"/>
  <c r="T29" i="728"/>
  <c r="BV31" i="728"/>
  <c r="BW30" i="728"/>
  <c r="DY38" i="728"/>
  <c r="DX39" i="728"/>
  <c r="BE31" i="728"/>
  <c r="BD32" i="728"/>
  <c r="FI33" i="728"/>
  <c r="FH34" i="728"/>
  <c r="GR29" i="728"/>
  <c r="GS28" i="728"/>
  <c r="AM31" i="728"/>
  <c r="AL32" i="728"/>
  <c r="C28" i="728"/>
  <c r="B29" i="728"/>
  <c r="AL30" i="727"/>
  <c r="AM29" i="727"/>
  <c r="B30" i="727"/>
  <c r="C29" i="727"/>
  <c r="DX40" i="727"/>
  <c r="DY40" i="727" s="1"/>
  <c r="DY39" i="727"/>
  <c r="CN29" i="727"/>
  <c r="CO28" i="727"/>
  <c r="EQ33" i="727"/>
  <c r="EP34" i="727"/>
  <c r="U30" i="727"/>
  <c r="T31" i="727"/>
  <c r="BE28" i="727"/>
  <c r="BD29" i="727"/>
  <c r="GS32" i="727"/>
  <c r="GR33" i="727"/>
  <c r="FI28" i="727"/>
  <c r="FH29" i="727"/>
  <c r="DF36" i="727"/>
  <c r="DG35" i="727"/>
  <c r="BW28" i="727"/>
  <c r="BV29" i="727"/>
  <c r="FZ39" i="727"/>
  <c r="GA38" i="727"/>
  <c r="FH35" i="725"/>
  <c r="FI34" i="725"/>
  <c r="EP30" i="725"/>
  <c r="EQ29" i="725"/>
  <c r="B37" i="725"/>
  <c r="C36" i="725"/>
  <c r="BD37" i="725"/>
  <c r="BE36" i="725"/>
  <c r="DY28" i="725"/>
  <c r="DX29" i="725"/>
  <c r="DG28" i="725"/>
  <c r="DF29" i="725"/>
  <c r="U29" i="725"/>
  <c r="T30" i="725"/>
  <c r="AM33" i="725"/>
  <c r="AL34" i="725"/>
  <c r="GR29" i="725"/>
  <c r="GS28" i="725"/>
  <c r="BW32" i="725"/>
  <c r="BV33" i="725"/>
  <c r="FZ40" i="725"/>
  <c r="GA40" i="725" s="1"/>
  <c r="GA39" i="725"/>
  <c r="FZ40" i="724"/>
  <c r="GA40" i="724" s="1"/>
  <c r="GA39" i="724"/>
  <c r="CN30" i="724"/>
  <c r="CO29" i="724"/>
  <c r="GR33" i="724"/>
  <c r="GS32" i="724"/>
  <c r="C37" i="724"/>
  <c r="B38" i="724"/>
  <c r="FI28" i="724"/>
  <c r="FH29" i="724"/>
  <c r="DX29" i="724"/>
  <c r="DY28" i="724"/>
  <c r="BE30" i="724"/>
  <c r="BD31" i="724"/>
  <c r="EQ29" i="724"/>
  <c r="EP30" i="724"/>
  <c r="T40" i="724"/>
  <c r="U40" i="724" s="1"/>
  <c r="U39" i="724"/>
  <c r="AM28" i="724"/>
  <c r="AL29" i="724"/>
  <c r="BW28" i="724"/>
  <c r="BV29" i="724"/>
  <c r="AC110" i="723"/>
  <c r="AD111" i="723"/>
  <c r="W134" i="723"/>
  <c r="X135" i="723"/>
  <c r="U14" i="723"/>
  <c r="V15" i="723"/>
  <c r="Z3" i="723"/>
  <c r="Y2" i="723"/>
  <c r="AD74" i="723"/>
  <c r="AE75" i="723"/>
  <c r="Y62" i="723"/>
  <c r="Z63" i="723"/>
  <c r="Z26" i="723"/>
  <c r="AA27" i="723"/>
  <c r="AA51" i="723"/>
  <c r="Z50" i="723"/>
  <c r="V38" i="723"/>
  <c r="W39" i="723"/>
  <c r="X98" i="723"/>
  <c r="Y99" i="723"/>
  <c r="V98" i="722"/>
  <c r="W99" i="722"/>
  <c r="X86" i="722"/>
  <c r="Y87" i="722"/>
  <c r="W62" i="722"/>
  <c r="X63" i="722"/>
  <c r="AD3" i="722"/>
  <c r="AC2" i="722"/>
  <c r="U74" i="722"/>
  <c r="V75" i="722"/>
  <c r="V14" i="722"/>
  <c r="W15" i="722"/>
  <c r="Y50" i="722"/>
  <c r="Z51" i="722"/>
  <c r="W134" i="722"/>
  <c r="X135" i="722"/>
  <c r="AC38" i="722"/>
  <c r="AD39" i="722"/>
  <c r="U26" i="722"/>
  <c r="V27" i="722"/>
  <c r="Z122" i="722"/>
  <c r="AA123" i="722"/>
  <c r="AA110" i="722"/>
  <c r="AB111" i="722"/>
  <c r="Z26" i="721"/>
  <c r="AA27" i="721"/>
  <c r="AF122" i="721"/>
  <c r="AG123" i="721"/>
  <c r="AG122" i="721" s="1"/>
  <c r="AA110" i="721"/>
  <c r="AB111" i="721"/>
  <c r="U2" i="721"/>
  <c r="V3" i="721"/>
  <c r="W74" i="721"/>
  <c r="X75" i="721"/>
  <c r="U134" i="721"/>
  <c r="V135" i="721"/>
  <c r="U14" i="721"/>
  <c r="V15" i="721"/>
  <c r="AE38" i="721"/>
  <c r="AF39" i="721"/>
  <c r="V99" i="721"/>
  <c r="U98" i="721"/>
  <c r="W63" i="721"/>
  <c r="V62" i="721"/>
  <c r="AF87" i="721"/>
  <c r="AE86" i="721"/>
  <c r="U14" i="720"/>
  <c r="V15" i="720"/>
  <c r="AE75" i="720"/>
  <c r="AD74" i="720"/>
  <c r="V110" i="720"/>
  <c r="W111" i="720"/>
  <c r="AG3" i="720"/>
  <c r="AG2" i="720" s="1"/>
  <c r="AF2" i="720"/>
  <c r="Z63" i="720"/>
  <c r="Y62" i="720"/>
  <c r="U134" i="720"/>
  <c r="V135" i="720"/>
  <c r="X86" i="720"/>
  <c r="Y87" i="720"/>
  <c r="AC39" i="720"/>
  <c r="AB38" i="720"/>
  <c r="W122" i="720"/>
  <c r="X123" i="720"/>
  <c r="Y51" i="720"/>
  <c r="X50" i="720"/>
  <c r="V99" i="720"/>
  <c r="U98" i="720"/>
  <c r="X26" i="720"/>
  <c r="Y27" i="720"/>
  <c r="U26" i="719"/>
  <c r="V27" i="719"/>
  <c r="V110" i="719"/>
  <c r="W111" i="719"/>
  <c r="Y123" i="719"/>
  <c r="X122" i="719"/>
  <c r="V51" i="719"/>
  <c r="U50" i="719"/>
  <c r="V15" i="719"/>
  <c r="U14" i="719"/>
  <c r="X98" i="719"/>
  <c r="Y99" i="719"/>
  <c r="AD2" i="719"/>
  <c r="AE3" i="719"/>
  <c r="AF39" i="719"/>
  <c r="AE38" i="719"/>
  <c r="W75" i="719"/>
  <c r="V74" i="719"/>
  <c r="W134" i="719"/>
  <c r="X135" i="719"/>
  <c r="Z63" i="719"/>
  <c r="Y62" i="719"/>
  <c r="AC86" i="719"/>
  <c r="AD87" i="719"/>
  <c r="Y50" i="718"/>
  <c r="Z51" i="718"/>
  <c r="Y63" i="718"/>
  <c r="X62" i="718"/>
  <c r="Y39" i="718"/>
  <c r="X38" i="718"/>
  <c r="X98" i="718"/>
  <c r="Y99" i="718"/>
  <c r="Z86" i="718"/>
  <c r="AA87" i="718"/>
  <c r="AD75" i="718"/>
  <c r="AC74" i="718"/>
  <c r="U134" i="718"/>
  <c r="V135" i="718"/>
  <c r="W111" i="718"/>
  <c r="V110" i="718"/>
  <c r="AC123" i="718"/>
  <c r="AB122" i="718"/>
  <c r="U14" i="718"/>
  <c r="V15" i="718"/>
  <c r="V27" i="718"/>
  <c r="U26" i="718"/>
  <c r="AD2" i="718"/>
  <c r="AE3" i="718"/>
  <c r="FI35" i="733" l="1"/>
  <c r="FH36" i="733"/>
  <c r="EP35" i="733"/>
  <c r="EQ34" i="733"/>
  <c r="DX30" i="733"/>
  <c r="DY29" i="733"/>
  <c r="CO31" i="733"/>
  <c r="CN32" i="733"/>
  <c r="B32" i="733"/>
  <c r="C31" i="733"/>
  <c r="U29" i="733"/>
  <c r="T30" i="733"/>
  <c r="DF30" i="733"/>
  <c r="DG29" i="733"/>
  <c r="BV31" i="733"/>
  <c r="BW30" i="733"/>
  <c r="GR30" i="733"/>
  <c r="GS29" i="733"/>
  <c r="AM33" i="733"/>
  <c r="AL34" i="733"/>
  <c r="DX30" i="730"/>
  <c r="DY29" i="730"/>
  <c r="BW33" i="730"/>
  <c r="BV34" i="730"/>
  <c r="C37" i="730"/>
  <c r="B38" i="730"/>
  <c r="CN36" i="730"/>
  <c r="CO35" i="730"/>
  <c r="AL30" i="730"/>
  <c r="AM29" i="730"/>
  <c r="T39" i="730"/>
  <c r="U38" i="730"/>
  <c r="DF31" i="730"/>
  <c r="DG30" i="730"/>
  <c r="FZ38" i="730"/>
  <c r="GA37" i="730"/>
  <c r="GR34" i="730"/>
  <c r="GS33" i="730"/>
  <c r="FH30" i="730"/>
  <c r="FI29" i="730"/>
  <c r="EP31" i="730"/>
  <c r="EQ30" i="730"/>
  <c r="BD37" i="730"/>
  <c r="BE36" i="730"/>
  <c r="BE32" i="728"/>
  <c r="BD33" i="728"/>
  <c r="DY39" i="728"/>
  <c r="DX40" i="728"/>
  <c r="DY40" i="728" s="1"/>
  <c r="B30" i="728"/>
  <c r="C29" i="728"/>
  <c r="AL33" i="728"/>
  <c r="AM32" i="728"/>
  <c r="EQ30" i="728"/>
  <c r="EP31" i="728"/>
  <c r="CO29" i="728"/>
  <c r="CN30" i="728"/>
  <c r="GR30" i="728"/>
  <c r="GS29" i="728"/>
  <c r="FI34" i="728"/>
  <c r="FH35" i="728"/>
  <c r="BV32" i="728"/>
  <c r="BW31" i="728"/>
  <c r="T30" i="728"/>
  <c r="U29" i="728"/>
  <c r="DF30" i="728"/>
  <c r="DG29" i="728"/>
  <c r="FZ35" i="728"/>
  <c r="GA34" i="728"/>
  <c r="GS33" i="727"/>
  <c r="GR34" i="727"/>
  <c r="BE29" i="727"/>
  <c r="BD30" i="727"/>
  <c r="T32" i="727"/>
  <c r="U31" i="727"/>
  <c r="EP35" i="727"/>
  <c r="EQ34" i="727"/>
  <c r="FZ40" i="727"/>
  <c r="GA40" i="727" s="1"/>
  <c r="GA39" i="727"/>
  <c r="BW29" i="727"/>
  <c r="BV30" i="727"/>
  <c r="FI29" i="727"/>
  <c r="FH30" i="727"/>
  <c r="CN30" i="727"/>
  <c r="CO29" i="727"/>
  <c r="DG36" i="727"/>
  <c r="DF37" i="727"/>
  <c r="B31" i="727"/>
  <c r="C30" i="727"/>
  <c r="AL31" i="727"/>
  <c r="AM30" i="727"/>
  <c r="AM34" i="725"/>
  <c r="AL35" i="725"/>
  <c r="U30" i="725"/>
  <c r="T31" i="725"/>
  <c r="DG29" i="725"/>
  <c r="DF30" i="725"/>
  <c r="DX30" i="725"/>
  <c r="DY29" i="725"/>
  <c r="BE37" i="725"/>
  <c r="BD38" i="725"/>
  <c r="B38" i="725"/>
  <c r="C37" i="725"/>
  <c r="BV34" i="725"/>
  <c r="BW33" i="725"/>
  <c r="EP31" i="725"/>
  <c r="EQ30" i="725"/>
  <c r="GR30" i="725"/>
  <c r="GS29" i="725"/>
  <c r="FH36" i="725"/>
  <c r="FI35" i="725"/>
  <c r="EQ30" i="724"/>
  <c r="EP31" i="724"/>
  <c r="BE31" i="724"/>
  <c r="BD32" i="724"/>
  <c r="B39" i="724"/>
  <c r="C38" i="724"/>
  <c r="BW29" i="724"/>
  <c r="BV30" i="724"/>
  <c r="AL30" i="724"/>
  <c r="AM29" i="724"/>
  <c r="DX30" i="724"/>
  <c r="DY29" i="724"/>
  <c r="FI29" i="724"/>
  <c r="FH30" i="724"/>
  <c r="GR34" i="724"/>
  <c r="GS33" i="724"/>
  <c r="CO30" i="724"/>
  <c r="CN31" i="724"/>
  <c r="AB27" i="723"/>
  <c r="AA26" i="723"/>
  <c r="AA3" i="723"/>
  <c r="Z2" i="723"/>
  <c r="W38" i="723"/>
  <c r="X39" i="723"/>
  <c r="AD110" i="723"/>
  <c r="AE111" i="723"/>
  <c r="AB51" i="723"/>
  <c r="AA50" i="723"/>
  <c r="AA63" i="723"/>
  <c r="Z62" i="723"/>
  <c r="AE74" i="723"/>
  <c r="AF75" i="723"/>
  <c r="V14" i="723"/>
  <c r="W15" i="723"/>
  <c r="Y98" i="723"/>
  <c r="Z99" i="723"/>
  <c r="X134" i="723"/>
  <c r="Y135" i="723"/>
  <c r="Z50" i="722"/>
  <c r="AA51" i="722"/>
  <c r="V74" i="722"/>
  <c r="W75" i="722"/>
  <c r="AD2" i="722"/>
  <c r="AE3" i="722"/>
  <c r="X62" i="722"/>
  <c r="Y63" i="722"/>
  <c r="Y86" i="722"/>
  <c r="Z87" i="722"/>
  <c r="AD38" i="722"/>
  <c r="AE39" i="722"/>
  <c r="W98" i="722"/>
  <c r="X99" i="722"/>
  <c r="Y135" i="722"/>
  <c r="X134" i="722"/>
  <c r="W14" i="722"/>
  <c r="X15" i="722"/>
  <c r="AB110" i="722"/>
  <c r="AC111" i="722"/>
  <c r="AB123" i="722"/>
  <c r="AA122" i="722"/>
  <c r="W27" i="722"/>
  <c r="V26" i="722"/>
  <c r="V14" i="721"/>
  <c r="W15" i="721"/>
  <c r="AB110" i="721"/>
  <c r="AC111" i="721"/>
  <c r="W62" i="721"/>
  <c r="X63" i="721"/>
  <c r="AF38" i="721"/>
  <c r="AG39" i="721"/>
  <c r="AG38" i="721" s="1"/>
  <c r="AA26" i="721"/>
  <c r="AB27" i="721"/>
  <c r="V134" i="721"/>
  <c r="W135" i="721"/>
  <c r="X74" i="721"/>
  <c r="Y75" i="721"/>
  <c r="V2" i="721"/>
  <c r="W3" i="721"/>
  <c r="AG87" i="721"/>
  <c r="AG86" i="721" s="1"/>
  <c r="AF86" i="721"/>
  <c r="V98" i="721"/>
  <c r="W99" i="721"/>
  <c r="AC38" i="720"/>
  <c r="AD39" i="720"/>
  <c r="V98" i="720"/>
  <c r="W99" i="720"/>
  <c r="V134" i="720"/>
  <c r="W135" i="720"/>
  <c r="Z62" i="720"/>
  <c r="AA63" i="720"/>
  <c r="Y26" i="720"/>
  <c r="Z27" i="720"/>
  <c r="W110" i="720"/>
  <c r="X111" i="720"/>
  <c r="AE74" i="720"/>
  <c r="AF75" i="720"/>
  <c r="X122" i="720"/>
  <c r="Y123" i="720"/>
  <c r="V14" i="720"/>
  <c r="W15" i="720"/>
  <c r="Y86" i="720"/>
  <c r="Z87" i="720"/>
  <c r="Z51" i="720"/>
  <c r="Y50" i="720"/>
  <c r="AE2" i="719"/>
  <c r="AF3" i="719"/>
  <c r="AF38" i="719"/>
  <c r="AG39" i="719"/>
  <c r="AG38" i="719" s="1"/>
  <c r="AE87" i="719"/>
  <c r="AD86" i="719"/>
  <c r="V50" i="719"/>
  <c r="W51" i="719"/>
  <c r="Y122" i="719"/>
  <c r="Z123" i="719"/>
  <c r="V14" i="719"/>
  <c r="W15" i="719"/>
  <c r="AA63" i="719"/>
  <c r="Z62" i="719"/>
  <c r="W110" i="719"/>
  <c r="X111" i="719"/>
  <c r="W27" i="719"/>
  <c r="V26" i="719"/>
  <c r="Z99" i="719"/>
  <c r="Y98" i="719"/>
  <c r="Y135" i="719"/>
  <c r="X134" i="719"/>
  <c r="X75" i="719"/>
  <c r="W74" i="719"/>
  <c r="V134" i="718"/>
  <c r="W135" i="718"/>
  <c r="Y98" i="718"/>
  <c r="Z99" i="718"/>
  <c r="AD74" i="718"/>
  <c r="AE75" i="718"/>
  <c r="Y62" i="718"/>
  <c r="Z63" i="718"/>
  <c r="AA86" i="718"/>
  <c r="AB87" i="718"/>
  <c r="AF3" i="718"/>
  <c r="AE2" i="718"/>
  <c r="Y38" i="718"/>
  <c r="Z39" i="718"/>
  <c r="Z50" i="718"/>
  <c r="AA51" i="718"/>
  <c r="X111" i="718"/>
  <c r="W110" i="718"/>
  <c r="W27" i="718"/>
  <c r="V26" i="718"/>
  <c r="V14" i="718"/>
  <c r="W15" i="718"/>
  <c r="AD123" i="718"/>
  <c r="AC122" i="718"/>
  <c r="BV32" i="733" l="1"/>
  <c r="BW31" i="733"/>
  <c r="DF31" i="733"/>
  <c r="DG30" i="733"/>
  <c r="B33" i="733"/>
  <c r="C32" i="733"/>
  <c r="DY30" i="733"/>
  <c r="DX31" i="733"/>
  <c r="FI36" i="733"/>
  <c r="FH37" i="733"/>
  <c r="U30" i="733"/>
  <c r="T31" i="733"/>
  <c r="CO32" i="733"/>
  <c r="CN33" i="733"/>
  <c r="AM34" i="733"/>
  <c r="AL35" i="733"/>
  <c r="EP36" i="733"/>
  <c r="EQ35" i="733"/>
  <c r="GS30" i="733"/>
  <c r="GR31" i="733"/>
  <c r="FZ39" i="730"/>
  <c r="GA38" i="730"/>
  <c r="BE37" i="730"/>
  <c r="BD38" i="730"/>
  <c r="BV35" i="730"/>
  <c r="BW34" i="730"/>
  <c r="DG31" i="730"/>
  <c r="DF32" i="730"/>
  <c r="U39" i="730"/>
  <c r="T40" i="730"/>
  <c r="U40" i="730" s="1"/>
  <c r="AL31" i="730"/>
  <c r="AM30" i="730"/>
  <c r="CO36" i="730"/>
  <c r="CN37" i="730"/>
  <c r="C38" i="730"/>
  <c r="B39" i="730"/>
  <c r="EQ31" i="730"/>
  <c r="EP32" i="730"/>
  <c r="FH31" i="730"/>
  <c r="FI30" i="730"/>
  <c r="GR35" i="730"/>
  <c r="GS34" i="730"/>
  <c r="DX31" i="730"/>
  <c r="DY30" i="730"/>
  <c r="FH36" i="728"/>
  <c r="FI35" i="728"/>
  <c r="CO30" i="728"/>
  <c r="CN31" i="728"/>
  <c r="EP32" i="728"/>
  <c r="EQ31" i="728"/>
  <c r="GA35" i="728"/>
  <c r="FZ36" i="728"/>
  <c r="DG30" i="728"/>
  <c r="DF31" i="728"/>
  <c r="U30" i="728"/>
  <c r="T31" i="728"/>
  <c r="BE33" i="728"/>
  <c r="BD34" i="728"/>
  <c r="GS30" i="728"/>
  <c r="GR31" i="728"/>
  <c r="AL34" i="728"/>
  <c r="AM33" i="728"/>
  <c r="B31" i="728"/>
  <c r="C30" i="728"/>
  <c r="BW32" i="728"/>
  <c r="BV33" i="728"/>
  <c r="FI30" i="727"/>
  <c r="FH31" i="727"/>
  <c r="BV31" i="727"/>
  <c r="BW30" i="727"/>
  <c r="EQ35" i="727"/>
  <c r="EP36" i="727"/>
  <c r="C31" i="727"/>
  <c r="B32" i="727"/>
  <c r="DG37" i="727"/>
  <c r="DF38" i="727"/>
  <c r="GR35" i="727"/>
  <c r="GS34" i="727"/>
  <c r="CN31" i="727"/>
  <c r="CO30" i="727"/>
  <c r="AL32" i="727"/>
  <c r="AM31" i="727"/>
  <c r="T33" i="727"/>
  <c r="U32" i="727"/>
  <c r="BD31" i="727"/>
  <c r="BE30" i="727"/>
  <c r="DX31" i="725"/>
  <c r="DY30" i="725"/>
  <c r="T32" i="725"/>
  <c r="U31" i="725"/>
  <c r="AM35" i="725"/>
  <c r="AL36" i="725"/>
  <c r="EQ31" i="725"/>
  <c r="EP32" i="725"/>
  <c r="BV35" i="725"/>
  <c r="BW34" i="725"/>
  <c r="B39" i="725"/>
  <c r="C38" i="725"/>
  <c r="BE38" i="725"/>
  <c r="BD39" i="725"/>
  <c r="DG30" i="725"/>
  <c r="DF31" i="725"/>
  <c r="FI36" i="725"/>
  <c r="FH37" i="725"/>
  <c r="GS30" i="725"/>
  <c r="GR31" i="725"/>
  <c r="GR35" i="724"/>
  <c r="GS34" i="724"/>
  <c r="DX31" i="724"/>
  <c r="DY30" i="724"/>
  <c r="AM30" i="724"/>
  <c r="AL31" i="724"/>
  <c r="BE32" i="724"/>
  <c r="BD33" i="724"/>
  <c r="EQ31" i="724"/>
  <c r="EP32" i="724"/>
  <c r="FI30" i="724"/>
  <c r="FH31" i="724"/>
  <c r="BW30" i="724"/>
  <c r="BV31" i="724"/>
  <c r="C39" i="724"/>
  <c r="B40" i="724"/>
  <c r="C40" i="724" s="1"/>
  <c r="CO31" i="724"/>
  <c r="CN32" i="724"/>
  <c r="W14" i="723"/>
  <c r="X15" i="723"/>
  <c r="AG75" i="723"/>
  <c r="AG74" i="723" s="1"/>
  <c r="AF74" i="723"/>
  <c r="AB63" i="723"/>
  <c r="AA62" i="723"/>
  <c r="AC51" i="723"/>
  <c r="AB50" i="723"/>
  <c r="AF111" i="723"/>
  <c r="AE110" i="723"/>
  <c r="X38" i="723"/>
  <c r="Y39" i="723"/>
  <c r="AA99" i="723"/>
  <c r="Z98" i="723"/>
  <c r="Y134" i="723"/>
  <c r="Z135" i="723"/>
  <c r="AB3" i="723"/>
  <c r="AA2" i="723"/>
  <c r="AC27" i="723"/>
  <c r="AB26" i="723"/>
  <c r="Z135" i="722"/>
  <c r="Y134" i="722"/>
  <c r="X98" i="722"/>
  <c r="Y99" i="722"/>
  <c r="Y62" i="722"/>
  <c r="Z63" i="722"/>
  <c r="AE2" i="722"/>
  <c r="AF3" i="722"/>
  <c r="AB122" i="722"/>
  <c r="AC123" i="722"/>
  <c r="AC110" i="722"/>
  <c r="AD111" i="722"/>
  <c r="X75" i="722"/>
  <c r="W74" i="722"/>
  <c r="Y15" i="722"/>
  <c r="X14" i="722"/>
  <c r="AB51" i="722"/>
  <c r="AA50" i="722"/>
  <c r="AF39" i="722"/>
  <c r="AE38" i="722"/>
  <c r="Z86" i="722"/>
  <c r="AA87" i="722"/>
  <c r="X27" i="722"/>
  <c r="W26" i="722"/>
  <c r="W2" i="721"/>
  <c r="X3" i="721"/>
  <c r="X135" i="721"/>
  <c r="W134" i="721"/>
  <c r="X62" i="721"/>
  <c r="Y63" i="721"/>
  <c r="W98" i="721"/>
  <c r="X99" i="721"/>
  <c r="AC110" i="721"/>
  <c r="AD111" i="721"/>
  <c r="X15" i="721"/>
  <c r="W14" i="721"/>
  <c r="Y74" i="721"/>
  <c r="Z75" i="721"/>
  <c r="AC27" i="721"/>
  <c r="AB26" i="721"/>
  <c r="Y122" i="720"/>
  <c r="Z123" i="720"/>
  <c r="AF74" i="720"/>
  <c r="AG75" i="720"/>
  <c r="AG74" i="720" s="1"/>
  <c r="X110" i="720"/>
  <c r="Y111" i="720"/>
  <c r="X135" i="720"/>
  <c r="W134" i="720"/>
  <c r="Z86" i="720"/>
  <c r="AA87" i="720"/>
  <c r="AA27" i="720"/>
  <c r="Z26" i="720"/>
  <c r="AA62" i="720"/>
  <c r="AB63" i="720"/>
  <c r="W14" i="720"/>
  <c r="X15" i="720"/>
  <c r="AD38" i="720"/>
  <c r="AE39" i="720"/>
  <c r="AA51" i="720"/>
  <c r="Z50" i="720"/>
  <c r="W98" i="720"/>
  <c r="X99" i="720"/>
  <c r="Z122" i="719"/>
  <c r="AA123" i="719"/>
  <c r="W14" i="719"/>
  <c r="X15" i="719"/>
  <c r="X74" i="719"/>
  <c r="Y75" i="719"/>
  <c r="AF87" i="719"/>
  <c r="AE86" i="719"/>
  <c r="AG3" i="719"/>
  <c r="AG2" i="719" s="1"/>
  <c r="AF2" i="719"/>
  <c r="Y111" i="719"/>
  <c r="X110" i="719"/>
  <c r="AA62" i="719"/>
  <c r="AB63" i="719"/>
  <c r="W50" i="719"/>
  <c r="X51" i="719"/>
  <c r="Y134" i="719"/>
  <c r="Z135" i="719"/>
  <c r="Z98" i="719"/>
  <c r="AA99" i="719"/>
  <c r="X27" i="719"/>
  <c r="W26" i="719"/>
  <c r="AB51" i="718"/>
  <c r="AA50" i="718"/>
  <c r="AC87" i="718"/>
  <c r="AB86" i="718"/>
  <c r="Z62" i="718"/>
  <c r="AA63" i="718"/>
  <c r="W14" i="718"/>
  <c r="X15" i="718"/>
  <c r="AF2" i="718"/>
  <c r="AG3" i="718"/>
  <c r="AG2" i="718" s="1"/>
  <c r="W134" i="718"/>
  <c r="X135" i="718"/>
  <c r="Z38" i="718"/>
  <c r="AA39" i="718"/>
  <c r="AE123" i="718"/>
  <c r="AD122" i="718"/>
  <c r="AE74" i="718"/>
  <c r="AF75" i="718"/>
  <c r="AA99" i="718"/>
  <c r="Z98" i="718"/>
  <c r="X27" i="718"/>
  <c r="W26" i="718"/>
  <c r="Y111" i="718"/>
  <c r="X110" i="718"/>
  <c r="B34" i="733" l="1"/>
  <c r="C33" i="733"/>
  <c r="GS31" i="733"/>
  <c r="GR32" i="733"/>
  <c r="AM35" i="733"/>
  <c r="AL36" i="733"/>
  <c r="CO33" i="733"/>
  <c r="CN34" i="733"/>
  <c r="U31" i="733"/>
  <c r="T32" i="733"/>
  <c r="FI37" i="733"/>
  <c r="FH38" i="733"/>
  <c r="DY31" i="733"/>
  <c r="DX32" i="733"/>
  <c r="DF32" i="733"/>
  <c r="DG31" i="733"/>
  <c r="EP37" i="733"/>
  <c r="EQ36" i="733"/>
  <c r="BV33" i="733"/>
  <c r="BW32" i="733"/>
  <c r="C39" i="730"/>
  <c r="B40" i="730"/>
  <c r="C40" i="730" s="1"/>
  <c r="CO37" i="730"/>
  <c r="CN38" i="730"/>
  <c r="AL32" i="730"/>
  <c r="AM31" i="730"/>
  <c r="DG32" i="730"/>
  <c r="DF33" i="730"/>
  <c r="DX32" i="730"/>
  <c r="DY31" i="730"/>
  <c r="EQ32" i="730"/>
  <c r="EP33" i="730"/>
  <c r="GR36" i="730"/>
  <c r="GS35" i="730"/>
  <c r="BV36" i="730"/>
  <c r="BW35" i="730"/>
  <c r="BE38" i="730"/>
  <c r="BD39" i="730"/>
  <c r="FH32" i="730"/>
  <c r="FI31" i="730"/>
  <c r="FZ40" i="730"/>
  <c r="GA40" i="730" s="1"/>
  <c r="GA39" i="730"/>
  <c r="GR32" i="728"/>
  <c r="GS31" i="728"/>
  <c r="BE34" i="728"/>
  <c r="BD35" i="728"/>
  <c r="U31" i="728"/>
  <c r="T32" i="728"/>
  <c r="DG31" i="728"/>
  <c r="DF32" i="728"/>
  <c r="FZ37" i="728"/>
  <c r="GA36" i="728"/>
  <c r="BW33" i="728"/>
  <c r="BV34" i="728"/>
  <c r="B32" i="728"/>
  <c r="C31" i="728"/>
  <c r="EP33" i="728"/>
  <c r="EQ32" i="728"/>
  <c r="CN32" i="728"/>
  <c r="CO31" i="728"/>
  <c r="AL35" i="728"/>
  <c r="AM34" i="728"/>
  <c r="FH37" i="728"/>
  <c r="FI36" i="728"/>
  <c r="DG38" i="727"/>
  <c r="DF39" i="727"/>
  <c r="C32" i="727"/>
  <c r="B33" i="727"/>
  <c r="FI31" i="727"/>
  <c r="FH32" i="727"/>
  <c r="AM32" i="727"/>
  <c r="AL33" i="727"/>
  <c r="CN32" i="727"/>
  <c r="CO31" i="727"/>
  <c r="GR36" i="727"/>
  <c r="GS35" i="727"/>
  <c r="EQ36" i="727"/>
  <c r="EP37" i="727"/>
  <c r="BD32" i="727"/>
  <c r="BE31" i="727"/>
  <c r="BW31" i="727"/>
  <c r="BV32" i="727"/>
  <c r="T34" i="727"/>
  <c r="U33" i="727"/>
  <c r="C39" i="725"/>
  <c r="B40" i="725"/>
  <c r="C40" i="725" s="1"/>
  <c r="BV36" i="725"/>
  <c r="BW35" i="725"/>
  <c r="EQ32" i="725"/>
  <c r="EP33" i="725"/>
  <c r="AL37" i="725"/>
  <c r="AM36" i="725"/>
  <c r="GS31" i="725"/>
  <c r="GR32" i="725"/>
  <c r="DG31" i="725"/>
  <c r="DF32" i="725"/>
  <c r="BE39" i="725"/>
  <c r="BD40" i="725"/>
  <c r="BE40" i="725" s="1"/>
  <c r="T33" i="725"/>
  <c r="U32" i="725"/>
  <c r="FI37" i="725"/>
  <c r="FH38" i="725"/>
  <c r="DX32" i="725"/>
  <c r="DY31" i="725"/>
  <c r="BW31" i="724"/>
  <c r="BV32" i="724"/>
  <c r="EQ32" i="724"/>
  <c r="EP33" i="724"/>
  <c r="AM31" i="724"/>
  <c r="AL32" i="724"/>
  <c r="FH32" i="724"/>
  <c r="FI31" i="724"/>
  <c r="BE33" i="724"/>
  <c r="BD34" i="724"/>
  <c r="DX32" i="724"/>
  <c r="DY31" i="724"/>
  <c r="CO32" i="724"/>
  <c r="CN33" i="724"/>
  <c r="GR36" i="724"/>
  <c r="GS35" i="724"/>
  <c r="Z134" i="723"/>
  <c r="AA135" i="723"/>
  <c r="AB99" i="723"/>
  <c r="AA98" i="723"/>
  <c r="X14" i="723"/>
  <c r="Y15" i="723"/>
  <c r="Y38" i="723"/>
  <c r="Z39" i="723"/>
  <c r="AG111" i="723"/>
  <c r="AG110" i="723" s="1"/>
  <c r="AF110" i="723"/>
  <c r="AD51" i="723"/>
  <c r="AC50" i="723"/>
  <c r="AC63" i="723"/>
  <c r="AB62" i="723"/>
  <c r="AD27" i="723"/>
  <c r="AC26" i="723"/>
  <c r="AC3" i="723"/>
  <c r="AB2" i="723"/>
  <c r="Z15" i="722"/>
  <c r="Y14" i="722"/>
  <c r="Y75" i="722"/>
  <c r="X74" i="722"/>
  <c r="AD110" i="722"/>
  <c r="AE111" i="722"/>
  <c r="AG3" i="722"/>
  <c r="AG2" i="722" s="1"/>
  <c r="AF2" i="722"/>
  <c r="X26" i="722"/>
  <c r="Y27" i="722"/>
  <c r="AB87" i="722"/>
  <c r="AA86" i="722"/>
  <c r="Z62" i="722"/>
  <c r="AA63" i="722"/>
  <c r="Z99" i="722"/>
  <c r="Y98" i="722"/>
  <c r="AD123" i="722"/>
  <c r="AC122" i="722"/>
  <c r="AF38" i="722"/>
  <c r="AG39" i="722"/>
  <c r="AG38" i="722" s="1"/>
  <c r="AC51" i="722"/>
  <c r="AB50" i="722"/>
  <c r="AA135" i="722"/>
  <c r="Z134" i="722"/>
  <c r="AD110" i="721"/>
  <c r="AE111" i="721"/>
  <c r="X98" i="721"/>
  <c r="Y99" i="721"/>
  <c r="Y15" i="721"/>
  <c r="X14" i="721"/>
  <c r="X2" i="721"/>
  <c r="Y3" i="721"/>
  <c r="AD27" i="721"/>
  <c r="AC26" i="721"/>
  <c r="AA75" i="721"/>
  <c r="Z74" i="721"/>
  <c r="Y62" i="721"/>
  <c r="Z63" i="721"/>
  <c r="X134" i="721"/>
  <c r="Y135" i="721"/>
  <c r="Y99" i="720"/>
  <c r="X98" i="720"/>
  <c r="AF39" i="720"/>
  <c r="AE38" i="720"/>
  <c r="Z122" i="720"/>
  <c r="AA123" i="720"/>
  <c r="X14" i="720"/>
  <c r="Y15" i="720"/>
  <c r="AC63" i="720"/>
  <c r="AB62" i="720"/>
  <c r="AA26" i="720"/>
  <c r="AB27" i="720"/>
  <c r="AB87" i="720"/>
  <c r="AA86" i="720"/>
  <c r="X134" i="720"/>
  <c r="Y135" i="720"/>
  <c r="Z111" i="720"/>
  <c r="Y110" i="720"/>
  <c r="AA50" i="720"/>
  <c r="AB51" i="720"/>
  <c r="X50" i="719"/>
  <c r="Y51" i="719"/>
  <c r="Z75" i="719"/>
  <c r="Y74" i="719"/>
  <c r="AA98" i="719"/>
  <c r="AB99" i="719"/>
  <c r="AB62" i="719"/>
  <c r="AC63" i="719"/>
  <c r="X26" i="719"/>
  <c r="Y27" i="719"/>
  <c r="Z134" i="719"/>
  <c r="AA135" i="719"/>
  <c r="AA122" i="719"/>
  <c r="AB123" i="719"/>
  <c r="Z111" i="719"/>
  <c r="Y110" i="719"/>
  <c r="AG87" i="719"/>
  <c r="AG86" i="719" s="1"/>
  <c r="AF86" i="719"/>
  <c r="X14" i="719"/>
  <c r="Y15" i="719"/>
  <c r="X134" i="718"/>
  <c r="Y135" i="718"/>
  <c r="Z111" i="718"/>
  <c r="Y110" i="718"/>
  <c r="AB99" i="718"/>
  <c r="AA98" i="718"/>
  <c r="AD87" i="718"/>
  <c r="AC86" i="718"/>
  <c r="AF123" i="718"/>
  <c r="AE122" i="718"/>
  <c r="X26" i="718"/>
  <c r="Y27" i="718"/>
  <c r="AB39" i="718"/>
  <c r="AA38" i="718"/>
  <c r="X14" i="718"/>
  <c r="Y15" i="718"/>
  <c r="AA62" i="718"/>
  <c r="AB63" i="718"/>
  <c r="AF74" i="718"/>
  <c r="AG75" i="718"/>
  <c r="AG74" i="718" s="1"/>
  <c r="AC51" i="718"/>
  <c r="AB50" i="718"/>
  <c r="DF33" i="733" l="1"/>
  <c r="DG32" i="733"/>
  <c r="CO34" i="733"/>
  <c r="CN35" i="733"/>
  <c r="AL37" i="733"/>
  <c r="AM36" i="733"/>
  <c r="DX33" i="733"/>
  <c r="DY32" i="733"/>
  <c r="FI38" i="733"/>
  <c r="FH39" i="733"/>
  <c r="U32" i="733"/>
  <c r="T33" i="733"/>
  <c r="GS32" i="733"/>
  <c r="GR33" i="733"/>
  <c r="BV34" i="733"/>
  <c r="BW33" i="733"/>
  <c r="EP38" i="733"/>
  <c r="EQ37" i="733"/>
  <c r="C34" i="733"/>
  <c r="B35" i="733"/>
  <c r="EQ33" i="730"/>
  <c r="EP34" i="730"/>
  <c r="DF34" i="730"/>
  <c r="DG33" i="730"/>
  <c r="BV37" i="730"/>
  <c r="BW36" i="730"/>
  <c r="GS36" i="730"/>
  <c r="GR37" i="730"/>
  <c r="DX33" i="730"/>
  <c r="DY32" i="730"/>
  <c r="AL33" i="730"/>
  <c r="AM32" i="730"/>
  <c r="CN39" i="730"/>
  <c r="CO38" i="730"/>
  <c r="FH33" i="730"/>
  <c r="FI32" i="730"/>
  <c r="BE39" i="730"/>
  <c r="BD40" i="730"/>
  <c r="BE40" i="730" s="1"/>
  <c r="BV35" i="728"/>
  <c r="BW34" i="728"/>
  <c r="U32" i="728"/>
  <c r="T33" i="728"/>
  <c r="FH38" i="728"/>
  <c r="FI37" i="728"/>
  <c r="AL36" i="728"/>
  <c r="AM35" i="728"/>
  <c r="EP34" i="728"/>
  <c r="EQ33" i="728"/>
  <c r="C32" i="728"/>
  <c r="B33" i="728"/>
  <c r="FZ38" i="728"/>
  <c r="GA37" i="728"/>
  <c r="DG32" i="728"/>
  <c r="DF33" i="728"/>
  <c r="BE35" i="728"/>
  <c r="BD36" i="728"/>
  <c r="CN33" i="728"/>
  <c r="CO32" i="728"/>
  <c r="GR33" i="728"/>
  <c r="GS32" i="728"/>
  <c r="EQ37" i="727"/>
  <c r="EP38" i="727"/>
  <c r="AM33" i="727"/>
  <c r="AL34" i="727"/>
  <c r="FH33" i="727"/>
  <c r="FI32" i="727"/>
  <c r="U34" i="727"/>
  <c r="T35" i="727"/>
  <c r="BV33" i="727"/>
  <c r="BW32" i="727"/>
  <c r="DG39" i="727"/>
  <c r="DF40" i="727"/>
  <c r="DG40" i="727" s="1"/>
  <c r="BD33" i="727"/>
  <c r="BE32" i="727"/>
  <c r="GR37" i="727"/>
  <c r="GS36" i="727"/>
  <c r="CO32" i="727"/>
  <c r="CN33" i="727"/>
  <c r="C33" i="727"/>
  <c r="B34" i="727"/>
  <c r="U33" i="725"/>
  <c r="T34" i="725"/>
  <c r="AL38" i="725"/>
  <c r="AM37" i="725"/>
  <c r="EQ33" i="725"/>
  <c r="EP34" i="725"/>
  <c r="DG32" i="725"/>
  <c r="DF33" i="725"/>
  <c r="GS32" i="725"/>
  <c r="GR33" i="725"/>
  <c r="DY32" i="725"/>
  <c r="DX33" i="725"/>
  <c r="BV37" i="725"/>
  <c r="BW36" i="725"/>
  <c r="FI38" i="725"/>
  <c r="FH39" i="725"/>
  <c r="CO33" i="724"/>
  <c r="CN34" i="724"/>
  <c r="AM32" i="724"/>
  <c r="AL33" i="724"/>
  <c r="EQ33" i="724"/>
  <c r="EP34" i="724"/>
  <c r="GR37" i="724"/>
  <c r="GS36" i="724"/>
  <c r="DY32" i="724"/>
  <c r="DX33" i="724"/>
  <c r="BD35" i="724"/>
  <c r="BE34" i="724"/>
  <c r="FH33" i="724"/>
  <c r="FI32" i="724"/>
  <c r="BW32" i="724"/>
  <c r="BV33" i="724"/>
  <c r="AE27" i="723"/>
  <c r="AD26" i="723"/>
  <c r="Z38" i="723"/>
  <c r="AA39" i="723"/>
  <c r="AB135" i="723"/>
  <c r="AA134" i="723"/>
  <c r="AC62" i="723"/>
  <c r="AD63" i="723"/>
  <c r="AE51" i="723"/>
  <c r="AD50" i="723"/>
  <c r="Y14" i="723"/>
  <c r="Z15" i="723"/>
  <c r="AC99" i="723"/>
  <c r="AB98" i="723"/>
  <c r="AD3" i="723"/>
  <c r="AC2" i="723"/>
  <c r="AA99" i="722"/>
  <c r="Z98" i="722"/>
  <c r="AC87" i="722"/>
  <c r="AB86" i="722"/>
  <c r="AE110" i="722"/>
  <c r="AF111" i="722"/>
  <c r="AD51" i="722"/>
  <c r="AC50" i="722"/>
  <c r="AA62" i="722"/>
  <c r="AB63" i="722"/>
  <c r="Y26" i="722"/>
  <c r="Z27" i="722"/>
  <c r="AB135" i="722"/>
  <c r="AA134" i="722"/>
  <c r="Z75" i="722"/>
  <c r="Y74" i="722"/>
  <c r="AE123" i="722"/>
  <c r="AD122" i="722"/>
  <c r="AA15" i="722"/>
  <c r="Z14" i="722"/>
  <c r="AE27" i="721"/>
  <c r="AD26" i="721"/>
  <c r="Y2" i="721"/>
  <c r="Z3" i="721"/>
  <c r="Z62" i="721"/>
  <c r="AA63" i="721"/>
  <c r="AE110" i="721"/>
  <c r="AF111" i="721"/>
  <c r="Y134" i="721"/>
  <c r="Z135" i="721"/>
  <c r="AB75" i="721"/>
  <c r="AA74" i="721"/>
  <c r="Z15" i="721"/>
  <c r="Y14" i="721"/>
  <c r="Y98" i="721"/>
  <c r="Z99" i="721"/>
  <c r="Y134" i="720"/>
  <c r="Z135" i="720"/>
  <c r="AC87" i="720"/>
  <c r="AB86" i="720"/>
  <c r="AB26" i="720"/>
  <c r="AC27" i="720"/>
  <c r="AD63" i="720"/>
  <c r="AC62" i="720"/>
  <c r="AA122" i="720"/>
  <c r="AB123" i="720"/>
  <c r="AC51" i="720"/>
  <c r="AB50" i="720"/>
  <c r="AF38" i="720"/>
  <c r="AG39" i="720"/>
  <c r="AG38" i="720" s="1"/>
  <c r="Z15" i="720"/>
  <c r="Y14" i="720"/>
  <c r="AA111" i="720"/>
  <c r="Z110" i="720"/>
  <c r="Y98" i="720"/>
  <c r="Z99" i="720"/>
  <c r="Y26" i="719"/>
  <c r="Z27" i="719"/>
  <c r="AA111" i="719"/>
  <c r="Z110" i="719"/>
  <c r="AA75" i="719"/>
  <c r="Z74" i="719"/>
  <c r="Y14" i="719"/>
  <c r="Z15" i="719"/>
  <c r="Z51" i="719"/>
  <c r="Y50" i="719"/>
  <c r="AC123" i="719"/>
  <c r="AB122" i="719"/>
  <c r="AA134" i="719"/>
  <c r="AB135" i="719"/>
  <c r="AD63" i="719"/>
  <c r="AC62" i="719"/>
  <c r="AC99" i="719"/>
  <c r="AB98" i="719"/>
  <c r="AF122" i="718"/>
  <c r="AG123" i="718"/>
  <c r="AG122" i="718" s="1"/>
  <c r="AB98" i="718"/>
  <c r="AC99" i="718"/>
  <c r="AA111" i="718"/>
  <c r="Z110" i="718"/>
  <c r="AC39" i="718"/>
  <c r="AB38" i="718"/>
  <c r="AB62" i="718"/>
  <c r="AC63" i="718"/>
  <c r="Y134" i="718"/>
  <c r="Z135" i="718"/>
  <c r="Y14" i="718"/>
  <c r="Z15" i="718"/>
  <c r="Y26" i="718"/>
  <c r="Z27" i="718"/>
  <c r="AE87" i="718"/>
  <c r="AD86" i="718"/>
  <c r="AD51" i="718"/>
  <c r="AC50" i="718"/>
  <c r="GS33" i="733" l="1"/>
  <c r="GR34" i="733"/>
  <c r="T34" i="733"/>
  <c r="U33" i="733"/>
  <c r="FI39" i="733"/>
  <c r="FH40" i="733"/>
  <c r="FI40" i="733" s="1"/>
  <c r="CO35" i="733"/>
  <c r="CN36" i="733"/>
  <c r="BW34" i="733"/>
  <c r="BV35" i="733"/>
  <c r="DY33" i="733"/>
  <c r="DX34" i="733"/>
  <c r="AL38" i="733"/>
  <c r="AM37" i="733"/>
  <c r="B36" i="733"/>
  <c r="C35" i="733"/>
  <c r="EP39" i="733"/>
  <c r="EQ38" i="733"/>
  <c r="DF34" i="733"/>
  <c r="DG33" i="733"/>
  <c r="FH34" i="730"/>
  <c r="FI33" i="730"/>
  <c r="CN40" i="730"/>
  <c r="CO40" i="730" s="1"/>
  <c r="CO39" i="730"/>
  <c r="AM33" i="730"/>
  <c r="AL34" i="730"/>
  <c r="DX34" i="730"/>
  <c r="DY33" i="730"/>
  <c r="EQ34" i="730"/>
  <c r="EP35" i="730"/>
  <c r="GR38" i="730"/>
  <c r="GS37" i="730"/>
  <c r="BV38" i="730"/>
  <c r="BW37" i="730"/>
  <c r="DF35" i="730"/>
  <c r="DG34" i="730"/>
  <c r="DG33" i="728"/>
  <c r="DF34" i="728"/>
  <c r="GA38" i="728"/>
  <c r="FZ39" i="728"/>
  <c r="EP35" i="728"/>
  <c r="EQ34" i="728"/>
  <c r="AM36" i="728"/>
  <c r="AL37" i="728"/>
  <c r="GR34" i="728"/>
  <c r="GS33" i="728"/>
  <c r="U33" i="728"/>
  <c r="T34" i="728"/>
  <c r="CN34" i="728"/>
  <c r="CO33" i="728"/>
  <c r="BE36" i="728"/>
  <c r="BD37" i="728"/>
  <c r="C33" i="728"/>
  <c r="B34" i="728"/>
  <c r="FH39" i="728"/>
  <c r="FI38" i="728"/>
  <c r="BW35" i="728"/>
  <c r="BV36" i="728"/>
  <c r="GR38" i="727"/>
  <c r="GS37" i="727"/>
  <c r="FH34" i="727"/>
  <c r="FI33" i="727"/>
  <c r="AM34" i="727"/>
  <c r="AL35" i="727"/>
  <c r="EP39" i="727"/>
  <c r="EQ38" i="727"/>
  <c r="BD34" i="727"/>
  <c r="BE33" i="727"/>
  <c r="BW33" i="727"/>
  <c r="BV34" i="727"/>
  <c r="U35" i="727"/>
  <c r="T36" i="727"/>
  <c r="B35" i="727"/>
  <c r="C34" i="727"/>
  <c r="CO33" i="727"/>
  <c r="CN34" i="727"/>
  <c r="FI39" i="725"/>
  <c r="FH40" i="725"/>
  <c r="FI40" i="725" s="1"/>
  <c r="DF34" i="725"/>
  <c r="DG33" i="725"/>
  <c r="U34" i="725"/>
  <c r="T35" i="725"/>
  <c r="BV38" i="725"/>
  <c r="BW37" i="725"/>
  <c r="DY33" i="725"/>
  <c r="DX34" i="725"/>
  <c r="GS33" i="725"/>
  <c r="GR34" i="725"/>
  <c r="EQ34" i="725"/>
  <c r="EP35" i="725"/>
  <c r="AL39" i="725"/>
  <c r="AM38" i="725"/>
  <c r="BW33" i="724"/>
  <c r="BV34" i="724"/>
  <c r="EQ34" i="724"/>
  <c r="EP35" i="724"/>
  <c r="AM33" i="724"/>
  <c r="AL34" i="724"/>
  <c r="FH34" i="724"/>
  <c r="FI33" i="724"/>
  <c r="BD36" i="724"/>
  <c r="BE35" i="724"/>
  <c r="DX34" i="724"/>
  <c r="DY33" i="724"/>
  <c r="GS37" i="724"/>
  <c r="GR38" i="724"/>
  <c r="CN35" i="724"/>
  <c r="CO34" i="724"/>
  <c r="AF51" i="723"/>
  <c r="AE50" i="723"/>
  <c r="AD62" i="723"/>
  <c r="AE63" i="723"/>
  <c r="AB39" i="723"/>
  <c r="AA38" i="723"/>
  <c r="AD2" i="723"/>
  <c r="AE3" i="723"/>
  <c r="AD99" i="723"/>
  <c r="AC98" i="723"/>
  <c r="Z14" i="723"/>
  <c r="AA15" i="723"/>
  <c r="AC135" i="723"/>
  <c r="AB134" i="723"/>
  <c r="AE26" i="723"/>
  <c r="AF27" i="723"/>
  <c r="AA27" i="722"/>
  <c r="Z26" i="722"/>
  <c r="AB62" i="722"/>
  <c r="AC63" i="722"/>
  <c r="AF110" i="722"/>
  <c r="AG111" i="722"/>
  <c r="AG110" i="722" s="1"/>
  <c r="AB15" i="722"/>
  <c r="AA14" i="722"/>
  <c r="AA75" i="722"/>
  <c r="Z74" i="722"/>
  <c r="AC135" i="722"/>
  <c r="AB134" i="722"/>
  <c r="AE51" i="722"/>
  <c r="AD50" i="722"/>
  <c r="AD87" i="722"/>
  <c r="AC86" i="722"/>
  <c r="AF123" i="722"/>
  <c r="AE122" i="722"/>
  <c r="AB99" i="722"/>
  <c r="AA98" i="722"/>
  <c r="Z98" i="721"/>
  <c r="AA99" i="721"/>
  <c r="AA15" i="721"/>
  <c r="Z14" i="721"/>
  <c r="AA62" i="721"/>
  <c r="AB63" i="721"/>
  <c r="Z2" i="721"/>
  <c r="AA3" i="721"/>
  <c r="AB74" i="721"/>
  <c r="AC75" i="721"/>
  <c r="Z134" i="721"/>
  <c r="AA135" i="721"/>
  <c r="AF110" i="721"/>
  <c r="AG111" i="721"/>
  <c r="AG110" i="721" s="1"/>
  <c r="AF27" i="721"/>
  <c r="AE26" i="721"/>
  <c r="AD27" i="720"/>
  <c r="AC26" i="720"/>
  <c r="AC50" i="720"/>
  <c r="AD51" i="720"/>
  <c r="AE63" i="720"/>
  <c r="AD62" i="720"/>
  <c r="Z134" i="720"/>
  <c r="AA135" i="720"/>
  <c r="AA15" i="720"/>
  <c r="Z14" i="720"/>
  <c r="AC123" i="720"/>
  <c r="AB122" i="720"/>
  <c r="Z98" i="720"/>
  <c r="AA99" i="720"/>
  <c r="AD87" i="720"/>
  <c r="AC86" i="720"/>
  <c r="AA110" i="720"/>
  <c r="AB111" i="720"/>
  <c r="Z50" i="719"/>
  <c r="AA51" i="719"/>
  <c r="AA110" i="719"/>
  <c r="AB111" i="719"/>
  <c r="AC135" i="719"/>
  <c r="AB134" i="719"/>
  <c r="AD123" i="719"/>
  <c r="AC122" i="719"/>
  <c r="AA27" i="719"/>
  <c r="Z26" i="719"/>
  <c r="AE63" i="719"/>
  <c r="AD62" i="719"/>
  <c r="AA15" i="719"/>
  <c r="Z14" i="719"/>
  <c r="AB75" i="719"/>
  <c r="AA74" i="719"/>
  <c r="AD99" i="719"/>
  <c r="AC98" i="719"/>
  <c r="AC38" i="718"/>
  <c r="AD39" i="718"/>
  <c r="AA110" i="718"/>
  <c r="AB111" i="718"/>
  <c r="AE51" i="718"/>
  <c r="AD50" i="718"/>
  <c r="Z26" i="718"/>
  <c r="AA27" i="718"/>
  <c r="AA15" i="718"/>
  <c r="Z14" i="718"/>
  <c r="Z134" i="718"/>
  <c r="AA135" i="718"/>
  <c r="AD63" i="718"/>
  <c r="AC62" i="718"/>
  <c r="AC98" i="718"/>
  <c r="AD99" i="718"/>
  <c r="AF87" i="718"/>
  <c r="AE86" i="718"/>
  <c r="BV36" i="733" l="1"/>
  <c r="BW35" i="733"/>
  <c r="CO36" i="733"/>
  <c r="CN37" i="733"/>
  <c r="DF35" i="733"/>
  <c r="DG34" i="733"/>
  <c r="GR35" i="733"/>
  <c r="GS34" i="733"/>
  <c r="B37" i="733"/>
  <c r="C36" i="733"/>
  <c r="AL39" i="733"/>
  <c r="AM38" i="733"/>
  <c r="DY34" i="733"/>
  <c r="DX35" i="733"/>
  <c r="T35" i="733"/>
  <c r="U34" i="733"/>
  <c r="EP40" i="733"/>
  <c r="EQ40" i="733" s="1"/>
  <c r="EQ39" i="733"/>
  <c r="DF36" i="730"/>
  <c r="DG35" i="730"/>
  <c r="BV39" i="730"/>
  <c r="BW38" i="730"/>
  <c r="GS38" i="730"/>
  <c r="GR39" i="730"/>
  <c r="DX35" i="730"/>
  <c r="DY34" i="730"/>
  <c r="EQ35" i="730"/>
  <c r="EP36" i="730"/>
  <c r="AM34" i="730"/>
  <c r="AL35" i="730"/>
  <c r="FH35" i="730"/>
  <c r="FI34" i="730"/>
  <c r="CN35" i="728"/>
  <c r="CO34" i="728"/>
  <c r="GR35" i="728"/>
  <c r="GS34" i="728"/>
  <c r="EP36" i="728"/>
  <c r="EQ35" i="728"/>
  <c r="GA39" i="728"/>
  <c r="FZ40" i="728"/>
  <c r="GA40" i="728" s="1"/>
  <c r="FH40" i="728"/>
  <c r="FI40" i="728" s="1"/>
  <c r="FI39" i="728"/>
  <c r="C34" i="728"/>
  <c r="B35" i="728"/>
  <c r="DG34" i="728"/>
  <c r="DF35" i="728"/>
  <c r="BD38" i="728"/>
  <c r="BE37" i="728"/>
  <c r="T35" i="728"/>
  <c r="U34" i="728"/>
  <c r="AM37" i="728"/>
  <c r="AL38" i="728"/>
  <c r="BW36" i="728"/>
  <c r="BV37" i="728"/>
  <c r="B36" i="727"/>
  <c r="C35" i="727"/>
  <c r="BD35" i="727"/>
  <c r="BE34" i="727"/>
  <c r="EQ39" i="727"/>
  <c r="EP40" i="727"/>
  <c r="EQ40" i="727" s="1"/>
  <c r="T37" i="727"/>
  <c r="U36" i="727"/>
  <c r="BV35" i="727"/>
  <c r="BW34" i="727"/>
  <c r="AM35" i="727"/>
  <c r="AL36" i="727"/>
  <c r="FH35" i="727"/>
  <c r="FI34" i="727"/>
  <c r="CO34" i="727"/>
  <c r="CN35" i="727"/>
  <c r="GS38" i="727"/>
  <c r="GR39" i="727"/>
  <c r="AL40" i="725"/>
  <c r="AM40" i="725" s="1"/>
  <c r="AM39" i="725"/>
  <c r="EQ35" i="725"/>
  <c r="EP36" i="725"/>
  <c r="GR35" i="725"/>
  <c r="GS34" i="725"/>
  <c r="DY34" i="725"/>
  <c r="DX35" i="725"/>
  <c r="U35" i="725"/>
  <c r="T36" i="725"/>
  <c r="BV39" i="725"/>
  <c r="BW38" i="725"/>
  <c r="DF35" i="725"/>
  <c r="DG34" i="725"/>
  <c r="CN36" i="724"/>
  <c r="CO35" i="724"/>
  <c r="DX35" i="724"/>
  <c r="DY34" i="724"/>
  <c r="AM34" i="724"/>
  <c r="AL35" i="724"/>
  <c r="GS38" i="724"/>
  <c r="GR39" i="724"/>
  <c r="BD37" i="724"/>
  <c r="BE36" i="724"/>
  <c r="FI34" i="724"/>
  <c r="FH35" i="724"/>
  <c r="EQ35" i="724"/>
  <c r="EP36" i="724"/>
  <c r="BW34" i="724"/>
  <c r="BV35" i="724"/>
  <c r="AD135" i="723"/>
  <c r="AC134" i="723"/>
  <c r="AE99" i="723"/>
  <c r="AD98" i="723"/>
  <c r="AF63" i="723"/>
  <c r="AE62" i="723"/>
  <c r="AG27" i="723"/>
  <c r="AG26" i="723" s="1"/>
  <c r="AF26" i="723"/>
  <c r="AA14" i="723"/>
  <c r="AB15" i="723"/>
  <c r="AE2" i="723"/>
  <c r="AF3" i="723"/>
  <c r="AC39" i="723"/>
  <c r="AB38" i="723"/>
  <c r="AG51" i="723"/>
  <c r="AG50" i="723" s="1"/>
  <c r="AF50" i="723"/>
  <c r="AF51" i="722"/>
  <c r="AE50" i="722"/>
  <c r="AC62" i="722"/>
  <c r="AD63" i="722"/>
  <c r="AE87" i="722"/>
  <c r="AD86" i="722"/>
  <c r="AC134" i="722"/>
  <c r="AD135" i="722"/>
  <c r="AB75" i="722"/>
  <c r="AA74" i="722"/>
  <c r="AC15" i="722"/>
  <c r="AB14" i="722"/>
  <c r="AC99" i="722"/>
  <c r="AB98" i="722"/>
  <c r="AF122" i="722"/>
  <c r="AG123" i="722"/>
  <c r="AG122" i="722" s="1"/>
  <c r="AB27" i="722"/>
  <c r="AA26" i="722"/>
  <c r="AG27" i="721"/>
  <c r="AG26" i="721" s="1"/>
  <c r="AF26" i="721"/>
  <c r="AA98" i="721"/>
  <c r="AB99" i="721"/>
  <c r="AA134" i="721"/>
  <c r="AB135" i="721"/>
  <c r="AC74" i="721"/>
  <c r="AD75" i="721"/>
  <c r="AA2" i="721"/>
  <c r="AB3" i="721"/>
  <c r="AB62" i="721"/>
  <c r="AC63" i="721"/>
  <c r="AB15" i="721"/>
  <c r="AA14" i="721"/>
  <c r="AA98" i="720"/>
  <c r="AB99" i="720"/>
  <c r="AB135" i="720"/>
  <c r="AA134" i="720"/>
  <c r="AE87" i="720"/>
  <c r="AD86" i="720"/>
  <c r="AD123" i="720"/>
  <c r="AC122" i="720"/>
  <c r="AF63" i="720"/>
  <c r="AE62" i="720"/>
  <c r="AB110" i="720"/>
  <c r="AC111" i="720"/>
  <c r="AA14" i="720"/>
  <c r="AB15" i="720"/>
  <c r="AE51" i="720"/>
  <c r="AD50" i="720"/>
  <c r="AD26" i="720"/>
  <c r="AE27" i="720"/>
  <c r="AB27" i="719"/>
  <c r="AA26" i="719"/>
  <c r="AE123" i="719"/>
  <c r="AD122" i="719"/>
  <c r="AB15" i="719"/>
  <c r="AA14" i="719"/>
  <c r="AA50" i="719"/>
  <c r="AB51" i="719"/>
  <c r="AB74" i="719"/>
  <c r="AC75" i="719"/>
  <c r="AF63" i="719"/>
  <c r="AE62" i="719"/>
  <c r="AC134" i="719"/>
  <c r="AD135" i="719"/>
  <c r="AB110" i="719"/>
  <c r="AC111" i="719"/>
  <c r="AD98" i="719"/>
  <c r="AE99" i="719"/>
  <c r="AD98" i="718"/>
  <c r="AE99" i="718"/>
  <c r="AA134" i="718"/>
  <c r="AB135" i="718"/>
  <c r="AB15" i="718"/>
  <c r="AA14" i="718"/>
  <c r="AD62" i="718"/>
  <c r="AE63" i="718"/>
  <c r="AA26" i="718"/>
  <c r="AB27" i="718"/>
  <c r="AD38" i="718"/>
  <c r="AE39" i="718"/>
  <c r="AF51" i="718"/>
  <c r="AE50" i="718"/>
  <c r="AB110" i="718"/>
  <c r="AC111" i="718"/>
  <c r="AG87" i="718"/>
  <c r="AG86" i="718" s="1"/>
  <c r="AF86" i="718"/>
  <c r="DY35" i="733" l="1"/>
  <c r="DX36" i="733"/>
  <c r="AM39" i="733"/>
  <c r="AL40" i="733"/>
  <c r="AM40" i="733" s="1"/>
  <c r="B38" i="733"/>
  <c r="C37" i="733"/>
  <c r="CO37" i="733"/>
  <c r="CN38" i="733"/>
  <c r="T36" i="733"/>
  <c r="U35" i="733"/>
  <c r="GR36" i="733"/>
  <c r="GS35" i="733"/>
  <c r="DF36" i="733"/>
  <c r="DG35" i="733"/>
  <c r="BV37" i="733"/>
  <c r="BW36" i="733"/>
  <c r="FH36" i="730"/>
  <c r="FI35" i="730"/>
  <c r="DX36" i="730"/>
  <c r="DY35" i="730"/>
  <c r="BV40" i="730"/>
  <c r="BW40" i="730" s="1"/>
  <c r="BW39" i="730"/>
  <c r="AM35" i="730"/>
  <c r="AL36" i="730"/>
  <c r="EQ36" i="730"/>
  <c r="EP37" i="730"/>
  <c r="GS39" i="730"/>
  <c r="GR40" i="730"/>
  <c r="GS40" i="730" s="1"/>
  <c r="DF37" i="730"/>
  <c r="DG36" i="730"/>
  <c r="DG35" i="728"/>
  <c r="DF36" i="728"/>
  <c r="C35" i="728"/>
  <c r="B36" i="728"/>
  <c r="EQ36" i="728"/>
  <c r="EP37" i="728"/>
  <c r="BD39" i="728"/>
  <c r="BE38" i="728"/>
  <c r="BW37" i="728"/>
  <c r="BV38" i="728"/>
  <c r="AM38" i="728"/>
  <c r="AL39" i="728"/>
  <c r="GS35" i="728"/>
  <c r="GR36" i="728"/>
  <c r="T36" i="728"/>
  <c r="U35" i="728"/>
  <c r="CN36" i="728"/>
  <c r="CO35" i="728"/>
  <c r="FI35" i="727"/>
  <c r="FH36" i="727"/>
  <c r="BV36" i="727"/>
  <c r="BW35" i="727"/>
  <c r="T38" i="727"/>
  <c r="U37" i="727"/>
  <c r="CO35" i="727"/>
  <c r="CN36" i="727"/>
  <c r="AM36" i="727"/>
  <c r="AL37" i="727"/>
  <c r="BD36" i="727"/>
  <c r="BE35" i="727"/>
  <c r="GS39" i="727"/>
  <c r="GR40" i="727"/>
  <c r="GS40" i="727" s="1"/>
  <c r="B37" i="727"/>
  <c r="C36" i="727"/>
  <c r="GR36" i="725"/>
  <c r="GS35" i="725"/>
  <c r="DF36" i="725"/>
  <c r="DG35" i="725"/>
  <c r="BV40" i="725"/>
  <c r="BW40" i="725" s="1"/>
  <c r="BW39" i="725"/>
  <c r="U36" i="725"/>
  <c r="T37" i="725"/>
  <c r="DY35" i="725"/>
  <c r="DX36" i="725"/>
  <c r="EQ36" i="725"/>
  <c r="EP37" i="725"/>
  <c r="BV36" i="724"/>
  <c r="BW35" i="724"/>
  <c r="BD38" i="724"/>
  <c r="BE37" i="724"/>
  <c r="EQ36" i="724"/>
  <c r="EP37" i="724"/>
  <c r="FI35" i="724"/>
  <c r="FH36" i="724"/>
  <c r="GS39" i="724"/>
  <c r="GR40" i="724"/>
  <c r="GS40" i="724" s="1"/>
  <c r="AL36" i="724"/>
  <c r="AM35" i="724"/>
  <c r="DY35" i="724"/>
  <c r="DX36" i="724"/>
  <c r="CN37" i="724"/>
  <c r="CO36" i="724"/>
  <c r="AF2" i="723"/>
  <c r="AG3" i="723"/>
  <c r="AG2" i="723" s="1"/>
  <c r="AC15" i="723"/>
  <c r="AB14" i="723"/>
  <c r="AF62" i="723"/>
  <c r="AG63" i="723"/>
  <c r="AG62" i="723" s="1"/>
  <c r="AF99" i="723"/>
  <c r="AE98" i="723"/>
  <c r="AC38" i="723"/>
  <c r="AD39" i="723"/>
  <c r="AE135" i="723"/>
  <c r="AD134" i="723"/>
  <c r="AC98" i="722"/>
  <c r="AD99" i="722"/>
  <c r="AD134" i="722"/>
  <c r="AE135" i="722"/>
  <c r="AD62" i="722"/>
  <c r="AE63" i="722"/>
  <c r="AD15" i="722"/>
  <c r="AC14" i="722"/>
  <c r="AB74" i="722"/>
  <c r="AC75" i="722"/>
  <c r="AF87" i="722"/>
  <c r="AE86" i="722"/>
  <c r="AB26" i="722"/>
  <c r="AC27" i="722"/>
  <c r="AG51" i="722"/>
  <c r="AG50" i="722" s="1"/>
  <c r="AF50" i="722"/>
  <c r="AC62" i="721"/>
  <c r="AD63" i="721"/>
  <c r="AC15" i="721"/>
  <c r="AB14" i="721"/>
  <c r="AC3" i="721"/>
  <c r="AB2" i="721"/>
  <c r="AD74" i="721"/>
  <c r="AE75" i="721"/>
  <c r="AB134" i="721"/>
  <c r="AC135" i="721"/>
  <c r="AB98" i="721"/>
  <c r="AC99" i="721"/>
  <c r="AF51" i="720"/>
  <c r="AE50" i="720"/>
  <c r="AE123" i="720"/>
  <c r="AD122" i="720"/>
  <c r="AB134" i="720"/>
  <c r="AC135" i="720"/>
  <c r="AE26" i="720"/>
  <c r="AF27" i="720"/>
  <c r="AC99" i="720"/>
  <c r="AB98" i="720"/>
  <c r="AB14" i="720"/>
  <c r="AC15" i="720"/>
  <c r="AC110" i="720"/>
  <c r="AD111" i="720"/>
  <c r="AF62" i="720"/>
  <c r="AG63" i="720"/>
  <c r="AG62" i="720" s="1"/>
  <c r="AF87" i="720"/>
  <c r="AE86" i="720"/>
  <c r="AD134" i="719"/>
  <c r="AE135" i="719"/>
  <c r="AC110" i="719"/>
  <c r="AD111" i="719"/>
  <c r="AC74" i="719"/>
  <c r="AD75" i="719"/>
  <c r="AF123" i="719"/>
  <c r="AE122" i="719"/>
  <c r="AF99" i="719"/>
  <c r="AE98" i="719"/>
  <c r="AG63" i="719"/>
  <c r="AG62" i="719" s="1"/>
  <c r="AF62" i="719"/>
  <c r="AC51" i="719"/>
  <c r="AB50" i="719"/>
  <c r="AC15" i="719"/>
  <c r="AB14" i="719"/>
  <c r="AB26" i="719"/>
  <c r="AC27" i="719"/>
  <c r="AG51" i="718"/>
  <c r="AG50" i="718" s="1"/>
  <c r="AF50" i="718"/>
  <c r="AE62" i="718"/>
  <c r="AF63" i="718"/>
  <c r="AC135" i="718"/>
  <c r="AB134" i="718"/>
  <c r="AE38" i="718"/>
  <c r="AF39" i="718"/>
  <c r="AB26" i="718"/>
  <c r="AC27" i="718"/>
  <c r="AE98" i="718"/>
  <c r="AF99" i="718"/>
  <c r="AD111" i="718"/>
  <c r="AC110" i="718"/>
  <c r="AC15" i="718"/>
  <c r="AB14" i="718"/>
  <c r="BV38" i="733" l="1"/>
  <c r="BW37" i="733"/>
  <c r="GR37" i="733"/>
  <c r="GS36" i="733"/>
  <c r="T37" i="733"/>
  <c r="U36" i="733"/>
  <c r="DF37" i="733"/>
  <c r="DG36" i="733"/>
  <c r="CO38" i="733"/>
  <c r="CN39" i="733"/>
  <c r="C38" i="733"/>
  <c r="B39" i="733"/>
  <c r="DY36" i="733"/>
  <c r="DX37" i="733"/>
  <c r="DG37" i="730"/>
  <c r="DF38" i="730"/>
  <c r="EQ37" i="730"/>
  <c r="EP38" i="730"/>
  <c r="AM36" i="730"/>
  <c r="AL37" i="730"/>
  <c r="DX37" i="730"/>
  <c r="DY36" i="730"/>
  <c r="FI36" i="730"/>
  <c r="FH37" i="730"/>
  <c r="GS36" i="728"/>
  <c r="GR37" i="728"/>
  <c r="AM39" i="728"/>
  <c r="AL40" i="728"/>
  <c r="AM40" i="728" s="1"/>
  <c r="EQ37" i="728"/>
  <c r="EP38" i="728"/>
  <c r="C36" i="728"/>
  <c r="B37" i="728"/>
  <c r="DF37" i="728"/>
  <c r="DG36" i="728"/>
  <c r="T37" i="728"/>
  <c r="U36" i="728"/>
  <c r="BV39" i="728"/>
  <c r="BW38" i="728"/>
  <c r="BD40" i="728"/>
  <c r="BE40" i="728" s="1"/>
  <c r="BE39" i="728"/>
  <c r="CN37" i="728"/>
  <c r="CO36" i="728"/>
  <c r="T39" i="727"/>
  <c r="U38" i="727"/>
  <c r="FI36" i="727"/>
  <c r="FH37" i="727"/>
  <c r="B38" i="727"/>
  <c r="C37" i="727"/>
  <c r="BD37" i="727"/>
  <c r="BE36" i="727"/>
  <c r="AM37" i="727"/>
  <c r="AL38" i="727"/>
  <c r="CN37" i="727"/>
  <c r="CO36" i="727"/>
  <c r="BW36" i="727"/>
  <c r="BV37" i="727"/>
  <c r="EP38" i="725"/>
  <c r="EQ37" i="725"/>
  <c r="U37" i="725"/>
  <c r="T38" i="725"/>
  <c r="DG36" i="725"/>
  <c r="DF37" i="725"/>
  <c r="DX37" i="725"/>
  <c r="DY36" i="725"/>
  <c r="GR37" i="725"/>
  <c r="GS36" i="725"/>
  <c r="CN38" i="724"/>
  <c r="CO37" i="724"/>
  <c r="AL37" i="724"/>
  <c r="AM36" i="724"/>
  <c r="DY36" i="724"/>
  <c r="DX37" i="724"/>
  <c r="FI36" i="724"/>
  <c r="FH37" i="724"/>
  <c r="EP38" i="724"/>
  <c r="EQ37" i="724"/>
  <c r="BE38" i="724"/>
  <c r="BD39" i="724"/>
  <c r="BW36" i="724"/>
  <c r="BV37" i="724"/>
  <c r="AF135" i="723"/>
  <c r="AE134" i="723"/>
  <c r="AG99" i="723"/>
  <c r="AG98" i="723" s="1"/>
  <c r="AF98" i="723"/>
  <c r="AC14" i="723"/>
  <c r="AD15" i="723"/>
  <c r="AD38" i="723"/>
  <c r="AE39" i="723"/>
  <c r="AC26" i="722"/>
  <c r="AD27" i="722"/>
  <c r="AE15" i="722"/>
  <c r="AD14" i="722"/>
  <c r="AE134" i="722"/>
  <c r="AF135" i="722"/>
  <c r="AG87" i="722"/>
  <c r="AG86" i="722" s="1"/>
  <c r="AF86" i="722"/>
  <c r="AC74" i="722"/>
  <c r="AD75" i="722"/>
  <c r="AE62" i="722"/>
  <c r="AF63" i="722"/>
  <c r="AD98" i="722"/>
  <c r="AE99" i="722"/>
  <c r="AE63" i="721"/>
  <c r="AD62" i="721"/>
  <c r="AC98" i="721"/>
  <c r="AD99" i="721"/>
  <c r="AD135" i="721"/>
  <c r="AC134" i="721"/>
  <c r="AE74" i="721"/>
  <c r="AF75" i="721"/>
  <c r="AD3" i="721"/>
  <c r="AC2" i="721"/>
  <c r="AC14" i="721"/>
  <c r="AD15" i="721"/>
  <c r="AF26" i="720"/>
  <c r="AG27" i="720"/>
  <c r="AG26" i="720" s="1"/>
  <c r="AC134" i="720"/>
  <c r="AD135" i="720"/>
  <c r="AC14" i="720"/>
  <c r="AD15" i="720"/>
  <c r="AC98" i="720"/>
  <c r="AD99" i="720"/>
  <c r="AF123" i="720"/>
  <c r="AE122" i="720"/>
  <c r="AD110" i="720"/>
  <c r="AE111" i="720"/>
  <c r="AG87" i="720"/>
  <c r="AG86" i="720" s="1"/>
  <c r="AF86" i="720"/>
  <c r="AG51" i="720"/>
  <c r="AG50" i="720" s="1"/>
  <c r="AF50" i="720"/>
  <c r="AD51" i="719"/>
  <c r="AC50" i="719"/>
  <c r="AD15" i="719"/>
  <c r="AC14" i="719"/>
  <c r="AG99" i="719"/>
  <c r="AG98" i="719" s="1"/>
  <c r="AF98" i="719"/>
  <c r="AF122" i="719"/>
  <c r="AG123" i="719"/>
  <c r="AG122" i="719" s="1"/>
  <c r="AE111" i="719"/>
  <c r="AD110" i="719"/>
  <c r="AD27" i="719"/>
  <c r="AC26" i="719"/>
  <c r="AF135" i="719"/>
  <c r="AE134" i="719"/>
  <c r="AE75" i="719"/>
  <c r="AD74" i="719"/>
  <c r="AD15" i="718"/>
  <c r="AC14" i="718"/>
  <c r="AF98" i="718"/>
  <c r="AG99" i="718"/>
  <c r="AG98" i="718" s="1"/>
  <c r="AC26" i="718"/>
  <c r="AD27" i="718"/>
  <c r="AD110" i="718"/>
  <c r="AE111" i="718"/>
  <c r="AF38" i="718"/>
  <c r="AG39" i="718"/>
  <c r="AG38" i="718" s="1"/>
  <c r="AD135" i="718"/>
  <c r="AC134" i="718"/>
  <c r="AF62" i="718"/>
  <c r="AG63" i="718"/>
  <c r="AG62" i="718" s="1"/>
  <c r="DG37" i="733" l="1"/>
  <c r="DF38" i="733"/>
  <c r="DX38" i="733"/>
  <c r="DY37" i="733"/>
  <c r="C39" i="733"/>
  <c r="B40" i="733"/>
  <c r="C40" i="733" s="1"/>
  <c r="CN40" i="733"/>
  <c r="CO40" i="733" s="1"/>
  <c r="CO39" i="733"/>
  <c r="T38" i="733"/>
  <c r="U37" i="733"/>
  <c r="GR38" i="733"/>
  <c r="GS37" i="733"/>
  <c r="BV39" i="733"/>
  <c r="BW38" i="733"/>
  <c r="DX38" i="730"/>
  <c r="DY37" i="730"/>
  <c r="AL38" i="730"/>
  <c r="AM37" i="730"/>
  <c r="DG38" i="730"/>
  <c r="DF39" i="730"/>
  <c r="FI37" i="730"/>
  <c r="FH38" i="730"/>
  <c r="EP39" i="730"/>
  <c r="EQ38" i="730"/>
  <c r="B38" i="728"/>
  <c r="C37" i="728"/>
  <c r="GR38" i="728"/>
  <c r="GS37" i="728"/>
  <c r="BV40" i="728"/>
  <c r="BW40" i="728" s="1"/>
  <c r="BW39" i="728"/>
  <c r="T38" i="728"/>
  <c r="U37" i="728"/>
  <c r="DF38" i="728"/>
  <c r="DG37" i="728"/>
  <c r="EP39" i="728"/>
  <c r="EQ38" i="728"/>
  <c r="CO37" i="728"/>
  <c r="CN38" i="728"/>
  <c r="CN38" i="727"/>
  <c r="CO37" i="727"/>
  <c r="FI37" i="727"/>
  <c r="FH38" i="727"/>
  <c r="BW37" i="727"/>
  <c r="BV38" i="727"/>
  <c r="AM38" i="727"/>
  <c r="AL39" i="727"/>
  <c r="BD38" i="727"/>
  <c r="BE37" i="727"/>
  <c r="B39" i="727"/>
  <c r="C38" i="727"/>
  <c r="T40" i="727"/>
  <c r="U40" i="727" s="1"/>
  <c r="U39" i="727"/>
  <c r="GR38" i="725"/>
  <c r="GS37" i="725"/>
  <c r="DY37" i="725"/>
  <c r="DX38" i="725"/>
  <c r="DG37" i="725"/>
  <c r="DF38" i="725"/>
  <c r="U38" i="725"/>
  <c r="T39" i="725"/>
  <c r="EP39" i="725"/>
  <c r="EQ38" i="725"/>
  <c r="EP39" i="724"/>
  <c r="EQ38" i="724"/>
  <c r="FI37" i="724"/>
  <c r="FH38" i="724"/>
  <c r="AL38" i="724"/>
  <c r="AM37" i="724"/>
  <c r="BV38" i="724"/>
  <c r="BW37" i="724"/>
  <c r="BD40" i="724"/>
  <c r="BE40" i="724" s="1"/>
  <c r="BE39" i="724"/>
  <c r="DY37" i="724"/>
  <c r="DX38" i="724"/>
  <c r="CN39" i="724"/>
  <c r="CO38" i="724"/>
  <c r="AE38" i="723"/>
  <c r="AF39" i="723"/>
  <c r="AD14" i="723"/>
  <c r="AE15" i="723"/>
  <c r="AG135" i="723"/>
  <c r="AG134" i="723" s="1"/>
  <c r="AF134" i="723"/>
  <c r="AE98" i="722"/>
  <c r="AF99" i="722"/>
  <c r="AE75" i="722"/>
  <c r="AD74" i="722"/>
  <c r="AF134" i="722"/>
  <c r="AG135" i="722"/>
  <c r="AG134" i="722" s="1"/>
  <c r="AF62" i="722"/>
  <c r="AG63" i="722"/>
  <c r="AG62" i="722" s="1"/>
  <c r="AF15" i="722"/>
  <c r="AE14" i="722"/>
  <c r="AD26" i="722"/>
  <c r="AE27" i="722"/>
  <c r="AF74" i="721"/>
  <c r="AG75" i="721"/>
  <c r="AG74" i="721" s="1"/>
  <c r="AE135" i="721"/>
  <c r="AD134" i="721"/>
  <c r="AD14" i="721"/>
  <c r="AE15" i="721"/>
  <c r="AD2" i="721"/>
  <c r="AE3" i="721"/>
  <c r="AD98" i="721"/>
  <c r="AE99" i="721"/>
  <c r="AF63" i="721"/>
  <c r="AE62" i="721"/>
  <c r="AF122" i="720"/>
  <c r="AG123" i="720"/>
  <c r="AG122" i="720" s="1"/>
  <c r="AD98" i="720"/>
  <c r="AE99" i="720"/>
  <c r="AD14" i="720"/>
  <c r="AE15" i="720"/>
  <c r="AD134" i="720"/>
  <c r="AE135" i="720"/>
  <c r="AE110" i="720"/>
  <c r="AF111" i="720"/>
  <c r="AG135" i="719"/>
  <c r="AG134" i="719" s="1"/>
  <c r="AF134" i="719"/>
  <c r="AE27" i="719"/>
  <c r="AD26" i="719"/>
  <c r="AE110" i="719"/>
  <c r="AF111" i="719"/>
  <c r="AF75" i="719"/>
  <c r="AE74" i="719"/>
  <c r="AE15" i="719"/>
  <c r="AD14" i="719"/>
  <c r="AE51" i="719"/>
  <c r="AD50" i="719"/>
  <c r="AE135" i="718"/>
  <c r="AD134" i="718"/>
  <c r="AE110" i="718"/>
  <c r="AF111" i="718"/>
  <c r="AD26" i="718"/>
  <c r="AE27" i="718"/>
  <c r="AE15" i="718"/>
  <c r="AD14" i="718"/>
  <c r="BV40" i="733" l="1"/>
  <c r="BW40" i="733" s="1"/>
  <c r="BW39" i="733"/>
  <c r="T39" i="733"/>
  <c r="U38" i="733"/>
  <c r="GR39" i="733"/>
  <c r="GS38" i="733"/>
  <c r="DX39" i="733"/>
  <c r="DY38" i="733"/>
  <c r="DG38" i="733"/>
  <c r="DF39" i="733"/>
  <c r="FI38" i="730"/>
  <c r="FH39" i="730"/>
  <c r="EP40" i="730"/>
  <c r="EQ40" i="730" s="1"/>
  <c r="EQ39" i="730"/>
  <c r="DG39" i="730"/>
  <c r="DF40" i="730"/>
  <c r="DG40" i="730" s="1"/>
  <c r="AL39" i="730"/>
  <c r="AM38" i="730"/>
  <c r="DX39" i="730"/>
  <c r="DY38" i="730"/>
  <c r="EP40" i="728"/>
  <c r="EQ40" i="728" s="1"/>
  <c r="EQ39" i="728"/>
  <c r="DF39" i="728"/>
  <c r="DG38" i="728"/>
  <c r="T39" i="728"/>
  <c r="U38" i="728"/>
  <c r="CO38" i="728"/>
  <c r="CN39" i="728"/>
  <c r="GS38" i="728"/>
  <c r="GR39" i="728"/>
  <c r="B39" i="728"/>
  <c r="C38" i="728"/>
  <c r="BW38" i="727"/>
  <c r="BV39" i="727"/>
  <c r="FI38" i="727"/>
  <c r="FH39" i="727"/>
  <c r="C39" i="727"/>
  <c r="B40" i="727"/>
  <c r="C40" i="727" s="1"/>
  <c r="BE38" i="727"/>
  <c r="BD39" i="727"/>
  <c r="AL40" i="727"/>
  <c r="AM40" i="727" s="1"/>
  <c r="AM39" i="727"/>
  <c r="CN39" i="727"/>
  <c r="CO38" i="727"/>
  <c r="DG38" i="725"/>
  <c r="DF39" i="725"/>
  <c r="DX39" i="725"/>
  <c r="DY38" i="725"/>
  <c r="EP40" i="725"/>
  <c r="EQ40" i="725" s="1"/>
  <c r="EQ39" i="725"/>
  <c r="T40" i="725"/>
  <c r="U40" i="725" s="1"/>
  <c r="U39" i="725"/>
  <c r="GR39" i="725"/>
  <c r="GS38" i="725"/>
  <c r="BV39" i="724"/>
  <c r="BW38" i="724"/>
  <c r="AL39" i="724"/>
  <c r="AM38" i="724"/>
  <c r="CN40" i="724"/>
  <c r="CO40" i="724" s="1"/>
  <c r="CO39" i="724"/>
  <c r="DX39" i="724"/>
  <c r="DY38" i="724"/>
  <c r="FH39" i="724"/>
  <c r="FI38" i="724"/>
  <c r="EP40" i="724"/>
  <c r="EQ40" i="724" s="1"/>
  <c r="EQ39" i="724"/>
  <c r="AF15" i="723"/>
  <c r="AE14" i="723"/>
  <c r="AG39" i="723"/>
  <c r="AG38" i="723" s="1"/>
  <c r="AF38" i="723"/>
  <c r="AG15" i="722"/>
  <c r="AG14" i="722" s="1"/>
  <c r="AF14" i="722"/>
  <c r="AE26" i="722"/>
  <c r="AF27" i="722"/>
  <c r="AF75" i="722"/>
  <c r="AE74" i="722"/>
  <c r="AF98" i="722"/>
  <c r="AG99" i="722"/>
  <c r="AG98" i="722" s="1"/>
  <c r="AF99" i="721"/>
  <c r="AE98" i="721"/>
  <c r="AG63" i="721"/>
  <c r="AG62" i="721" s="1"/>
  <c r="AF62" i="721"/>
  <c r="AE2" i="721"/>
  <c r="AF3" i="721"/>
  <c r="AE14" i="721"/>
  <c r="AF15" i="721"/>
  <c r="AE134" i="721"/>
  <c r="AF135" i="721"/>
  <c r="AF110" i="720"/>
  <c r="AG111" i="720"/>
  <c r="AG110" i="720" s="1"/>
  <c r="AF135" i="720"/>
  <c r="AE134" i="720"/>
  <c r="AE14" i="720"/>
  <c r="AF15" i="720"/>
  <c r="AE98" i="720"/>
  <c r="AF99" i="720"/>
  <c r="AF27" i="719"/>
  <c r="AE26" i="719"/>
  <c r="AF110" i="719"/>
  <c r="AG111" i="719"/>
  <c r="AG110" i="719" s="1"/>
  <c r="AF51" i="719"/>
  <c r="AE50" i="719"/>
  <c r="AF15" i="719"/>
  <c r="AE14" i="719"/>
  <c r="AF74" i="719"/>
  <c r="AG75" i="719"/>
  <c r="AG74" i="719" s="1"/>
  <c r="AF15" i="718"/>
  <c r="AE14" i="718"/>
  <c r="AE26" i="718"/>
  <c r="AF27" i="718"/>
  <c r="AF110" i="718"/>
  <c r="AG111" i="718"/>
  <c r="AG110" i="718" s="1"/>
  <c r="AF135" i="718"/>
  <c r="AE134" i="718"/>
  <c r="GR40" i="733" l="1"/>
  <c r="GS40" i="733" s="1"/>
  <c r="GS39" i="733"/>
  <c r="DG39" i="733"/>
  <c r="DF40" i="733"/>
  <c r="DG40" i="733" s="1"/>
  <c r="DX40" i="733"/>
  <c r="DY40" i="733" s="1"/>
  <c r="DY39" i="733"/>
  <c r="T40" i="733"/>
  <c r="U40" i="733" s="1"/>
  <c r="U39" i="733"/>
  <c r="DX40" i="730"/>
  <c r="DY40" i="730" s="1"/>
  <c r="DY39" i="730"/>
  <c r="AL40" i="730"/>
  <c r="AM40" i="730" s="1"/>
  <c r="AM39" i="730"/>
  <c r="FH40" i="730"/>
  <c r="FI40" i="730" s="1"/>
  <c r="FI39" i="730"/>
  <c r="GS39" i="728"/>
  <c r="GR40" i="728"/>
  <c r="GS40" i="728" s="1"/>
  <c r="C39" i="728"/>
  <c r="B40" i="728"/>
  <c r="C40" i="728" s="1"/>
  <c r="CN40" i="728"/>
  <c r="CO40" i="728" s="1"/>
  <c r="CO39" i="728"/>
  <c r="T40" i="728"/>
  <c r="U40" i="728" s="1"/>
  <c r="U39" i="728"/>
  <c r="DF40" i="728"/>
  <c r="DG40" i="728" s="1"/>
  <c r="DG39" i="728"/>
  <c r="BE39" i="727"/>
  <c r="BD40" i="727"/>
  <c r="BE40" i="727" s="1"/>
  <c r="FH40" i="727"/>
  <c r="FI40" i="727" s="1"/>
  <c r="FI39" i="727"/>
  <c r="CN40" i="727"/>
  <c r="CO40" i="727" s="1"/>
  <c r="CO39" i="727"/>
  <c r="BV40" i="727"/>
  <c r="BW40" i="727" s="1"/>
  <c r="BW39" i="727"/>
  <c r="GR40" i="725"/>
  <c r="GS40" i="725" s="1"/>
  <c r="GS39" i="725"/>
  <c r="DX40" i="725"/>
  <c r="DY40" i="725" s="1"/>
  <c r="DY39" i="725"/>
  <c r="DG39" i="725"/>
  <c r="DF40" i="725"/>
  <c r="DG40" i="725" s="1"/>
  <c r="FH40" i="724"/>
  <c r="FI40" i="724" s="1"/>
  <c r="FI39" i="724"/>
  <c r="DX40" i="724"/>
  <c r="DY40" i="724" s="1"/>
  <c r="DY39" i="724"/>
  <c r="AL40" i="724"/>
  <c r="AM40" i="724" s="1"/>
  <c r="AM39" i="724"/>
  <c r="BV40" i="724"/>
  <c r="BW40" i="724" s="1"/>
  <c r="BW39" i="724"/>
  <c r="AG15" i="723"/>
  <c r="AG14" i="723" s="1"/>
  <c r="AF14" i="723"/>
  <c r="AG75" i="722"/>
  <c r="AG74" i="722" s="1"/>
  <c r="AF74" i="722"/>
  <c r="AF26" i="722"/>
  <c r="AG27" i="722"/>
  <c r="AG26" i="722" s="1"/>
  <c r="AF14" i="721"/>
  <c r="AG15" i="721"/>
  <c r="AG14" i="721" s="1"/>
  <c r="AF2" i="721"/>
  <c r="AG3" i="721"/>
  <c r="AG2" i="721" s="1"/>
  <c r="AG135" i="721"/>
  <c r="AG134" i="721" s="1"/>
  <c r="AF134" i="721"/>
  <c r="AG99" i="721"/>
  <c r="AG98" i="721" s="1"/>
  <c r="AF98" i="721"/>
  <c r="AF98" i="720"/>
  <c r="AG99" i="720"/>
  <c r="AG98" i="720" s="1"/>
  <c r="AG15" i="720"/>
  <c r="AG14" i="720" s="1"/>
  <c r="AF14" i="720"/>
  <c r="AG135" i="720"/>
  <c r="AG134" i="720" s="1"/>
  <c r="AF134" i="720"/>
  <c r="AG15" i="719"/>
  <c r="AG14" i="719" s="1"/>
  <c r="AF14" i="719"/>
  <c r="AG51" i="719"/>
  <c r="AG50" i="719" s="1"/>
  <c r="AF50" i="719"/>
  <c r="AG27" i="719"/>
  <c r="AG26" i="719" s="1"/>
  <c r="AF26" i="719"/>
  <c r="AF26" i="718"/>
  <c r="AG27" i="718"/>
  <c r="AG26" i="718" s="1"/>
  <c r="AG135" i="718"/>
  <c r="AG134" i="718" s="1"/>
  <c r="AF134" i="718"/>
  <c r="AG15" i="718"/>
  <c r="AG14" i="718" s="1"/>
  <c r="AF14" i="7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<sst xmlns="http://schemas.openxmlformats.org/spreadsheetml/2006/main" count="5698" uniqueCount="48">
  <si>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</si>
  <si>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</si>
  <si>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</si>
  <si>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</si>
  <si>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</si>
  <si>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</si>
  <si>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</si>
  <si>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</si>
  <si>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</si>
  <si>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</si>
  <si>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</si>
  <si>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</si>
  <si>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</si>
  <si>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</si>
  <si>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</si>
  <si>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</si>
  <si>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</si>
  <si>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</si>
  <si>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</si>
  <si>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</si>
  <si>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</si>
  <si>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</si>
  <si>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</si>
  <si>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</si>
  <si>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</si>
  <si>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</si>
  <si>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</si>
  <si>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</si>
  <si>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</si>
  <si>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</si>
  <si>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</si>
  <si>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</si>
  <si>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</si>
  <si>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</si>
  <si>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</si>
  <si>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</si>
  <si>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</si>
  <si>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出</t>
  </si>
  <si>
    <t>予</t>
  </si>
  <si>
    <t>実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</si>
  <si>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</si>
  <si>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</si>
  <si>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</si>
  <si>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</si>
  <si>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</si>
  <si>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</si>
  <si>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</si>
  <si>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テーマサンプル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</si>
</sst>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3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D9EBFF"/>
      <name val="游ゴシック"/>
      <family val="3"/>
      <charset val="128"/>
      <scheme val="minor"/>
    </font>
    <font>
      <b/>
      <sz val="11"/>
      <color rgb="FFFAF8F7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11"/>
      <color rgb="FF5A0000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D9EBFF"/>
      <name val="游ゴシック"/>
      <family val="2"/>
      <charset val="128"/>
      <scheme val="minor"/>
    </font>
    <font>
      <sz val="11"/>
      <color rgb="FF919191"/>
      <name val="游ゴシック"/>
      <family val="2"/>
      <charset val="128"/>
      <scheme val="minor"/>
    </font>
    <font>
      <sz val="11"/>
      <color rgb="FF808080"/>
      <name val="Noto Sans JP"/>
      <family val="3"/>
      <charset val="128"/>
    </font>
    <font>
      <sz val="11"/>
      <color rgb="FFF0B4B4"/>
      <name val="Noto Sans JP"/>
      <family val="3"/>
      <charset val="128"/>
    </font>
    <font>
      <sz val="11"/>
      <color rgb="FFF0BEBE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9.5"/>
      <color rgb="FFD9EBFF"/>
      <name val="游ゴシック"/>
      <family val="3"/>
      <charset val="128"/>
      <scheme val="minor"/>
    </font>
    <font>
      <b/>
      <sz val="10"/>
      <color rgb="FFD9EB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sz val="11"/>
      <color rgb="FF919191"/>
      <name val="游ゴシック"/>
      <family val="3"/>
      <charset val="128"/>
      <scheme val="minor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2C07E"/>
      <name val="Noto Sans JP"/>
      <family val="3"/>
      <charset val="128"/>
    </font>
    <font>
      <b/>
      <sz val="10"/>
      <color rgb="FFFAF8F7"/>
      <name val="Noto Sans JP"/>
      <family val="3"/>
      <charset val="128"/>
    </font>
  </fonts>
  <fills count="5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EFD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7F5EA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EEEEE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54FF"/>
      </right>
      <top/>
      <bottom/>
      <diagonal/>
    </border>
    <border>
      <left/>
      <right/>
      <top/>
      <bottom style="thick">
        <color rgb="FF0054FF"/>
      </bottom>
      <diagonal/>
    </border>
    <border>
      <left/>
      <right style="thick">
        <color rgb="FF0054FF"/>
      </right>
      <top/>
      <bottom style="thick">
        <color rgb="FF0054FF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5A0000"/>
      </bottom>
      <diagonal/>
    </border>
    <border>
      <left/>
      <right/>
      <top style="hair">
        <color rgb="FF5A0000"/>
      </top>
      <bottom style="hair">
        <color rgb="FF5A0000"/>
      </bottom>
      <diagonal/>
    </border>
    <border>
      <left/>
      <right/>
      <top style="hair">
        <color rgb="FF5A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</borders>
  <cellStyleXfs count="1">
    <xf numFmtId="0" fontId="0" fillId="0" borderId="0">
      <alignment vertical="center"/>
    </xf>
  </cellStyleXfs>
  <cellXfs count="40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right" vertical="top"/>
    </xf>
    <xf numFmtId="180" fontId="2" fillId="2" borderId="0" xfId="0" applyNumberFormat="1" applyFont="1" applyFill="1" applyAlignment="1">
      <alignment horizontal="right" vertical="top"/>
    </xf>
    <xf numFmtId="0" fontId="2" fillId="10" borderId="0" xfId="0" applyFont="1" applyFill="1" applyAlignment="1">
      <alignment horizontal="left" vertical="top"/>
    </xf>
    <xf numFmtId="0" fontId="2" fillId="10" borderId="0" xfId="0" applyFont="1" applyFill="1" applyAlignment="1">
      <alignment horizontal="center" vertical="top"/>
    </xf>
    <xf numFmtId="0" fontId="2" fillId="10" borderId="0" xfId="0" applyFont="1" applyFill="1" applyAlignment="1">
      <alignment horizontal="right" vertical="top"/>
    </xf>
    <xf numFmtId="179" fontId="2" fillId="10" borderId="0" xfId="0" applyNumberFormat="1" applyFont="1" applyFill="1" applyAlignment="1">
      <alignment horizontal="center" vertical="top"/>
    </xf>
    <xf numFmtId="180" fontId="2" fillId="10" borderId="0" xfId="0" applyNumberFormat="1" applyFont="1" applyFill="1" applyAlignment="1">
      <alignment horizontal="right" vertical="top"/>
    </xf>
    <xf numFmtId="181" fontId="2" fillId="10" borderId="0" xfId="0" applyNumberFormat="1" applyFont="1" applyFill="1" applyAlignment="1">
      <alignment horizontal="right" vertical="top"/>
    </xf>
    <xf numFmtId="0" fontId="7" fillId="19" borderId="0" xfId="0" applyFont="1" applyFill="1" applyAlignment="1">
      <alignment horizontal="left" vertical="top"/>
    </xf>
    <xf numFmtId="0" fontId="7" fillId="19" borderId="0" xfId="0" applyFont="1" applyFill="1" applyAlignment="1">
      <alignment horizontal="center" vertical="top"/>
    </xf>
    <xf numFmtId="179" fontId="7" fillId="19" borderId="0" xfId="0" applyNumberFormat="1" applyFont="1" applyFill="1" applyAlignment="1">
      <alignment horizontal="center" vertical="top"/>
    </xf>
    <xf numFmtId="180" fontId="7" fillId="19" borderId="0" xfId="0" applyNumberFormat="1" applyFont="1" applyFill="1" applyAlignment="1">
      <alignment horizontal="right" vertical="top"/>
    </xf>
    <xf numFmtId="0" fontId="7" fillId="19" borderId="0" xfId="0" applyFont="1" applyFill="1" applyAlignment="1">
      <alignment horizontal="right" vertical="top"/>
    </xf>
    <xf numFmtId="181" fontId="7" fillId="19" borderId="0" xfId="0" applyNumberFormat="1" applyFont="1" applyFill="1" applyAlignment="1">
      <alignment horizontal="right" vertical="top"/>
    </xf>
    <xf numFmtId="0" fontId="3" fillId="5" borderId="16" xfId="0" applyFont="1" applyFill="1" applyBorder="1" applyAlignment="1">
      <alignment horizontal="center" vertical="top"/>
    </xf>
    <xf numFmtId="0" fontId="3" fillId="2" borderId="16" xfId="0" applyFont="1" applyFill="1" applyBorder="1" applyAlignment="1">
      <alignment horizontal="center" vertical="top"/>
    </xf>
    <xf numFmtId="20" fontId="3" fillId="5" borderId="17" xfId="0" applyNumberFormat="1" applyFont="1" applyFill="1" applyBorder="1" applyAlignment="1">
      <alignment horizontal="right" vertical="top"/>
    </xf>
    <xf numFmtId="20" fontId="3" fillId="2" borderId="17" xfId="0" applyNumberFormat="1" applyFont="1" applyFill="1" applyBorder="1" applyAlignment="1">
      <alignment horizontal="right" vertical="top"/>
    </xf>
    <xf numFmtId="184" fontId="3" fillId="2" borderId="17" xfId="0" applyNumberFormat="1" applyFont="1" applyFill="1" applyBorder="1" applyAlignment="1">
      <alignment horizontal="right" vertical="top"/>
    </xf>
    <xf numFmtId="20" fontId="3" fillId="5" borderId="18" xfId="0" applyNumberFormat="1" applyFont="1" applyFill="1" applyBorder="1" applyAlignment="1">
      <alignment horizontal="right" vertical="top"/>
    </xf>
    <xf numFmtId="20" fontId="3" fillId="2" borderId="18" xfId="0" applyNumberFormat="1" applyFont="1" applyFill="1" applyBorder="1" applyAlignment="1">
      <alignment horizontal="right" vertical="top"/>
    </xf>
    <xf numFmtId="184" fontId="3" fillId="2" borderId="18" xfId="0" applyNumberFormat="1" applyFont="1" applyFill="1" applyBorder="1" applyAlignment="1">
      <alignment horizontal="right" vertical="top"/>
    </xf>
    <xf numFmtId="0" fontId="3" fillId="21" borderId="0" xfId="0" applyFont="1" applyFill="1" applyAlignment="1">
      <alignment horizontal="center" vertical="top"/>
    </xf>
    <xf numFmtId="0" fontId="3" fillId="21" borderId="16" xfId="0" applyFont="1" applyFill="1" applyBorder="1" applyAlignment="1">
      <alignment horizontal="center" vertical="top"/>
    </xf>
    <xf numFmtId="20" fontId="3" fillId="21" borderId="17" xfId="0" applyNumberFormat="1" applyFont="1" applyFill="1" applyBorder="1" applyAlignment="1">
      <alignment horizontal="right" vertical="top"/>
    </xf>
    <xf numFmtId="20" fontId="3" fillId="21" borderId="18" xfId="0" applyNumberFormat="1" applyFont="1" applyFill="1" applyBorder="1" applyAlignment="1">
      <alignment horizontal="right" vertical="top"/>
    </xf>
    <xf numFmtId="0" fontId="2" fillId="21" borderId="0" xfId="0" applyFont="1" applyFill="1" applyAlignment="1">
      <alignment horizontal="center" vertical="top"/>
    </xf>
    <xf numFmtId="0" fontId="2" fillId="21" borderId="0" xfId="0" applyFont="1" applyFill="1" applyAlignment="1">
      <alignment horizontal="right" vertical="top"/>
    </xf>
    <xf numFmtId="180" fontId="2" fillId="21" borderId="0" xfId="0" applyNumberFormat="1" applyFont="1" applyFill="1" applyAlignment="1">
      <alignment horizontal="right" vertical="top"/>
    </xf>
    <xf numFmtId="0" fontId="2" fillId="22" borderId="0" xfId="0" applyFont="1" applyFill="1" applyAlignment="1">
      <alignment horizontal="left" vertical="top"/>
    </xf>
    <xf numFmtId="0" fontId="2" fillId="22" borderId="0" xfId="0" applyFont="1" applyFill="1" applyAlignment="1">
      <alignment horizontal="center" vertical="top"/>
    </xf>
    <xf numFmtId="0" fontId="2" fillId="22" borderId="0" xfId="0" applyFont="1" applyFill="1" applyAlignment="1">
      <alignment horizontal="right" vertical="top"/>
    </xf>
    <xf numFmtId="179" fontId="2" fillId="22" borderId="0" xfId="0" applyNumberFormat="1" applyFont="1" applyFill="1" applyAlignment="1">
      <alignment horizontal="center" vertical="top"/>
    </xf>
    <xf numFmtId="180" fontId="2" fillId="22" borderId="0" xfId="0" applyNumberFormat="1" applyFont="1" applyFill="1" applyAlignment="1">
      <alignment horizontal="right" vertical="top"/>
    </xf>
    <xf numFmtId="181" fontId="2" fillId="22" borderId="0" xfId="0" applyNumberFormat="1" applyFont="1" applyFill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2" fillId="10" borderId="16" xfId="0" applyFont="1" applyFill="1" applyBorder="1" applyAlignment="1">
      <alignment horizontal="left" vertical="top"/>
    </xf>
    <xf numFmtId="0" fontId="2" fillId="10" borderId="16" xfId="0" applyFont="1" applyFill="1" applyBorder="1" applyAlignment="1">
      <alignment horizontal="center" vertical="top"/>
    </xf>
    <xf numFmtId="179" fontId="2" fillId="10" borderId="17" xfId="0" applyNumberFormat="1" applyFont="1" applyFill="1" applyBorder="1" applyAlignment="1">
      <alignment horizontal="center" vertical="top"/>
    </xf>
    <xf numFmtId="0" fontId="2" fillId="10" borderId="17" xfId="0" applyFont="1" applyFill="1" applyBorder="1" applyAlignment="1">
      <alignment horizontal="center" vertical="top"/>
    </xf>
    <xf numFmtId="20" fontId="2" fillId="10" borderId="17" xfId="0" applyNumberFormat="1" applyFont="1" applyFill="1" applyBorder="1" applyAlignment="1">
      <alignment horizontal="right" vertical="top"/>
    </xf>
    <xf numFmtId="184" fontId="2" fillId="10" borderId="17" xfId="0" applyNumberFormat="1" applyFont="1" applyFill="1" applyBorder="1" applyAlignment="1">
      <alignment horizontal="right" vertical="top"/>
    </xf>
    <xf numFmtId="179" fontId="2" fillId="10" borderId="18" xfId="0" applyNumberFormat="1" applyFont="1" applyFill="1" applyBorder="1" applyAlignment="1">
      <alignment horizontal="center" vertical="top"/>
    </xf>
    <xf numFmtId="0" fontId="2" fillId="10" borderId="18" xfId="0" applyFont="1" applyFill="1" applyBorder="1" applyAlignment="1">
      <alignment horizontal="center" vertical="top"/>
    </xf>
    <xf numFmtId="20" fontId="2" fillId="10" borderId="18" xfId="0" applyNumberFormat="1" applyFont="1" applyFill="1" applyBorder="1" applyAlignment="1">
      <alignment horizontal="right" vertical="top"/>
    </xf>
    <xf numFmtId="184" fontId="2" fillId="10" borderId="18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center" vertical="top"/>
    </xf>
    <xf numFmtId="0" fontId="2" fillId="8" borderId="0" xfId="0" applyFont="1" applyFill="1" applyAlignment="1">
      <alignment horizontal="left" vertical="top"/>
    </xf>
    <xf numFmtId="0" fontId="2" fillId="22" borderId="16" xfId="0" applyFont="1" applyFill="1" applyBorder="1" applyAlignment="1">
      <alignment horizontal="left" vertical="top"/>
    </xf>
    <xf numFmtId="0" fontId="2" fillId="22" borderId="16" xfId="0" applyFont="1" applyFill="1" applyBorder="1" applyAlignment="1">
      <alignment horizontal="center" vertical="top"/>
    </xf>
    <xf numFmtId="179" fontId="2" fillId="22" borderId="17" xfId="0" applyNumberFormat="1" applyFont="1" applyFill="1" applyBorder="1" applyAlignment="1">
      <alignment horizontal="center" vertical="top"/>
    </xf>
    <xf numFmtId="0" fontId="2" fillId="22" borderId="17" xfId="0" applyFont="1" applyFill="1" applyBorder="1" applyAlignment="1">
      <alignment horizontal="center" vertical="top"/>
    </xf>
    <xf numFmtId="20" fontId="2" fillId="22" borderId="17" xfId="0" applyNumberFormat="1" applyFont="1" applyFill="1" applyBorder="1" applyAlignment="1">
      <alignment horizontal="right" vertical="top"/>
    </xf>
    <xf numFmtId="184" fontId="2" fillId="22" borderId="17" xfId="0" applyNumberFormat="1" applyFont="1" applyFill="1" applyBorder="1" applyAlignment="1">
      <alignment horizontal="right" vertical="top"/>
    </xf>
    <xf numFmtId="179" fontId="2" fillId="22" borderId="18" xfId="0" applyNumberFormat="1" applyFont="1" applyFill="1" applyBorder="1" applyAlignment="1">
      <alignment horizontal="center" vertical="top"/>
    </xf>
    <xf numFmtId="0" fontId="2" fillId="22" borderId="18" xfId="0" applyFont="1" applyFill="1" applyBorder="1" applyAlignment="1">
      <alignment horizontal="center" vertical="top"/>
    </xf>
    <xf numFmtId="20" fontId="2" fillId="22" borderId="18" xfId="0" applyNumberFormat="1" applyFont="1" applyFill="1" applyBorder="1" applyAlignment="1">
      <alignment horizontal="right" vertical="top"/>
    </xf>
    <xf numFmtId="184" fontId="2" fillId="22" borderId="18" xfId="0" applyNumberFormat="1" applyFont="1" applyFill="1" applyBorder="1" applyAlignment="1">
      <alignment horizontal="right" vertical="top"/>
    </xf>
    <xf numFmtId="0" fontId="2" fillId="8" borderId="0" xfId="0" applyFont="1" applyFill="1" applyAlignment="1">
      <alignment horizontal="center" vertical="top"/>
    </xf>
    <xf numFmtId="0" fontId="3" fillId="23" borderId="0" xfId="0" applyFont="1" applyFill="1" applyAlignment="1">
      <alignment horizontal="center" vertical="top"/>
    </xf>
    <xf numFmtId="0" fontId="3" fillId="23" borderId="16" xfId="0" applyFont="1" applyFill="1" applyBorder="1" applyAlignment="1">
      <alignment horizontal="center" vertical="top"/>
    </xf>
    <xf numFmtId="20" fontId="3" fillId="23" borderId="17" xfId="0" applyNumberFormat="1" applyFont="1" applyFill="1" applyBorder="1" applyAlignment="1">
      <alignment horizontal="right" vertical="top"/>
    </xf>
    <xf numFmtId="184" fontId="3" fillId="23" borderId="17" xfId="0" applyNumberFormat="1" applyFont="1" applyFill="1" applyBorder="1" applyAlignment="1">
      <alignment horizontal="right" vertical="top"/>
    </xf>
    <xf numFmtId="20" fontId="3" fillId="23" borderId="18" xfId="0" applyNumberFormat="1" applyFont="1" applyFill="1" applyBorder="1" applyAlignment="1">
      <alignment horizontal="right" vertical="top"/>
    </xf>
    <xf numFmtId="184" fontId="3" fillId="23" borderId="18" xfId="0" applyNumberFormat="1" applyFont="1" applyFill="1" applyBorder="1" applyAlignment="1">
      <alignment horizontal="right" vertical="top"/>
    </xf>
    <xf numFmtId="0" fontId="11" fillId="11" borderId="0" xfId="0" applyFont="1" applyFill="1" applyAlignment="1">
      <alignment horizontal="center" vertical="top"/>
    </xf>
    <xf numFmtId="0" fontId="2" fillId="24" borderId="0" xfId="0" applyFont="1" applyFill="1" applyAlignment="1">
      <alignment horizontal="center" vertical="top"/>
    </xf>
    <xf numFmtId="0" fontId="2" fillId="24" borderId="0" xfId="0" applyFont="1" applyFill="1" applyAlignment="1">
      <alignment horizontal="left" vertical="top"/>
    </xf>
    <xf numFmtId="0" fontId="2" fillId="24" borderId="0" xfId="0" applyFont="1" applyFill="1" applyAlignment="1">
      <alignment horizontal="right" vertical="top"/>
    </xf>
    <xf numFmtId="179" fontId="2" fillId="24" borderId="0" xfId="0" applyNumberFormat="1" applyFont="1" applyFill="1" applyAlignment="1">
      <alignment horizontal="center" vertical="top"/>
    </xf>
    <xf numFmtId="180" fontId="2" fillId="24" borderId="0" xfId="0" applyNumberFormat="1" applyFont="1" applyFill="1" applyAlignment="1">
      <alignment horizontal="right" vertical="top"/>
    </xf>
    <xf numFmtId="181" fontId="2" fillId="24" borderId="0" xfId="0" applyNumberFormat="1" applyFont="1" applyFill="1" applyAlignment="1">
      <alignment horizontal="right" vertical="top"/>
    </xf>
    <xf numFmtId="0" fontId="13" fillId="2" borderId="0" xfId="0" applyFont="1" applyFill="1" applyAlignment="1">
      <alignment horizontal="center" vertical="top"/>
    </xf>
    <xf numFmtId="0" fontId="15" fillId="9" borderId="0" xfId="0" applyFont="1" applyFill="1" applyAlignment="1">
      <alignment horizontal="center" vertical="top"/>
    </xf>
    <xf numFmtId="0" fontId="16" fillId="25" borderId="0" xfId="0" applyFont="1" applyFill="1" applyAlignment="1">
      <alignment horizontal="center" vertical="top"/>
    </xf>
    <xf numFmtId="0" fontId="7" fillId="25" borderId="0" xfId="0" applyFont="1" applyFill="1" applyAlignment="1">
      <alignment horizontal="center" vertical="top"/>
    </xf>
    <xf numFmtId="180" fontId="7" fillId="25" borderId="0" xfId="0" applyNumberFormat="1" applyFont="1" applyFill="1" applyAlignment="1">
      <alignment horizontal="right" vertical="top"/>
    </xf>
    <xf numFmtId="0" fontId="7" fillId="25" borderId="0" xfId="0" applyFont="1" applyFill="1" applyAlignment="1">
      <alignment horizontal="right" vertical="top"/>
    </xf>
    <xf numFmtId="0" fontId="14" fillId="18" borderId="0" xfId="0" applyFont="1" applyFill="1" applyAlignment="1">
      <alignment horizontal="center" vertical="top"/>
    </xf>
    <xf numFmtId="0" fontId="18" fillId="16" borderId="0" xfId="0" applyFont="1" applyFill="1" applyAlignment="1">
      <alignment horizontal="center" vertical="top"/>
    </xf>
    <xf numFmtId="0" fontId="18" fillId="16" borderId="0" xfId="0" applyFont="1" applyFill="1" applyAlignment="1">
      <alignment horizontal="left" vertical="top"/>
    </xf>
    <xf numFmtId="0" fontId="18" fillId="18" borderId="0" xfId="0" applyFont="1" applyFill="1" applyAlignment="1">
      <alignment horizontal="center" vertical="top"/>
    </xf>
    <xf numFmtId="0" fontId="18" fillId="18" borderId="0" xfId="0" applyFont="1" applyFill="1" applyAlignment="1">
      <alignment horizontal="right" vertical="top"/>
    </xf>
    <xf numFmtId="0" fontId="18" fillId="16" borderId="0" xfId="0" applyFont="1" applyFill="1" applyAlignment="1">
      <alignment horizontal="right" vertical="top"/>
    </xf>
    <xf numFmtId="179" fontId="18" fillId="16" borderId="0" xfId="0" applyNumberFormat="1" applyFont="1" applyFill="1" applyAlignment="1">
      <alignment horizontal="center" vertical="top"/>
    </xf>
    <xf numFmtId="180" fontId="18" fillId="18" borderId="0" xfId="0" applyNumberFormat="1" applyFont="1" applyFill="1" applyAlignment="1">
      <alignment horizontal="right" vertical="top"/>
    </xf>
    <xf numFmtId="180" fontId="18" fillId="16" borderId="0" xfId="0" applyNumberFormat="1" applyFont="1" applyFill="1" applyAlignment="1">
      <alignment horizontal="right" vertical="top"/>
    </xf>
    <xf numFmtId="181" fontId="18" fillId="16" borderId="0" xfId="0" applyNumberFormat="1" applyFont="1" applyFill="1" applyAlignment="1">
      <alignment horizontal="right" vertical="top"/>
    </xf>
    <xf numFmtId="0" fontId="11" fillId="11" borderId="16" xfId="0" applyFont="1" applyFill="1" applyBorder="1" applyAlignment="1">
      <alignment horizontal="center" vertical="top"/>
    </xf>
    <xf numFmtId="20" fontId="11" fillId="11" borderId="17" xfId="0" applyNumberFormat="1" applyFont="1" applyFill="1" applyBorder="1" applyAlignment="1">
      <alignment horizontal="right" vertical="top"/>
    </xf>
    <xf numFmtId="20" fontId="11" fillId="11" borderId="18" xfId="0" applyNumberFormat="1" applyFont="1" applyFill="1" applyBorder="1" applyAlignment="1">
      <alignment horizontal="right" vertical="top"/>
    </xf>
    <xf numFmtId="0" fontId="19" fillId="6" borderId="0" xfId="0" applyFont="1" applyFill="1" applyAlignment="1">
      <alignment horizontal="left" vertical="top"/>
    </xf>
    <xf numFmtId="0" fontId="19" fillId="11" borderId="0" xfId="0" applyFont="1" applyFill="1" applyAlignment="1">
      <alignment horizontal="center" vertical="top"/>
    </xf>
    <xf numFmtId="0" fontId="19" fillId="6" borderId="0" xfId="0" applyFont="1" applyFill="1" applyAlignment="1">
      <alignment horizontal="center" vertical="top"/>
    </xf>
    <xf numFmtId="0" fontId="19" fillId="11" borderId="0" xfId="0" applyFont="1" applyFill="1" applyAlignment="1">
      <alignment horizontal="right" vertical="top"/>
    </xf>
    <xf numFmtId="0" fontId="19" fillId="6" borderId="0" xfId="0" applyFont="1" applyFill="1" applyAlignment="1">
      <alignment horizontal="right" vertical="top"/>
    </xf>
    <xf numFmtId="179" fontId="19" fillId="6" borderId="0" xfId="0" applyNumberFormat="1" applyFont="1" applyFill="1" applyAlignment="1">
      <alignment horizontal="center" vertical="top"/>
    </xf>
    <xf numFmtId="180" fontId="19" fillId="11" borderId="0" xfId="0" applyNumberFormat="1" applyFont="1" applyFill="1" applyAlignment="1">
      <alignment horizontal="right" vertical="top"/>
    </xf>
    <xf numFmtId="180" fontId="19" fillId="6" borderId="0" xfId="0" applyNumberFormat="1" applyFont="1" applyFill="1" applyAlignment="1">
      <alignment horizontal="right" vertical="top"/>
    </xf>
    <xf numFmtId="181" fontId="19" fillId="6" borderId="0" xfId="0" applyNumberFormat="1" applyFont="1" applyFill="1" applyAlignment="1">
      <alignment horizontal="right" vertical="top"/>
    </xf>
    <xf numFmtId="0" fontId="19" fillId="12" borderId="0" xfId="0" applyFont="1" applyFill="1" applyAlignment="1">
      <alignment horizontal="left" vertical="top"/>
    </xf>
    <xf numFmtId="0" fontId="19" fillId="6" borderId="16" xfId="0" applyFont="1" applyFill="1" applyBorder="1" applyAlignment="1">
      <alignment horizontal="center" vertical="top"/>
    </xf>
    <xf numFmtId="0" fontId="19" fillId="6" borderId="16" xfId="0" applyFont="1" applyFill="1" applyBorder="1" applyAlignment="1">
      <alignment horizontal="left" vertical="top"/>
    </xf>
    <xf numFmtId="179" fontId="19" fillId="6" borderId="17" xfId="0" applyNumberFormat="1" applyFont="1" applyFill="1" applyBorder="1" applyAlignment="1">
      <alignment horizontal="center" vertical="top"/>
    </xf>
    <xf numFmtId="0" fontId="19" fillId="6" borderId="17" xfId="0" applyFont="1" applyFill="1" applyBorder="1" applyAlignment="1">
      <alignment horizontal="center" vertical="top"/>
    </xf>
    <xf numFmtId="20" fontId="19" fillId="6" borderId="17" xfId="0" applyNumberFormat="1" applyFont="1" applyFill="1" applyBorder="1" applyAlignment="1">
      <alignment horizontal="right" vertical="top"/>
    </xf>
    <xf numFmtId="184" fontId="19" fillId="6" borderId="17" xfId="0" applyNumberFormat="1" applyFont="1" applyFill="1" applyBorder="1" applyAlignment="1">
      <alignment horizontal="right" vertical="top"/>
    </xf>
    <xf numFmtId="179" fontId="19" fillId="6" borderId="18" xfId="0" applyNumberFormat="1" applyFont="1" applyFill="1" applyBorder="1" applyAlignment="1">
      <alignment horizontal="center" vertical="top"/>
    </xf>
    <xf numFmtId="0" fontId="19" fillId="6" borderId="18" xfId="0" applyFont="1" applyFill="1" applyBorder="1" applyAlignment="1">
      <alignment horizontal="center" vertical="top"/>
    </xf>
    <xf numFmtId="20" fontId="19" fillId="6" borderId="18" xfId="0" applyNumberFormat="1" applyFont="1" applyFill="1" applyBorder="1" applyAlignment="1">
      <alignment horizontal="right" vertical="top"/>
    </xf>
    <xf numFmtId="184" fontId="19" fillId="6" borderId="18" xfId="0" applyNumberFormat="1" applyFont="1" applyFill="1" applyBorder="1" applyAlignment="1">
      <alignment horizontal="right" vertical="top"/>
    </xf>
    <xf numFmtId="0" fontId="19" fillId="1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180" fontId="2" fillId="2" borderId="16" xfId="0" applyNumberFormat="1" applyFont="1" applyFill="1" applyBorder="1" applyAlignment="1">
      <alignment horizontal="right" vertical="top"/>
    </xf>
    <xf numFmtId="180" fontId="2" fillId="2" borderId="17" xfId="0" applyNumberFormat="1" applyFont="1" applyFill="1" applyBorder="1" applyAlignment="1">
      <alignment horizontal="right" vertical="top"/>
    </xf>
    <xf numFmtId="181" fontId="2" fillId="2" borderId="18" xfId="0" applyNumberFormat="1" applyFont="1" applyFill="1" applyBorder="1" applyAlignment="1">
      <alignment horizontal="right" vertical="top"/>
    </xf>
    <xf numFmtId="0" fontId="2" fillId="2" borderId="16" xfId="0" applyFont="1" applyFill="1" applyBorder="1" applyAlignment="1">
      <alignment horizontal="center" vertical="top"/>
    </xf>
    <xf numFmtId="180" fontId="2" fillId="2" borderId="18" xfId="0" applyNumberFormat="1" applyFont="1" applyFill="1" applyBorder="1" applyAlignment="1">
      <alignment horizontal="right" vertical="top"/>
    </xf>
    <xf numFmtId="0" fontId="2" fillId="2" borderId="18" xfId="0" applyFont="1" applyFill="1" applyBorder="1" applyAlignment="1">
      <alignment horizontal="right" vertical="top"/>
    </xf>
    <xf numFmtId="0" fontId="2" fillId="24" borderId="16" xfId="0" applyFont="1" applyFill="1" applyBorder="1" applyAlignment="1">
      <alignment horizontal="left" vertical="top"/>
    </xf>
    <xf numFmtId="0" fontId="2" fillId="24" borderId="16" xfId="0" applyFont="1" applyFill="1" applyBorder="1" applyAlignment="1">
      <alignment horizontal="center" vertical="top"/>
    </xf>
    <xf numFmtId="0" fontId="13" fillId="2" borderId="16" xfId="0" applyFont="1" applyFill="1" applyBorder="1" applyAlignment="1">
      <alignment horizontal="center" vertical="top"/>
    </xf>
    <xf numFmtId="179" fontId="2" fillId="24" borderId="17" xfId="0" applyNumberFormat="1" applyFont="1" applyFill="1" applyBorder="1" applyAlignment="1">
      <alignment horizontal="center" vertical="top"/>
    </xf>
    <xf numFmtId="0" fontId="2" fillId="24" borderId="17" xfId="0" applyFont="1" applyFill="1" applyBorder="1" applyAlignment="1">
      <alignment horizontal="center" vertical="top"/>
    </xf>
    <xf numFmtId="20" fontId="2" fillId="24" borderId="17" xfId="0" applyNumberFormat="1" applyFont="1" applyFill="1" applyBorder="1" applyAlignment="1">
      <alignment horizontal="right" vertical="top"/>
    </xf>
    <xf numFmtId="20" fontId="13" fillId="2" borderId="17" xfId="0" applyNumberFormat="1" applyFont="1" applyFill="1" applyBorder="1" applyAlignment="1">
      <alignment horizontal="right" vertical="top"/>
    </xf>
    <xf numFmtId="184" fontId="2" fillId="24" borderId="17" xfId="0" applyNumberFormat="1" applyFont="1" applyFill="1" applyBorder="1" applyAlignment="1">
      <alignment horizontal="right" vertical="top"/>
    </xf>
    <xf numFmtId="184" fontId="13" fillId="2" borderId="17" xfId="0" applyNumberFormat="1" applyFont="1" applyFill="1" applyBorder="1" applyAlignment="1">
      <alignment horizontal="right" vertical="top"/>
    </xf>
    <xf numFmtId="179" fontId="2" fillId="24" borderId="18" xfId="0" applyNumberFormat="1" applyFont="1" applyFill="1" applyBorder="1" applyAlignment="1">
      <alignment horizontal="center" vertical="top"/>
    </xf>
    <xf numFmtId="0" fontId="2" fillId="24" borderId="18" xfId="0" applyFont="1" applyFill="1" applyBorder="1" applyAlignment="1">
      <alignment horizontal="center" vertical="top"/>
    </xf>
    <xf numFmtId="20" fontId="2" fillId="24" borderId="18" xfId="0" applyNumberFormat="1" applyFont="1" applyFill="1" applyBorder="1" applyAlignment="1">
      <alignment horizontal="right" vertical="top"/>
    </xf>
    <xf numFmtId="20" fontId="13" fillId="2" borderId="18" xfId="0" applyNumberFormat="1" applyFont="1" applyFill="1" applyBorder="1" applyAlignment="1">
      <alignment horizontal="right" vertical="top"/>
    </xf>
    <xf numFmtId="184" fontId="2" fillId="24" borderId="18" xfId="0" applyNumberFormat="1" applyFont="1" applyFill="1" applyBorder="1" applyAlignment="1">
      <alignment horizontal="right" vertical="top"/>
    </xf>
    <xf numFmtId="184" fontId="13" fillId="2" borderId="18" xfId="0" applyNumberFormat="1" applyFont="1" applyFill="1" applyBorder="1" applyAlignment="1">
      <alignment horizontal="right" vertical="top"/>
    </xf>
    <xf numFmtId="0" fontId="2" fillId="2" borderId="22" xfId="0" applyFont="1" applyFill="1" applyBorder="1" applyAlignment="1">
      <alignment horizontal="left" vertical="top"/>
    </xf>
    <xf numFmtId="0" fontId="2" fillId="2" borderId="23" xfId="0" applyFont="1" applyFill="1" applyBorder="1" applyAlignment="1">
      <alignment horizontal="left" vertical="top"/>
    </xf>
    <xf numFmtId="0" fontId="2" fillId="2" borderId="24" xfId="0" applyFont="1" applyFill="1" applyBorder="1" applyAlignment="1">
      <alignment horizontal="left" vertical="top"/>
    </xf>
    <xf numFmtId="0" fontId="12" fillId="20" borderId="0" xfId="0" applyFont="1" applyFill="1" applyAlignment="1">
      <alignment horizontal="left" vertical="top"/>
    </xf>
    <xf numFmtId="0" fontId="12" fillId="20" borderId="0" xfId="0" applyFont="1" applyFill="1" applyAlignment="1">
      <alignment horizontal="center" vertical="top"/>
    </xf>
    <xf numFmtId="0" fontId="11" fillId="26" borderId="0" xfId="0" applyFont="1" applyFill="1" applyAlignment="1">
      <alignment horizontal="center" vertical="top"/>
    </xf>
    <xf numFmtId="20" fontId="25" fillId="10" borderId="17" xfId="0" applyNumberFormat="1" applyFont="1" applyFill="1" applyBorder="1" applyAlignment="1">
      <alignment horizontal="right" vertical="top"/>
    </xf>
    <xf numFmtId="20" fontId="26" fillId="5" borderId="17" xfId="0" applyNumberFormat="1" applyFont="1" applyFill="1" applyBorder="1" applyAlignment="1">
      <alignment horizontal="right" vertical="top"/>
    </xf>
    <xf numFmtId="20" fontId="26" fillId="2" borderId="17" xfId="0" applyNumberFormat="1" applyFont="1" applyFill="1" applyBorder="1" applyAlignment="1">
      <alignment horizontal="right" vertical="top"/>
    </xf>
    <xf numFmtId="20" fontId="25" fillId="10" borderId="18" xfId="0" applyNumberFormat="1" applyFont="1" applyFill="1" applyBorder="1" applyAlignment="1">
      <alignment horizontal="right" vertical="top"/>
    </xf>
    <xf numFmtId="20" fontId="26" fillId="5" borderId="18" xfId="0" applyNumberFormat="1" applyFont="1" applyFill="1" applyBorder="1" applyAlignment="1">
      <alignment horizontal="right" vertical="top"/>
    </xf>
    <xf numFmtId="20" fontId="26" fillId="2" borderId="18" xfId="0" applyNumberFormat="1" applyFont="1" applyFill="1" applyBorder="1" applyAlignment="1">
      <alignment horizontal="right" vertical="top"/>
    </xf>
    <xf numFmtId="20" fontId="25" fillId="22" borderId="17" xfId="0" applyNumberFormat="1" applyFont="1" applyFill="1" applyBorder="1" applyAlignment="1">
      <alignment horizontal="right" vertical="top"/>
    </xf>
    <xf numFmtId="20" fontId="26" fillId="21" borderId="17" xfId="0" applyNumberFormat="1" applyFont="1" applyFill="1" applyBorder="1" applyAlignment="1">
      <alignment horizontal="right" vertical="top"/>
    </xf>
    <xf numFmtId="20" fontId="26" fillId="23" borderId="17" xfId="0" applyNumberFormat="1" applyFont="1" applyFill="1" applyBorder="1" applyAlignment="1">
      <alignment horizontal="right" vertical="top"/>
    </xf>
    <xf numFmtId="20" fontId="25" fillId="22" borderId="18" xfId="0" applyNumberFormat="1" applyFont="1" applyFill="1" applyBorder="1" applyAlignment="1">
      <alignment horizontal="right" vertical="top"/>
    </xf>
    <xf numFmtId="20" fontId="26" fillId="21" borderId="18" xfId="0" applyNumberFormat="1" applyFont="1" applyFill="1" applyBorder="1" applyAlignment="1">
      <alignment horizontal="right" vertical="top"/>
    </xf>
    <xf numFmtId="20" fontId="26" fillId="23" borderId="18" xfId="0" applyNumberFormat="1" applyFont="1" applyFill="1" applyBorder="1" applyAlignment="1">
      <alignment horizontal="right" vertical="top"/>
    </xf>
    <xf numFmtId="20" fontId="25" fillId="24" borderId="17" xfId="0" applyNumberFormat="1" applyFont="1" applyFill="1" applyBorder="1" applyAlignment="1">
      <alignment horizontal="right" vertical="top"/>
    </xf>
    <xf numFmtId="20" fontId="29" fillId="2" borderId="17" xfId="0" applyNumberFormat="1" applyFont="1" applyFill="1" applyBorder="1" applyAlignment="1">
      <alignment horizontal="right" vertical="top"/>
    </xf>
    <xf numFmtId="20" fontId="25" fillId="24" borderId="18" xfId="0" applyNumberFormat="1" applyFont="1" applyFill="1" applyBorder="1" applyAlignment="1">
      <alignment horizontal="right" vertical="top"/>
    </xf>
    <xf numFmtId="20" fontId="29" fillId="2" borderId="18" xfId="0" applyNumberFormat="1" applyFont="1" applyFill="1" applyBorder="1" applyAlignment="1">
      <alignment horizontal="right" vertical="top"/>
    </xf>
    <xf numFmtId="0" fontId="7" fillId="13" borderId="0" xfId="0" applyFont="1" applyFill="1" applyAlignment="1">
      <alignment horizontal="left" vertical="top"/>
    </xf>
    <xf numFmtId="0" fontId="7" fillId="19" borderId="28" xfId="0" applyFont="1" applyFill="1" applyBorder="1" applyAlignment="1">
      <alignment horizontal="left" vertical="top"/>
    </xf>
    <xf numFmtId="0" fontId="7" fillId="19" borderId="28" xfId="0" applyFont="1" applyFill="1" applyBorder="1" applyAlignment="1">
      <alignment horizontal="center" vertical="top"/>
    </xf>
    <xf numFmtId="0" fontId="15" fillId="25" borderId="28" xfId="0" applyFont="1" applyFill="1" applyBorder="1" applyAlignment="1">
      <alignment horizontal="center" vertical="top"/>
    </xf>
    <xf numFmtId="0" fontId="15" fillId="9" borderId="28" xfId="0" applyFont="1" applyFill="1" applyBorder="1" applyAlignment="1">
      <alignment horizontal="center" vertical="top"/>
    </xf>
    <xf numFmtId="179" fontId="7" fillId="19" borderId="29" xfId="0" applyNumberFormat="1" applyFont="1" applyFill="1" applyBorder="1" applyAlignment="1">
      <alignment horizontal="center" vertical="top"/>
    </xf>
    <xf numFmtId="0" fontId="7" fillId="19" borderId="29" xfId="0" applyFont="1" applyFill="1" applyBorder="1" applyAlignment="1">
      <alignment horizontal="center" vertical="top"/>
    </xf>
    <xf numFmtId="20" fontId="7" fillId="19" borderId="29" xfId="0" applyNumberFormat="1" applyFont="1" applyFill="1" applyBorder="1" applyAlignment="1">
      <alignment horizontal="right" vertical="top"/>
    </xf>
    <xf numFmtId="20" fontId="15" fillId="25" borderId="29" xfId="0" applyNumberFormat="1" applyFont="1" applyFill="1" applyBorder="1" applyAlignment="1">
      <alignment horizontal="right" vertical="top"/>
    </xf>
    <xf numFmtId="184" fontId="7" fillId="19" borderId="29" xfId="0" applyNumberFormat="1" applyFont="1" applyFill="1" applyBorder="1" applyAlignment="1">
      <alignment horizontal="right" vertical="top"/>
    </xf>
    <xf numFmtId="20" fontId="15" fillId="9" borderId="29" xfId="0" applyNumberFormat="1" applyFont="1" applyFill="1" applyBorder="1" applyAlignment="1">
      <alignment horizontal="right" vertical="top"/>
    </xf>
    <xf numFmtId="184" fontId="15" fillId="9" borderId="29" xfId="0" applyNumberFormat="1" applyFont="1" applyFill="1" applyBorder="1" applyAlignment="1">
      <alignment horizontal="right" vertical="top"/>
    </xf>
    <xf numFmtId="179" fontId="7" fillId="19" borderId="30" xfId="0" applyNumberFormat="1" applyFont="1" applyFill="1" applyBorder="1" applyAlignment="1">
      <alignment horizontal="center" vertical="top"/>
    </xf>
    <xf numFmtId="0" fontId="7" fillId="19" borderId="30" xfId="0" applyFont="1" applyFill="1" applyBorder="1" applyAlignment="1">
      <alignment horizontal="center" vertical="top"/>
    </xf>
    <xf numFmtId="20" fontId="7" fillId="19" borderId="30" xfId="0" applyNumberFormat="1" applyFont="1" applyFill="1" applyBorder="1" applyAlignment="1">
      <alignment horizontal="right" vertical="top"/>
    </xf>
    <xf numFmtId="20" fontId="15" fillId="25" borderId="30" xfId="0" applyNumberFormat="1" applyFont="1" applyFill="1" applyBorder="1" applyAlignment="1">
      <alignment horizontal="right" vertical="top"/>
    </xf>
    <xf numFmtId="184" fontId="7" fillId="19" borderId="30" xfId="0" applyNumberFormat="1" applyFont="1" applyFill="1" applyBorder="1" applyAlignment="1">
      <alignment horizontal="right" vertical="top"/>
    </xf>
    <xf numFmtId="20" fontId="15" fillId="9" borderId="30" xfId="0" applyNumberFormat="1" applyFont="1" applyFill="1" applyBorder="1" applyAlignment="1">
      <alignment horizontal="right" vertical="top"/>
    </xf>
    <xf numFmtId="184" fontId="15" fillId="9" borderId="30" xfId="0" applyNumberFormat="1" applyFont="1" applyFill="1" applyBorder="1" applyAlignment="1">
      <alignment horizontal="right" vertical="top"/>
    </xf>
    <xf numFmtId="0" fontId="7" fillId="13" borderId="0" xfId="0" applyFont="1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33" fillId="27" borderId="0" xfId="0" applyFont="1" applyFill="1" applyAlignment="1">
      <alignment horizontal="center" vertical="top"/>
    </xf>
    <xf numFmtId="0" fontId="17" fillId="15" borderId="0" xfId="0" applyFont="1" applyFill="1" applyAlignment="1">
      <alignment horizontal="center" vertical="top"/>
    </xf>
    <xf numFmtId="0" fontId="18" fillId="16" borderId="34" xfId="0" applyFont="1" applyFill="1" applyBorder="1" applyAlignment="1">
      <alignment horizontal="center" vertical="top"/>
    </xf>
    <xf numFmtId="0" fontId="33" fillId="28" borderId="34" xfId="0" applyFont="1" applyFill="1" applyBorder="1" applyAlignment="1">
      <alignment horizontal="center" vertical="top"/>
    </xf>
    <xf numFmtId="0" fontId="33" fillId="27" borderId="34" xfId="0" applyFont="1" applyFill="1" applyBorder="1" applyAlignment="1">
      <alignment horizontal="center" vertical="top"/>
    </xf>
    <xf numFmtId="20" fontId="33" fillId="28" borderId="35" xfId="0" applyNumberFormat="1" applyFont="1" applyFill="1" applyBorder="1" applyAlignment="1">
      <alignment horizontal="right" vertical="top"/>
    </xf>
    <xf numFmtId="20" fontId="33" fillId="27" borderId="35" xfId="0" applyNumberFormat="1" applyFont="1" applyFill="1" applyBorder="1" applyAlignment="1">
      <alignment horizontal="right" vertical="top"/>
    </xf>
    <xf numFmtId="184" fontId="33" fillId="27" borderId="35" xfId="0" applyNumberFormat="1" applyFont="1" applyFill="1" applyBorder="1" applyAlignment="1">
      <alignment horizontal="right" vertical="top"/>
    </xf>
    <xf numFmtId="20" fontId="33" fillId="28" borderId="36" xfId="0" applyNumberFormat="1" applyFont="1" applyFill="1" applyBorder="1" applyAlignment="1">
      <alignment horizontal="right" vertical="top"/>
    </xf>
    <xf numFmtId="20" fontId="33" fillId="27" borderId="36" xfId="0" applyNumberFormat="1" applyFont="1" applyFill="1" applyBorder="1" applyAlignment="1">
      <alignment horizontal="right" vertical="top"/>
    </xf>
    <xf numFmtId="184" fontId="33" fillId="27" borderId="36" xfId="0" applyNumberFormat="1" applyFont="1" applyFill="1" applyBorder="1" applyAlignment="1">
      <alignment horizontal="right" vertical="top"/>
    </xf>
    <xf numFmtId="0" fontId="18" fillId="16" borderId="31" xfId="0" applyFont="1" applyFill="1" applyBorder="1" applyAlignment="1">
      <alignment horizontal="left" vertical="top"/>
    </xf>
    <xf numFmtId="180" fontId="18" fillId="16" borderId="34" xfId="0" applyNumberFormat="1" applyFont="1" applyFill="1" applyBorder="1" applyAlignment="1">
      <alignment horizontal="right" vertical="top"/>
    </xf>
    <xf numFmtId="180" fontId="18" fillId="16" borderId="35" xfId="0" applyNumberFormat="1" applyFont="1" applyFill="1" applyBorder="1" applyAlignment="1">
      <alignment horizontal="right" vertical="top"/>
    </xf>
    <xf numFmtId="181" fontId="18" fillId="16" borderId="36" xfId="0" applyNumberFormat="1" applyFont="1" applyFill="1" applyBorder="1" applyAlignment="1">
      <alignment horizontal="right" vertical="top"/>
    </xf>
    <xf numFmtId="180" fontId="18" fillId="16" borderId="36" xfId="0" applyNumberFormat="1" applyFont="1" applyFill="1" applyBorder="1" applyAlignment="1">
      <alignment horizontal="right" vertical="top"/>
    </xf>
    <xf numFmtId="0" fontId="18" fillId="16" borderId="36" xfId="0" applyFont="1" applyFill="1" applyBorder="1" applyAlignment="1">
      <alignment horizontal="right" vertical="top"/>
    </xf>
    <xf numFmtId="0" fontId="18" fillId="16" borderId="32" xfId="0" applyFont="1" applyFill="1" applyBorder="1" applyAlignment="1">
      <alignment horizontal="left" vertical="top"/>
    </xf>
    <xf numFmtId="0" fontId="18" fillId="16" borderId="33" xfId="0" applyFont="1" applyFill="1" applyBorder="1" applyAlignment="1">
      <alignment horizontal="left" vertical="top"/>
    </xf>
    <xf numFmtId="0" fontId="7" fillId="29" borderId="0" xfId="0" applyFont="1" applyFill="1" applyAlignment="1">
      <alignment horizontal="left" vertical="top"/>
    </xf>
    <xf numFmtId="0" fontId="7" fillId="29" borderId="25" xfId="0" applyFont="1" applyFill="1" applyBorder="1" applyAlignment="1">
      <alignment horizontal="left" vertical="top"/>
    </xf>
    <xf numFmtId="180" fontId="7" fillId="29" borderId="28" xfId="0" applyNumberFormat="1" applyFont="1" applyFill="1" applyBorder="1" applyAlignment="1">
      <alignment horizontal="right" vertical="top"/>
    </xf>
    <xf numFmtId="180" fontId="7" fillId="29" borderId="29" xfId="0" applyNumberFormat="1" applyFont="1" applyFill="1" applyBorder="1" applyAlignment="1">
      <alignment horizontal="right" vertical="top"/>
    </xf>
    <xf numFmtId="0" fontId="7" fillId="29" borderId="28" xfId="0" applyFont="1" applyFill="1" applyBorder="1" applyAlignment="1">
      <alignment horizontal="center" vertical="top"/>
    </xf>
    <xf numFmtId="181" fontId="7" fillId="29" borderId="30" xfId="0" applyNumberFormat="1" applyFont="1" applyFill="1" applyBorder="1" applyAlignment="1">
      <alignment horizontal="right" vertical="top"/>
    </xf>
    <xf numFmtId="180" fontId="7" fillId="29" borderId="30" xfId="0" applyNumberFormat="1" applyFont="1" applyFill="1" applyBorder="1" applyAlignment="1">
      <alignment horizontal="right" vertical="top"/>
    </xf>
    <xf numFmtId="0" fontId="7" fillId="29" borderId="30" xfId="0" applyFont="1" applyFill="1" applyBorder="1" applyAlignment="1">
      <alignment horizontal="right" vertical="top"/>
    </xf>
    <xf numFmtId="0" fontId="7" fillId="29" borderId="26" xfId="0" applyFont="1" applyFill="1" applyBorder="1" applyAlignment="1">
      <alignment horizontal="left" vertical="top"/>
    </xf>
    <xf numFmtId="0" fontId="7" fillId="29" borderId="27" xfId="0" applyFont="1" applyFill="1" applyBorder="1" applyAlignment="1">
      <alignment horizontal="left" vertical="top"/>
    </xf>
    <xf numFmtId="0" fontId="19" fillId="30" borderId="0" xfId="0" applyFont="1" applyFill="1" applyAlignment="1">
      <alignment horizontal="left" vertical="top"/>
    </xf>
    <xf numFmtId="0" fontId="19" fillId="30" borderId="13" xfId="0" applyFont="1" applyFill="1" applyBorder="1" applyAlignment="1">
      <alignment horizontal="left" vertical="top"/>
    </xf>
    <xf numFmtId="0" fontId="19" fillId="30" borderId="14" xfId="0" applyFont="1" applyFill="1" applyBorder="1" applyAlignment="1">
      <alignment horizontal="left" vertical="top"/>
    </xf>
    <xf numFmtId="0" fontId="19" fillId="30" borderId="15" xfId="0" applyFont="1" applyFill="1" applyBorder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1" borderId="19" xfId="0" applyFont="1" applyFill="1" applyBorder="1" applyAlignment="1">
      <alignment horizontal="left" vertical="top"/>
    </xf>
    <xf numFmtId="180" fontId="2" fillId="31" borderId="16" xfId="0" applyNumberFormat="1" applyFont="1" applyFill="1" applyBorder="1" applyAlignment="1">
      <alignment horizontal="right" vertical="top"/>
    </xf>
    <xf numFmtId="180" fontId="2" fillId="31" borderId="17" xfId="0" applyNumberFormat="1" applyFont="1" applyFill="1" applyBorder="1" applyAlignment="1">
      <alignment horizontal="right" vertical="top"/>
    </xf>
    <xf numFmtId="0" fontId="2" fillId="31" borderId="16" xfId="0" applyFont="1" applyFill="1" applyBorder="1" applyAlignment="1">
      <alignment horizontal="center" vertical="top"/>
    </xf>
    <xf numFmtId="181" fontId="2" fillId="31" borderId="18" xfId="0" applyNumberFormat="1" applyFont="1" applyFill="1" applyBorder="1" applyAlignment="1">
      <alignment horizontal="right" vertical="top"/>
    </xf>
    <xf numFmtId="180" fontId="2" fillId="31" borderId="18" xfId="0" applyNumberFormat="1" applyFont="1" applyFill="1" applyBorder="1" applyAlignment="1">
      <alignment horizontal="right" vertical="top"/>
    </xf>
    <xf numFmtId="0" fontId="2" fillId="31" borderId="18" xfId="0" applyFont="1" applyFill="1" applyBorder="1" applyAlignment="1">
      <alignment horizontal="right" vertical="top"/>
    </xf>
    <xf numFmtId="0" fontId="2" fillId="31" borderId="20" xfId="0" applyFont="1" applyFill="1" applyBorder="1" applyAlignment="1">
      <alignment horizontal="left" vertical="top"/>
    </xf>
    <xf numFmtId="0" fontId="2" fillId="31" borderId="21" xfId="0" applyFont="1" applyFill="1" applyBorder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180" fontId="2" fillId="32" borderId="16" xfId="0" applyNumberFormat="1" applyFont="1" applyFill="1" applyBorder="1" applyAlignment="1">
      <alignment horizontal="right" vertical="top"/>
    </xf>
    <xf numFmtId="180" fontId="2" fillId="32" borderId="17" xfId="0" applyNumberFormat="1" applyFont="1" applyFill="1" applyBorder="1" applyAlignment="1">
      <alignment horizontal="right" vertical="top"/>
    </xf>
    <xf numFmtId="0" fontId="2" fillId="32" borderId="16" xfId="0" applyFont="1" applyFill="1" applyBorder="1" applyAlignment="1">
      <alignment horizontal="center" vertical="top"/>
    </xf>
    <xf numFmtId="181" fontId="2" fillId="32" borderId="18" xfId="0" applyNumberFormat="1" applyFont="1" applyFill="1" applyBorder="1" applyAlignment="1">
      <alignment horizontal="right" vertical="top"/>
    </xf>
    <xf numFmtId="180" fontId="2" fillId="32" borderId="18" xfId="0" applyNumberFormat="1" applyFont="1" applyFill="1" applyBorder="1" applyAlignment="1">
      <alignment horizontal="right" vertical="top"/>
    </xf>
    <xf numFmtId="0" fontId="2" fillId="32" borderId="18" xfId="0" applyFont="1" applyFill="1" applyBorder="1" applyAlignment="1">
      <alignment horizontal="right" vertical="top"/>
    </xf>
    <xf numFmtId="0" fontId="2" fillId="32" borderId="8" xfId="0" applyFont="1" applyFill="1" applyBorder="1" applyAlignment="1">
      <alignment horizontal="left" vertical="top"/>
    </xf>
    <xf numFmtId="0" fontId="2" fillId="32" borderId="6" xfId="0" applyFont="1" applyFill="1" applyBorder="1" applyAlignment="1">
      <alignment horizontal="left" vertical="top"/>
    </xf>
    <xf numFmtId="180" fontId="19" fillId="30" borderId="16" xfId="0" applyNumberFormat="1" applyFont="1" applyFill="1" applyBorder="1" applyAlignment="1">
      <alignment horizontal="right" vertical="top"/>
    </xf>
    <xf numFmtId="180" fontId="19" fillId="30" borderId="17" xfId="0" applyNumberFormat="1" applyFont="1" applyFill="1" applyBorder="1" applyAlignment="1">
      <alignment horizontal="right" vertical="top"/>
    </xf>
    <xf numFmtId="181" fontId="19" fillId="30" borderId="18" xfId="0" applyNumberFormat="1" applyFont="1" applyFill="1" applyBorder="1" applyAlignment="1">
      <alignment horizontal="right" vertical="top"/>
    </xf>
    <xf numFmtId="0" fontId="19" fillId="30" borderId="16" xfId="0" applyFont="1" applyFill="1" applyBorder="1" applyAlignment="1">
      <alignment horizontal="center" vertical="top"/>
    </xf>
    <xf numFmtId="180" fontId="19" fillId="30" borderId="18" xfId="0" applyNumberFormat="1" applyFont="1" applyFill="1" applyBorder="1" applyAlignment="1">
      <alignment horizontal="right" vertical="top"/>
    </xf>
    <xf numFmtId="0" fontId="19" fillId="30" borderId="18" xfId="0" applyFont="1" applyFill="1" applyBorder="1" applyAlignment="1">
      <alignment horizontal="right" vertical="top"/>
    </xf>
    <xf numFmtId="0" fontId="11" fillId="26" borderId="16" xfId="0" applyFont="1" applyFill="1" applyBorder="1" applyAlignment="1">
      <alignment horizontal="center" vertical="top"/>
    </xf>
    <xf numFmtId="20" fontId="11" fillId="26" borderId="17" xfId="0" applyNumberFormat="1" applyFont="1" applyFill="1" applyBorder="1" applyAlignment="1">
      <alignment horizontal="right" vertical="top"/>
    </xf>
    <xf numFmtId="184" fontId="11" fillId="26" borderId="17" xfId="0" applyNumberFormat="1" applyFont="1" applyFill="1" applyBorder="1" applyAlignment="1">
      <alignment horizontal="right" vertical="top"/>
    </xf>
    <xf numFmtId="20" fontId="27" fillId="6" borderId="17" xfId="0" applyNumberFormat="1" applyFont="1" applyFill="1" applyBorder="1" applyAlignment="1">
      <alignment horizontal="right" vertical="top"/>
    </xf>
    <xf numFmtId="20" fontId="28" fillId="11" borderId="17" xfId="0" applyNumberFormat="1" applyFont="1" applyFill="1" applyBorder="1" applyAlignment="1">
      <alignment horizontal="right" vertical="top"/>
    </xf>
    <xf numFmtId="20" fontId="28" fillId="26" borderId="17" xfId="0" applyNumberFormat="1" applyFont="1" applyFill="1" applyBorder="1" applyAlignment="1">
      <alignment horizontal="right" vertical="top"/>
    </xf>
    <xf numFmtId="20" fontId="11" fillId="26" borderId="18" xfId="0" applyNumberFormat="1" applyFont="1" applyFill="1" applyBorder="1" applyAlignment="1">
      <alignment horizontal="right" vertical="top"/>
    </xf>
    <xf numFmtId="184" fontId="11" fillId="26" borderId="18" xfId="0" applyNumberFormat="1" applyFont="1" applyFill="1" applyBorder="1" applyAlignment="1">
      <alignment horizontal="right" vertical="top"/>
    </xf>
    <xf numFmtId="20" fontId="27" fillId="6" borderId="18" xfId="0" applyNumberFormat="1" applyFont="1" applyFill="1" applyBorder="1" applyAlignment="1">
      <alignment horizontal="right" vertical="top"/>
    </xf>
    <xf numFmtId="20" fontId="28" fillId="11" borderId="18" xfId="0" applyNumberFormat="1" applyFont="1" applyFill="1" applyBorder="1" applyAlignment="1">
      <alignment horizontal="right" vertical="top"/>
    </xf>
    <xf numFmtId="20" fontId="28" fillId="26" borderId="18" xfId="0" applyNumberFormat="1" applyFont="1" applyFill="1" applyBorder="1" applyAlignment="1">
      <alignment horizontal="right" vertical="top"/>
    </xf>
    <xf numFmtId="0" fontId="18" fillId="33" borderId="0" xfId="0" applyFont="1" applyFill="1" applyAlignment="1">
      <alignment horizontal="center" vertical="top"/>
    </xf>
    <xf numFmtId="0" fontId="18" fillId="33" borderId="34" xfId="0" applyFont="1" applyFill="1" applyBorder="1" applyAlignment="1">
      <alignment horizontal="center" vertical="top"/>
    </xf>
    <xf numFmtId="0" fontId="18" fillId="33" borderId="0" xfId="0" applyFont="1" applyFill="1" applyAlignment="1">
      <alignment horizontal="left" vertical="top"/>
    </xf>
    <xf numFmtId="0" fontId="18" fillId="33" borderId="34" xfId="0" applyFont="1" applyFill="1" applyBorder="1" applyAlignment="1">
      <alignment horizontal="left" vertical="top"/>
    </xf>
    <xf numFmtId="179" fontId="18" fillId="33" borderId="35" xfId="0" applyNumberFormat="1" applyFont="1" applyFill="1" applyBorder="1" applyAlignment="1">
      <alignment horizontal="center" vertical="top"/>
    </xf>
    <xf numFmtId="0" fontId="18" fillId="33" borderId="35" xfId="0" applyFont="1" applyFill="1" applyBorder="1" applyAlignment="1">
      <alignment horizontal="center" vertical="top"/>
    </xf>
    <xf numFmtId="20" fontId="18" fillId="33" borderId="35" xfId="0" applyNumberFormat="1" applyFont="1" applyFill="1" applyBorder="1" applyAlignment="1">
      <alignment horizontal="right" vertical="top"/>
    </xf>
    <xf numFmtId="184" fontId="18" fillId="33" borderId="35" xfId="0" applyNumberFormat="1" applyFont="1" applyFill="1" applyBorder="1" applyAlignment="1">
      <alignment horizontal="right" vertical="top"/>
    </xf>
    <xf numFmtId="179" fontId="18" fillId="33" borderId="36" xfId="0" applyNumberFormat="1" applyFont="1" applyFill="1" applyBorder="1" applyAlignment="1">
      <alignment horizontal="center" vertical="top"/>
    </xf>
    <xf numFmtId="0" fontId="18" fillId="33" borderId="36" xfId="0" applyFont="1" applyFill="1" applyBorder="1" applyAlignment="1">
      <alignment horizontal="center" vertical="top"/>
    </xf>
    <xf numFmtId="20" fontId="18" fillId="33" borderId="36" xfId="0" applyNumberFormat="1" applyFont="1" applyFill="1" applyBorder="1" applyAlignment="1">
      <alignment horizontal="right" vertical="top"/>
    </xf>
    <xf numFmtId="184" fontId="18" fillId="33" borderId="36" xfId="0" applyNumberFormat="1" applyFont="1" applyFill="1" applyBorder="1" applyAlignment="1">
      <alignment horizontal="right" vertical="top"/>
    </xf>
    <xf numFmtId="0" fontId="18" fillId="33" borderId="35" xfId="0" applyFont="1" applyFill="1" applyBorder="1" applyAlignment="1">
      <alignment horizontal="left" vertical="top"/>
    </xf>
    <xf numFmtId="0" fontId="18" fillId="33" borderId="36" xfId="0" applyFont="1" applyFill="1" applyBorder="1" applyAlignment="1">
      <alignment horizontal="left" vertical="top"/>
    </xf>
    <xf numFmtId="0" fontId="33" fillId="28" borderId="0" xfId="0" applyFont="1" applyFill="1" applyAlignment="1">
      <alignment horizontal="center" vertical="top"/>
    </xf>
    <xf numFmtId="0" fontId="33" fillId="27" borderId="0" xfId="0" applyFont="1" applyFill="1" applyAlignment="1">
      <alignment horizontal="center" vertical="top"/>
    </xf>
    <xf numFmtId="0" fontId="18" fillId="33" borderId="34" xfId="0" applyFont="1" applyFill="1" applyBorder="1" applyAlignment="1">
      <alignment horizontal="center" vertical="top"/>
    </xf>
    <xf numFmtId="182" fontId="6" fillId="15" borderId="0" xfId="0" applyNumberFormat="1" applyFont="1" applyFill="1" applyAlignment="1">
      <alignment horizontal="center" vertical="top"/>
    </xf>
    <xf numFmtId="14" fontId="6" fillId="15" borderId="0" xfId="0" applyNumberFormat="1" applyFont="1" applyFill="1" applyAlignment="1">
      <alignment horizontal="center" vertical="top"/>
    </xf>
    <xf numFmtId="14" fontId="6" fillId="15" borderId="31" xfId="0" applyNumberFormat="1" applyFont="1" applyFill="1" applyBorder="1" applyAlignment="1">
      <alignment horizontal="center" vertical="top"/>
    </xf>
    <xf numFmtId="0" fontId="18" fillId="16" borderId="34" xfId="0" applyFont="1" applyFill="1" applyBorder="1" applyAlignment="1">
      <alignment horizontal="left" vertical="top"/>
    </xf>
    <xf numFmtId="0" fontId="18" fillId="16" borderId="35" xfId="0" applyFont="1" applyFill="1" applyBorder="1" applyAlignment="1">
      <alignment horizontal="left" vertical="top"/>
    </xf>
    <xf numFmtId="0" fontId="18" fillId="16" borderId="36" xfId="0" applyFont="1" applyFill="1" applyBorder="1" applyAlignment="1">
      <alignment horizontal="left" vertical="top"/>
    </xf>
    <xf numFmtId="0" fontId="18" fillId="16" borderId="0" xfId="0" applyFont="1" applyFill="1" applyAlignment="1">
      <alignment horizontal="center" vertical="top"/>
    </xf>
    <xf numFmtId="183" fontId="32" fillId="15" borderId="0" xfId="0" applyNumberFormat="1" applyFont="1" applyFill="1" applyAlignment="1">
      <alignment horizontal="center" vertical="top" wrapText="1"/>
    </xf>
    <xf numFmtId="14" fontId="32" fillId="15" borderId="0" xfId="0" applyNumberFormat="1" applyFont="1" applyFill="1" applyAlignment="1">
      <alignment horizontal="center" vertical="top" wrapText="1"/>
    </xf>
    <xf numFmtId="0" fontId="18" fillId="33" borderId="0" xfId="0" applyFont="1" applyFill="1" applyAlignment="1">
      <alignment horizontal="center" vertical="top"/>
    </xf>
    <xf numFmtId="0" fontId="34" fillId="15" borderId="0" xfId="0" applyFont="1" applyFill="1" applyAlignment="1">
      <alignment horizontal="center" vertical="top" textRotation="255" wrapText="1"/>
    </xf>
    <xf numFmtId="0" fontId="17" fillId="15" borderId="0" xfId="0" applyFont="1" applyFill="1" applyAlignment="1">
      <alignment horizontal="center" vertical="top" textRotation="255" wrapText="1"/>
    </xf>
    <xf numFmtId="178" fontId="6" fillId="15" borderId="0" xfId="0" applyNumberFormat="1" applyFont="1" applyFill="1" applyAlignment="1">
      <alignment horizontal="center" vertical="top"/>
    </xf>
    <xf numFmtId="183" fontId="30" fillId="13" borderId="0" xfId="0" applyNumberFormat="1" applyFont="1" applyFill="1" applyAlignment="1">
      <alignment horizontal="center" vertical="top" wrapText="1"/>
    </xf>
    <xf numFmtId="14" fontId="30" fillId="13" borderId="0" xfId="0" applyNumberFormat="1" applyFont="1" applyFill="1" applyAlignment="1">
      <alignment horizontal="center" vertical="top" wrapText="1"/>
    </xf>
    <xf numFmtId="0" fontId="7" fillId="19" borderId="0" xfId="0" applyFont="1" applyFill="1" applyAlignment="1">
      <alignment horizontal="center" vertical="top"/>
    </xf>
    <xf numFmtId="0" fontId="15" fillId="25" borderId="0" xfId="0" applyFont="1" applyFill="1" applyAlignment="1">
      <alignment horizontal="center" vertical="top"/>
    </xf>
    <xf numFmtId="0" fontId="15" fillId="9" borderId="0" xfId="0" applyFont="1" applyFill="1" applyAlignment="1">
      <alignment horizontal="center" vertical="top"/>
    </xf>
    <xf numFmtId="0" fontId="7" fillId="19" borderId="28" xfId="0" applyFont="1" applyFill="1" applyBorder="1" applyAlignment="1">
      <alignment horizontal="center" vertical="top"/>
    </xf>
    <xf numFmtId="178" fontId="8" fillId="13" borderId="0" xfId="0" applyNumberFormat="1" applyFont="1" applyFill="1" applyAlignment="1">
      <alignment horizontal="center" vertical="top"/>
    </xf>
    <xf numFmtId="14" fontId="8" fillId="13" borderId="0" xfId="0" applyNumberFormat="1" applyFont="1" applyFill="1" applyAlignment="1">
      <alignment horizontal="center" vertical="top"/>
    </xf>
    <xf numFmtId="14" fontId="8" fillId="13" borderId="25" xfId="0" applyNumberFormat="1" applyFont="1" applyFill="1" applyBorder="1" applyAlignment="1">
      <alignment horizontal="center" vertical="top"/>
    </xf>
    <xf numFmtId="0" fontId="7" fillId="29" borderId="28" xfId="0" applyFont="1" applyFill="1" applyBorder="1" applyAlignment="1">
      <alignment horizontal="left" vertical="top"/>
    </xf>
    <xf numFmtId="0" fontId="7" fillId="29" borderId="29" xfId="0" applyFont="1" applyFill="1" applyBorder="1" applyAlignment="1">
      <alignment horizontal="left" vertical="top"/>
    </xf>
    <xf numFmtId="0" fontId="7" fillId="29" borderId="30" xfId="0" applyFont="1" applyFill="1" applyBorder="1" applyAlignment="1">
      <alignment horizontal="left" vertical="top"/>
    </xf>
    <xf numFmtId="0" fontId="7" fillId="29" borderId="0" xfId="0" applyFont="1" applyFill="1" applyAlignment="1">
      <alignment horizontal="center" vertical="top"/>
    </xf>
    <xf numFmtId="0" fontId="7" fillId="19" borderId="29" xfId="0" applyFont="1" applyFill="1" applyBorder="1" applyAlignment="1">
      <alignment horizontal="left" vertical="top"/>
    </xf>
    <xf numFmtId="0" fontId="7" fillId="19" borderId="30" xfId="0" applyFont="1" applyFill="1" applyBorder="1" applyAlignment="1">
      <alignment horizontal="left" vertical="top"/>
    </xf>
    <xf numFmtId="0" fontId="31" fillId="13" borderId="0" xfId="0" applyFont="1" applyFill="1" applyAlignment="1">
      <alignment horizontal="center" vertical="top" textRotation="255" wrapText="1"/>
    </xf>
    <xf numFmtId="0" fontId="7" fillId="13" borderId="0" xfId="0" applyFont="1" applyFill="1" applyAlignment="1">
      <alignment horizontal="center" vertical="top" textRotation="255" wrapText="1"/>
    </xf>
    <xf numFmtId="182" fontId="8" fillId="13" borderId="0" xfId="0" applyNumberFormat="1" applyFont="1" applyFill="1" applyAlignment="1">
      <alignment horizontal="center" vertical="top"/>
    </xf>
    <xf numFmtId="183" fontId="23" fillId="20" borderId="0" xfId="0" applyNumberFormat="1" applyFont="1" applyFill="1" applyAlignment="1">
      <alignment horizontal="center" vertical="top" wrapText="1"/>
    </xf>
    <xf numFmtId="14" fontId="23" fillId="20" borderId="0" xfId="0" applyNumberFormat="1" applyFont="1" applyFill="1" applyAlignment="1">
      <alignment horizontal="center" vertical="top" wrapText="1"/>
    </xf>
    <xf numFmtId="0" fontId="2" fillId="24" borderId="0" xfId="0" applyFont="1" applyFill="1" applyAlignment="1">
      <alignment horizontal="center" vertical="top"/>
    </xf>
    <xf numFmtId="0" fontId="13" fillId="2" borderId="0" xfId="0" applyFont="1" applyFill="1" applyAlignment="1">
      <alignment horizontal="center" vertical="top"/>
    </xf>
    <xf numFmtId="0" fontId="2" fillId="24" borderId="16" xfId="0" applyFont="1" applyFill="1" applyBorder="1" applyAlignment="1">
      <alignment horizontal="center" vertical="top"/>
    </xf>
    <xf numFmtId="178" fontId="5" fillId="20" borderId="0" xfId="0" applyNumberFormat="1" applyFont="1" applyFill="1" applyAlignment="1">
      <alignment horizontal="center" vertical="top"/>
    </xf>
    <xf numFmtId="14" fontId="5" fillId="20" borderId="0" xfId="0" applyNumberFormat="1" applyFont="1" applyFill="1" applyAlignment="1">
      <alignment horizontal="center" vertical="top"/>
    </xf>
    <xf numFmtId="14" fontId="5" fillId="20" borderId="22" xfId="0" applyNumberFormat="1" applyFont="1" applyFill="1" applyBorder="1" applyAlignment="1">
      <alignment horizontal="center" vertical="top"/>
    </xf>
    <xf numFmtId="0" fontId="2" fillId="2" borderId="16" xfId="0" applyFont="1" applyFill="1" applyBorder="1" applyAlignment="1">
      <alignment horizontal="left" vertical="top"/>
    </xf>
    <xf numFmtId="0" fontId="2" fillId="2" borderId="17" xfId="0" applyFont="1" applyFill="1" applyBorder="1" applyAlignment="1">
      <alignment horizontal="left" vertical="top"/>
    </xf>
    <xf numFmtId="0" fontId="2" fillId="2" borderId="18" xfId="0" applyFont="1" applyFill="1" applyBorder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2" fillId="24" borderId="17" xfId="0" applyFont="1" applyFill="1" applyBorder="1" applyAlignment="1">
      <alignment horizontal="left" vertical="top"/>
    </xf>
    <xf numFmtId="0" fontId="2" fillId="24" borderId="18" xfId="0" applyFont="1" applyFill="1" applyBorder="1" applyAlignment="1">
      <alignment horizontal="left" vertical="top"/>
    </xf>
    <xf numFmtId="0" fontId="24" fillId="20" borderId="0" xfId="0" applyFont="1" applyFill="1" applyAlignment="1">
      <alignment horizontal="center" vertical="top" textRotation="255" wrapText="1"/>
    </xf>
    <xf numFmtId="0" fontId="12" fillId="20" borderId="0" xfId="0" applyFont="1" applyFill="1" applyAlignment="1">
      <alignment horizontal="center" vertical="top" textRotation="255" wrapText="1"/>
    </xf>
    <xf numFmtId="182" fontId="5" fillId="20" borderId="0" xfId="0" applyNumberFormat="1" applyFont="1" applyFill="1" applyAlignment="1">
      <alignment horizontal="center" vertical="top"/>
    </xf>
    <xf numFmtId="183" fontId="21" fillId="12" borderId="0" xfId="0" applyNumberFormat="1" applyFont="1" applyFill="1" applyAlignment="1">
      <alignment horizontal="center" vertical="top" wrapText="1"/>
    </xf>
    <xf numFmtId="14" fontId="21" fillId="12" borderId="0" xfId="0" applyNumberFormat="1" applyFont="1" applyFill="1" applyAlignment="1">
      <alignment horizontal="center" vertical="top" wrapText="1"/>
    </xf>
    <xf numFmtId="0" fontId="19" fillId="6" borderId="0" xfId="0" applyFont="1" applyFill="1" applyAlignment="1">
      <alignment horizontal="center" vertical="top"/>
    </xf>
    <xf numFmtId="0" fontId="11" fillId="11" borderId="0" xfId="0" applyFont="1" applyFill="1" applyAlignment="1">
      <alignment horizontal="center" vertical="top"/>
    </xf>
    <xf numFmtId="0" fontId="11" fillId="26" borderId="0" xfId="0" applyFont="1" applyFill="1" applyAlignment="1">
      <alignment horizontal="center" vertical="top"/>
    </xf>
    <xf numFmtId="0" fontId="19" fillId="6" borderId="16" xfId="0" applyFont="1" applyFill="1" applyBorder="1" applyAlignment="1">
      <alignment horizontal="center" vertical="top"/>
    </xf>
    <xf numFmtId="178" fontId="20" fillId="12" borderId="0" xfId="0" applyNumberFormat="1" applyFont="1" applyFill="1" applyAlignment="1">
      <alignment horizontal="center" vertical="top"/>
    </xf>
    <xf numFmtId="14" fontId="20" fillId="12" borderId="0" xfId="0" applyNumberFormat="1" applyFont="1" applyFill="1" applyAlignment="1">
      <alignment horizontal="center" vertical="top"/>
    </xf>
    <xf numFmtId="14" fontId="20" fillId="12" borderId="13" xfId="0" applyNumberFormat="1" applyFont="1" applyFill="1" applyBorder="1" applyAlignment="1">
      <alignment horizontal="center" vertical="top"/>
    </xf>
    <xf numFmtId="0" fontId="19" fillId="30" borderId="16" xfId="0" applyFont="1" applyFill="1" applyBorder="1" applyAlignment="1">
      <alignment horizontal="left" vertical="top"/>
    </xf>
    <xf numFmtId="0" fontId="19" fillId="30" borderId="17" xfId="0" applyFont="1" applyFill="1" applyBorder="1" applyAlignment="1">
      <alignment horizontal="left" vertical="top"/>
    </xf>
    <xf numFmtId="0" fontId="19" fillId="30" borderId="18" xfId="0" applyFont="1" applyFill="1" applyBorder="1" applyAlignment="1">
      <alignment horizontal="left" vertical="top"/>
    </xf>
    <xf numFmtId="0" fontId="19" fillId="30" borderId="0" xfId="0" applyFont="1" applyFill="1" applyAlignment="1">
      <alignment horizontal="center" vertical="top"/>
    </xf>
    <xf numFmtId="0" fontId="19" fillId="6" borderId="17" xfId="0" applyFont="1" applyFill="1" applyBorder="1" applyAlignment="1">
      <alignment horizontal="left" vertical="top"/>
    </xf>
    <xf numFmtId="0" fontId="19" fillId="6" borderId="18" xfId="0" applyFont="1" applyFill="1" applyBorder="1" applyAlignment="1">
      <alignment horizontal="left" vertical="top"/>
    </xf>
    <xf numFmtId="0" fontId="22" fillId="12" borderId="0" xfId="0" applyFont="1" applyFill="1" applyAlignment="1">
      <alignment horizontal="center" vertical="top" textRotation="255" wrapText="1"/>
    </xf>
    <xf numFmtId="0" fontId="19" fillId="12" borderId="0" xfId="0" applyFont="1" applyFill="1" applyAlignment="1">
      <alignment horizontal="center" vertical="top" textRotation="255" wrapText="1"/>
    </xf>
    <xf numFmtId="182" fontId="20" fillId="12" borderId="0" xfId="0" applyNumberFormat="1" applyFont="1" applyFill="1" applyAlignment="1">
      <alignment horizontal="center" vertical="top"/>
    </xf>
    <xf numFmtId="183" fontId="9" fillId="8" borderId="0" xfId="0" applyNumberFormat="1" applyFont="1" applyFill="1" applyAlignment="1">
      <alignment horizontal="center" vertical="top" wrapText="1"/>
    </xf>
    <xf numFmtId="14" fontId="9" fillId="8" borderId="0" xfId="0" applyNumberFormat="1" applyFont="1" applyFill="1" applyAlignment="1">
      <alignment horizontal="center" vertical="top" wrapText="1"/>
    </xf>
    <xf numFmtId="0" fontId="2" fillId="22" borderId="0" xfId="0" applyFont="1" applyFill="1" applyAlignment="1">
      <alignment horizontal="center" vertical="top"/>
    </xf>
    <xf numFmtId="0" fontId="3" fillId="21" borderId="0" xfId="0" applyFont="1" applyFill="1" applyAlignment="1">
      <alignment horizontal="center" vertical="top"/>
    </xf>
    <xf numFmtId="0" fontId="3" fillId="23" borderId="0" xfId="0" applyFont="1" applyFill="1" applyAlignment="1">
      <alignment horizontal="center" vertical="top"/>
    </xf>
    <xf numFmtId="0" fontId="2" fillId="22" borderId="16" xfId="0" applyFont="1" applyFill="1" applyBorder="1" applyAlignment="1">
      <alignment horizontal="center" vertical="top"/>
    </xf>
    <xf numFmtId="178" fontId="4" fillId="8" borderId="0" xfId="0" applyNumberFormat="1" applyFont="1" applyFill="1" applyAlignment="1">
      <alignment horizontal="center" vertical="top"/>
    </xf>
    <xf numFmtId="14" fontId="4" fillId="8" borderId="0" xfId="0" applyNumberFormat="1" applyFont="1" applyFill="1" applyAlignment="1">
      <alignment horizontal="center" vertical="top"/>
    </xf>
    <xf numFmtId="14" fontId="4" fillId="8" borderId="19" xfId="0" applyNumberFormat="1" applyFont="1" applyFill="1" applyBorder="1" applyAlignment="1">
      <alignment horizontal="center" vertical="top"/>
    </xf>
    <xf numFmtId="0" fontId="2" fillId="31" borderId="16" xfId="0" applyFont="1" applyFill="1" applyBorder="1" applyAlignment="1">
      <alignment horizontal="left" vertical="top"/>
    </xf>
    <xf numFmtId="0" fontId="2" fillId="31" borderId="17" xfId="0" applyFont="1" applyFill="1" applyBorder="1" applyAlignment="1">
      <alignment horizontal="left" vertical="top"/>
    </xf>
    <xf numFmtId="0" fontId="2" fillId="31" borderId="18" xfId="0" applyFont="1" applyFill="1" applyBorder="1" applyAlignment="1">
      <alignment horizontal="left" vertical="top"/>
    </xf>
    <xf numFmtId="0" fontId="2" fillId="31" borderId="0" xfId="0" applyFont="1" applyFill="1" applyAlignment="1">
      <alignment horizontal="center" vertical="top"/>
    </xf>
    <xf numFmtId="0" fontId="2" fillId="22" borderId="17" xfId="0" applyFont="1" applyFill="1" applyBorder="1" applyAlignment="1">
      <alignment horizontal="left" vertical="top"/>
    </xf>
    <xf numFmtId="0" fontId="2" fillId="22" borderId="18" xfId="0" applyFont="1" applyFill="1" applyBorder="1" applyAlignment="1">
      <alignment horizontal="left" vertical="top"/>
    </xf>
    <xf numFmtId="0" fontId="10" fillId="8" borderId="0" xfId="0" applyFont="1" applyFill="1" applyAlignment="1">
      <alignment horizontal="center" vertical="top" textRotation="255" wrapText="1"/>
    </xf>
    <xf numFmtId="0" fontId="2" fillId="8" borderId="0" xfId="0" applyFont="1" applyFill="1" applyAlignment="1">
      <alignment horizontal="center" vertical="top" textRotation="255" wrapText="1"/>
    </xf>
    <xf numFmtId="182" fontId="4" fillId="8" borderId="0" xfId="0" applyNumberFormat="1" applyFont="1" applyFill="1" applyAlignment="1">
      <alignment horizontal="center" vertical="top"/>
    </xf>
    <xf numFmtId="183" fontId="9" fillId="3" borderId="0" xfId="0" applyNumberFormat="1" applyFont="1" applyFill="1" applyAlignment="1">
      <alignment horizontal="center" vertical="top" wrapText="1"/>
    </xf>
    <xf numFmtId="14" fontId="9" fillId="3" borderId="0" xfId="0" applyNumberFormat="1" applyFont="1" applyFill="1" applyAlignment="1">
      <alignment horizontal="center" vertical="top" wrapText="1"/>
    </xf>
    <xf numFmtId="0" fontId="2" fillId="10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10" borderId="16" xfId="0" applyFont="1" applyFill="1" applyBorder="1" applyAlignment="1">
      <alignment horizontal="center" vertical="top"/>
    </xf>
    <xf numFmtId="178" fontId="4" fillId="3" borderId="0" xfId="0" applyNumberFormat="1" applyFont="1" applyFill="1" applyAlignment="1">
      <alignment horizontal="center" vertical="top"/>
    </xf>
    <xf numFmtId="14" fontId="4" fillId="3" borderId="0" xfId="0" applyNumberFormat="1" applyFont="1" applyFill="1" applyAlignment="1">
      <alignment horizontal="center" vertical="top"/>
    </xf>
    <xf numFmtId="14" fontId="4" fillId="3" borderId="7" xfId="0" applyNumberFormat="1" applyFont="1" applyFill="1" applyBorder="1" applyAlignment="1">
      <alignment horizontal="center" vertical="top"/>
    </xf>
    <xf numFmtId="0" fontId="2" fillId="32" borderId="16" xfId="0" applyFont="1" applyFill="1" applyBorder="1" applyAlignment="1">
      <alignment horizontal="left" vertical="top"/>
    </xf>
    <xf numFmtId="0" fontId="2" fillId="32" borderId="17" xfId="0" applyFont="1" applyFill="1" applyBorder="1" applyAlignment="1">
      <alignment horizontal="left" vertical="top"/>
    </xf>
    <xf numFmtId="0" fontId="2" fillId="32" borderId="18" xfId="0" applyFont="1" applyFill="1" applyBorder="1" applyAlignment="1">
      <alignment horizontal="left" vertical="top"/>
    </xf>
    <xf numFmtId="0" fontId="2" fillId="32" borderId="0" xfId="0" applyFont="1" applyFill="1" applyAlignment="1">
      <alignment horizontal="center" vertical="top"/>
    </xf>
    <xf numFmtId="0" fontId="2" fillId="10" borderId="17" xfId="0" applyFont="1" applyFill="1" applyBorder="1" applyAlignment="1">
      <alignment horizontal="left" vertical="top"/>
    </xf>
    <xf numFmtId="0" fontId="2" fillId="10" borderId="18" xfId="0" applyFont="1" applyFill="1" applyBorder="1" applyAlignment="1">
      <alignment horizontal="left" vertical="top"/>
    </xf>
    <xf numFmtId="0" fontId="10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82" fontId="4" fillId="3" borderId="0" xfId="0" applyNumberFormat="1" applyFont="1" applyFill="1" applyAlignment="1">
      <alignment horizontal="center" vertical="top"/>
    </xf>
    <xf numFmtId="0" fontId="18" fillId="17" borderId="11" xfId="0" applyFont="1" applyFill="1" applyBorder="1" applyAlignment="1">
      <alignment horizontal="left" vertical="top"/>
    </xf>
    <xf numFmtId="0" fontId="7" fillId="7" borderId="9" xfId="0" applyFont="1" applyFill="1" applyBorder="1" applyAlignment="1">
      <alignment horizontal="left" vertical="top"/>
    </xf>
    <xf numFmtId="0" fontId="2" fillId="14" borderId="12" xfId="0" applyFont="1" applyFill="1" applyBorder="1" applyAlignment="1">
      <alignment horizontal="left" vertical="top"/>
    </xf>
    <xf numFmtId="0" fontId="19" fillId="6" borderId="10" xfId="0" applyFont="1" applyFill="1" applyBorder="1" applyAlignment="1">
      <alignment horizontal="left" vertical="top"/>
    </xf>
    <xf numFmtId="0" fontId="2" fillId="7" borderId="9" xfId="0" applyFont="1" applyFill="1" applyBorder="1" applyAlignment="1">
      <alignment horizontal="left" vertical="top"/>
    </xf>
    <xf numFmtId="0" fontId="2" fillId="10" borderId="9" xfId="0" applyFont="1" applyFill="1" applyBorder="1" applyAlignment="1">
      <alignment horizontal="left" vertical="top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</cellXfs>
  <cellStyles count="1">
    <cellStyle name="標準" xfId="0" builtinId="0"/>
  </cellStyles>
  <dxfs count="585"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2F2F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FF3232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DC0000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F25123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D9D9D9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FF8C8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5F5F5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FFC2CA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CEBC5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EEEEEE"/>
      <color rgb="FFF0F0F0"/>
      <color rgb="FFF8F8F8"/>
      <color rgb="FFF6F6F6"/>
      <color rgb="FFEAEAEA"/>
      <color rgb="FFFBFBFB"/>
      <color rgb="FFF3F3F3"/>
      <color rgb="FF2D2D2D"/>
      <color rgb="FF383838"/>
      <color rgb="FF34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BDE74E-FC5C-44E4-910F-FA94F1D43BD0}" name="テーブル9" displayName="テーブル9" ref="A1:D216" totalsRowShown="0" headerRowDxfId="584" dataDxfId="582" headerRowBorderDxfId="583" tableBorderDxfId="581" totalsRowBorderDxfId="580">
  <autoFilter ref="A1:D216" xr:uid="{43BDE74E-FC5C-44E4-910F-FA94F1D43BD0}"/>
  <tableColumns count="4">
    <tableColumn id="1" xr3:uid="{58F938F9-1DE4-4204-A97D-30164EB772F9}" name="年" dataDxfId="579">
      <calculatedColumnFormula>B2</calculatedColumnFormula>
    </tableColumn>
    <tableColumn id="2" xr3:uid="{E1418E2D-7E71-4C4F-AA2D-2F257A796F36}" name="月日" dataDxfId="578"/>
    <tableColumn id="3" xr3:uid="{D4D051EE-380E-457B-9BDE-35C3E8B21050}" name="祝日名" dataDxfId="577"/>
    <tableColumn id="4" xr3:uid="{16383A49-BE2E-461D-B42B-C2BF0A6EEED1}" name="日数" dataDxfId="57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3E7A0-E734-4EE5-9764-47E774049D21}">
  <sheetPr codeName="Sheet1"/>
  <dimension ref="E2:G12"/>
  <sheetViews>
    <sheetView showGridLines="0" tabSelected="1" workbookViewId="0"/>
  </sheetViews>
  <sheetFormatPr defaultRowHeight="18" x14ac:dyDescent="0.45"/>
  <sheetData>
    <row r="2" spans="5:7" x14ac:dyDescent="0.45">
      <c r="E2" s="392"/>
      <c r="F2" s="393"/>
    </row>
    <row r="3" spans="5:7" x14ac:dyDescent="0.45">
      <c r="E3" s="394"/>
      <c r="F3" s="395"/>
    </row>
    <row r="6" spans="5:7" x14ac:dyDescent="0.45">
      <c r="E6" s="396"/>
      <c r="F6" s="397"/>
      <c r="G6" s="398"/>
    </row>
    <row r="7" spans="5:7" x14ac:dyDescent="0.45">
      <c r="E7" s="399"/>
      <c r="F7" s="400"/>
      <c r="G7" s="401"/>
    </row>
    <row r="8" spans="5:7" x14ac:dyDescent="0.45">
      <c r="E8" s="402"/>
    </row>
    <row r="11" spans="5:7" x14ac:dyDescent="0.45">
      <c r="E11" s="405"/>
      <c r="F11" s="408"/>
      <c r="G11" s="403"/>
    </row>
    <row r="12" spans="5:7" x14ac:dyDescent="0.45">
      <c r="E12" s="406"/>
      <c r="F12" s="407"/>
      <c r="G12" s="40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19ED-EF01-4FE3-8919-AB46E6909AED}">
  <sheetPr codeName="Sheet3">
    <outlinePr summaryRight="0"/>
  </sheetPr>
  <dimension ref="A1:HH40"/>
  <sheetViews>
    <sheetView showGridLines="0" workbookViewId="0">
      <pane ySplit="9" topLeftCell="A10" activePane="bottomLeft" state="frozen"/>
      <selection pane="bottomLeft" activeCell="K9" sqref="K9"/>
    </sheetView>
  </sheetViews>
  <sheetFormatPr defaultRowHeight="18" outlineLevelRow="1" outlineLevelCol="1" x14ac:dyDescent="0.45"/>
  <cols>
    <col min="1" max="1" width="4.19921875" style="269" customWidth="1"/>
    <col min="2" max="4" width="3.69921875" style="269" customWidth="1" outlineLevel="1"/>
    <col min="5" max="17" width="6.69921875" style="269" customWidth="1" outlineLevel="1"/>
    <col min="18" max="18" width="2.69921875" style="269" customWidth="1" outlineLevel="1"/>
    <col min="19" max="19" width="4.19921875" style="269" customWidth="1"/>
    <col min="20" max="22" width="3.69921875" style="269" customWidth="1" outlineLevel="1"/>
    <col min="23" max="35" width="6.69921875" style="269" customWidth="1" outlineLevel="1"/>
    <col min="36" max="36" width="2.69921875" style="269" customWidth="1" outlineLevel="1"/>
    <col min="37" max="37" width="4.19921875" style="269" customWidth="1"/>
    <col min="38" max="40" width="3.69921875" style="269" customWidth="1" outlineLevel="1"/>
    <col min="41" max="53" width="6.69921875" style="269" customWidth="1" outlineLevel="1"/>
    <col min="54" max="54" width="2.69921875" style="269" customWidth="1" outlineLevel="1"/>
    <col min="55" max="55" width="4.19921875" style="269" customWidth="1"/>
    <col min="56" max="58" width="3.69921875" style="269" customWidth="1" outlineLevel="1"/>
    <col min="59" max="71" width="6.69921875" style="269" customWidth="1" outlineLevel="1"/>
    <col min="72" max="72" width="2.69921875" style="269" customWidth="1" outlineLevel="1"/>
    <col min="73" max="73" width="4.19921875" style="269" customWidth="1"/>
    <col min="74" max="76" width="3.69921875" style="269" customWidth="1" outlineLevel="1"/>
    <col min="77" max="89" width="6.69921875" style="269" customWidth="1" outlineLevel="1"/>
    <col min="90" max="90" width="2.69921875" style="269" customWidth="1" outlineLevel="1"/>
    <col min="91" max="91" width="4.19921875" style="269" customWidth="1"/>
    <col min="92" max="94" width="3.69921875" style="269" customWidth="1" outlineLevel="1"/>
    <col min="95" max="107" width="6.69921875" style="269" customWidth="1" outlineLevel="1"/>
    <col min="108" max="108" width="2.69921875" style="269" customWidth="1" outlineLevel="1"/>
    <col min="109" max="109" width="4.19921875" style="269" customWidth="1"/>
    <col min="110" max="112" width="3.69921875" style="269" customWidth="1" outlineLevel="1"/>
    <col min="113" max="125" width="6.69921875" style="269" customWidth="1" outlineLevel="1"/>
    <col min="126" max="126" width="2.69921875" style="269" customWidth="1" outlineLevel="1"/>
    <col min="127" max="127" width="4.19921875" style="269" customWidth="1"/>
    <col min="128" max="130" width="3.69921875" style="269" customWidth="1" outlineLevel="1"/>
    <col min="131" max="143" width="6.69921875" style="269" customWidth="1" outlineLevel="1"/>
    <col min="144" max="144" width="2.69921875" style="269" customWidth="1" outlineLevel="1"/>
    <col min="145" max="145" width="4.19921875" style="269" customWidth="1"/>
    <col min="146" max="148" width="3.69921875" style="269" customWidth="1" outlineLevel="1"/>
    <col min="149" max="161" width="6.69921875" style="269" customWidth="1" outlineLevel="1"/>
    <col min="162" max="162" width="2.69921875" style="269" customWidth="1" outlineLevel="1"/>
    <col min="163" max="163" width="4.19921875" style="269" customWidth="1"/>
    <col min="164" max="166" width="3.69921875" style="269" customWidth="1" outlineLevel="1"/>
    <col min="167" max="179" width="6.69921875" style="269" customWidth="1" outlineLevel="1"/>
    <col min="180" max="180" width="2.69921875" style="269" customWidth="1" outlineLevel="1"/>
    <col min="181" max="181" width="4.19921875" style="269" customWidth="1"/>
    <col min="182" max="184" width="3.69921875" style="269" customWidth="1" outlineLevel="1"/>
    <col min="185" max="197" width="6.69921875" style="269" customWidth="1" outlineLevel="1"/>
    <col min="198" max="198" width="2.69921875" style="269" customWidth="1" outlineLevel="1"/>
    <col min="199" max="199" width="4.19921875" style="269" customWidth="1"/>
    <col min="200" max="202" width="3.69921875" style="269" customWidth="1" outlineLevel="1"/>
    <col min="203" max="215" width="6.69921875" style="269" customWidth="1" outlineLevel="1"/>
    <col min="216" max="216" width="2.69921875" style="269" customWidth="1" outlineLevel="1"/>
    <col min="217" max="16384" width="8.796875" style="269"/>
  </cols>
  <sheetData>
    <row r="1" spans="1:215" x14ac:dyDescent="0.45">
      <c r="A1" s="196"/>
      <c r="B1" s="296">
        <v>46023</v>
      </c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6"/>
      <c r="S1" s="196"/>
      <c r="T1" s="284">
        <v>46054</v>
      </c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  <c r="AH1" s="285"/>
      <c r="AI1" s="286"/>
      <c r="AK1" s="196"/>
      <c r="AL1" s="284">
        <v>46082</v>
      </c>
      <c r="AM1" s="285"/>
      <c r="AN1" s="285"/>
      <c r="AO1" s="285"/>
      <c r="AP1" s="285"/>
      <c r="AQ1" s="285"/>
      <c r="AR1" s="285"/>
      <c r="AS1" s="285"/>
      <c r="AT1" s="285"/>
      <c r="AU1" s="285"/>
      <c r="AV1" s="285"/>
      <c r="AW1" s="285"/>
      <c r="AX1" s="285"/>
      <c r="AY1" s="285"/>
      <c r="AZ1" s="285"/>
      <c r="BA1" s="286"/>
      <c r="BC1" s="196"/>
      <c r="BD1" s="284">
        <v>46113</v>
      </c>
      <c r="BE1" s="285"/>
      <c r="BF1" s="285"/>
      <c r="BG1" s="285"/>
      <c r="BH1" s="285"/>
      <c r="BI1" s="285"/>
      <c r="BJ1" s="285"/>
      <c r="BK1" s="285"/>
      <c r="BL1" s="285"/>
      <c r="BM1" s="285"/>
      <c r="BN1" s="285"/>
      <c r="BO1" s="285"/>
      <c r="BP1" s="285"/>
      <c r="BQ1" s="285"/>
      <c r="BR1" s="285"/>
      <c r="BS1" s="286"/>
      <c r="BU1" s="196"/>
      <c r="BV1" s="284">
        <v>46143</v>
      </c>
      <c r="BW1" s="285"/>
      <c r="BX1" s="285"/>
      <c r="BY1" s="285"/>
      <c r="BZ1" s="285"/>
      <c r="CA1" s="285"/>
      <c r="CB1" s="285"/>
      <c r="CC1" s="285"/>
      <c r="CD1" s="285"/>
      <c r="CE1" s="285"/>
      <c r="CF1" s="285"/>
      <c r="CG1" s="285"/>
      <c r="CH1" s="285"/>
      <c r="CI1" s="285"/>
      <c r="CJ1" s="285"/>
      <c r="CK1" s="286"/>
      <c r="CM1" s="196"/>
      <c r="CN1" s="284">
        <v>46174</v>
      </c>
      <c r="CO1" s="285"/>
      <c r="CP1" s="285"/>
      <c r="CQ1" s="285"/>
      <c r="CR1" s="285"/>
      <c r="CS1" s="285"/>
      <c r="CT1" s="285"/>
      <c r="CU1" s="285"/>
      <c r="CV1" s="285"/>
      <c r="CW1" s="285"/>
      <c r="CX1" s="285"/>
      <c r="CY1" s="285"/>
      <c r="CZ1" s="285"/>
      <c r="DA1" s="285"/>
      <c r="DB1" s="285"/>
      <c r="DC1" s="286"/>
      <c r="DE1" s="196"/>
      <c r="DF1" s="284">
        <v>46204</v>
      </c>
      <c r="DG1" s="285"/>
      <c r="DH1" s="285"/>
      <c r="DI1" s="285"/>
      <c r="DJ1" s="285"/>
      <c r="DK1" s="285"/>
      <c r="DL1" s="285"/>
      <c r="DM1" s="285"/>
      <c r="DN1" s="285"/>
      <c r="DO1" s="285"/>
      <c r="DP1" s="285"/>
      <c r="DQ1" s="285"/>
      <c r="DR1" s="285"/>
      <c r="DS1" s="285"/>
      <c r="DT1" s="285"/>
      <c r="DU1" s="286"/>
      <c r="DW1" s="196"/>
      <c r="DX1" s="284">
        <v>46235</v>
      </c>
      <c r="DY1" s="285"/>
      <c r="DZ1" s="285"/>
      <c r="EA1" s="285"/>
      <c r="EB1" s="285"/>
      <c r="EC1" s="285"/>
      <c r="ED1" s="285"/>
      <c r="EE1" s="285"/>
      <c r="EF1" s="285"/>
      <c r="EG1" s="285"/>
      <c r="EH1" s="285"/>
      <c r="EI1" s="285"/>
      <c r="EJ1" s="285"/>
      <c r="EK1" s="285"/>
      <c r="EL1" s="285"/>
      <c r="EM1" s="286"/>
      <c r="EO1" s="196"/>
      <c r="EP1" s="284">
        <v>46266</v>
      </c>
      <c r="EQ1" s="285"/>
      <c r="ER1" s="285"/>
      <c r="ES1" s="285"/>
      <c r="ET1" s="285"/>
      <c r="EU1" s="285"/>
      <c r="EV1" s="285"/>
      <c r="EW1" s="285"/>
      <c r="EX1" s="285"/>
      <c r="EY1" s="285"/>
      <c r="EZ1" s="285"/>
      <c r="FA1" s="285"/>
      <c r="FB1" s="285"/>
      <c r="FC1" s="285"/>
      <c r="FD1" s="285"/>
      <c r="FE1" s="286"/>
      <c r="FG1" s="196"/>
      <c r="FH1" s="284">
        <v>46296</v>
      </c>
      <c r="FI1" s="285"/>
      <c r="FJ1" s="285"/>
      <c r="FK1" s="285"/>
      <c r="FL1" s="285"/>
      <c r="FM1" s="285"/>
      <c r="FN1" s="285"/>
      <c r="FO1" s="285"/>
      <c r="FP1" s="285"/>
      <c r="FQ1" s="285"/>
      <c r="FR1" s="285"/>
      <c r="FS1" s="285"/>
      <c r="FT1" s="285"/>
      <c r="FU1" s="285"/>
      <c r="FV1" s="285"/>
      <c r="FW1" s="286"/>
      <c r="FY1" s="196"/>
      <c r="FZ1" s="284">
        <v>46327</v>
      </c>
      <c r="GA1" s="285"/>
      <c r="GB1" s="285"/>
      <c r="GC1" s="285"/>
      <c r="GD1" s="285"/>
      <c r="GE1" s="285"/>
      <c r="GF1" s="285"/>
      <c r="GG1" s="285"/>
      <c r="GH1" s="285"/>
      <c r="GI1" s="285"/>
      <c r="GJ1" s="285"/>
      <c r="GK1" s="285"/>
      <c r="GL1" s="285"/>
      <c r="GM1" s="285"/>
      <c r="GN1" s="285"/>
      <c r="GO1" s="286"/>
      <c r="GQ1" s="196"/>
      <c r="GR1" s="284">
        <v>46357</v>
      </c>
      <c r="GS1" s="285"/>
      <c r="GT1" s="285"/>
      <c r="GU1" s="285"/>
      <c r="GV1" s="285"/>
      <c r="GW1" s="285"/>
      <c r="GX1" s="285"/>
      <c r="GY1" s="285"/>
      <c r="GZ1" s="285"/>
      <c r="HA1" s="285"/>
      <c r="HB1" s="285"/>
      <c r="HC1" s="285"/>
      <c r="HD1" s="285"/>
      <c r="HE1" s="285"/>
      <c r="HF1" s="285"/>
      <c r="HG1" s="286"/>
    </row>
    <row r="2" spans="1:215" ht="6" customHeight="1" outlineLevel="1" x14ac:dyDescent="0.45">
      <c r="A2" s="196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208"/>
      <c r="S2" s="196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208"/>
      <c r="AK2" s="196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208"/>
      <c r="BC2" s="196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208"/>
      <c r="BU2" s="196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208"/>
      <c r="CM2" s="196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208"/>
      <c r="DE2" s="196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208"/>
      <c r="DW2" s="196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208"/>
      <c r="EO2" s="196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208"/>
      <c r="FG2" s="196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0"/>
      <c r="FW2" s="208"/>
      <c r="FY2" s="196"/>
      <c r="FZ2" s="100"/>
      <c r="GA2" s="100"/>
      <c r="GB2" s="100"/>
      <c r="GC2" s="100"/>
      <c r="GD2" s="100"/>
      <c r="GE2" s="100"/>
      <c r="GF2" s="100"/>
      <c r="GG2" s="100"/>
      <c r="GH2" s="100"/>
      <c r="GI2" s="100"/>
      <c r="GJ2" s="100"/>
      <c r="GK2" s="100"/>
      <c r="GL2" s="100"/>
      <c r="GM2" s="100"/>
      <c r="GN2" s="100"/>
      <c r="GO2" s="208"/>
      <c r="GQ2" s="196"/>
      <c r="GR2" s="100"/>
      <c r="GS2" s="100"/>
      <c r="GT2" s="100"/>
      <c r="GU2" s="100"/>
      <c r="GV2" s="100"/>
      <c r="GW2" s="100"/>
      <c r="GX2" s="100"/>
      <c r="GY2" s="100"/>
      <c r="GZ2" s="100"/>
      <c r="HA2" s="100"/>
      <c r="HB2" s="100"/>
      <c r="HC2" s="100"/>
      <c r="HD2" s="100"/>
      <c r="HE2" s="100"/>
      <c r="HF2" s="100"/>
      <c r="HG2" s="208"/>
    </row>
    <row r="3" spans="1:215" outlineLevel="1" x14ac:dyDescent="0.45">
      <c r="A3" s="196"/>
      <c r="B3" s="287" t="s">
        <v>24</v>
      </c>
      <c r="C3" s="287"/>
      <c r="D3" s="287"/>
      <c r="E3" s="209">
        <f>COUNTIF(D10:D40,"出")</f>
        <v>0</v>
      </c>
      <c r="F3" s="100"/>
      <c r="G3" s="290" t="s">
        <v>35</v>
      </c>
      <c r="H3" s="290"/>
      <c r="I3" s="100"/>
      <c r="J3" s="290" t="s">
        <v>36</v>
      </c>
      <c r="K3" s="290"/>
      <c r="L3" s="100"/>
      <c r="M3" s="100"/>
      <c r="N3" s="100"/>
      <c r="O3" s="100"/>
      <c r="P3" s="100"/>
      <c r="Q3" s="208"/>
      <c r="S3" s="196"/>
      <c r="T3" s="287" t="s">
        <v>24</v>
      </c>
      <c r="U3" s="287"/>
      <c r="V3" s="287"/>
      <c r="W3" s="209">
        <f>COUNTIF(V10:V40,"出")</f>
        <v>0</v>
      </c>
      <c r="X3" s="100"/>
      <c r="Y3" s="290" t="s">
        <v>35</v>
      </c>
      <c r="Z3" s="290"/>
      <c r="AA3" s="100"/>
      <c r="AB3" s="290" t="s">
        <v>36</v>
      </c>
      <c r="AC3" s="290"/>
      <c r="AD3" s="100"/>
      <c r="AE3" s="100"/>
      <c r="AF3" s="100"/>
      <c r="AG3" s="100"/>
      <c r="AH3" s="100"/>
      <c r="AI3" s="208"/>
      <c r="AK3" s="196"/>
      <c r="AL3" s="287" t="s">
        <v>24</v>
      </c>
      <c r="AM3" s="287"/>
      <c r="AN3" s="287"/>
      <c r="AO3" s="209">
        <f>COUNTIF(AN10:AN40,"出")</f>
        <v>0</v>
      </c>
      <c r="AP3" s="100"/>
      <c r="AQ3" s="290" t="s">
        <v>35</v>
      </c>
      <c r="AR3" s="290"/>
      <c r="AS3" s="100"/>
      <c r="AT3" s="290" t="s">
        <v>36</v>
      </c>
      <c r="AU3" s="290"/>
      <c r="AV3" s="100"/>
      <c r="AW3" s="100"/>
      <c r="AX3" s="100"/>
      <c r="AY3" s="100"/>
      <c r="AZ3" s="100"/>
      <c r="BA3" s="208"/>
      <c r="BC3" s="196"/>
      <c r="BD3" s="287" t="s">
        <v>24</v>
      </c>
      <c r="BE3" s="287"/>
      <c r="BF3" s="287"/>
      <c r="BG3" s="209">
        <f>COUNTIF(BF10:BF40,"出")</f>
        <v>0</v>
      </c>
      <c r="BH3" s="100"/>
      <c r="BI3" s="290" t="s">
        <v>35</v>
      </c>
      <c r="BJ3" s="290"/>
      <c r="BK3" s="100"/>
      <c r="BL3" s="290" t="s">
        <v>36</v>
      </c>
      <c r="BM3" s="290"/>
      <c r="BN3" s="100"/>
      <c r="BO3" s="100"/>
      <c r="BP3" s="100"/>
      <c r="BQ3" s="100"/>
      <c r="BR3" s="100"/>
      <c r="BS3" s="208"/>
      <c r="BU3" s="196"/>
      <c r="BV3" s="287" t="s">
        <v>24</v>
      </c>
      <c r="BW3" s="287"/>
      <c r="BX3" s="287"/>
      <c r="BY3" s="209">
        <f>COUNTIF(BX10:BX40,"出")</f>
        <v>0</v>
      </c>
      <c r="BZ3" s="100"/>
      <c r="CA3" s="290" t="s">
        <v>35</v>
      </c>
      <c r="CB3" s="290"/>
      <c r="CC3" s="100"/>
      <c r="CD3" s="290" t="s">
        <v>36</v>
      </c>
      <c r="CE3" s="290"/>
      <c r="CF3" s="100"/>
      <c r="CG3" s="100"/>
      <c r="CH3" s="100"/>
      <c r="CI3" s="100"/>
      <c r="CJ3" s="100"/>
      <c r="CK3" s="208"/>
      <c r="CM3" s="196"/>
      <c r="CN3" s="287" t="s">
        <v>24</v>
      </c>
      <c r="CO3" s="287"/>
      <c r="CP3" s="287"/>
      <c r="CQ3" s="209">
        <f>COUNTIF(CP10:CP40,"出")</f>
        <v>0</v>
      </c>
      <c r="CR3" s="100"/>
      <c r="CS3" s="290" t="s">
        <v>35</v>
      </c>
      <c r="CT3" s="290"/>
      <c r="CU3" s="100"/>
      <c r="CV3" s="290" t="s">
        <v>36</v>
      </c>
      <c r="CW3" s="290"/>
      <c r="CX3" s="100"/>
      <c r="CY3" s="100"/>
      <c r="CZ3" s="100"/>
      <c r="DA3" s="100"/>
      <c r="DB3" s="100"/>
      <c r="DC3" s="208"/>
      <c r="DE3" s="196"/>
      <c r="DF3" s="287" t="s">
        <v>24</v>
      </c>
      <c r="DG3" s="287"/>
      <c r="DH3" s="287"/>
      <c r="DI3" s="209">
        <f>COUNTIF(DH10:DH40,"出")</f>
        <v>0</v>
      </c>
      <c r="DJ3" s="100"/>
      <c r="DK3" s="290" t="s">
        <v>35</v>
      </c>
      <c r="DL3" s="290"/>
      <c r="DM3" s="100"/>
      <c r="DN3" s="290" t="s">
        <v>36</v>
      </c>
      <c r="DO3" s="290"/>
      <c r="DP3" s="100"/>
      <c r="DQ3" s="100"/>
      <c r="DR3" s="100"/>
      <c r="DS3" s="100"/>
      <c r="DT3" s="100"/>
      <c r="DU3" s="208"/>
      <c r="DW3" s="196"/>
      <c r="DX3" s="287" t="s">
        <v>24</v>
      </c>
      <c r="DY3" s="287"/>
      <c r="DZ3" s="287"/>
      <c r="EA3" s="209">
        <f>COUNTIF(DZ10:DZ40,"出")</f>
        <v>0</v>
      </c>
      <c r="EB3" s="100"/>
      <c r="EC3" s="290" t="s">
        <v>35</v>
      </c>
      <c r="ED3" s="290"/>
      <c r="EE3" s="100"/>
      <c r="EF3" s="290" t="s">
        <v>36</v>
      </c>
      <c r="EG3" s="290"/>
      <c r="EH3" s="100"/>
      <c r="EI3" s="100"/>
      <c r="EJ3" s="100"/>
      <c r="EK3" s="100"/>
      <c r="EL3" s="100"/>
      <c r="EM3" s="208"/>
      <c r="EO3" s="196"/>
      <c r="EP3" s="287" t="s">
        <v>24</v>
      </c>
      <c r="EQ3" s="287"/>
      <c r="ER3" s="287"/>
      <c r="ES3" s="209">
        <f>COUNTIF(ER10:ER40,"出")</f>
        <v>0</v>
      </c>
      <c r="ET3" s="100"/>
      <c r="EU3" s="290" t="s">
        <v>35</v>
      </c>
      <c r="EV3" s="290"/>
      <c r="EW3" s="100"/>
      <c r="EX3" s="290" t="s">
        <v>36</v>
      </c>
      <c r="EY3" s="290"/>
      <c r="EZ3" s="100"/>
      <c r="FA3" s="100"/>
      <c r="FB3" s="100"/>
      <c r="FC3" s="100"/>
      <c r="FD3" s="100"/>
      <c r="FE3" s="208"/>
      <c r="FG3" s="196"/>
      <c r="FH3" s="287" t="s">
        <v>24</v>
      </c>
      <c r="FI3" s="287"/>
      <c r="FJ3" s="287"/>
      <c r="FK3" s="209">
        <f>COUNTIF(FJ10:FJ40,"出")</f>
        <v>0</v>
      </c>
      <c r="FL3" s="100"/>
      <c r="FM3" s="290" t="s">
        <v>35</v>
      </c>
      <c r="FN3" s="290"/>
      <c r="FO3" s="100"/>
      <c r="FP3" s="290" t="s">
        <v>36</v>
      </c>
      <c r="FQ3" s="290"/>
      <c r="FR3" s="100"/>
      <c r="FS3" s="100"/>
      <c r="FT3" s="100"/>
      <c r="FU3" s="100"/>
      <c r="FV3" s="100"/>
      <c r="FW3" s="208"/>
      <c r="FY3" s="196"/>
      <c r="FZ3" s="287" t="s">
        <v>24</v>
      </c>
      <c r="GA3" s="287"/>
      <c r="GB3" s="287"/>
      <c r="GC3" s="209">
        <f>COUNTIF(GB10:GB40,"出")</f>
        <v>0</v>
      </c>
      <c r="GD3" s="100"/>
      <c r="GE3" s="290" t="s">
        <v>35</v>
      </c>
      <c r="GF3" s="290"/>
      <c r="GG3" s="100"/>
      <c r="GH3" s="290" t="s">
        <v>36</v>
      </c>
      <c r="GI3" s="290"/>
      <c r="GJ3" s="100"/>
      <c r="GK3" s="100"/>
      <c r="GL3" s="100"/>
      <c r="GM3" s="100"/>
      <c r="GN3" s="100"/>
      <c r="GO3" s="208"/>
      <c r="GQ3" s="196"/>
      <c r="GR3" s="287" t="s">
        <v>24</v>
      </c>
      <c r="GS3" s="287"/>
      <c r="GT3" s="287"/>
      <c r="GU3" s="209">
        <f>COUNTIF(GT10:GT40,"出")</f>
        <v>0</v>
      </c>
      <c r="GV3" s="100"/>
      <c r="GW3" s="290" t="s">
        <v>35</v>
      </c>
      <c r="GX3" s="290"/>
      <c r="GY3" s="100"/>
      <c r="GZ3" s="290" t="s">
        <v>36</v>
      </c>
      <c r="HA3" s="290"/>
      <c r="HB3" s="100"/>
      <c r="HC3" s="100"/>
      <c r="HD3" s="100"/>
      <c r="HE3" s="100"/>
      <c r="HF3" s="100"/>
      <c r="HG3" s="208"/>
    </row>
    <row r="4" spans="1:215" outlineLevel="1" x14ac:dyDescent="0.45">
      <c r="A4" s="196"/>
      <c r="B4" s="288" t="s">
        <v>23</v>
      </c>
      <c r="C4" s="288"/>
      <c r="D4" s="288"/>
      <c r="E4" s="210">
        <f>COUNTIF(D10:D40,"リ")</f>
        <v>19</v>
      </c>
      <c r="F4" s="100"/>
      <c r="G4" s="199" t="s">
        <v>3</v>
      </c>
      <c r="H4" s="199" t="s">
        <v>27</v>
      </c>
      <c r="I4" s="100"/>
      <c r="J4" s="199" t="s">
        <v>3</v>
      </c>
      <c r="K4" s="199" t="s">
        <v>27</v>
      </c>
      <c r="L4" s="100"/>
      <c r="M4" s="100"/>
      <c r="N4" s="100"/>
      <c r="O4" s="100"/>
      <c r="P4" s="100"/>
      <c r="Q4" s="208"/>
      <c r="S4" s="196"/>
      <c r="T4" s="288" t="s">
        <v>23</v>
      </c>
      <c r="U4" s="288"/>
      <c r="V4" s="288"/>
      <c r="W4" s="210">
        <f>COUNTIF(V10:V40,"リ")</f>
        <v>18</v>
      </c>
      <c r="X4" s="100"/>
      <c r="Y4" s="199" t="s">
        <v>3</v>
      </c>
      <c r="Z4" s="199" t="s">
        <v>27</v>
      </c>
      <c r="AA4" s="100"/>
      <c r="AB4" s="199" t="s">
        <v>3</v>
      </c>
      <c r="AC4" s="199" t="s">
        <v>27</v>
      </c>
      <c r="AD4" s="100"/>
      <c r="AE4" s="100"/>
      <c r="AF4" s="100"/>
      <c r="AG4" s="100"/>
      <c r="AH4" s="100"/>
      <c r="AI4" s="208"/>
      <c r="AK4" s="196"/>
      <c r="AL4" s="288" t="s">
        <v>23</v>
      </c>
      <c r="AM4" s="288"/>
      <c r="AN4" s="288"/>
      <c r="AO4" s="210">
        <f>COUNTIF(AN10:AN40,"リ")</f>
        <v>21</v>
      </c>
      <c r="AP4" s="100"/>
      <c r="AQ4" s="199" t="s">
        <v>3</v>
      </c>
      <c r="AR4" s="199" t="s">
        <v>27</v>
      </c>
      <c r="AS4" s="100"/>
      <c r="AT4" s="199" t="s">
        <v>3</v>
      </c>
      <c r="AU4" s="199" t="s">
        <v>27</v>
      </c>
      <c r="AV4" s="100"/>
      <c r="AW4" s="100"/>
      <c r="AX4" s="100"/>
      <c r="AY4" s="100"/>
      <c r="AZ4" s="100"/>
      <c r="BA4" s="208"/>
      <c r="BC4" s="196"/>
      <c r="BD4" s="288" t="s">
        <v>23</v>
      </c>
      <c r="BE4" s="288"/>
      <c r="BF4" s="288"/>
      <c r="BG4" s="210">
        <f>COUNTIF(BF10:BF40,"リ")</f>
        <v>21</v>
      </c>
      <c r="BH4" s="100"/>
      <c r="BI4" s="199" t="s">
        <v>3</v>
      </c>
      <c r="BJ4" s="199" t="s">
        <v>27</v>
      </c>
      <c r="BK4" s="100"/>
      <c r="BL4" s="199" t="s">
        <v>3</v>
      </c>
      <c r="BM4" s="199" t="s">
        <v>27</v>
      </c>
      <c r="BN4" s="100"/>
      <c r="BO4" s="100"/>
      <c r="BP4" s="100"/>
      <c r="BQ4" s="100"/>
      <c r="BR4" s="100"/>
      <c r="BS4" s="208"/>
      <c r="BU4" s="196"/>
      <c r="BV4" s="288" t="s">
        <v>23</v>
      </c>
      <c r="BW4" s="288"/>
      <c r="BX4" s="288"/>
      <c r="BY4" s="210">
        <f>COUNTIF(BX10:BX40,"リ")</f>
        <v>18</v>
      </c>
      <c r="BZ4" s="100"/>
      <c r="CA4" s="199" t="s">
        <v>3</v>
      </c>
      <c r="CB4" s="199" t="s">
        <v>27</v>
      </c>
      <c r="CC4" s="100"/>
      <c r="CD4" s="199" t="s">
        <v>3</v>
      </c>
      <c r="CE4" s="199" t="s">
        <v>27</v>
      </c>
      <c r="CF4" s="100"/>
      <c r="CG4" s="100"/>
      <c r="CH4" s="100"/>
      <c r="CI4" s="100"/>
      <c r="CJ4" s="100"/>
      <c r="CK4" s="208"/>
      <c r="CM4" s="196"/>
      <c r="CN4" s="288" t="s">
        <v>23</v>
      </c>
      <c r="CO4" s="288"/>
      <c r="CP4" s="288"/>
      <c r="CQ4" s="210">
        <f>COUNTIF(CP10:CP40,"リ")</f>
        <v>22</v>
      </c>
      <c r="CR4" s="100"/>
      <c r="CS4" s="199" t="s">
        <v>3</v>
      </c>
      <c r="CT4" s="199" t="s">
        <v>27</v>
      </c>
      <c r="CU4" s="100"/>
      <c r="CV4" s="199" t="s">
        <v>3</v>
      </c>
      <c r="CW4" s="199" t="s">
        <v>27</v>
      </c>
      <c r="CX4" s="100"/>
      <c r="CY4" s="100"/>
      <c r="CZ4" s="100"/>
      <c r="DA4" s="100"/>
      <c r="DB4" s="100"/>
      <c r="DC4" s="208"/>
      <c r="DE4" s="196"/>
      <c r="DF4" s="288" t="s">
        <v>23</v>
      </c>
      <c r="DG4" s="288"/>
      <c r="DH4" s="288"/>
      <c r="DI4" s="210">
        <f>COUNTIF(DH10:DH40,"リ")</f>
        <v>22</v>
      </c>
      <c r="DJ4" s="100"/>
      <c r="DK4" s="199" t="s">
        <v>3</v>
      </c>
      <c r="DL4" s="199" t="s">
        <v>27</v>
      </c>
      <c r="DM4" s="100"/>
      <c r="DN4" s="199" t="s">
        <v>3</v>
      </c>
      <c r="DO4" s="199" t="s">
        <v>27</v>
      </c>
      <c r="DP4" s="100"/>
      <c r="DQ4" s="100"/>
      <c r="DR4" s="100"/>
      <c r="DS4" s="100"/>
      <c r="DT4" s="100"/>
      <c r="DU4" s="208"/>
      <c r="DW4" s="196"/>
      <c r="DX4" s="288" t="s">
        <v>23</v>
      </c>
      <c r="DY4" s="288"/>
      <c r="DZ4" s="288"/>
      <c r="EA4" s="210">
        <f>COUNTIF(DZ10:DZ40,"リ")</f>
        <v>20</v>
      </c>
      <c r="EB4" s="100"/>
      <c r="EC4" s="199" t="s">
        <v>3</v>
      </c>
      <c r="ED4" s="199" t="s">
        <v>27</v>
      </c>
      <c r="EE4" s="100"/>
      <c r="EF4" s="199" t="s">
        <v>3</v>
      </c>
      <c r="EG4" s="199" t="s">
        <v>27</v>
      </c>
      <c r="EH4" s="100"/>
      <c r="EI4" s="100"/>
      <c r="EJ4" s="100"/>
      <c r="EK4" s="100"/>
      <c r="EL4" s="100"/>
      <c r="EM4" s="208"/>
      <c r="EO4" s="196"/>
      <c r="EP4" s="288" t="s">
        <v>23</v>
      </c>
      <c r="EQ4" s="288"/>
      <c r="ER4" s="288"/>
      <c r="ES4" s="210">
        <f>COUNTIF(ER10:ER40,"リ")</f>
        <v>19</v>
      </c>
      <c r="ET4" s="100"/>
      <c r="EU4" s="199" t="s">
        <v>3</v>
      </c>
      <c r="EV4" s="199" t="s">
        <v>27</v>
      </c>
      <c r="EW4" s="100"/>
      <c r="EX4" s="199" t="s">
        <v>3</v>
      </c>
      <c r="EY4" s="199" t="s">
        <v>27</v>
      </c>
      <c r="EZ4" s="100"/>
      <c r="FA4" s="100"/>
      <c r="FB4" s="100"/>
      <c r="FC4" s="100"/>
      <c r="FD4" s="100"/>
      <c r="FE4" s="208"/>
      <c r="FG4" s="196"/>
      <c r="FH4" s="288" t="s">
        <v>23</v>
      </c>
      <c r="FI4" s="288"/>
      <c r="FJ4" s="288"/>
      <c r="FK4" s="210">
        <f>COUNTIF(FJ10:FJ40,"リ")</f>
        <v>21</v>
      </c>
      <c r="FL4" s="100"/>
      <c r="FM4" s="199" t="s">
        <v>3</v>
      </c>
      <c r="FN4" s="199" t="s">
        <v>27</v>
      </c>
      <c r="FO4" s="100"/>
      <c r="FP4" s="199" t="s">
        <v>3</v>
      </c>
      <c r="FQ4" s="199" t="s">
        <v>27</v>
      </c>
      <c r="FR4" s="100"/>
      <c r="FS4" s="100"/>
      <c r="FT4" s="100"/>
      <c r="FU4" s="100"/>
      <c r="FV4" s="100"/>
      <c r="FW4" s="208"/>
      <c r="FY4" s="196"/>
      <c r="FZ4" s="288" t="s">
        <v>23</v>
      </c>
      <c r="GA4" s="288"/>
      <c r="GB4" s="288"/>
      <c r="GC4" s="210">
        <f>COUNTIF(GB10:GB40,"リ")</f>
        <v>19</v>
      </c>
      <c r="GD4" s="100"/>
      <c r="GE4" s="199" t="s">
        <v>3</v>
      </c>
      <c r="GF4" s="199" t="s">
        <v>27</v>
      </c>
      <c r="GG4" s="100"/>
      <c r="GH4" s="199" t="s">
        <v>3</v>
      </c>
      <c r="GI4" s="199" t="s">
        <v>27</v>
      </c>
      <c r="GJ4" s="100"/>
      <c r="GK4" s="100"/>
      <c r="GL4" s="100"/>
      <c r="GM4" s="100"/>
      <c r="GN4" s="100"/>
      <c r="GO4" s="208"/>
      <c r="GQ4" s="196"/>
      <c r="GR4" s="288" t="s">
        <v>23</v>
      </c>
      <c r="GS4" s="288"/>
      <c r="GT4" s="288"/>
      <c r="GU4" s="210">
        <f>COUNTIF(GT10:GT40,"リ")</f>
        <v>20</v>
      </c>
      <c r="GV4" s="100"/>
      <c r="GW4" s="199" t="s">
        <v>3</v>
      </c>
      <c r="GX4" s="199" t="s">
        <v>27</v>
      </c>
      <c r="GY4" s="100"/>
      <c r="GZ4" s="199" t="s">
        <v>3</v>
      </c>
      <c r="HA4" s="199" t="s">
        <v>27</v>
      </c>
      <c r="HB4" s="100"/>
      <c r="HC4" s="100"/>
      <c r="HD4" s="100"/>
      <c r="HE4" s="100"/>
      <c r="HF4" s="100"/>
      <c r="HG4" s="208"/>
    </row>
    <row r="5" spans="1:215" outlineLevel="1" x14ac:dyDescent="0.45">
      <c r="A5" s="196"/>
      <c r="B5" s="289" t="s">
        <v>25</v>
      </c>
      <c r="C5" s="289"/>
      <c r="D5" s="289"/>
      <c r="E5" s="211">
        <f>E3/(E3+E4)</f>
        <v>0</v>
      </c>
      <c r="F5" s="100"/>
      <c r="G5" s="212">
        <f>COUNT(F10:F40)</f>
        <v>19</v>
      </c>
      <c r="H5" s="21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00"/>
      <c r="J5" s="212">
        <f>COUNT(J10:J40)</f>
        <v>19</v>
      </c>
      <c r="K5" s="21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00"/>
      <c r="M5" s="100"/>
      <c r="N5" s="100"/>
      <c r="O5" s="100"/>
      <c r="P5" s="100"/>
      <c r="Q5" s="208"/>
      <c r="S5" s="196"/>
      <c r="T5" s="289" t="s">
        <v>25</v>
      </c>
      <c r="U5" s="289"/>
      <c r="V5" s="289"/>
      <c r="W5" s="211">
        <f>W3/(W3+W4)</f>
        <v>0</v>
      </c>
      <c r="X5" s="100"/>
      <c r="Y5" s="212">
        <f>COUNT(X10:X40)</f>
        <v>18</v>
      </c>
      <c r="Z5" s="21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00"/>
      <c r="AB5" s="212">
        <f>COUNT(AB10:AB40)</f>
        <v>18</v>
      </c>
      <c r="AC5" s="21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00"/>
      <c r="AE5" s="100"/>
      <c r="AF5" s="100"/>
      <c r="AG5" s="100"/>
      <c r="AH5" s="100"/>
      <c r="AI5" s="208"/>
      <c r="AK5" s="196"/>
      <c r="AL5" s="289" t="s">
        <v>25</v>
      </c>
      <c r="AM5" s="289"/>
      <c r="AN5" s="289"/>
      <c r="AO5" s="211">
        <f>AO3/(AO3+AO4)</f>
        <v>0</v>
      </c>
      <c r="AP5" s="100"/>
      <c r="AQ5" s="212">
        <f>COUNT(AP10:AP40)</f>
        <v>21</v>
      </c>
      <c r="AR5" s="21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00"/>
      <c r="AT5" s="212">
        <f>COUNT(AT10:AT40)</f>
        <v>21</v>
      </c>
      <c r="AU5" s="21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00"/>
      <c r="AW5" s="100"/>
      <c r="AX5" s="100"/>
      <c r="AY5" s="100"/>
      <c r="AZ5" s="100"/>
      <c r="BA5" s="208"/>
      <c r="BC5" s="196"/>
      <c r="BD5" s="289" t="s">
        <v>25</v>
      </c>
      <c r="BE5" s="289"/>
      <c r="BF5" s="289"/>
      <c r="BG5" s="211">
        <f>BG3/(BG3+BG4)</f>
        <v>0</v>
      </c>
      <c r="BH5" s="100"/>
      <c r="BI5" s="212">
        <f>COUNT(BH10:BH40)</f>
        <v>21</v>
      </c>
      <c r="BJ5" s="21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00"/>
      <c r="BL5" s="212">
        <f>COUNT(BL10:BL40)</f>
        <v>21</v>
      </c>
      <c r="BM5" s="21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00"/>
      <c r="BO5" s="100"/>
      <c r="BP5" s="100"/>
      <c r="BQ5" s="100"/>
      <c r="BR5" s="100"/>
      <c r="BS5" s="208"/>
      <c r="BU5" s="196"/>
      <c r="BV5" s="289" t="s">
        <v>25</v>
      </c>
      <c r="BW5" s="289"/>
      <c r="BX5" s="289"/>
      <c r="BY5" s="211">
        <f>BY3/(BY3+BY4)</f>
        <v>0</v>
      </c>
      <c r="BZ5" s="100"/>
      <c r="CA5" s="212">
        <f>COUNT(BZ10:BZ40)</f>
        <v>18</v>
      </c>
      <c r="CB5" s="21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00"/>
      <c r="CD5" s="212">
        <f>COUNT(CD10:CD40)</f>
        <v>18</v>
      </c>
      <c r="CE5" s="21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00"/>
      <c r="CG5" s="100"/>
      <c r="CH5" s="100"/>
      <c r="CI5" s="100"/>
      <c r="CJ5" s="100"/>
      <c r="CK5" s="208"/>
      <c r="CM5" s="196"/>
      <c r="CN5" s="289" t="s">
        <v>25</v>
      </c>
      <c r="CO5" s="289"/>
      <c r="CP5" s="289"/>
      <c r="CQ5" s="211">
        <f>CQ3/(CQ3+CQ4)</f>
        <v>0</v>
      </c>
      <c r="CR5" s="100"/>
      <c r="CS5" s="212">
        <f>COUNT(CR10:CR40)</f>
        <v>22</v>
      </c>
      <c r="CT5" s="21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00"/>
      <c r="CV5" s="212">
        <f>COUNT(CV10:CV40)</f>
        <v>22</v>
      </c>
      <c r="CW5" s="21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00"/>
      <c r="CY5" s="100"/>
      <c r="CZ5" s="100"/>
      <c r="DA5" s="100"/>
      <c r="DB5" s="100"/>
      <c r="DC5" s="208"/>
      <c r="DE5" s="196"/>
      <c r="DF5" s="289" t="s">
        <v>25</v>
      </c>
      <c r="DG5" s="289"/>
      <c r="DH5" s="289"/>
      <c r="DI5" s="211">
        <f>DI3/(DI3+DI4)</f>
        <v>0</v>
      </c>
      <c r="DJ5" s="100"/>
      <c r="DK5" s="212">
        <f>COUNT(DJ10:DJ40)</f>
        <v>22</v>
      </c>
      <c r="DL5" s="21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00"/>
      <c r="DN5" s="212">
        <f>COUNT(DN10:DN40)</f>
        <v>22</v>
      </c>
      <c r="DO5" s="21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00"/>
      <c r="DQ5" s="100"/>
      <c r="DR5" s="100"/>
      <c r="DS5" s="100"/>
      <c r="DT5" s="100"/>
      <c r="DU5" s="208"/>
      <c r="DW5" s="196"/>
      <c r="DX5" s="289" t="s">
        <v>25</v>
      </c>
      <c r="DY5" s="289"/>
      <c r="DZ5" s="289"/>
      <c r="EA5" s="211">
        <f>EA3/(EA3+EA4)</f>
        <v>0</v>
      </c>
      <c r="EB5" s="100"/>
      <c r="EC5" s="212">
        <f>COUNT(EB10:EB40)</f>
        <v>20</v>
      </c>
      <c r="ED5" s="21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00"/>
      <c r="EF5" s="212">
        <f>COUNT(EF10:EF40)</f>
        <v>20</v>
      </c>
      <c r="EG5" s="21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00"/>
      <c r="EI5" s="100"/>
      <c r="EJ5" s="100"/>
      <c r="EK5" s="100"/>
      <c r="EL5" s="100"/>
      <c r="EM5" s="208"/>
      <c r="EO5" s="196"/>
      <c r="EP5" s="289" t="s">
        <v>25</v>
      </c>
      <c r="EQ5" s="289"/>
      <c r="ER5" s="289"/>
      <c r="ES5" s="211">
        <f>ES3/(ES3+ES4)</f>
        <v>0</v>
      </c>
      <c r="ET5" s="100"/>
      <c r="EU5" s="212">
        <f>COUNT(ET10:ET40)</f>
        <v>19</v>
      </c>
      <c r="EV5" s="21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00"/>
      <c r="EX5" s="212">
        <f>COUNT(EX10:EX40)</f>
        <v>19</v>
      </c>
      <c r="EY5" s="21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00"/>
      <c r="FA5" s="100"/>
      <c r="FB5" s="100"/>
      <c r="FC5" s="100"/>
      <c r="FD5" s="100"/>
      <c r="FE5" s="208"/>
      <c r="FG5" s="196"/>
      <c r="FH5" s="289" t="s">
        <v>25</v>
      </c>
      <c r="FI5" s="289"/>
      <c r="FJ5" s="289"/>
      <c r="FK5" s="211">
        <f>FK3/(FK3+FK4)</f>
        <v>0</v>
      </c>
      <c r="FL5" s="100"/>
      <c r="FM5" s="212">
        <f>COUNT(FL10:FL40)</f>
        <v>21</v>
      </c>
      <c r="FN5" s="21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00"/>
      <c r="FP5" s="212">
        <f>COUNT(FP10:FP40)</f>
        <v>21</v>
      </c>
      <c r="FQ5" s="21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00"/>
      <c r="FS5" s="100"/>
      <c r="FT5" s="100"/>
      <c r="FU5" s="100"/>
      <c r="FV5" s="100"/>
      <c r="FW5" s="208"/>
      <c r="FY5" s="196"/>
      <c r="FZ5" s="289" t="s">
        <v>25</v>
      </c>
      <c r="GA5" s="289"/>
      <c r="GB5" s="289"/>
      <c r="GC5" s="211">
        <f>GC3/(GC3+GC4)</f>
        <v>0</v>
      </c>
      <c r="GD5" s="100"/>
      <c r="GE5" s="212">
        <f>COUNT(GD10:GD40)</f>
        <v>19</v>
      </c>
      <c r="GF5" s="21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00"/>
      <c r="GH5" s="212">
        <f>COUNT(GH10:GH40)</f>
        <v>19</v>
      </c>
      <c r="GI5" s="21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00"/>
      <c r="GK5" s="100"/>
      <c r="GL5" s="100"/>
      <c r="GM5" s="100"/>
      <c r="GN5" s="100"/>
      <c r="GO5" s="208"/>
      <c r="GQ5" s="196"/>
      <c r="GR5" s="289" t="s">
        <v>25</v>
      </c>
      <c r="GS5" s="289"/>
      <c r="GT5" s="289"/>
      <c r="GU5" s="211">
        <f>GU3/(GU3+GU4)</f>
        <v>0</v>
      </c>
      <c r="GV5" s="100"/>
      <c r="GW5" s="212">
        <f>COUNT(GV10:GV40)</f>
        <v>20</v>
      </c>
      <c r="GX5" s="21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00"/>
      <c r="GZ5" s="212">
        <f>COUNT(GZ10:GZ40)</f>
        <v>20</v>
      </c>
      <c r="HA5" s="21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00"/>
      <c r="HC5" s="100"/>
      <c r="HD5" s="100"/>
      <c r="HE5" s="100"/>
      <c r="HF5" s="100"/>
      <c r="HG5" s="208"/>
    </row>
    <row r="6" spans="1:215" ht="6" customHeight="1" outlineLevel="1" thickBot="1" x14ac:dyDescent="0.5">
      <c r="A6" s="196"/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5"/>
      <c r="S6" s="196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5"/>
      <c r="AK6" s="196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5"/>
      <c r="BC6" s="196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5"/>
      <c r="BU6" s="196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5"/>
      <c r="CM6" s="196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14"/>
      <c r="DB6" s="214"/>
      <c r="DC6" s="215"/>
      <c r="DE6" s="196"/>
      <c r="DF6" s="214"/>
      <c r="DG6" s="214"/>
      <c r="DH6" s="214"/>
      <c r="DI6" s="214"/>
      <c r="DJ6" s="214"/>
      <c r="DK6" s="214"/>
      <c r="DL6" s="214"/>
      <c r="DM6" s="214"/>
      <c r="DN6" s="214"/>
      <c r="DO6" s="214"/>
      <c r="DP6" s="214"/>
      <c r="DQ6" s="214"/>
      <c r="DR6" s="214"/>
      <c r="DS6" s="214"/>
      <c r="DT6" s="214"/>
      <c r="DU6" s="215"/>
      <c r="DW6" s="196"/>
      <c r="DX6" s="214"/>
      <c r="DY6" s="214"/>
      <c r="DZ6" s="214"/>
      <c r="EA6" s="214"/>
      <c r="EB6" s="214"/>
      <c r="EC6" s="214"/>
      <c r="ED6" s="214"/>
      <c r="EE6" s="214"/>
      <c r="EF6" s="214"/>
      <c r="EG6" s="214"/>
      <c r="EH6" s="214"/>
      <c r="EI6" s="214"/>
      <c r="EJ6" s="214"/>
      <c r="EK6" s="214"/>
      <c r="EL6" s="214"/>
      <c r="EM6" s="215"/>
      <c r="EO6" s="196"/>
      <c r="EP6" s="214"/>
      <c r="EQ6" s="214"/>
      <c r="ER6" s="214"/>
      <c r="ES6" s="214"/>
      <c r="ET6" s="214"/>
      <c r="EU6" s="214"/>
      <c r="EV6" s="214"/>
      <c r="EW6" s="214"/>
      <c r="EX6" s="214"/>
      <c r="EY6" s="214"/>
      <c r="EZ6" s="214"/>
      <c r="FA6" s="214"/>
      <c r="FB6" s="214"/>
      <c r="FC6" s="214"/>
      <c r="FD6" s="214"/>
      <c r="FE6" s="215"/>
      <c r="FG6" s="196"/>
      <c r="FH6" s="214"/>
      <c r="FI6" s="214"/>
      <c r="FJ6" s="214"/>
      <c r="FK6" s="214"/>
      <c r="FL6" s="214"/>
      <c r="FM6" s="214"/>
      <c r="FN6" s="214"/>
      <c r="FO6" s="214"/>
      <c r="FP6" s="214"/>
      <c r="FQ6" s="214"/>
      <c r="FR6" s="214"/>
      <c r="FS6" s="214"/>
      <c r="FT6" s="214"/>
      <c r="FU6" s="214"/>
      <c r="FV6" s="214"/>
      <c r="FW6" s="215"/>
      <c r="FY6" s="196"/>
      <c r="FZ6" s="214"/>
      <c r="GA6" s="214"/>
      <c r="GB6" s="214"/>
      <c r="GC6" s="214"/>
      <c r="GD6" s="214"/>
      <c r="GE6" s="214"/>
      <c r="GF6" s="214"/>
      <c r="GG6" s="214"/>
      <c r="GH6" s="214"/>
      <c r="GI6" s="214"/>
      <c r="GJ6" s="214"/>
      <c r="GK6" s="214"/>
      <c r="GL6" s="214"/>
      <c r="GM6" s="214"/>
      <c r="GN6" s="214"/>
      <c r="GO6" s="215"/>
      <c r="GQ6" s="196"/>
      <c r="GR6" s="214"/>
      <c r="GS6" s="214"/>
      <c r="GT6" s="214"/>
      <c r="GU6" s="214"/>
      <c r="GV6" s="214"/>
      <c r="GW6" s="214"/>
      <c r="GX6" s="214"/>
      <c r="GY6" s="214"/>
      <c r="GZ6" s="214"/>
      <c r="HA6" s="214"/>
      <c r="HB6" s="214"/>
      <c r="HC6" s="214"/>
      <c r="HD6" s="214"/>
      <c r="HE6" s="214"/>
      <c r="HF6" s="214"/>
      <c r="HG6" s="215"/>
    </row>
    <row r="7" spans="1:215" ht="6" customHeight="1" outlineLevel="1" thickTop="1" x14ac:dyDescent="0.45">
      <c r="A7" s="196"/>
      <c r="S7" s="196"/>
      <c r="AK7" s="196"/>
      <c r="BC7" s="196"/>
      <c r="BU7" s="196"/>
      <c r="CM7" s="196"/>
      <c r="DE7" s="196"/>
      <c r="DW7" s="196"/>
      <c r="EO7" s="196"/>
      <c r="FG7" s="196"/>
      <c r="FY7" s="196"/>
      <c r="GQ7" s="196"/>
    </row>
    <row r="8" spans="1:215" x14ac:dyDescent="0.45">
      <c r="A8" s="291">
        <v>46023</v>
      </c>
      <c r="D8" s="267"/>
      <c r="E8" s="293" t="s">
        <v>26</v>
      </c>
      <c r="F8" s="293"/>
      <c r="G8" s="281" t="s">
        <v>32</v>
      </c>
      <c r="H8" s="281"/>
      <c r="I8" s="267"/>
      <c r="J8" s="282" t="s">
        <v>28</v>
      </c>
      <c r="K8" s="282"/>
      <c r="L8" s="282" t="s">
        <v>32</v>
      </c>
      <c r="M8" s="282"/>
      <c r="N8" s="197"/>
      <c r="O8" s="267"/>
      <c r="P8" s="267"/>
      <c r="Q8" s="267"/>
      <c r="S8" s="291">
        <v>46054</v>
      </c>
      <c r="V8" s="267"/>
      <c r="W8" s="293" t="s">
        <v>26</v>
      </c>
      <c r="X8" s="293"/>
      <c r="Y8" s="281" t="s">
        <v>32</v>
      </c>
      <c r="Z8" s="281"/>
      <c r="AA8" s="267"/>
      <c r="AB8" s="282" t="s">
        <v>28</v>
      </c>
      <c r="AC8" s="282"/>
      <c r="AD8" s="282" t="s">
        <v>32</v>
      </c>
      <c r="AE8" s="282"/>
      <c r="AF8" s="197"/>
      <c r="AG8" s="267"/>
      <c r="AH8" s="267"/>
      <c r="AI8" s="267"/>
      <c r="AK8" s="291">
        <v>46082</v>
      </c>
      <c r="AN8" s="267"/>
      <c r="AO8" s="293" t="s">
        <v>26</v>
      </c>
      <c r="AP8" s="293"/>
      <c r="AQ8" s="281" t="s">
        <v>32</v>
      </c>
      <c r="AR8" s="281"/>
      <c r="AS8" s="267"/>
      <c r="AT8" s="282" t="s">
        <v>28</v>
      </c>
      <c r="AU8" s="282"/>
      <c r="AV8" s="282" t="s">
        <v>32</v>
      </c>
      <c r="AW8" s="282"/>
      <c r="AX8" s="197"/>
      <c r="AY8" s="267"/>
      <c r="AZ8" s="267"/>
      <c r="BA8" s="267"/>
      <c r="BC8" s="291">
        <v>46113</v>
      </c>
      <c r="BF8" s="267"/>
      <c r="BG8" s="293" t="s">
        <v>26</v>
      </c>
      <c r="BH8" s="293"/>
      <c r="BI8" s="281" t="s">
        <v>32</v>
      </c>
      <c r="BJ8" s="281"/>
      <c r="BK8" s="267"/>
      <c r="BL8" s="282" t="s">
        <v>28</v>
      </c>
      <c r="BM8" s="282"/>
      <c r="BN8" s="282" t="s">
        <v>32</v>
      </c>
      <c r="BO8" s="282"/>
      <c r="BP8" s="197"/>
      <c r="BQ8" s="267"/>
      <c r="BR8" s="267"/>
      <c r="BS8" s="267"/>
      <c r="BU8" s="291">
        <v>46143</v>
      </c>
      <c r="BX8" s="267"/>
      <c r="BY8" s="293" t="s">
        <v>26</v>
      </c>
      <c r="BZ8" s="293"/>
      <c r="CA8" s="281" t="s">
        <v>32</v>
      </c>
      <c r="CB8" s="281"/>
      <c r="CC8" s="267"/>
      <c r="CD8" s="282" t="s">
        <v>28</v>
      </c>
      <c r="CE8" s="282"/>
      <c r="CF8" s="282" t="s">
        <v>32</v>
      </c>
      <c r="CG8" s="282"/>
      <c r="CH8" s="197"/>
      <c r="CI8" s="267"/>
      <c r="CJ8" s="267"/>
      <c r="CK8" s="267"/>
      <c r="CM8" s="291">
        <v>46174</v>
      </c>
      <c r="CP8" s="267"/>
      <c r="CQ8" s="293" t="s">
        <v>26</v>
      </c>
      <c r="CR8" s="293"/>
      <c r="CS8" s="281" t="s">
        <v>32</v>
      </c>
      <c r="CT8" s="281"/>
      <c r="CU8" s="267"/>
      <c r="CV8" s="282" t="s">
        <v>28</v>
      </c>
      <c r="CW8" s="282"/>
      <c r="CX8" s="282" t="s">
        <v>32</v>
      </c>
      <c r="CY8" s="282"/>
      <c r="CZ8" s="197"/>
      <c r="DA8" s="267"/>
      <c r="DB8" s="267"/>
      <c r="DC8" s="267"/>
      <c r="DE8" s="291">
        <v>46204</v>
      </c>
      <c r="DH8" s="267"/>
      <c r="DI8" s="293" t="s">
        <v>26</v>
      </c>
      <c r="DJ8" s="293"/>
      <c r="DK8" s="281" t="s">
        <v>32</v>
      </c>
      <c r="DL8" s="281"/>
      <c r="DM8" s="267"/>
      <c r="DN8" s="282" t="s">
        <v>28</v>
      </c>
      <c r="DO8" s="282"/>
      <c r="DP8" s="282" t="s">
        <v>32</v>
      </c>
      <c r="DQ8" s="282"/>
      <c r="DR8" s="197"/>
      <c r="DS8" s="267"/>
      <c r="DT8" s="267"/>
      <c r="DU8" s="267"/>
      <c r="DW8" s="291">
        <v>46235</v>
      </c>
      <c r="DZ8" s="267"/>
      <c r="EA8" s="293" t="s">
        <v>26</v>
      </c>
      <c r="EB8" s="293"/>
      <c r="EC8" s="281" t="s">
        <v>32</v>
      </c>
      <c r="ED8" s="281"/>
      <c r="EE8" s="267"/>
      <c r="EF8" s="282" t="s">
        <v>28</v>
      </c>
      <c r="EG8" s="282"/>
      <c r="EH8" s="282" t="s">
        <v>32</v>
      </c>
      <c r="EI8" s="282"/>
      <c r="EJ8" s="197"/>
      <c r="EK8" s="267"/>
      <c r="EL8" s="267"/>
      <c r="EM8" s="267"/>
      <c r="EO8" s="291">
        <v>46266</v>
      </c>
      <c r="ER8" s="267"/>
      <c r="ES8" s="293" t="s">
        <v>26</v>
      </c>
      <c r="ET8" s="293"/>
      <c r="EU8" s="281" t="s">
        <v>32</v>
      </c>
      <c r="EV8" s="281"/>
      <c r="EW8" s="267"/>
      <c r="EX8" s="282" t="s">
        <v>28</v>
      </c>
      <c r="EY8" s="282"/>
      <c r="EZ8" s="282" t="s">
        <v>32</v>
      </c>
      <c r="FA8" s="282"/>
      <c r="FB8" s="197"/>
      <c r="FC8" s="267"/>
      <c r="FD8" s="267"/>
      <c r="FE8" s="267"/>
      <c r="FG8" s="291">
        <v>46296</v>
      </c>
      <c r="FJ8" s="267"/>
      <c r="FK8" s="293" t="s">
        <v>26</v>
      </c>
      <c r="FL8" s="293"/>
      <c r="FM8" s="281" t="s">
        <v>32</v>
      </c>
      <c r="FN8" s="281"/>
      <c r="FO8" s="267"/>
      <c r="FP8" s="282" t="s">
        <v>28</v>
      </c>
      <c r="FQ8" s="282"/>
      <c r="FR8" s="282" t="s">
        <v>32</v>
      </c>
      <c r="FS8" s="282"/>
      <c r="FT8" s="197"/>
      <c r="FU8" s="267"/>
      <c r="FV8" s="267"/>
      <c r="FW8" s="267"/>
      <c r="FY8" s="291">
        <v>46327</v>
      </c>
      <c r="GB8" s="267"/>
      <c r="GC8" s="293" t="s">
        <v>26</v>
      </c>
      <c r="GD8" s="293"/>
      <c r="GE8" s="281" t="s">
        <v>32</v>
      </c>
      <c r="GF8" s="281"/>
      <c r="GG8" s="267"/>
      <c r="GH8" s="282" t="s">
        <v>28</v>
      </c>
      <c r="GI8" s="282"/>
      <c r="GJ8" s="282" t="s">
        <v>32</v>
      </c>
      <c r="GK8" s="282"/>
      <c r="GL8" s="197"/>
      <c r="GM8" s="267"/>
      <c r="GN8" s="267"/>
      <c r="GO8" s="267"/>
      <c r="GQ8" s="291">
        <v>46357</v>
      </c>
      <c r="GT8" s="267"/>
      <c r="GU8" s="293" t="s">
        <v>26</v>
      </c>
      <c r="GV8" s="293"/>
      <c r="GW8" s="281" t="s">
        <v>32</v>
      </c>
      <c r="GX8" s="281"/>
      <c r="GY8" s="267"/>
      <c r="GZ8" s="282" t="s">
        <v>28</v>
      </c>
      <c r="HA8" s="282"/>
      <c r="HB8" s="282" t="s">
        <v>32</v>
      </c>
      <c r="HC8" s="282"/>
      <c r="HD8" s="197"/>
      <c r="HE8" s="267"/>
      <c r="HF8" s="267"/>
      <c r="HG8" s="267"/>
    </row>
    <row r="9" spans="1:215" x14ac:dyDescent="0.45">
      <c r="A9" s="292"/>
      <c r="B9" s="270"/>
      <c r="C9" s="270"/>
      <c r="D9" s="268" t="s">
        <v>29</v>
      </c>
      <c r="E9" s="268" t="s">
        <v>30</v>
      </c>
      <c r="F9" s="268" t="s">
        <v>31</v>
      </c>
      <c r="G9" s="200" t="s">
        <v>30</v>
      </c>
      <c r="H9" s="200" t="s">
        <v>31</v>
      </c>
      <c r="I9" s="268" t="s">
        <v>27</v>
      </c>
      <c r="J9" s="201" t="s">
        <v>30</v>
      </c>
      <c r="K9" s="201" t="s">
        <v>31</v>
      </c>
      <c r="L9" s="201" t="s">
        <v>30</v>
      </c>
      <c r="M9" s="201" t="s">
        <v>31</v>
      </c>
      <c r="N9" s="201" t="s">
        <v>27</v>
      </c>
      <c r="O9" s="283" t="s">
        <v>33</v>
      </c>
      <c r="P9" s="283"/>
      <c r="Q9" s="283"/>
      <c r="S9" s="292"/>
      <c r="T9" s="270"/>
      <c r="U9" s="270"/>
      <c r="V9" s="268" t="s">
        <v>29</v>
      </c>
      <c r="W9" s="268" t="s">
        <v>30</v>
      </c>
      <c r="X9" s="268" t="s">
        <v>31</v>
      </c>
      <c r="Y9" s="200" t="s">
        <v>30</v>
      </c>
      <c r="Z9" s="200" t="s">
        <v>31</v>
      </c>
      <c r="AA9" s="268" t="s">
        <v>27</v>
      </c>
      <c r="AB9" s="201" t="s">
        <v>30</v>
      </c>
      <c r="AC9" s="201" t="s">
        <v>31</v>
      </c>
      <c r="AD9" s="201" t="s">
        <v>30</v>
      </c>
      <c r="AE9" s="201" t="s">
        <v>31</v>
      </c>
      <c r="AF9" s="201" t="s">
        <v>27</v>
      </c>
      <c r="AG9" s="283" t="s">
        <v>33</v>
      </c>
      <c r="AH9" s="283"/>
      <c r="AI9" s="283"/>
      <c r="AK9" s="292"/>
      <c r="AL9" s="270"/>
      <c r="AM9" s="270"/>
      <c r="AN9" s="268" t="s">
        <v>29</v>
      </c>
      <c r="AO9" s="268" t="s">
        <v>30</v>
      </c>
      <c r="AP9" s="268" t="s">
        <v>31</v>
      </c>
      <c r="AQ9" s="200" t="s">
        <v>30</v>
      </c>
      <c r="AR9" s="200" t="s">
        <v>31</v>
      </c>
      <c r="AS9" s="268" t="s">
        <v>27</v>
      </c>
      <c r="AT9" s="201" t="s">
        <v>30</v>
      </c>
      <c r="AU9" s="201" t="s">
        <v>31</v>
      </c>
      <c r="AV9" s="201" t="s">
        <v>30</v>
      </c>
      <c r="AW9" s="201" t="s">
        <v>31</v>
      </c>
      <c r="AX9" s="201" t="s">
        <v>27</v>
      </c>
      <c r="AY9" s="283" t="s">
        <v>33</v>
      </c>
      <c r="AZ9" s="283"/>
      <c r="BA9" s="283"/>
      <c r="BC9" s="292"/>
      <c r="BD9" s="270"/>
      <c r="BE9" s="270"/>
      <c r="BF9" s="268" t="s">
        <v>29</v>
      </c>
      <c r="BG9" s="268" t="s">
        <v>30</v>
      </c>
      <c r="BH9" s="268" t="s">
        <v>31</v>
      </c>
      <c r="BI9" s="200" t="s">
        <v>30</v>
      </c>
      <c r="BJ9" s="200" t="s">
        <v>31</v>
      </c>
      <c r="BK9" s="268" t="s">
        <v>27</v>
      </c>
      <c r="BL9" s="201" t="s">
        <v>30</v>
      </c>
      <c r="BM9" s="201" t="s">
        <v>31</v>
      </c>
      <c r="BN9" s="201" t="s">
        <v>30</v>
      </c>
      <c r="BO9" s="201" t="s">
        <v>31</v>
      </c>
      <c r="BP9" s="201" t="s">
        <v>27</v>
      </c>
      <c r="BQ9" s="283" t="s">
        <v>33</v>
      </c>
      <c r="BR9" s="283"/>
      <c r="BS9" s="283"/>
      <c r="BU9" s="292"/>
      <c r="BV9" s="270"/>
      <c r="BW9" s="270"/>
      <c r="BX9" s="268" t="s">
        <v>29</v>
      </c>
      <c r="BY9" s="268" t="s">
        <v>30</v>
      </c>
      <c r="BZ9" s="268" t="s">
        <v>31</v>
      </c>
      <c r="CA9" s="200" t="s">
        <v>30</v>
      </c>
      <c r="CB9" s="200" t="s">
        <v>31</v>
      </c>
      <c r="CC9" s="268" t="s">
        <v>27</v>
      </c>
      <c r="CD9" s="201" t="s">
        <v>30</v>
      </c>
      <c r="CE9" s="201" t="s">
        <v>31</v>
      </c>
      <c r="CF9" s="201" t="s">
        <v>30</v>
      </c>
      <c r="CG9" s="201" t="s">
        <v>31</v>
      </c>
      <c r="CH9" s="201" t="s">
        <v>27</v>
      </c>
      <c r="CI9" s="283" t="s">
        <v>33</v>
      </c>
      <c r="CJ9" s="283"/>
      <c r="CK9" s="283"/>
      <c r="CM9" s="292"/>
      <c r="CN9" s="270"/>
      <c r="CO9" s="270"/>
      <c r="CP9" s="268" t="s">
        <v>29</v>
      </c>
      <c r="CQ9" s="268" t="s">
        <v>30</v>
      </c>
      <c r="CR9" s="268" t="s">
        <v>31</v>
      </c>
      <c r="CS9" s="200" t="s">
        <v>30</v>
      </c>
      <c r="CT9" s="200" t="s">
        <v>31</v>
      </c>
      <c r="CU9" s="268" t="s">
        <v>27</v>
      </c>
      <c r="CV9" s="201" t="s">
        <v>30</v>
      </c>
      <c r="CW9" s="201" t="s">
        <v>31</v>
      </c>
      <c r="CX9" s="201" t="s">
        <v>30</v>
      </c>
      <c r="CY9" s="201" t="s">
        <v>31</v>
      </c>
      <c r="CZ9" s="201" t="s">
        <v>27</v>
      </c>
      <c r="DA9" s="283" t="s">
        <v>33</v>
      </c>
      <c r="DB9" s="283"/>
      <c r="DC9" s="283"/>
      <c r="DE9" s="292"/>
      <c r="DF9" s="270"/>
      <c r="DG9" s="270"/>
      <c r="DH9" s="268" t="s">
        <v>29</v>
      </c>
      <c r="DI9" s="268" t="s">
        <v>30</v>
      </c>
      <c r="DJ9" s="268" t="s">
        <v>31</v>
      </c>
      <c r="DK9" s="200" t="s">
        <v>30</v>
      </c>
      <c r="DL9" s="200" t="s">
        <v>31</v>
      </c>
      <c r="DM9" s="268" t="s">
        <v>27</v>
      </c>
      <c r="DN9" s="201" t="s">
        <v>30</v>
      </c>
      <c r="DO9" s="201" t="s">
        <v>31</v>
      </c>
      <c r="DP9" s="201" t="s">
        <v>30</v>
      </c>
      <c r="DQ9" s="201" t="s">
        <v>31</v>
      </c>
      <c r="DR9" s="201" t="s">
        <v>27</v>
      </c>
      <c r="DS9" s="283" t="s">
        <v>33</v>
      </c>
      <c r="DT9" s="283"/>
      <c r="DU9" s="283"/>
      <c r="DW9" s="292"/>
      <c r="DX9" s="270"/>
      <c r="DY9" s="270"/>
      <c r="DZ9" s="268" t="s">
        <v>29</v>
      </c>
      <c r="EA9" s="268" t="s">
        <v>30</v>
      </c>
      <c r="EB9" s="268" t="s">
        <v>31</v>
      </c>
      <c r="EC9" s="200" t="s">
        <v>30</v>
      </c>
      <c r="ED9" s="200" t="s">
        <v>31</v>
      </c>
      <c r="EE9" s="268" t="s">
        <v>27</v>
      </c>
      <c r="EF9" s="201" t="s">
        <v>30</v>
      </c>
      <c r="EG9" s="201" t="s">
        <v>31</v>
      </c>
      <c r="EH9" s="201" t="s">
        <v>30</v>
      </c>
      <c r="EI9" s="201" t="s">
        <v>31</v>
      </c>
      <c r="EJ9" s="201" t="s">
        <v>27</v>
      </c>
      <c r="EK9" s="283" t="s">
        <v>33</v>
      </c>
      <c r="EL9" s="283"/>
      <c r="EM9" s="283"/>
      <c r="EO9" s="292"/>
      <c r="EP9" s="270"/>
      <c r="EQ9" s="270"/>
      <c r="ER9" s="268" t="s">
        <v>29</v>
      </c>
      <c r="ES9" s="268" t="s">
        <v>30</v>
      </c>
      <c r="ET9" s="268" t="s">
        <v>31</v>
      </c>
      <c r="EU9" s="200" t="s">
        <v>30</v>
      </c>
      <c r="EV9" s="200" t="s">
        <v>31</v>
      </c>
      <c r="EW9" s="268" t="s">
        <v>27</v>
      </c>
      <c r="EX9" s="201" t="s">
        <v>30</v>
      </c>
      <c r="EY9" s="201" t="s">
        <v>31</v>
      </c>
      <c r="EZ9" s="201" t="s">
        <v>30</v>
      </c>
      <c r="FA9" s="201" t="s">
        <v>31</v>
      </c>
      <c r="FB9" s="201" t="s">
        <v>27</v>
      </c>
      <c r="FC9" s="283" t="s">
        <v>33</v>
      </c>
      <c r="FD9" s="283"/>
      <c r="FE9" s="283"/>
      <c r="FG9" s="292"/>
      <c r="FH9" s="270"/>
      <c r="FI9" s="270"/>
      <c r="FJ9" s="268" t="s">
        <v>29</v>
      </c>
      <c r="FK9" s="268" t="s">
        <v>30</v>
      </c>
      <c r="FL9" s="268" t="s">
        <v>31</v>
      </c>
      <c r="FM9" s="200" t="s">
        <v>30</v>
      </c>
      <c r="FN9" s="200" t="s">
        <v>31</v>
      </c>
      <c r="FO9" s="268" t="s">
        <v>27</v>
      </c>
      <c r="FP9" s="201" t="s">
        <v>30</v>
      </c>
      <c r="FQ9" s="201" t="s">
        <v>31</v>
      </c>
      <c r="FR9" s="201" t="s">
        <v>30</v>
      </c>
      <c r="FS9" s="201" t="s">
        <v>31</v>
      </c>
      <c r="FT9" s="201" t="s">
        <v>27</v>
      </c>
      <c r="FU9" s="283" t="s">
        <v>33</v>
      </c>
      <c r="FV9" s="283"/>
      <c r="FW9" s="283"/>
      <c r="FY9" s="292"/>
      <c r="FZ9" s="270"/>
      <c r="GA9" s="270"/>
      <c r="GB9" s="268" t="s">
        <v>29</v>
      </c>
      <c r="GC9" s="268" t="s">
        <v>30</v>
      </c>
      <c r="GD9" s="268" t="s">
        <v>31</v>
      </c>
      <c r="GE9" s="200" t="s">
        <v>30</v>
      </c>
      <c r="GF9" s="200" t="s">
        <v>31</v>
      </c>
      <c r="GG9" s="268" t="s">
        <v>27</v>
      </c>
      <c r="GH9" s="201" t="s">
        <v>30</v>
      </c>
      <c r="GI9" s="201" t="s">
        <v>31</v>
      </c>
      <c r="GJ9" s="201" t="s">
        <v>30</v>
      </c>
      <c r="GK9" s="201" t="s">
        <v>31</v>
      </c>
      <c r="GL9" s="201" t="s">
        <v>27</v>
      </c>
      <c r="GM9" s="283" t="s">
        <v>33</v>
      </c>
      <c r="GN9" s="283"/>
      <c r="GO9" s="283"/>
      <c r="GQ9" s="292"/>
      <c r="GR9" s="270"/>
      <c r="GS9" s="270"/>
      <c r="GT9" s="268" t="s">
        <v>29</v>
      </c>
      <c r="GU9" s="268" t="s">
        <v>30</v>
      </c>
      <c r="GV9" s="268" t="s">
        <v>31</v>
      </c>
      <c r="GW9" s="200" t="s">
        <v>30</v>
      </c>
      <c r="GX9" s="200" t="s">
        <v>31</v>
      </c>
      <c r="GY9" s="268" t="s">
        <v>27</v>
      </c>
      <c r="GZ9" s="201" t="s">
        <v>30</v>
      </c>
      <c r="HA9" s="201" t="s">
        <v>31</v>
      </c>
      <c r="HB9" s="201" t="s">
        <v>30</v>
      </c>
      <c r="HC9" s="201" t="s">
        <v>31</v>
      </c>
      <c r="HD9" s="201" t="s">
        <v>27</v>
      </c>
      <c r="HE9" s="283" t="s">
        <v>33</v>
      </c>
      <c r="HF9" s="283"/>
      <c r="HG9" s="283"/>
    </row>
    <row r="10" spans="1:215" x14ac:dyDescent="0.45">
      <c r="A10" s="294" t="s">
        <v>34</v>
      </c>
      <c r="B10" s="271">
        <f>A8</f>
        <v>46023</v>
      </c>
      <c r="C10" s="272" t="str">
        <f t="shared" ref="C10:C40" si="0">TEXT(B10,"aaa")</f>
        <v>木</v>
      </c>
      <c r="D10" s="272"/>
      <c r="E10" s="273"/>
      <c r="F10" s="273"/>
      <c r="G10" s="202"/>
      <c r="H10" s="202"/>
      <c r="I10" s="27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03"/>
      <c r="K10" s="203"/>
      <c r="L10" s="203"/>
      <c r="M10" s="203"/>
      <c r="N10" s="20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79"/>
      <c r="P10" s="279"/>
      <c r="Q10" s="279"/>
      <c r="S10" s="198"/>
      <c r="T10" s="271">
        <f>S8</f>
        <v>46054</v>
      </c>
      <c r="U10" s="272" t="str">
        <f t="shared" ref="U10:U40" si="3">TEXT(T10,"aaa")</f>
        <v>日</v>
      </c>
      <c r="V10" s="272"/>
      <c r="W10" s="273"/>
      <c r="X10" s="273"/>
      <c r="Y10" s="202"/>
      <c r="Z10" s="202"/>
      <c r="AA10" s="274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03"/>
      <c r="AC10" s="203"/>
      <c r="AD10" s="203"/>
      <c r="AE10" s="203"/>
      <c r="AF10" s="204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279"/>
      <c r="AH10" s="279"/>
      <c r="AI10" s="279"/>
      <c r="AK10" s="198"/>
      <c r="AL10" s="271">
        <f>AK8</f>
        <v>46082</v>
      </c>
      <c r="AM10" s="272" t="str">
        <f t="shared" ref="AM10:AM40" si="6">TEXT(AL10,"aaa")</f>
        <v>日</v>
      </c>
      <c r="AN10" s="272"/>
      <c r="AO10" s="273"/>
      <c r="AP10" s="273"/>
      <c r="AQ10" s="202"/>
      <c r="AR10" s="202"/>
      <c r="AS10" s="274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03"/>
      <c r="AU10" s="203"/>
      <c r="AV10" s="203"/>
      <c r="AW10" s="203"/>
      <c r="AX10" s="204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279"/>
      <c r="AZ10" s="279"/>
      <c r="BA10" s="279"/>
      <c r="BC10" s="198"/>
      <c r="BD10" s="271">
        <f>BC8</f>
        <v>46113</v>
      </c>
      <c r="BE10" s="272" t="str">
        <f t="shared" ref="BE10:BE40" si="9">TEXT(BD10,"aaa")</f>
        <v>水</v>
      </c>
      <c r="BF10" s="272" t="s">
        <v>22</v>
      </c>
      <c r="BG10" s="273">
        <v>0.375</v>
      </c>
      <c r="BH10" s="273">
        <v>0.75</v>
      </c>
      <c r="BI10" s="202">
        <v>0.5</v>
      </c>
      <c r="BJ10" s="202">
        <v>0.54166666666666663</v>
      </c>
      <c r="BK10" s="274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03">
        <v>0.375</v>
      </c>
      <c r="BM10" s="203">
        <v>0.75</v>
      </c>
      <c r="BN10" s="203">
        <v>0.5</v>
      </c>
      <c r="BO10" s="203">
        <v>0.54166666666666663</v>
      </c>
      <c r="BP10" s="204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279"/>
      <c r="BR10" s="279"/>
      <c r="BS10" s="279"/>
      <c r="BU10" s="198"/>
      <c r="BV10" s="271">
        <f>BU8</f>
        <v>46143</v>
      </c>
      <c r="BW10" s="272" t="str">
        <f t="shared" ref="BW10:BW40" si="12">TEXT(BV10,"aaa")</f>
        <v>金</v>
      </c>
      <c r="BX10" s="272" t="s">
        <v>22</v>
      </c>
      <c r="BY10" s="273">
        <v>0.375</v>
      </c>
      <c r="BZ10" s="273">
        <v>0.75</v>
      </c>
      <c r="CA10" s="202">
        <v>0.5</v>
      </c>
      <c r="CB10" s="202">
        <v>0.54166666666666663</v>
      </c>
      <c r="CC10" s="274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03">
        <v>0.375</v>
      </c>
      <c r="CE10" s="203">
        <v>0.75</v>
      </c>
      <c r="CF10" s="203">
        <v>0.5</v>
      </c>
      <c r="CG10" s="203">
        <v>0.54166666666666663</v>
      </c>
      <c r="CH10" s="204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279"/>
      <c r="CJ10" s="279"/>
      <c r="CK10" s="279"/>
      <c r="CM10" s="198"/>
      <c r="CN10" s="271">
        <f>CM8</f>
        <v>46174</v>
      </c>
      <c r="CO10" s="272" t="str">
        <f t="shared" ref="CO10:CO40" si="15">TEXT(CN10,"aaa")</f>
        <v>月</v>
      </c>
      <c r="CP10" s="272" t="s">
        <v>22</v>
      </c>
      <c r="CQ10" s="273">
        <v>0.375</v>
      </c>
      <c r="CR10" s="273">
        <v>0.75</v>
      </c>
      <c r="CS10" s="202">
        <v>0.5</v>
      </c>
      <c r="CT10" s="202">
        <v>0.54166666666666663</v>
      </c>
      <c r="CU10" s="274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03">
        <v>0.375</v>
      </c>
      <c r="CW10" s="203">
        <v>0.75</v>
      </c>
      <c r="CX10" s="203">
        <v>0.5</v>
      </c>
      <c r="CY10" s="203">
        <v>0.54166666666666663</v>
      </c>
      <c r="CZ10" s="204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279"/>
      <c r="DB10" s="279"/>
      <c r="DC10" s="279"/>
      <c r="DE10" s="198"/>
      <c r="DF10" s="271">
        <f>DE8</f>
        <v>46204</v>
      </c>
      <c r="DG10" s="272" t="str">
        <f t="shared" ref="DG10:DG40" si="18">TEXT(DF10,"aaa")</f>
        <v>水</v>
      </c>
      <c r="DH10" s="272" t="s">
        <v>22</v>
      </c>
      <c r="DI10" s="273">
        <v>0.375</v>
      </c>
      <c r="DJ10" s="273">
        <v>0.75</v>
      </c>
      <c r="DK10" s="202">
        <v>0.5</v>
      </c>
      <c r="DL10" s="202">
        <v>0.54166666666666663</v>
      </c>
      <c r="DM10" s="274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03">
        <v>0.375</v>
      </c>
      <c r="DO10" s="203">
        <v>0.75</v>
      </c>
      <c r="DP10" s="203">
        <v>0.5</v>
      </c>
      <c r="DQ10" s="203">
        <v>0.54166666666666663</v>
      </c>
      <c r="DR10" s="204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279"/>
      <c r="DT10" s="279"/>
      <c r="DU10" s="279"/>
      <c r="DW10" s="198"/>
      <c r="DX10" s="271">
        <f>DW8</f>
        <v>46235</v>
      </c>
      <c r="DY10" s="272" t="str">
        <f t="shared" ref="DY10:DY40" si="21">TEXT(DX10,"aaa")</f>
        <v>土</v>
      </c>
      <c r="DZ10" s="272"/>
      <c r="EA10" s="273"/>
      <c r="EB10" s="273"/>
      <c r="EC10" s="202"/>
      <c r="ED10" s="202"/>
      <c r="EE10" s="274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03"/>
      <c r="EG10" s="203"/>
      <c r="EH10" s="203"/>
      <c r="EI10" s="203"/>
      <c r="EJ10" s="204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279"/>
      <c r="EL10" s="279"/>
      <c r="EM10" s="279"/>
      <c r="EO10" s="198"/>
      <c r="EP10" s="271">
        <f>EO8</f>
        <v>46266</v>
      </c>
      <c r="EQ10" s="272" t="str">
        <f t="shared" ref="EQ10:EQ40" si="24">TEXT(EP10,"aaa")</f>
        <v>火</v>
      </c>
      <c r="ER10" s="272" t="s">
        <v>22</v>
      </c>
      <c r="ES10" s="273">
        <v>0.375</v>
      </c>
      <c r="ET10" s="273">
        <v>0.75</v>
      </c>
      <c r="EU10" s="202">
        <v>0.5</v>
      </c>
      <c r="EV10" s="202">
        <v>0.54166666666666663</v>
      </c>
      <c r="EW10" s="274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03">
        <v>0.375</v>
      </c>
      <c r="EY10" s="203">
        <v>0.75</v>
      </c>
      <c r="EZ10" s="203">
        <v>0.5</v>
      </c>
      <c r="FA10" s="203">
        <v>0.54166666666666663</v>
      </c>
      <c r="FB10" s="204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279"/>
      <c r="FD10" s="279"/>
      <c r="FE10" s="279"/>
      <c r="FG10" s="198"/>
      <c r="FH10" s="271">
        <f>FG8</f>
        <v>46296</v>
      </c>
      <c r="FI10" s="272" t="str">
        <f t="shared" ref="FI10:FI40" si="27">TEXT(FH10,"aaa")</f>
        <v>木</v>
      </c>
      <c r="FJ10" s="272" t="s">
        <v>22</v>
      </c>
      <c r="FK10" s="273">
        <v>0.375</v>
      </c>
      <c r="FL10" s="273">
        <v>0.75</v>
      </c>
      <c r="FM10" s="202">
        <v>0.5</v>
      </c>
      <c r="FN10" s="202">
        <v>0.54166666666666663</v>
      </c>
      <c r="FO10" s="274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03">
        <v>0.375</v>
      </c>
      <c r="FQ10" s="203">
        <v>0.75</v>
      </c>
      <c r="FR10" s="203">
        <v>0.5</v>
      </c>
      <c r="FS10" s="203">
        <v>0.54166666666666663</v>
      </c>
      <c r="FT10" s="204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279"/>
      <c r="FV10" s="279"/>
      <c r="FW10" s="279"/>
      <c r="FY10" s="198"/>
      <c r="FZ10" s="271">
        <f>FY8</f>
        <v>46327</v>
      </c>
      <c r="GA10" s="272" t="str">
        <f t="shared" ref="GA10:GA40" si="30">TEXT(FZ10,"aaa")</f>
        <v>日</v>
      </c>
      <c r="GB10" s="272"/>
      <c r="GC10" s="273"/>
      <c r="GD10" s="273"/>
      <c r="GE10" s="202"/>
      <c r="GF10" s="202"/>
      <c r="GG10" s="274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03"/>
      <c r="GI10" s="203"/>
      <c r="GJ10" s="203"/>
      <c r="GK10" s="203"/>
      <c r="GL10" s="204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279"/>
      <c r="GN10" s="279"/>
      <c r="GO10" s="279"/>
      <c r="GQ10" s="198"/>
      <c r="GR10" s="271">
        <f>GQ8</f>
        <v>46357</v>
      </c>
      <c r="GS10" s="272" t="str">
        <f t="shared" ref="GS10:GS40" si="33">TEXT(GR10,"aaa")</f>
        <v>火</v>
      </c>
      <c r="GT10" s="272" t="s">
        <v>22</v>
      </c>
      <c r="GU10" s="273">
        <v>0.375</v>
      </c>
      <c r="GV10" s="273">
        <v>0.75</v>
      </c>
      <c r="GW10" s="202">
        <v>0.5</v>
      </c>
      <c r="GX10" s="202">
        <v>0.54166666666666663</v>
      </c>
      <c r="GY10" s="274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03">
        <v>0.375</v>
      </c>
      <c r="HA10" s="203">
        <v>0.75</v>
      </c>
      <c r="HB10" s="203">
        <v>0.5</v>
      </c>
      <c r="HC10" s="203">
        <v>0.54166666666666663</v>
      </c>
      <c r="HD10" s="204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279"/>
      <c r="HF10" s="279"/>
      <c r="HG10" s="279"/>
    </row>
    <row r="11" spans="1:215" x14ac:dyDescent="0.45">
      <c r="A11" s="295"/>
      <c r="B11" s="271">
        <f t="shared" ref="B11:B40" si="36">IF(B10="","",IF(B10+1&lt;=EOMONTH($A$8,0),B10+1,""))</f>
        <v>46024</v>
      </c>
      <c r="C11" s="272" t="str">
        <f t="shared" si="0"/>
        <v>金</v>
      </c>
      <c r="D11" s="272"/>
      <c r="E11" s="273"/>
      <c r="F11" s="273"/>
      <c r="G11" s="202"/>
      <c r="H11" s="202"/>
      <c r="I11" s="274" t="str">
        <f t="shared" si="1"/>
        <v/>
      </c>
      <c r="J11" s="203"/>
      <c r="K11" s="203"/>
      <c r="L11" s="203"/>
      <c r="M11" s="203"/>
      <c r="N11" s="204" t="str">
        <f t="shared" si="2"/>
        <v/>
      </c>
      <c r="O11" s="279"/>
      <c r="P11" s="279"/>
      <c r="Q11" s="279"/>
      <c r="S11" s="196"/>
      <c r="T11" s="271">
        <f t="shared" ref="T11:T40" si="37">IF(T10="","",IF(T10+1&lt;=EOMONTH($S$8,0),T10+1,""))</f>
        <v>46055</v>
      </c>
      <c r="U11" s="272" t="str">
        <f t="shared" si="3"/>
        <v>月</v>
      </c>
      <c r="V11" s="272" t="s">
        <v>22</v>
      </c>
      <c r="W11" s="273">
        <v>0.375</v>
      </c>
      <c r="X11" s="273">
        <v>0.75</v>
      </c>
      <c r="Y11" s="202">
        <v>0.5</v>
      </c>
      <c r="Z11" s="202">
        <v>0.54166666666666663</v>
      </c>
      <c r="AA11" s="274" t="str">
        <f t="shared" si="4"/>
        <v>8h</v>
      </c>
      <c r="AB11" s="203">
        <v>0.375</v>
      </c>
      <c r="AC11" s="203">
        <v>0.75</v>
      </c>
      <c r="AD11" s="203">
        <v>0.5</v>
      </c>
      <c r="AE11" s="203">
        <v>0.54166666666666663</v>
      </c>
      <c r="AF11" s="204" t="str">
        <f t="shared" si="5"/>
        <v>8h</v>
      </c>
      <c r="AG11" s="279"/>
      <c r="AH11" s="279"/>
      <c r="AI11" s="279"/>
      <c r="AK11" s="196"/>
      <c r="AL11" s="271">
        <f t="shared" ref="AL11:AL40" si="38">IF(AL10="","",IF(AL10+1&lt;=EOMONTH($AK$8,0),AL10+1,""))</f>
        <v>46083</v>
      </c>
      <c r="AM11" s="272" t="str">
        <f t="shared" si="6"/>
        <v>月</v>
      </c>
      <c r="AN11" s="272" t="s">
        <v>22</v>
      </c>
      <c r="AO11" s="273">
        <v>0.375</v>
      </c>
      <c r="AP11" s="273">
        <v>0.75</v>
      </c>
      <c r="AQ11" s="202">
        <v>0.5</v>
      </c>
      <c r="AR11" s="202">
        <v>0.54166666666666663</v>
      </c>
      <c r="AS11" s="274" t="str">
        <f t="shared" si="7"/>
        <v>8h</v>
      </c>
      <c r="AT11" s="203">
        <v>0.375</v>
      </c>
      <c r="AU11" s="203">
        <v>0.75</v>
      </c>
      <c r="AV11" s="203">
        <v>0.5</v>
      </c>
      <c r="AW11" s="203">
        <v>0.54166666666666663</v>
      </c>
      <c r="AX11" s="204" t="str">
        <f t="shared" si="8"/>
        <v>8h</v>
      </c>
      <c r="AY11" s="279"/>
      <c r="AZ11" s="279"/>
      <c r="BA11" s="279"/>
      <c r="BC11" s="196"/>
      <c r="BD11" s="271">
        <f t="shared" ref="BD11:BD40" si="39">IF(BD10="","",IF(BD10+1&lt;=EOMONTH($BC$8,0),BD10+1,""))</f>
        <v>46114</v>
      </c>
      <c r="BE11" s="272" t="str">
        <f t="shared" si="9"/>
        <v>木</v>
      </c>
      <c r="BF11" s="272" t="s">
        <v>22</v>
      </c>
      <c r="BG11" s="273">
        <v>0.375</v>
      </c>
      <c r="BH11" s="273">
        <v>0.75</v>
      </c>
      <c r="BI11" s="202">
        <v>0.5</v>
      </c>
      <c r="BJ11" s="202">
        <v>0.54166666666666663</v>
      </c>
      <c r="BK11" s="274" t="str">
        <f t="shared" si="10"/>
        <v>8h</v>
      </c>
      <c r="BL11" s="203">
        <v>0.375</v>
      </c>
      <c r="BM11" s="203">
        <v>0.75</v>
      </c>
      <c r="BN11" s="203">
        <v>0.5</v>
      </c>
      <c r="BO11" s="203">
        <v>0.54166666666666663</v>
      </c>
      <c r="BP11" s="204" t="str">
        <f t="shared" si="11"/>
        <v>8h</v>
      </c>
      <c r="BQ11" s="279"/>
      <c r="BR11" s="279"/>
      <c r="BS11" s="279"/>
      <c r="BU11" s="196"/>
      <c r="BV11" s="271">
        <f t="shared" ref="BV11:BV40" si="40">IF(BV10="","",IF(BV10+1&lt;=EOMONTH($BU$8,0),BV10+1,""))</f>
        <v>46144</v>
      </c>
      <c r="BW11" s="272" t="str">
        <f t="shared" si="12"/>
        <v>土</v>
      </c>
      <c r="BX11" s="272"/>
      <c r="BY11" s="273"/>
      <c r="BZ11" s="273"/>
      <c r="CA11" s="202"/>
      <c r="CB11" s="202"/>
      <c r="CC11" s="274" t="str">
        <f t="shared" si="13"/>
        <v/>
      </c>
      <c r="CD11" s="203"/>
      <c r="CE11" s="203"/>
      <c r="CF11" s="203"/>
      <c r="CG11" s="203"/>
      <c r="CH11" s="204" t="str">
        <f t="shared" si="14"/>
        <v/>
      </c>
      <c r="CI11" s="279"/>
      <c r="CJ11" s="279"/>
      <c r="CK11" s="279"/>
      <c r="CM11" s="196"/>
      <c r="CN11" s="271">
        <f t="shared" ref="CN11:CN40" si="41">IF(CN10="","",IF(CN10+1&lt;=EOMONTH($CM$8,0),CN10+1,""))</f>
        <v>46175</v>
      </c>
      <c r="CO11" s="272" t="str">
        <f t="shared" si="15"/>
        <v>火</v>
      </c>
      <c r="CP11" s="272" t="s">
        <v>22</v>
      </c>
      <c r="CQ11" s="273">
        <v>0.375</v>
      </c>
      <c r="CR11" s="273">
        <v>0.75</v>
      </c>
      <c r="CS11" s="202">
        <v>0.5</v>
      </c>
      <c r="CT11" s="202">
        <v>0.54166666666666663</v>
      </c>
      <c r="CU11" s="274" t="str">
        <f t="shared" si="16"/>
        <v>8h</v>
      </c>
      <c r="CV11" s="203">
        <v>0.375</v>
      </c>
      <c r="CW11" s="203">
        <v>0.75</v>
      </c>
      <c r="CX11" s="203">
        <v>0.5</v>
      </c>
      <c r="CY11" s="203">
        <v>0.54166666666666663</v>
      </c>
      <c r="CZ11" s="204" t="str">
        <f t="shared" si="17"/>
        <v>8h</v>
      </c>
      <c r="DA11" s="279"/>
      <c r="DB11" s="279"/>
      <c r="DC11" s="279"/>
      <c r="DE11" s="196"/>
      <c r="DF11" s="271">
        <f t="shared" ref="DF11:DF40" si="42">IF(DF10="","",IF(DF10+1&lt;=EOMONTH($DE$8,0),DF10+1,""))</f>
        <v>46205</v>
      </c>
      <c r="DG11" s="272" t="str">
        <f t="shared" si="18"/>
        <v>木</v>
      </c>
      <c r="DH11" s="272" t="s">
        <v>22</v>
      </c>
      <c r="DI11" s="273">
        <v>0.375</v>
      </c>
      <c r="DJ11" s="273">
        <v>0.75</v>
      </c>
      <c r="DK11" s="202">
        <v>0.5</v>
      </c>
      <c r="DL11" s="202">
        <v>0.54166666666666663</v>
      </c>
      <c r="DM11" s="274" t="str">
        <f t="shared" si="19"/>
        <v>8h</v>
      </c>
      <c r="DN11" s="203">
        <v>0.375</v>
      </c>
      <c r="DO11" s="203">
        <v>0.75</v>
      </c>
      <c r="DP11" s="203">
        <v>0.5</v>
      </c>
      <c r="DQ11" s="203">
        <v>0.54166666666666663</v>
      </c>
      <c r="DR11" s="204" t="str">
        <f t="shared" si="20"/>
        <v>8h</v>
      </c>
      <c r="DS11" s="279"/>
      <c r="DT11" s="279"/>
      <c r="DU11" s="279"/>
      <c r="DW11" s="196"/>
      <c r="DX11" s="271">
        <f t="shared" ref="DX11:DX40" si="43">IF(DX10="","",IF(DX10+1&lt;=EOMONTH($DW$8,0),DX10+1,""))</f>
        <v>46236</v>
      </c>
      <c r="DY11" s="272" t="str">
        <f t="shared" si="21"/>
        <v>日</v>
      </c>
      <c r="DZ11" s="272"/>
      <c r="EA11" s="273"/>
      <c r="EB11" s="273"/>
      <c r="EC11" s="202"/>
      <c r="ED11" s="202"/>
      <c r="EE11" s="274" t="str">
        <f t="shared" si="22"/>
        <v/>
      </c>
      <c r="EF11" s="203"/>
      <c r="EG11" s="203"/>
      <c r="EH11" s="203"/>
      <c r="EI11" s="203"/>
      <c r="EJ11" s="204" t="str">
        <f t="shared" si="23"/>
        <v/>
      </c>
      <c r="EK11" s="279"/>
      <c r="EL11" s="279"/>
      <c r="EM11" s="279"/>
      <c r="EO11" s="196"/>
      <c r="EP11" s="271">
        <f t="shared" ref="EP11:EP40" si="44">IF(EP10="","",IF(EP10+1&lt;=EOMONTH($EO$8,0),EP10+1,""))</f>
        <v>46267</v>
      </c>
      <c r="EQ11" s="272" t="str">
        <f t="shared" si="24"/>
        <v>水</v>
      </c>
      <c r="ER11" s="272" t="s">
        <v>22</v>
      </c>
      <c r="ES11" s="273">
        <v>0.375</v>
      </c>
      <c r="ET11" s="273">
        <v>0.75</v>
      </c>
      <c r="EU11" s="202">
        <v>0.5</v>
      </c>
      <c r="EV11" s="202">
        <v>0.54166666666666663</v>
      </c>
      <c r="EW11" s="274" t="str">
        <f t="shared" si="25"/>
        <v>8h</v>
      </c>
      <c r="EX11" s="203">
        <v>0.375</v>
      </c>
      <c r="EY11" s="203">
        <v>0.75</v>
      </c>
      <c r="EZ11" s="203">
        <v>0.5</v>
      </c>
      <c r="FA11" s="203">
        <v>0.54166666666666663</v>
      </c>
      <c r="FB11" s="204" t="str">
        <f t="shared" si="26"/>
        <v>8h</v>
      </c>
      <c r="FC11" s="279"/>
      <c r="FD11" s="279"/>
      <c r="FE11" s="279"/>
      <c r="FG11" s="196"/>
      <c r="FH11" s="271">
        <f t="shared" ref="FH11:FH40" si="45">IF(FH10="","",IF(FH10+1&lt;=EOMONTH($FG$8,0),FH10+1,""))</f>
        <v>46297</v>
      </c>
      <c r="FI11" s="272" t="str">
        <f t="shared" si="27"/>
        <v>金</v>
      </c>
      <c r="FJ11" s="272" t="s">
        <v>22</v>
      </c>
      <c r="FK11" s="273">
        <v>0.375</v>
      </c>
      <c r="FL11" s="273">
        <v>0.75</v>
      </c>
      <c r="FM11" s="202">
        <v>0.5</v>
      </c>
      <c r="FN11" s="202">
        <v>0.54166666666666663</v>
      </c>
      <c r="FO11" s="274" t="str">
        <f t="shared" si="28"/>
        <v>8h</v>
      </c>
      <c r="FP11" s="203">
        <v>0.375</v>
      </c>
      <c r="FQ11" s="203">
        <v>0.75</v>
      </c>
      <c r="FR11" s="203">
        <v>0.5</v>
      </c>
      <c r="FS11" s="203">
        <v>0.54166666666666663</v>
      </c>
      <c r="FT11" s="204" t="str">
        <f t="shared" si="29"/>
        <v>8h</v>
      </c>
      <c r="FU11" s="279"/>
      <c r="FV11" s="279"/>
      <c r="FW11" s="279"/>
      <c r="FY11" s="196"/>
      <c r="FZ11" s="271">
        <f t="shared" ref="FZ11:FZ40" si="46">IF(FZ10="","",IF(FZ10+1&lt;=EOMONTH($FY$8,0),FZ10+1,""))</f>
        <v>46328</v>
      </c>
      <c r="GA11" s="272" t="str">
        <f t="shared" si="30"/>
        <v>月</v>
      </c>
      <c r="GB11" s="272" t="s">
        <v>22</v>
      </c>
      <c r="GC11" s="273">
        <v>0.375</v>
      </c>
      <c r="GD11" s="273">
        <v>0.75</v>
      </c>
      <c r="GE11" s="202">
        <v>0.5</v>
      </c>
      <c r="GF11" s="202">
        <v>0.54166666666666663</v>
      </c>
      <c r="GG11" s="274" t="str">
        <f t="shared" si="31"/>
        <v>8h</v>
      </c>
      <c r="GH11" s="203">
        <v>0.375</v>
      </c>
      <c r="GI11" s="203">
        <v>0.75</v>
      </c>
      <c r="GJ11" s="203">
        <v>0.5</v>
      </c>
      <c r="GK11" s="203">
        <v>0.54166666666666663</v>
      </c>
      <c r="GL11" s="204" t="str">
        <f t="shared" si="32"/>
        <v>8h</v>
      </c>
      <c r="GM11" s="279"/>
      <c r="GN11" s="279"/>
      <c r="GO11" s="279"/>
      <c r="GQ11" s="196"/>
      <c r="GR11" s="271">
        <f t="shared" ref="GR11:GR40" si="47">IF(GR10="","",IF(GR10+1&lt;=EOMONTH($GQ$8,0),GR10+1,""))</f>
        <v>46358</v>
      </c>
      <c r="GS11" s="272" t="str">
        <f t="shared" si="33"/>
        <v>水</v>
      </c>
      <c r="GT11" s="272" t="s">
        <v>22</v>
      </c>
      <c r="GU11" s="273">
        <v>0.375</v>
      </c>
      <c r="GV11" s="273">
        <v>0.75</v>
      </c>
      <c r="GW11" s="202">
        <v>0.5</v>
      </c>
      <c r="GX11" s="202">
        <v>0.54166666666666663</v>
      </c>
      <c r="GY11" s="274" t="str">
        <f t="shared" si="34"/>
        <v>8h</v>
      </c>
      <c r="GZ11" s="203">
        <v>0.375</v>
      </c>
      <c r="HA11" s="203">
        <v>0.75</v>
      </c>
      <c r="HB11" s="203">
        <v>0.5</v>
      </c>
      <c r="HC11" s="203">
        <v>0.54166666666666663</v>
      </c>
      <c r="HD11" s="204" t="str">
        <f t="shared" si="35"/>
        <v>8h</v>
      </c>
      <c r="HE11" s="279"/>
      <c r="HF11" s="279"/>
      <c r="HG11" s="279"/>
    </row>
    <row r="12" spans="1:215" x14ac:dyDescent="0.45">
      <c r="A12" s="295"/>
      <c r="B12" s="271">
        <f t="shared" si="36"/>
        <v>46025</v>
      </c>
      <c r="C12" s="272" t="str">
        <f t="shared" si="0"/>
        <v>土</v>
      </c>
      <c r="D12" s="272"/>
      <c r="E12" s="273"/>
      <c r="F12" s="273"/>
      <c r="G12" s="202"/>
      <c r="H12" s="202"/>
      <c r="I12" s="274" t="str">
        <f t="shared" si="1"/>
        <v/>
      </c>
      <c r="J12" s="203"/>
      <c r="K12" s="203"/>
      <c r="L12" s="203"/>
      <c r="M12" s="203"/>
      <c r="N12" s="204" t="str">
        <f t="shared" si="2"/>
        <v/>
      </c>
      <c r="O12" s="279"/>
      <c r="P12" s="279"/>
      <c r="Q12" s="279"/>
      <c r="S12" s="196"/>
      <c r="T12" s="271">
        <f t="shared" si="37"/>
        <v>46056</v>
      </c>
      <c r="U12" s="272" t="str">
        <f t="shared" si="3"/>
        <v>火</v>
      </c>
      <c r="V12" s="272" t="s">
        <v>22</v>
      </c>
      <c r="W12" s="273">
        <v>0.375</v>
      </c>
      <c r="X12" s="273">
        <v>0.75</v>
      </c>
      <c r="Y12" s="202">
        <v>0.5</v>
      </c>
      <c r="Z12" s="202">
        <v>0.54166666666666663</v>
      </c>
      <c r="AA12" s="274" t="str">
        <f t="shared" si="4"/>
        <v>8h</v>
      </c>
      <c r="AB12" s="203">
        <v>0.375</v>
      </c>
      <c r="AC12" s="203">
        <v>0.75</v>
      </c>
      <c r="AD12" s="203">
        <v>0.5</v>
      </c>
      <c r="AE12" s="203">
        <v>0.54166666666666663</v>
      </c>
      <c r="AF12" s="204" t="str">
        <f t="shared" si="5"/>
        <v>8h</v>
      </c>
      <c r="AG12" s="279"/>
      <c r="AH12" s="279"/>
      <c r="AI12" s="279"/>
      <c r="AK12" s="196"/>
      <c r="AL12" s="271">
        <f t="shared" si="38"/>
        <v>46084</v>
      </c>
      <c r="AM12" s="272" t="str">
        <f t="shared" si="6"/>
        <v>火</v>
      </c>
      <c r="AN12" s="272" t="s">
        <v>22</v>
      </c>
      <c r="AO12" s="273">
        <v>0.375</v>
      </c>
      <c r="AP12" s="273">
        <v>0.75</v>
      </c>
      <c r="AQ12" s="202">
        <v>0.5</v>
      </c>
      <c r="AR12" s="202">
        <v>0.54166666666666663</v>
      </c>
      <c r="AS12" s="274" t="str">
        <f t="shared" si="7"/>
        <v>8h</v>
      </c>
      <c r="AT12" s="203">
        <v>0.375</v>
      </c>
      <c r="AU12" s="203">
        <v>0.75</v>
      </c>
      <c r="AV12" s="203">
        <v>0.5</v>
      </c>
      <c r="AW12" s="203">
        <v>0.54166666666666663</v>
      </c>
      <c r="AX12" s="204" t="str">
        <f t="shared" si="8"/>
        <v>8h</v>
      </c>
      <c r="AY12" s="279"/>
      <c r="AZ12" s="279"/>
      <c r="BA12" s="279"/>
      <c r="BC12" s="196"/>
      <c r="BD12" s="271">
        <f t="shared" si="39"/>
        <v>46115</v>
      </c>
      <c r="BE12" s="272" t="str">
        <f t="shared" si="9"/>
        <v>金</v>
      </c>
      <c r="BF12" s="272" t="s">
        <v>22</v>
      </c>
      <c r="BG12" s="273">
        <v>0.375</v>
      </c>
      <c r="BH12" s="273">
        <v>0.75</v>
      </c>
      <c r="BI12" s="202">
        <v>0.5</v>
      </c>
      <c r="BJ12" s="202">
        <v>0.54166666666666663</v>
      </c>
      <c r="BK12" s="274" t="str">
        <f t="shared" si="10"/>
        <v>8h</v>
      </c>
      <c r="BL12" s="203">
        <v>0.375</v>
      </c>
      <c r="BM12" s="203">
        <v>0.75</v>
      </c>
      <c r="BN12" s="203">
        <v>0.5</v>
      </c>
      <c r="BO12" s="203">
        <v>0.54166666666666663</v>
      </c>
      <c r="BP12" s="204" t="str">
        <f t="shared" si="11"/>
        <v>8h</v>
      </c>
      <c r="BQ12" s="279"/>
      <c r="BR12" s="279"/>
      <c r="BS12" s="279"/>
      <c r="BU12" s="196"/>
      <c r="BV12" s="271">
        <f t="shared" si="40"/>
        <v>46145</v>
      </c>
      <c r="BW12" s="272" t="str">
        <f t="shared" si="12"/>
        <v>日</v>
      </c>
      <c r="BX12" s="272"/>
      <c r="BY12" s="273"/>
      <c r="BZ12" s="273"/>
      <c r="CA12" s="202"/>
      <c r="CB12" s="202"/>
      <c r="CC12" s="274" t="str">
        <f t="shared" si="13"/>
        <v/>
      </c>
      <c r="CD12" s="203"/>
      <c r="CE12" s="203"/>
      <c r="CF12" s="203"/>
      <c r="CG12" s="203"/>
      <c r="CH12" s="204" t="str">
        <f t="shared" si="14"/>
        <v/>
      </c>
      <c r="CI12" s="279"/>
      <c r="CJ12" s="279"/>
      <c r="CK12" s="279"/>
      <c r="CM12" s="196"/>
      <c r="CN12" s="271">
        <f t="shared" si="41"/>
        <v>46176</v>
      </c>
      <c r="CO12" s="272" t="str">
        <f t="shared" si="15"/>
        <v>水</v>
      </c>
      <c r="CP12" s="272" t="s">
        <v>22</v>
      </c>
      <c r="CQ12" s="273">
        <v>0.375</v>
      </c>
      <c r="CR12" s="273">
        <v>0.75</v>
      </c>
      <c r="CS12" s="202">
        <v>0.5</v>
      </c>
      <c r="CT12" s="202">
        <v>0.54166666666666663</v>
      </c>
      <c r="CU12" s="274" t="str">
        <f t="shared" si="16"/>
        <v>8h</v>
      </c>
      <c r="CV12" s="203">
        <v>0.375</v>
      </c>
      <c r="CW12" s="203">
        <v>0.75</v>
      </c>
      <c r="CX12" s="203">
        <v>0.5</v>
      </c>
      <c r="CY12" s="203">
        <v>0.54166666666666663</v>
      </c>
      <c r="CZ12" s="204" t="str">
        <f t="shared" si="17"/>
        <v>8h</v>
      </c>
      <c r="DA12" s="279"/>
      <c r="DB12" s="279"/>
      <c r="DC12" s="279"/>
      <c r="DE12" s="196"/>
      <c r="DF12" s="271">
        <f t="shared" si="42"/>
        <v>46206</v>
      </c>
      <c r="DG12" s="272" t="str">
        <f t="shared" si="18"/>
        <v>金</v>
      </c>
      <c r="DH12" s="272" t="s">
        <v>22</v>
      </c>
      <c r="DI12" s="273">
        <v>0.375</v>
      </c>
      <c r="DJ12" s="273">
        <v>0.75</v>
      </c>
      <c r="DK12" s="202">
        <v>0.5</v>
      </c>
      <c r="DL12" s="202">
        <v>0.54166666666666663</v>
      </c>
      <c r="DM12" s="274" t="str">
        <f t="shared" si="19"/>
        <v>8h</v>
      </c>
      <c r="DN12" s="203">
        <v>0.375</v>
      </c>
      <c r="DO12" s="203">
        <v>0.75</v>
      </c>
      <c r="DP12" s="203">
        <v>0.5</v>
      </c>
      <c r="DQ12" s="203">
        <v>0.54166666666666663</v>
      </c>
      <c r="DR12" s="204" t="str">
        <f t="shared" si="20"/>
        <v>8h</v>
      </c>
      <c r="DS12" s="279"/>
      <c r="DT12" s="279"/>
      <c r="DU12" s="279"/>
      <c r="DW12" s="196"/>
      <c r="DX12" s="271">
        <f t="shared" si="43"/>
        <v>46237</v>
      </c>
      <c r="DY12" s="272" t="str">
        <f t="shared" si="21"/>
        <v>月</v>
      </c>
      <c r="DZ12" s="272" t="s">
        <v>22</v>
      </c>
      <c r="EA12" s="273">
        <v>0.375</v>
      </c>
      <c r="EB12" s="273">
        <v>0.75</v>
      </c>
      <c r="EC12" s="202">
        <v>0.5</v>
      </c>
      <c r="ED12" s="202">
        <v>0.54166666666666663</v>
      </c>
      <c r="EE12" s="274" t="str">
        <f t="shared" si="22"/>
        <v>8h</v>
      </c>
      <c r="EF12" s="203">
        <v>0.375</v>
      </c>
      <c r="EG12" s="203">
        <v>0.75</v>
      </c>
      <c r="EH12" s="203">
        <v>0.5</v>
      </c>
      <c r="EI12" s="203">
        <v>0.54166666666666663</v>
      </c>
      <c r="EJ12" s="204" t="str">
        <f t="shared" si="23"/>
        <v>8h</v>
      </c>
      <c r="EK12" s="279"/>
      <c r="EL12" s="279"/>
      <c r="EM12" s="279"/>
      <c r="EO12" s="196"/>
      <c r="EP12" s="271">
        <f t="shared" si="44"/>
        <v>46268</v>
      </c>
      <c r="EQ12" s="272" t="str">
        <f t="shared" si="24"/>
        <v>木</v>
      </c>
      <c r="ER12" s="272" t="s">
        <v>22</v>
      </c>
      <c r="ES12" s="273">
        <v>0.375</v>
      </c>
      <c r="ET12" s="273">
        <v>0.75</v>
      </c>
      <c r="EU12" s="202">
        <v>0.5</v>
      </c>
      <c r="EV12" s="202">
        <v>0.54166666666666663</v>
      </c>
      <c r="EW12" s="274" t="str">
        <f t="shared" si="25"/>
        <v>8h</v>
      </c>
      <c r="EX12" s="203">
        <v>0.375</v>
      </c>
      <c r="EY12" s="203">
        <v>0.75</v>
      </c>
      <c r="EZ12" s="203">
        <v>0.5</v>
      </c>
      <c r="FA12" s="203">
        <v>0.54166666666666663</v>
      </c>
      <c r="FB12" s="204" t="str">
        <f t="shared" si="26"/>
        <v>8h</v>
      </c>
      <c r="FC12" s="279"/>
      <c r="FD12" s="279"/>
      <c r="FE12" s="279"/>
      <c r="FG12" s="196"/>
      <c r="FH12" s="271">
        <f t="shared" si="45"/>
        <v>46298</v>
      </c>
      <c r="FI12" s="272" t="str">
        <f t="shared" si="27"/>
        <v>土</v>
      </c>
      <c r="FJ12" s="272"/>
      <c r="FK12" s="273"/>
      <c r="FL12" s="273"/>
      <c r="FM12" s="202"/>
      <c r="FN12" s="202"/>
      <c r="FO12" s="274" t="str">
        <f t="shared" si="28"/>
        <v/>
      </c>
      <c r="FP12" s="203"/>
      <c r="FQ12" s="203"/>
      <c r="FR12" s="203"/>
      <c r="FS12" s="203"/>
      <c r="FT12" s="204" t="str">
        <f t="shared" si="29"/>
        <v/>
      </c>
      <c r="FU12" s="279"/>
      <c r="FV12" s="279"/>
      <c r="FW12" s="279"/>
      <c r="FY12" s="196"/>
      <c r="FZ12" s="271">
        <f t="shared" si="46"/>
        <v>46329</v>
      </c>
      <c r="GA12" s="272" t="str">
        <f t="shared" si="30"/>
        <v>火</v>
      </c>
      <c r="GB12" s="272"/>
      <c r="GC12" s="273"/>
      <c r="GD12" s="273"/>
      <c r="GE12" s="202"/>
      <c r="GF12" s="202"/>
      <c r="GG12" s="274" t="str">
        <f t="shared" si="31"/>
        <v/>
      </c>
      <c r="GH12" s="203"/>
      <c r="GI12" s="203"/>
      <c r="GJ12" s="203"/>
      <c r="GK12" s="203"/>
      <c r="GL12" s="204" t="str">
        <f t="shared" si="32"/>
        <v/>
      </c>
      <c r="GM12" s="279"/>
      <c r="GN12" s="279"/>
      <c r="GO12" s="279"/>
      <c r="GQ12" s="196"/>
      <c r="GR12" s="271">
        <f t="shared" si="47"/>
        <v>46359</v>
      </c>
      <c r="GS12" s="272" t="str">
        <f t="shared" si="33"/>
        <v>木</v>
      </c>
      <c r="GT12" s="272" t="s">
        <v>22</v>
      </c>
      <c r="GU12" s="273">
        <v>0.375</v>
      </c>
      <c r="GV12" s="273">
        <v>0.75</v>
      </c>
      <c r="GW12" s="202">
        <v>0.5</v>
      </c>
      <c r="GX12" s="202">
        <v>0.54166666666666663</v>
      </c>
      <c r="GY12" s="274" t="str">
        <f t="shared" si="34"/>
        <v>8h</v>
      </c>
      <c r="GZ12" s="203">
        <v>0.375</v>
      </c>
      <c r="HA12" s="203">
        <v>0.75</v>
      </c>
      <c r="HB12" s="203">
        <v>0.5</v>
      </c>
      <c r="HC12" s="203">
        <v>0.54166666666666663</v>
      </c>
      <c r="HD12" s="204" t="str">
        <f t="shared" si="35"/>
        <v>8h</v>
      </c>
      <c r="HE12" s="279"/>
      <c r="HF12" s="279"/>
      <c r="HG12" s="279"/>
    </row>
    <row r="13" spans="1:215" x14ac:dyDescent="0.45">
      <c r="A13" s="295"/>
      <c r="B13" s="271">
        <f t="shared" si="36"/>
        <v>46026</v>
      </c>
      <c r="C13" s="272" t="str">
        <f t="shared" si="0"/>
        <v>日</v>
      </c>
      <c r="D13" s="272"/>
      <c r="E13" s="273"/>
      <c r="F13" s="273"/>
      <c r="G13" s="202"/>
      <c r="H13" s="202"/>
      <c r="I13" s="274" t="str">
        <f t="shared" si="1"/>
        <v/>
      </c>
      <c r="J13" s="203"/>
      <c r="K13" s="203"/>
      <c r="L13" s="203"/>
      <c r="M13" s="203"/>
      <c r="N13" s="204" t="str">
        <f t="shared" si="2"/>
        <v/>
      </c>
      <c r="O13" s="279"/>
      <c r="P13" s="279"/>
      <c r="Q13" s="279"/>
      <c r="S13" s="196"/>
      <c r="T13" s="271">
        <f t="shared" si="37"/>
        <v>46057</v>
      </c>
      <c r="U13" s="272" t="str">
        <f t="shared" si="3"/>
        <v>水</v>
      </c>
      <c r="V13" s="272" t="s">
        <v>22</v>
      </c>
      <c r="W13" s="273">
        <v>0.375</v>
      </c>
      <c r="X13" s="273">
        <v>0.75</v>
      </c>
      <c r="Y13" s="202">
        <v>0.5</v>
      </c>
      <c r="Z13" s="202">
        <v>0.54166666666666663</v>
      </c>
      <c r="AA13" s="274" t="str">
        <f t="shared" si="4"/>
        <v>8h</v>
      </c>
      <c r="AB13" s="203">
        <v>0.375</v>
      </c>
      <c r="AC13" s="203">
        <v>0.75</v>
      </c>
      <c r="AD13" s="203">
        <v>0.5</v>
      </c>
      <c r="AE13" s="203">
        <v>0.54166666666666663</v>
      </c>
      <c r="AF13" s="204" t="str">
        <f t="shared" si="5"/>
        <v>8h</v>
      </c>
      <c r="AG13" s="279"/>
      <c r="AH13" s="279"/>
      <c r="AI13" s="279"/>
      <c r="AK13" s="196"/>
      <c r="AL13" s="271">
        <f t="shared" si="38"/>
        <v>46085</v>
      </c>
      <c r="AM13" s="272" t="str">
        <f t="shared" si="6"/>
        <v>水</v>
      </c>
      <c r="AN13" s="272" t="s">
        <v>22</v>
      </c>
      <c r="AO13" s="273">
        <v>0.375</v>
      </c>
      <c r="AP13" s="273">
        <v>0.75</v>
      </c>
      <c r="AQ13" s="202">
        <v>0.5</v>
      </c>
      <c r="AR13" s="202">
        <v>0.54166666666666663</v>
      </c>
      <c r="AS13" s="274" t="str">
        <f t="shared" si="7"/>
        <v>8h</v>
      </c>
      <c r="AT13" s="203">
        <v>0.375</v>
      </c>
      <c r="AU13" s="203">
        <v>0.75</v>
      </c>
      <c r="AV13" s="203">
        <v>0.5</v>
      </c>
      <c r="AW13" s="203">
        <v>0.54166666666666663</v>
      </c>
      <c r="AX13" s="204" t="str">
        <f t="shared" si="8"/>
        <v>8h</v>
      </c>
      <c r="AY13" s="279"/>
      <c r="AZ13" s="279"/>
      <c r="BA13" s="279"/>
      <c r="BC13" s="196"/>
      <c r="BD13" s="271">
        <f t="shared" si="39"/>
        <v>46116</v>
      </c>
      <c r="BE13" s="272" t="str">
        <f t="shared" si="9"/>
        <v>土</v>
      </c>
      <c r="BF13" s="272"/>
      <c r="BG13" s="273"/>
      <c r="BH13" s="273"/>
      <c r="BI13" s="202"/>
      <c r="BJ13" s="202"/>
      <c r="BK13" s="274" t="str">
        <f t="shared" si="10"/>
        <v/>
      </c>
      <c r="BL13" s="203"/>
      <c r="BM13" s="203"/>
      <c r="BN13" s="203"/>
      <c r="BO13" s="203"/>
      <c r="BP13" s="204" t="str">
        <f t="shared" si="11"/>
        <v/>
      </c>
      <c r="BQ13" s="279"/>
      <c r="BR13" s="279"/>
      <c r="BS13" s="279"/>
      <c r="BU13" s="196"/>
      <c r="BV13" s="271">
        <f t="shared" si="40"/>
        <v>46146</v>
      </c>
      <c r="BW13" s="272" t="str">
        <f t="shared" si="12"/>
        <v>月</v>
      </c>
      <c r="BX13" s="272"/>
      <c r="BY13" s="273"/>
      <c r="BZ13" s="273"/>
      <c r="CA13" s="202"/>
      <c r="CB13" s="202"/>
      <c r="CC13" s="274" t="str">
        <f t="shared" si="13"/>
        <v/>
      </c>
      <c r="CD13" s="203"/>
      <c r="CE13" s="203"/>
      <c r="CF13" s="203"/>
      <c r="CG13" s="203"/>
      <c r="CH13" s="204" t="str">
        <f t="shared" si="14"/>
        <v/>
      </c>
      <c r="CI13" s="279"/>
      <c r="CJ13" s="279"/>
      <c r="CK13" s="279"/>
      <c r="CM13" s="196"/>
      <c r="CN13" s="271">
        <f t="shared" si="41"/>
        <v>46177</v>
      </c>
      <c r="CO13" s="272" t="str">
        <f t="shared" si="15"/>
        <v>木</v>
      </c>
      <c r="CP13" s="272" t="s">
        <v>22</v>
      </c>
      <c r="CQ13" s="273">
        <v>0.375</v>
      </c>
      <c r="CR13" s="273">
        <v>0.75</v>
      </c>
      <c r="CS13" s="202">
        <v>0.5</v>
      </c>
      <c r="CT13" s="202">
        <v>0.54166666666666663</v>
      </c>
      <c r="CU13" s="274" t="str">
        <f t="shared" si="16"/>
        <v>8h</v>
      </c>
      <c r="CV13" s="203">
        <v>0.375</v>
      </c>
      <c r="CW13" s="203">
        <v>0.75</v>
      </c>
      <c r="CX13" s="203">
        <v>0.5</v>
      </c>
      <c r="CY13" s="203">
        <v>0.54166666666666663</v>
      </c>
      <c r="CZ13" s="204" t="str">
        <f t="shared" si="17"/>
        <v>8h</v>
      </c>
      <c r="DA13" s="279"/>
      <c r="DB13" s="279"/>
      <c r="DC13" s="279"/>
      <c r="DE13" s="196"/>
      <c r="DF13" s="271">
        <f t="shared" si="42"/>
        <v>46207</v>
      </c>
      <c r="DG13" s="272" t="str">
        <f t="shared" si="18"/>
        <v>土</v>
      </c>
      <c r="DH13" s="272"/>
      <c r="DI13" s="273"/>
      <c r="DJ13" s="273"/>
      <c r="DK13" s="202"/>
      <c r="DL13" s="202"/>
      <c r="DM13" s="274" t="str">
        <f t="shared" si="19"/>
        <v/>
      </c>
      <c r="DN13" s="203"/>
      <c r="DO13" s="203"/>
      <c r="DP13" s="203"/>
      <c r="DQ13" s="203"/>
      <c r="DR13" s="204" t="str">
        <f t="shared" si="20"/>
        <v/>
      </c>
      <c r="DS13" s="279"/>
      <c r="DT13" s="279"/>
      <c r="DU13" s="279"/>
      <c r="DW13" s="196"/>
      <c r="DX13" s="271">
        <f t="shared" si="43"/>
        <v>46238</v>
      </c>
      <c r="DY13" s="272" t="str">
        <f t="shared" si="21"/>
        <v>火</v>
      </c>
      <c r="DZ13" s="272" t="s">
        <v>22</v>
      </c>
      <c r="EA13" s="273">
        <v>0.375</v>
      </c>
      <c r="EB13" s="273">
        <v>0.75</v>
      </c>
      <c r="EC13" s="202">
        <v>0.5</v>
      </c>
      <c r="ED13" s="202">
        <v>0.54166666666666663</v>
      </c>
      <c r="EE13" s="274" t="str">
        <f t="shared" si="22"/>
        <v>8h</v>
      </c>
      <c r="EF13" s="203">
        <v>0.375</v>
      </c>
      <c r="EG13" s="203">
        <v>0.75</v>
      </c>
      <c r="EH13" s="203">
        <v>0.5</v>
      </c>
      <c r="EI13" s="203">
        <v>0.54166666666666663</v>
      </c>
      <c r="EJ13" s="204" t="str">
        <f t="shared" si="23"/>
        <v>8h</v>
      </c>
      <c r="EK13" s="279"/>
      <c r="EL13" s="279"/>
      <c r="EM13" s="279"/>
      <c r="EO13" s="196"/>
      <c r="EP13" s="271">
        <f t="shared" si="44"/>
        <v>46269</v>
      </c>
      <c r="EQ13" s="272" t="str">
        <f t="shared" si="24"/>
        <v>金</v>
      </c>
      <c r="ER13" s="272" t="s">
        <v>22</v>
      </c>
      <c r="ES13" s="273">
        <v>0.375</v>
      </c>
      <c r="ET13" s="273">
        <v>0.75</v>
      </c>
      <c r="EU13" s="202">
        <v>0.5</v>
      </c>
      <c r="EV13" s="202">
        <v>0.54166666666666663</v>
      </c>
      <c r="EW13" s="274" t="str">
        <f t="shared" si="25"/>
        <v>8h</v>
      </c>
      <c r="EX13" s="203">
        <v>0.375</v>
      </c>
      <c r="EY13" s="203">
        <v>0.75</v>
      </c>
      <c r="EZ13" s="203">
        <v>0.5</v>
      </c>
      <c r="FA13" s="203">
        <v>0.54166666666666663</v>
      </c>
      <c r="FB13" s="204" t="str">
        <f t="shared" si="26"/>
        <v>8h</v>
      </c>
      <c r="FC13" s="279"/>
      <c r="FD13" s="279"/>
      <c r="FE13" s="279"/>
      <c r="FG13" s="196"/>
      <c r="FH13" s="271">
        <f t="shared" si="45"/>
        <v>46299</v>
      </c>
      <c r="FI13" s="272" t="str">
        <f t="shared" si="27"/>
        <v>日</v>
      </c>
      <c r="FJ13" s="272"/>
      <c r="FK13" s="273"/>
      <c r="FL13" s="273"/>
      <c r="FM13" s="202"/>
      <c r="FN13" s="202"/>
      <c r="FO13" s="274" t="str">
        <f t="shared" si="28"/>
        <v/>
      </c>
      <c r="FP13" s="203"/>
      <c r="FQ13" s="203"/>
      <c r="FR13" s="203"/>
      <c r="FS13" s="203"/>
      <c r="FT13" s="204" t="str">
        <f t="shared" si="29"/>
        <v/>
      </c>
      <c r="FU13" s="279"/>
      <c r="FV13" s="279"/>
      <c r="FW13" s="279"/>
      <c r="FY13" s="196"/>
      <c r="FZ13" s="271">
        <f t="shared" si="46"/>
        <v>46330</v>
      </c>
      <c r="GA13" s="272" t="str">
        <f t="shared" si="30"/>
        <v>水</v>
      </c>
      <c r="GB13" s="272" t="s">
        <v>22</v>
      </c>
      <c r="GC13" s="273">
        <v>0.375</v>
      </c>
      <c r="GD13" s="273">
        <v>0.75</v>
      </c>
      <c r="GE13" s="202">
        <v>0.5</v>
      </c>
      <c r="GF13" s="202">
        <v>0.54166666666666663</v>
      </c>
      <c r="GG13" s="274" t="str">
        <f t="shared" si="31"/>
        <v>8h</v>
      </c>
      <c r="GH13" s="203">
        <v>0.375</v>
      </c>
      <c r="GI13" s="203">
        <v>0.75</v>
      </c>
      <c r="GJ13" s="203">
        <v>0.5</v>
      </c>
      <c r="GK13" s="203">
        <v>0.54166666666666663</v>
      </c>
      <c r="GL13" s="204" t="str">
        <f t="shared" si="32"/>
        <v>8h</v>
      </c>
      <c r="GM13" s="279"/>
      <c r="GN13" s="279"/>
      <c r="GO13" s="279"/>
      <c r="GQ13" s="196"/>
      <c r="GR13" s="271">
        <f t="shared" si="47"/>
        <v>46360</v>
      </c>
      <c r="GS13" s="272" t="str">
        <f t="shared" si="33"/>
        <v>金</v>
      </c>
      <c r="GT13" s="272" t="s">
        <v>22</v>
      </c>
      <c r="GU13" s="273">
        <v>0.375</v>
      </c>
      <c r="GV13" s="273">
        <v>0.75</v>
      </c>
      <c r="GW13" s="202">
        <v>0.5</v>
      </c>
      <c r="GX13" s="202">
        <v>0.54166666666666663</v>
      </c>
      <c r="GY13" s="274" t="str">
        <f t="shared" si="34"/>
        <v>8h</v>
      </c>
      <c r="GZ13" s="203">
        <v>0.375</v>
      </c>
      <c r="HA13" s="203">
        <v>0.75</v>
      </c>
      <c r="HB13" s="203">
        <v>0.5</v>
      </c>
      <c r="HC13" s="203">
        <v>0.54166666666666663</v>
      </c>
      <c r="HD13" s="204" t="str">
        <f t="shared" si="35"/>
        <v>8h</v>
      </c>
      <c r="HE13" s="279"/>
      <c r="HF13" s="279"/>
      <c r="HG13" s="279"/>
    </row>
    <row r="14" spans="1:215" x14ac:dyDescent="0.45">
      <c r="A14" s="295"/>
      <c r="B14" s="271">
        <f t="shared" si="36"/>
        <v>46027</v>
      </c>
      <c r="C14" s="272" t="str">
        <f t="shared" si="0"/>
        <v>月</v>
      </c>
      <c r="D14" s="272" t="s">
        <v>22</v>
      </c>
      <c r="E14" s="273">
        <v>0.375</v>
      </c>
      <c r="F14" s="273">
        <v>0.75</v>
      </c>
      <c r="G14" s="202">
        <v>0.5</v>
      </c>
      <c r="H14" s="202">
        <v>0.54166666666666663</v>
      </c>
      <c r="I14" s="274" t="str">
        <f t="shared" si="1"/>
        <v>8h</v>
      </c>
      <c r="J14" s="203">
        <v>0.375</v>
      </c>
      <c r="K14" s="203">
        <v>0.75</v>
      </c>
      <c r="L14" s="203">
        <v>0.5</v>
      </c>
      <c r="M14" s="203">
        <v>0.54166666666666663</v>
      </c>
      <c r="N14" s="204" t="str">
        <f t="shared" si="2"/>
        <v>8h</v>
      </c>
      <c r="O14" s="279"/>
      <c r="P14" s="279"/>
      <c r="Q14" s="279"/>
      <c r="S14" s="196"/>
      <c r="T14" s="271">
        <f t="shared" si="37"/>
        <v>46058</v>
      </c>
      <c r="U14" s="272" t="str">
        <f t="shared" si="3"/>
        <v>木</v>
      </c>
      <c r="V14" s="272" t="s">
        <v>22</v>
      </c>
      <c r="W14" s="273">
        <v>0.375</v>
      </c>
      <c r="X14" s="273">
        <v>0.75</v>
      </c>
      <c r="Y14" s="202">
        <v>0.5</v>
      </c>
      <c r="Z14" s="202">
        <v>0.54166666666666663</v>
      </c>
      <c r="AA14" s="274" t="str">
        <f t="shared" si="4"/>
        <v>8h</v>
      </c>
      <c r="AB14" s="203">
        <v>0.375</v>
      </c>
      <c r="AC14" s="203">
        <v>0.75</v>
      </c>
      <c r="AD14" s="203">
        <v>0.5</v>
      </c>
      <c r="AE14" s="203">
        <v>0.54166666666666663</v>
      </c>
      <c r="AF14" s="204" t="str">
        <f t="shared" si="5"/>
        <v>8h</v>
      </c>
      <c r="AG14" s="279"/>
      <c r="AH14" s="279"/>
      <c r="AI14" s="279"/>
      <c r="AK14" s="196"/>
      <c r="AL14" s="271">
        <f t="shared" si="38"/>
        <v>46086</v>
      </c>
      <c r="AM14" s="272" t="str">
        <f t="shared" si="6"/>
        <v>木</v>
      </c>
      <c r="AN14" s="272" t="s">
        <v>22</v>
      </c>
      <c r="AO14" s="273">
        <v>0.375</v>
      </c>
      <c r="AP14" s="273">
        <v>0.75</v>
      </c>
      <c r="AQ14" s="202">
        <v>0.5</v>
      </c>
      <c r="AR14" s="202">
        <v>0.54166666666666663</v>
      </c>
      <c r="AS14" s="274" t="str">
        <f t="shared" si="7"/>
        <v>8h</v>
      </c>
      <c r="AT14" s="203">
        <v>0.375</v>
      </c>
      <c r="AU14" s="203">
        <v>0.75</v>
      </c>
      <c r="AV14" s="203">
        <v>0.5</v>
      </c>
      <c r="AW14" s="203">
        <v>0.54166666666666663</v>
      </c>
      <c r="AX14" s="204" t="str">
        <f t="shared" si="8"/>
        <v>8h</v>
      </c>
      <c r="AY14" s="279"/>
      <c r="AZ14" s="279"/>
      <c r="BA14" s="279"/>
      <c r="BC14" s="196"/>
      <c r="BD14" s="271">
        <f t="shared" si="39"/>
        <v>46117</v>
      </c>
      <c r="BE14" s="272" t="str">
        <f t="shared" si="9"/>
        <v>日</v>
      </c>
      <c r="BF14" s="272"/>
      <c r="BG14" s="273"/>
      <c r="BH14" s="273"/>
      <c r="BI14" s="202"/>
      <c r="BJ14" s="202"/>
      <c r="BK14" s="274" t="str">
        <f t="shared" si="10"/>
        <v/>
      </c>
      <c r="BL14" s="203"/>
      <c r="BM14" s="203"/>
      <c r="BN14" s="203"/>
      <c r="BO14" s="203"/>
      <c r="BP14" s="204" t="str">
        <f t="shared" si="11"/>
        <v/>
      </c>
      <c r="BQ14" s="279"/>
      <c r="BR14" s="279"/>
      <c r="BS14" s="279"/>
      <c r="BU14" s="196"/>
      <c r="BV14" s="271">
        <f t="shared" si="40"/>
        <v>46147</v>
      </c>
      <c r="BW14" s="272" t="str">
        <f t="shared" si="12"/>
        <v>火</v>
      </c>
      <c r="BX14" s="272"/>
      <c r="BY14" s="273"/>
      <c r="BZ14" s="273"/>
      <c r="CA14" s="202"/>
      <c r="CB14" s="202"/>
      <c r="CC14" s="274" t="str">
        <f t="shared" si="13"/>
        <v/>
      </c>
      <c r="CD14" s="203"/>
      <c r="CE14" s="203"/>
      <c r="CF14" s="203"/>
      <c r="CG14" s="203"/>
      <c r="CH14" s="204" t="str">
        <f t="shared" si="14"/>
        <v/>
      </c>
      <c r="CI14" s="279"/>
      <c r="CJ14" s="279"/>
      <c r="CK14" s="279"/>
      <c r="CM14" s="196"/>
      <c r="CN14" s="271">
        <f t="shared" si="41"/>
        <v>46178</v>
      </c>
      <c r="CO14" s="272" t="str">
        <f t="shared" si="15"/>
        <v>金</v>
      </c>
      <c r="CP14" s="272" t="s">
        <v>22</v>
      </c>
      <c r="CQ14" s="273">
        <v>0.375</v>
      </c>
      <c r="CR14" s="273">
        <v>0.75</v>
      </c>
      <c r="CS14" s="202">
        <v>0.5</v>
      </c>
      <c r="CT14" s="202">
        <v>0.54166666666666663</v>
      </c>
      <c r="CU14" s="274" t="str">
        <f t="shared" si="16"/>
        <v>8h</v>
      </c>
      <c r="CV14" s="203">
        <v>0.375</v>
      </c>
      <c r="CW14" s="203">
        <v>0.75</v>
      </c>
      <c r="CX14" s="203">
        <v>0.5</v>
      </c>
      <c r="CY14" s="203">
        <v>0.54166666666666663</v>
      </c>
      <c r="CZ14" s="204" t="str">
        <f t="shared" si="17"/>
        <v>8h</v>
      </c>
      <c r="DA14" s="279"/>
      <c r="DB14" s="279"/>
      <c r="DC14" s="279"/>
      <c r="DE14" s="196"/>
      <c r="DF14" s="271">
        <f t="shared" si="42"/>
        <v>46208</v>
      </c>
      <c r="DG14" s="272" t="str">
        <f t="shared" si="18"/>
        <v>日</v>
      </c>
      <c r="DH14" s="272"/>
      <c r="DI14" s="273"/>
      <c r="DJ14" s="273"/>
      <c r="DK14" s="202"/>
      <c r="DL14" s="202"/>
      <c r="DM14" s="274" t="str">
        <f t="shared" si="19"/>
        <v/>
      </c>
      <c r="DN14" s="203"/>
      <c r="DO14" s="203"/>
      <c r="DP14" s="203"/>
      <c r="DQ14" s="203"/>
      <c r="DR14" s="204" t="str">
        <f t="shared" si="20"/>
        <v/>
      </c>
      <c r="DS14" s="279"/>
      <c r="DT14" s="279"/>
      <c r="DU14" s="279"/>
      <c r="DW14" s="196"/>
      <c r="DX14" s="271">
        <f t="shared" si="43"/>
        <v>46239</v>
      </c>
      <c r="DY14" s="272" t="str">
        <f t="shared" si="21"/>
        <v>水</v>
      </c>
      <c r="DZ14" s="272" t="s">
        <v>22</v>
      </c>
      <c r="EA14" s="273">
        <v>0.375</v>
      </c>
      <c r="EB14" s="273">
        <v>0.75</v>
      </c>
      <c r="EC14" s="202">
        <v>0.5</v>
      </c>
      <c r="ED14" s="202">
        <v>0.54166666666666663</v>
      </c>
      <c r="EE14" s="274" t="str">
        <f t="shared" si="22"/>
        <v>8h</v>
      </c>
      <c r="EF14" s="203">
        <v>0.375</v>
      </c>
      <c r="EG14" s="203">
        <v>0.75</v>
      </c>
      <c r="EH14" s="203">
        <v>0.5</v>
      </c>
      <c r="EI14" s="203">
        <v>0.54166666666666663</v>
      </c>
      <c r="EJ14" s="204" t="str">
        <f t="shared" si="23"/>
        <v>8h</v>
      </c>
      <c r="EK14" s="279"/>
      <c r="EL14" s="279"/>
      <c r="EM14" s="279"/>
      <c r="EO14" s="196"/>
      <c r="EP14" s="271">
        <f t="shared" si="44"/>
        <v>46270</v>
      </c>
      <c r="EQ14" s="272" t="str">
        <f t="shared" si="24"/>
        <v>土</v>
      </c>
      <c r="ER14" s="272"/>
      <c r="ES14" s="273"/>
      <c r="ET14" s="273"/>
      <c r="EU14" s="202"/>
      <c r="EV14" s="202"/>
      <c r="EW14" s="274" t="str">
        <f t="shared" si="25"/>
        <v/>
      </c>
      <c r="EX14" s="203"/>
      <c r="EY14" s="203"/>
      <c r="EZ14" s="203"/>
      <c r="FA14" s="203"/>
      <c r="FB14" s="204" t="str">
        <f t="shared" si="26"/>
        <v/>
      </c>
      <c r="FC14" s="279"/>
      <c r="FD14" s="279"/>
      <c r="FE14" s="279"/>
      <c r="FG14" s="196"/>
      <c r="FH14" s="271">
        <f t="shared" si="45"/>
        <v>46300</v>
      </c>
      <c r="FI14" s="272" t="str">
        <f t="shared" si="27"/>
        <v>月</v>
      </c>
      <c r="FJ14" s="272" t="s">
        <v>22</v>
      </c>
      <c r="FK14" s="273">
        <v>0.375</v>
      </c>
      <c r="FL14" s="273">
        <v>0.75</v>
      </c>
      <c r="FM14" s="202">
        <v>0.5</v>
      </c>
      <c r="FN14" s="202">
        <v>0.54166666666666663</v>
      </c>
      <c r="FO14" s="274" t="str">
        <f t="shared" si="28"/>
        <v>8h</v>
      </c>
      <c r="FP14" s="203">
        <v>0.375</v>
      </c>
      <c r="FQ14" s="203">
        <v>0.75</v>
      </c>
      <c r="FR14" s="203">
        <v>0.5</v>
      </c>
      <c r="FS14" s="203">
        <v>0.54166666666666663</v>
      </c>
      <c r="FT14" s="204" t="str">
        <f t="shared" si="29"/>
        <v>8h</v>
      </c>
      <c r="FU14" s="279"/>
      <c r="FV14" s="279"/>
      <c r="FW14" s="279"/>
      <c r="FY14" s="196"/>
      <c r="FZ14" s="271">
        <f t="shared" si="46"/>
        <v>46331</v>
      </c>
      <c r="GA14" s="272" t="str">
        <f t="shared" si="30"/>
        <v>木</v>
      </c>
      <c r="GB14" s="272" t="s">
        <v>22</v>
      </c>
      <c r="GC14" s="273">
        <v>0.375</v>
      </c>
      <c r="GD14" s="273">
        <v>0.75</v>
      </c>
      <c r="GE14" s="202">
        <v>0.5</v>
      </c>
      <c r="GF14" s="202">
        <v>0.54166666666666663</v>
      </c>
      <c r="GG14" s="274" t="str">
        <f t="shared" si="31"/>
        <v>8h</v>
      </c>
      <c r="GH14" s="203">
        <v>0.375</v>
      </c>
      <c r="GI14" s="203">
        <v>0.75</v>
      </c>
      <c r="GJ14" s="203">
        <v>0.5</v>
      </c>
      <c r="GK14" s="203">
        <v>0.54166666666666663</v>
      </c>
      <c r="GL14" s="204" t="str">
        <f t="shared" si="32"/>
        <v>8h</v>
      </c>
      <c r="GM14" s="279"/>
      <c r="GN14" s="279"/>
      <c r="GO14" s="279"/>
      <c r="GQ14" s="196"/>
      <c r="GR14" s="271">
        <f t="shared" si="47"/>
        <v>46361</v>
      </c>
      <c r="GS14" s="272" t="str">
        <f t="shared" si="33"/>
        <v>土</v>
      </c>
      <c r="GT14" s="272"/>
      <c r="GU14" s="273"/>
      <c r="GV14" s="273"/>
      <c r="GW14" s="202"/>
      <c r="GX14" s="202"/>
      <c r="GY14" s="274" t="str">
        <f t="shared" si="34"/>
        <v/>
      </c>
      <c r="GZ14" s="203"/>
      <c r="HA14" s="203"/>
      <c r="HB14" s="203"/>
      <c r="HC14" s="203"/>
      <c r="HD14" s="204" t="str">
        <f t="shared" si="35"/>
        <v/>
      </c>
      <c r="HE14" s="279"/>
      <c r="HF14" s="279"/>
      <c r="HG14" s="279"/>
    </row>
    <row r="15" spans="1:215" x14ac:dyDescent="0.45">
      <c r="A15" s="295"/>
      <c r="B15" s="271">
        <f t="shared" si="36"/>
        <v>46028</v>
      </c>
      <c r="C15" s="272" t="str">
        <f t="shared" si="0"/>
        <v>火</v>
      </c>
      <c r="D15" s="272" t="s">
        <v>22</v>
      </c>
      <c r="E15" s="273">
        <v>0.375</v>
      </c>
      <c r="F15" s="273">
        <v>0.75</v>
      </c>
      <c r="G15" s="202">
        <v>0.5</v>
      </c>
      <c r="H15" s="202">
        <v>0.54166666666666663</v>
      </c>
      <c r="I15" s="274" t="str">
        <f t="shared" si="1"/>
        <v>8h</v>
      </c>
      <c r="J15" s="203">
        <v>0.375</v>
      </c>
      <c r="K15" s="203">
        <v>0.75</v>
      </c>
      <c r="L15" s="203">
        <v>0.5</v>
      </c>
      <c r="M15" s="203">
        <v>0.54166666666666663</v>
      </c>
      <c r="N15" s="204" t="str">
        <f t="shared" si="2"/>
        <v>8h</v>
      </c>
      <c r="O15" s="279"/>
      <c r="P15" s="279"/>
      <c r="Q15" s="279"/>
      <c r="S15" s="196"/>
      <c r="T15" s="271">
        <f t="shared" si="37"/>
        <v>46059</v>
      </c>
      <c r="U15" s="272" t="str">
        <f t="shared" si="3"/>
        <v>金</v>
      </c>
      <c r="V15" s="272" t="s">
        <v>22</v>
      </c>
      <c r="W15" s="273">
        <v>0.375</v>
      </c>
      <c r="X15" s="273">
        <v>0.75</v>
      </c>
      <c r="Y15" s="202">
        <v>0.5</v>
      </c>
      <c r="Z15" s="202">
        <v>0.54166666666666663</v>
      </c>
      <c r="AA15" s="274" t="str">
        <f t="shared" si="4"/>
        <v>8h</v>
      </c>
      <c r="AB15" s="203">
        <v>0.375</v>
      </c>
      <c r="AC15" s="203">
        <v>0.75</v>
      </c>
      <c r="AD15" s="203">
        <v>0.5</v>
      </c>
      <c r="AE15" s="203">
        <v>0.54166666666666663</v>
      </c>
      <c r="AF15" s="204" t="str">
        <f t="shared" si="5"/>
        <v>8h</v>
      </c>
      <c r="AG15" s="279"/>
      <c r="AH15" s="279"/>
      <c r="AI15" s="279"/>
      <c r="AK15" s="196"/>
      <c r="AL15" s="271">
        <f t="shared" si="38"/>
        <v>46087</v>
      </c>
      <c r="AM15" s="272" t="str">
        <f t="shared" si="6"/>
        <v>金</v>
      </c>
      <c r="AN15" s="272" t="s">
        <v>22</v>
      </c>
      <c r="AO15" s="273">
        <v>0.375</v>
      </c>
      <c r="AP15" s="273">
        <v>0.75</v>
      </c>
      <c r="AQ15" s="202">
        <v>0.5</v>
      </c>
      <c r="AR15" s="202">
        <v>0.54166666666666663</v>
      </c>
      <c r="AS15" s="274" t="str">
        <f t="shared" si="7"/>
        <v>8h</v>
      </c>
      <c r="AT15" s="203">
        <v>0.375</v>
      </c>
      <c r="AU15" s="203">
        <v>0.75</v>
      </c>
      <c r="AV15" s="203">
        <v>0.5</v>
      </c>
      <c r="AW15" s="203">
        <v>0.54166666666666663</v>
      </c>
      <c r="AX15" s="204" t="str">
        <f t="shared" si="8"/>
        <v>8h</v>
      </c>
      <c r="AY15" s="279"/>
      <c r="AZ15" s="279"/>
      <c r="BA15" s="279"/>
      <c r="BC15" s="196"/>
      <c r="BD15" s="271">
        <f t="shared" si="39"/>
        <v>46118</v>
      </c>
      <c r="BE15" s="272" t="str">
        <f t="shared" si="9"/>
        <v>月</v>
      </c>
      <c r="BF15" s="272" t="s">
        <v>22</v>
      </c>
      <c r="BG15" s="273">
        <v>0.375</v>
      </c>
      <c r="BH15" s="273">
        <v>0.75</v>
      </c>
      <c r="BI15" s="202">
        <v>0.5</v>
      </c>
      <c r="BJ15" s="202">
        <v>0.54166666666666663</v>
      </c>
      <c r="BK15" s="274" t="str">
        <f t="shared" si="10"/>
        <v>8h</v>
      </c>
      <c r="BL15" s="203">
        <v>0.375</v>
      </c>
      <c r="BM15" s="203">
        <v>0.75</v>
      </c>
      <c r="BN15" s="203">
        <v>0.5</v>
      </c>
      <c r="BO15" s="203">
        <v>0.54166666666666663</v>
      </c>
      <c r="BP15" s="204" t="str">
        <f t="shared" si="11"/>
        <v>8h</v>
      </c>
      <c r="BQ15" s="279"/>
      <c r="BR15" s="279"/>
      <c r="BS15" s="279"/>
      <c r="BU15" s="196"/>
      <c r="BV15" s="271">
        <f t="shared" si="40"/>
        <v>46148</v>
      </c>
      <c r="BW15" s="272" t="str">
        <f t="shared" si="12"/>
        <v>水</v>
      </c>
      <c r="BX15" s="272"/>
      <c r="BY15" s="273"/>
      <c r="BZ15" s="273"/>
      <c r="CA15" s="202"/>
      <c r="CB15" s="202"/>
      <c r="CC15" s="274" t="str">
        <f t="shared" si="13"/>
        <v/>
      </c>
      <c r="CD15" s="203"/>
      <c r="CE15" s="203"/>
      <c r="CF15" s="203"/>
      <c r="CG15" s="203"/>
      <c r="CH15" s="204" t="str">
        <f t="shared" si="14"/>
        <v/>
      </c>
      <c r="CI15" s="279"/>
      <c r="CJ15" s="279"/>
      <c r="CK15" s="279"/>
      <c r="CM15" s="196"/>
      <c r="CN15" s="271">
        <f t="shared" si="41"/>
        <v>46179</v>
      </c>
      <c r="CO15" s="272" t="str">
        <f t="shared" si="15"/>
        <v>土</v>
      </c>
      <c r="CP15" s="272"/>
      <c r="CQ15" s="273"/>
      <c r="CR15" s="273"/>
      <c r="CS15" s="202"/>
      <c r="CT15" s="202"/>
      <c r="CU15" s="274" t="str">
        <f t="shared" si="16"/>
        <v/>
      </c>
      <c r="CV15" s="203"/>
      <c r="CW15" s="203"/>
      <c r="CX15" s="203"/>
      <c r="CY15" s="203"/>
      <c r="CZ15" s="204" t="str">
        <f t="shared" si="17"/>
        <v/>
      </c>
      <c r="DA15" s="279"/>
      <c r="DB15" s="279"/>
      <c r="DC15" s="279"/>
      <c r="DE15" s="196"/>
      <c r="DF15" s="271">
        <f t="shared" si="42"/>
        <v>46209</v>
      </c>
      <c r="DG15" s="272" t="str">
        <f t="shared" si="18"/>
        <v>月</v>
      </c>
      <c r="DH15" s="272" t="s">
        <v>22</v>
      </c>
      <c r="DI15" s="273">
        <v>0.375</v>
      </c>
      <c r="DJ15" s="273">
        <v>0.75</v>
      </c>
      <c r="DK15" s="202">
        <v>0.5</v>
      </c>
      <c r="DL15" s="202">
        <v>0.54166666666666663</v>
      </c>
      <c r="DM15" s="274" t="str">
        <f t="shared" si="19"/>
        <v>8h</v>
      </c>
      <c r="DN15" s="203">
        <v>0.375</v>
      </c>
      <c r="DO15" s="203">
        <v>0.75</v>
      </c>
      <c r="DP15" s="203">
        <v>0.5</v>
      </c>
      <c r="DQ15" s="203">
        <v>0.54166666666666663</v>
      </c>
      <c r="DR15" s="204" t="str">
        <f t="shared" si="20"/>
        <v>8h</v>
      </c>
      <c r="DS15" s="279"/>
      <c r="DT15" s="279"/>
      <c r="DU15" s="279"/>
      <c r="DW15" s="196"/>
      <c r="DX15" s="271">
        <f t="shared" si="43"/>
        <v>46240</v>
      </c>
      <c r="DY15" s="272" t="str">
        <f t="shared" si="21"/>
        <v>木</v>
      </c>
      <c r="DZ15" s="272" t="s">
        <v>22</v>
      </c>
      <c r="EA15" s="273">
        <v>0.375</v>
      </c>
      <c r="EB15" s="273">
        <v>0.75</v>
      </c>
      <c r="EC15" s="202">
        <v>0.5</v>
      </c>
      <c r="ED15" s="202">
        <v>0.54166666666666663</v>
      </c>
      <c r="EE15" s="274" t="str">
        <f t="shared" si="22"/>
        <v>8h</v>
      </c>
      <c r="EF15" s="203">
        <v>0.375</v>
      </c>
      <c r="EG15" s="203">
        <v>0.75</v>
      </c>
      <c r="EH15" s="203">
        <v>0.5</v>
      </c>
      <c r="EI15" s="203">
        <v>0.54166666666666663</v>
      </c>
      <c r="EJ15" s="204" t="str">
        <f t="shared" si="23"/>
        <v>8h</v>
      </c>
      <c r="EK15" s="279"/>
      <c r="EL15" s="279"/>
      <c r="EM15" s="279"/>
      <c r="EO15" s="196"/>
      <c r="EP15" s="271">
        <f t="shared" si="44"/>
        <v>46271</v>
      </c>
      <c r="EQ15" s="272" t="str">
        <f t="shared" si="24"/>
        <v>日</v>
      </c>
      <c r="ER15" s="272"/>
      <c r="ES15" s="273"/>
      <c r="ET15" s="273"/>
      <c r="EU15" s="202"/>
      <c r="EV15" s="202"/>
      <c r="EW15" s="274" t="str">
        <f t="shared" si="25"/>
        <v/>
      </c>
      <c r="EX15" s="203"/>
      <c r="EY15" s="203"/>
      <c r="EZ15" s="203"/>
      <c r="FA15" s="203"/>
      <c r="FB15" s="204" t="str">
        <f t="shared" si="26"/>
        <v/>
      </c>
      <c r="FC15" s="279"/>
      <c r="FD15" s="279"/>
      <c r="FE15" s="279"/>
      <c r="FG15" s="196"/>
      <c r="FH15" s="271">
        <f t="shared" si="45"/>
        <v>46301</v>
      </c>
      <c r="FI15" s="272" t="str">
        <f t="shared" si="27"/>
        <v>火</v>
      </c>
      <c r="FJ15" s="272" t="s">
        <v>22</v>
      </c>
      <c r="FK15" s="273">
        <v>0.375</v>
      </c>
      <c r="FL15" s="273">
        <v>0.75</v>
      </c>
      <c r="FM15" s="202">
        <v>0.5</v>
      </c>
      <c r="FN15" s="202">
        <v>0.54166666666666663</v>
      </c>
      <c r="FO15" s="274" t="str">
        <f t="shared" si="28"/>
        <v>8h</v>
      </c>
      <c r="FP15" s="203">
        <v>0.375</v>
      </c>
      <c r="FQ15" s="203">
        <v>0.75</v>
      </c>
      <c r="FR15" s="203">
        <v>0.5</v>
      </c>
      <c r="FS15" s="203">
        <v>0.54166666666666663</v>
      </c>
      <c r="FT15" s="204" t="str">
        <f t="shared" si="29"/>
        <v>8h</v>
      </c>
      <c r="FU15" s="279"/>
      <c r="FV15" s="279"/>
      <c r="FW15" s="279"/>
      <c r="FY15" s="196"/>
      <c r="FZ15" s="271">
        <f t="shared" si="46"/>
        <v>46332</v>
      </c>
      <c r="GA15" s="272" t="str">
        <f t="shared" si="30"/>
        <v>金</v>
      </c>
      <c r="GB15" s="272" t="s">
        <v>22</v>
      </c>
      <c r="GC15" s="273">
        <v>0.375</v>
      </c>
      <c r="GD15" s="273">
        <v>0.75</v>
      </c>
      <c r="GE15" s="202">
        <v>0.5</v>
      </c>
      <c r="GF15" s="202">
        <v>0.54166666666666663</v>
      </c>
      <c r="GG15" s="274" t="str">
        <f t="shared" si="31"/>
        <v>8h</v>
      </c>
      <c r="GH15" s="203">
        <v>0.375</v>
      </c>
      <c r="GI15" s="203">
        <v>0.75</v>
      </c>
      <c r="GJ15" s="203">
        <v>0.5</v>
      </c>
      <c r="GK15" s="203">
        <v>0.54166666666666663</v>
      </c>
      <c r="GL15" s="204" t="str">
        <f t="shared" si="32"/>
        <v>8h</v>
      </c>
      <c r="GM15" s="279"/>
      <c r="GN15" s="279"/>
      <c r="GO15" s="279"/>
      <c r="GQ15" s="196"/>
      <c r="GR15" s="271">
        <f t="shared" si="47"/>
        <v>46362</v>
      </c>
      <c r="GS15" s="272" t="str">
        <f t="shared" si="33"/>
        <v>日</v>
      </c>
      <c r="GT15" s="272"/>
      <c r="GU15" s="273"/>
      <c r="GV15" s="273"/>
      <c r="GW15" s="202"/>
      <c r="GX15" s="202"/>
      <c r="GY15" s="274" t="str">
        <f t="shared" si="34"/>
        <v/>
      </c>
      <c r="GZ15" s="203"/>
      <c r="HA15" s="203"/>
      <c r="HB15" s="203"/>
      <c r="HC15" s="203"/>
      <c r="HD15" s="204" t="str">
        <f t="shared" si="35"/>
        <v/>
      </c>
      <c r="HE15" s="279"/>
      <c r="HF15" s="279"/>
      <c r="HG15" s="279"/>
    </row>
    <row r="16" spans="1:215" x14ac:dyDescent="0.45">
      <c r="A16" s="196"/>
      <c r="B16" s="271">
        <f t="shared" si="36"/>
        <v>46029</v>
      </c>
      <c r="C16" s="272" t="str">
        <f t="shared" si="0"/>
        <v>水</v>
      </c>
      <c r="D16" s="272" t="s">
        <v>22</v>
      </c>
      <c r="E16" s="273">
        <v>0.375</v>
      </c>
      <c r="F16" s="273">
        <v>0.75</v>
      </c>
      <c r="G16" s="202">
        <v>0.5</v>
      </c>
      <c r="H16" s="202">
        <v>0.54166666666666663</v>
      </c>
      <c r="I16" s="274" t="str">
        <f t="shared" si="1"/>
        <v>8h</v>
      </c>
      <c r="J16" s="203">
        <v>0.375</v>
      </c>
      <c r="K16" s="203">
        <v>0.75</v>
      </c>
      <c r="L16" s="203">
        <v>0.5</v>
      </c>
      <c r="M16" s="203">
        <v>0.54166666666666663</v>
      </c>
      <c r="N16" s="204" t="str">
        <f t="shared" si="2"/>
        <v>8h</v>
      </c>
      <c r="O16" s="279"/>
      <c r="P16" s="279"/>
      <c r="Q16" s="279"/>
      <c r="S16" s="196"/>
      <c r="T16" s="271">
        <f t="shared" si="37"/>
        <v>46060</v>
      </c>
      <c r="U16" s="272" t="str">
        <f t="shared" si="3"/>
        <v>土</v>
      </c>
      <c r="V16" s="272"/>
      <c r="W16" s="273"/>
      <c r="X16" s="273"/>
      <c r="Y16" s="202"/>
      <c r="Z16" s="202"/>
      <c r="AA16" s="274" t="str">
        <f t="shared" si="4"/>
        <v/>
      </c>
      <c r="AB16" s="203"/>
      <c r="AC16" s="203"/>
      <c r="AD16" s="203"/>
      <c r="AE16" s="203"/>
      <c r="AF16" s="204" t="str">
        <f t="shared" si="5"/>
        <v/>
      </c>
      <c r="AG16" s="279"/>
      <c r="AH16" s="279"/>
      <c r="AI16" s="279"/>
      <c r="AK16" s="196"/>
      <c r="AL16" s="271">
        <f t="shared" si="38"/>
        <v>46088</v>
      </c>
      <c r="AM16" s="272" t="str">
        <f t="shared" si="6"/>
        <v>土</v>
      </c>
      <c r="AN16" s="272"/>
      <c r="AO16" s="273"/>
      <c r="AP16" s="273"/>
      <c r="AQ16" s="202"/>
      <c r="AR16" s="202"/>
      <c r="AS16" s="274" t="str">
        <f t="shared" si="7"/>
        <v/>
      </c>
      <c r="AT16" s="203"/>
      <c r="AU16" s="203"/>
      <c r="AV16" s="203"/>
      <c r="AW16" s="203"/>
      <c r="AX16" s="204" t="str">
        <f t="shared" si="8"/>
        <v/>
      </c>
      <c r="AY16" s="279"/>
      <c r="AZ16" s="279"/>
      <c r="BA16" s="279"/>
      <c r="BC16" s="196"/>
      <c r="BD16" s="271">
        <f t="shared" si="39"/>
        <v>46119</v>
      </c>
      <c r="BE16" s="272" t="str">
        <f t="shared" si="9"/>
        <v>火</v>
      </c>
      <c r="BF16" s="272" t="s">
        <v>22</v>
      </c>
      <c r="BG16" s="273">
        <v>0.375</v>
      </c>
      <c r="BH16" s="273">
        <v>0.75</v>
      </c>
      <c r="BI16" s="202">
        <v>0.5</v>
      </c>
      <c r="BJ16" s="202">
        <v>0.54166666666666663</v>
      </c>
      <c r="BK16" s="274" t="str">
        <f t="shared" si="10"/>
        <v>8h</v>
      </c>
      <c r="BL16" s="203">
        <v>0.375</v>
      </c>
      <c r="BM16" s="203">
        <v>0.75</v>
      </c>
      <c r="BN16" s="203">
        <v>0.5</v>
      </c>
      <c r="BO16" s="203">
        <v>0.54166666666666663</v>
      </c>
      <c r="BP16" s="204" t="str">
        <f t="shared" si="11"/>
        <v>8h</v>
      </c>
      <c r="BQ16" s="279"/>
      <c r="BR16" s="279"/>
      <c r="BS16" s="279"/>
      <c r="BU16" s="196"/>
      <c r="BV16" s="271">
        <f t="shared" si="40"/>
        <v>46149</v>
      </c>
      <c r="BW16" s="272" t="str">
        <f t="shared" si="12"/>
        <v>木</v>
      </c>
      <c r="BX16" s="272" t="s">
        <v>22</v>
      </c>
      <c r="BY16" s="273">
        <v>0.375</v>
      </c>
      <c r="BZ16" s="273">
        <v>0.75</v>
      </c>
      <c r="CA16" s="202">
        <v>0.5</v>
      </c>
      <c r="CB16" s="202">
        <v>0.54166666666666663</v>
      </c>
      <c r="CC16" s="274" t="str">
        <f t="shared" si="13"/>
        <v>8h</v>
      </c>
      <c r="CD16" s="203">
        <v>0.375</v>
      </c>
      <c r="CE16" s="203">
        <v>0.75</v>
      </c>
      <c r="CF16" s="203">
        <v>0.5</v>
      </c>
      <c r="CG16" s="203">
        <v>0.54166666666666663</v>
      </c>
      <c r="CH16" s="204" t="str">
        <f t="shared" si="14"/>
        <v>8h</v>
      </c>
      <c r="CI16" s="279"/>
      <c r="CJ16" s="279"/>
      <c r="CK16" s="279"/>
      <c r="CM16" s="196"/>
      <c r="CN16" s="271">
        <f t="shared" si="41"/>
        <v>46180</v>
      </c>
      <c r="CO16" s="272" t="str">
        <f t="shared" si="15"/>
        <v>日</v>
      </c>
      <c r="CP16" s="272"/>
      <c r="CQ16" s="273"/>
      <c r="CR16" s="273"/>
      <c r="CS16" s="202"/>
      <c r="CT16" s="202"/>
      <c r="CU16" s="274" t="str">
        <f t="shared" si="16"/>
        <v/>
      </c>
      <c r="CV16" s="203"/>
      <c r="CW16" s="203"/>
      <c r="CX16" s="203"/>
      <c r="CY16" s="203"/>
      <c r="CZ16" s="204" t="str">
        <f t="shared" si="17"/>
        <v/>
      </c>
      <c r="DA16" s="279"/>
      <c r="DB16" s="279"/>
      <c r="DC16" s="279"/>
      <c r="DE16" s="196"/>
      <c r="DF16" s="271">
        <f t="shared" si="42"/>
        <v>46210</v>
      </c>
      <c r="DG16" s="272" t="str">
        <f t="shared" si="18"/>
        <v>火</v>
      </c>
      <c r="DH16" s="272" t="s">
        <v>22</v>
      </c>
      <c r="DI16" s="273">
        <v>0.375</v>
      </c>
      <c r="DJ16" s="273">
        <v>0.75</v>
      </c>
      <c r="DK16" s="202">
        <v>0.5</v>
      </c>
      <c r="DL16" s="202">
        <v>0.54166666666666663</v>
      </c>
      <c r="DM16" s="274" t="str">
        <f t="shared" si="19"/>
        <v>8h</v>
      </c>
      <c r="DN16" s="203">
        <v>0.375</v>
      </c>
      <c r="DO16" s="203">
        <v>0.75</v>
      </c>
      <c r="DP16" s="203">
        <v>0.5</v>
      </c>
      <c r="DQ16" s="203">
        <v>0.54166666666666663</v>
      </c>
      <c r="DR16" s="204" t="str">
        <f t="shared" si="20"/>
        <v>8h</v>
      </c>
      <c r="DS16" s="279"/>
      <c r="DT16" s="279"/>
      <c r="DU16" s="279"/>
      <c r="DW16" s="196"/>
      <c r="DX16" s="271">
        <f t="shared" si="43"/>
        <v>46241</v>
      </c>
      <c r="DY16" s="272" t="str">
        <f t="shared" si="21"/>
        <v>金</v>
      </c>
      <c r="DZ16" s="272" t="s">
        <v>22</v>
      </c>
      <c r="EA16" s="273">
        <v>0.375</v>
      </c>
      <c r="EB16" s="273">
        <v>0.75</v>
      </c>
      <c r="EC16" s="202">
        <v>0.5</v>
      </c>
      <c r="ED16" s="202">
        <v>0.54166666666666663</v>
      </c>
      <c r="EE16" s="274" t="str">
        <f t="shared" si="22"/>
        <v>8h</v>
      </c>
      <c r="EF16" s="203">
        <v>0.375</v>
      </c>
      <c r="EG16" s="203">
        <v>0.75</v>
      </c>
      <c r="EH16" s="203">
        <v>0.5</v>
      </c>
      <c r="EI16" s="203">
        <v>0.54166666666666663</v>
      </c>
      <c r="EJ16" s="204" t="str">
        <f t="shared" si="23"/>
        <v>8h</v>
      </c>
      <c r="EK16" s="279"/>
      <c r="EL16" s="279"/>
      <c r="EM16" s="279"/>
      <c r="EO16" s="196"/>
      <c r="EP16" s="271">
        <f t="shared" si="44"/>
        <v>46272</v>
      </c>
      <c r="EQ16" s="272" t="str">
        <f t="shared" si="24"/>
        <v>月</v>
      </c>
      <c r="ER16" s="272" t="s">
        <v>22</v>
      </c>
      <c r="ES16" s="273">
        <v>0.375</v>
      </c>
      <c r="ET16" s="273">
        <v>0.75</v>
      </c>
      <c r="EU16" s="202">
        <v>0.5</v>
      </c>
      <c r="EV16" s="202">
        <v>0.54166666666666663</v>
      </c>
      <c r="EW16" s="274" t="str">
        <f t="shared" si="25"/>
        <v>8h</v>
      </c>
      <c r="EX16" s="203">
        <v>0.375</v>
      </c>
      <c r="EY16" s="203">
        <v>0.75</v>
      </c>
      <c r="EZ16" s="203">
        <v>0.5</v>
      </c>
      <c r="FA16" s="203">
        <v>0.54166666666666663</v>
      </c>
      <c r="FB16" s="204" t="str">
        <f t="shared" si="26"/>
        <v>8h</v>
      </c>
      <c r="FC16" s="279"/>
      <c r="FD16" s="279"/>
      <c r="FE16" s="279"/>
      <c r="FG16" s="196"/>
      <c r="FH16" s="271">
        <f t="shared" si="45"/>
        <v>46302</v>
      </c>
      <c r="FI16" s="272" t="str">
        <f t="shared" si="27"/>
        <v>水</v>
      </c>
      <c r="FJ16" s="272" t="s">
        <v>22</v>
      </c>
      <c r="FK16" s="273">
        <v>0.375</v>
      </c>
      <c r="FL16" s="273">
        <v>0.75</v>
      </c>
      <c r="FM16" s="202">
        <v>0.5</v>
      </c>
      <c r="FN16" s="202">
        <v>0.54166666666666663</v>
      </c>
      <c r="FO16" s="274" t="str">
        <f t="shared" si="28"/>
        <v>8h</v>
      </c>
      <c r="FP16" s="203">
        <v>0.375</v>
      </c>
      <c r="FQ16" s="203">
        <v>0.75</v>
      </c>
      <c r="FR16" s="203">
        <v>0.5</v>
      </c>
      <c r="FS16" s="203">
        <v>0.54166666666666663</v>
      </c>
      <c r="FT16" s="204" t="str">
        <f t="shared" si="29"/>
        <v>8h</v>
      </c>
      <c r="FU16" s="279"/>
      <c r="FV16" s="279"/>
      <c r="FW16" s="279"/>
      <c r="FY16" s="196"/>
      <c r="FZ16" s="271">
        <f t="shared" si="46"/>
        <v>46333</v>
      </c>
      <c r="GA16" s="272" t="str">
        <f t="shared" si="30"/>
        <v>土</v>
      </c>
      <c r="GB16" s="272"/>
      <c r="GC16" s="273"/>
      <c r="GD16" s="273"/>
      <c r="GE16" s="202"/>
      <c r="GF16" s="202"/>
      <c r="GG16" s="274" t="str">
        <f t="shared" si="31"/>
        <v/>
      </c>
      <c r="GH16" s="203"/>
      <c r="GI16" s="203"/>
      <c r="GJ16" s="203"/>
      <c r="GK16" s="203"/>
      <c r="GL16" s="204" t="str">
        <f t="shared" si="32"/>
        <v/>
      </c>
      <c r="GM16" s="279"/>
      <c r="GN16" s="279"/>
      <c r="GO16" s="279"/>
      <c r="GQ16" s="196"/>
      <c r="GR16" s="271">
        <f t="shared" si="47"/>
        <v>46363</v>
      </c>
      <c r="GS16" s="272" t="str">
        <f t="shared" si="33"/>
        <v>月</v>
      </c>
      <c r="GT16" s="272" t="s">
        <v>22</v>
      </c>
      <c r="GU16" s="273">
        <v>0.375</v>
      </c>
      <c r="GV16" s="273">
        <v>0.75</v>
      </c>
      <c r="GW16" s="202">
        <v>0.5</v>
      </c>
      <c r="GX16" s="202">
        <v>0.54166666666666663</v>
      </c>
      <c r="GY16" s="274" t="str">
        <f t="shared" si="34"/>
        <v>8h</v>
      </c>
      <c r="GZ16" s="203">
        <v>0.375</v>
      </c>
      <c r="HA16" s="203">
        <v>0.75</v>
      </c>
      <c r="HB16" s="203">
        <v>0.5</v>
      </c>
      <c r="HC16" s="203">
        <v>0.54166666666666663</v>
      </c>
      <c r="HD16" s="204" t="str">
        <f t="shared" si="35"/>
        <v>8h</v>
      </c>
      <c r="HE16" s="279"/>
      <c r="HF16" s="279"/>
      <c r="HG16" s="279"/>
    </row>
    <row r="17" spans="1:215" x14ac:dyDescent="0.45">
      <c r="A17" s="196"/>
      <c r="B17" s="271">
        <f t="shared" si="36"/>
        <v>46030</v>
      </c>
      <c r="C17" s="272" t="str">
        <f t="shared" si="0"/>
        <v>木</v>
      </c>
      <c r="D17" s="272" t="s">
        <v>22</v>
      </c>
      <c r="E17" s="273">
        <v>0.375</v>
      </c>
      <c r="F17" s="273">
        <v>0.75</v>
      </c>
      <c r="G17" s="202">
        <v>0.5</v>
      </c>
      <c r="H17" s="202">
        <v>0.54166666666666663</v>
      </c>
      <c r="I17" s="274" t="str">
        <f t="shared" si="1"/>
        <v>8h</v>
      </c>
      <c r="J17" s="203">
        <v>0.375</v>
      </c>
      <c r="K17" s="203">
        <v>0.75</v>
      </c>
      <c r="L17" s="203">
        <v>0.5</v>
      </c>
      <c r="M17" s="203">
        <v>0.54166666666666663</v>
      </c>
      <c r="N17" s="204" t="str">
        <f t="shared" si="2"/>
        <v>8h</v>
      </c>
      <c r="O17" s="279"/>
      <c r="P17" s="279"/>
      <c r="Q17" s="279"/>
      <c r="S17" s="196"/>
      <c r="T17" s="271">
        <f t="shared" si="37"/>
        <v>46061</v>
      </c>
      <c r="U17" s="272" t="str">
        <f t="shared" si="3"/>
        <v>日</v>
      </c>
      <c r="V17" s="272"/>
      <c r="W17" s="273"/>
      <c r="X17" s="273"/>
      <c r="Y17" s="202"/>
      <c r="Z17" s="202"/>
      <c r="AA17" s="274" t="str">
        <f t="shared" si="4"/>
        <v/>
      </c>
      <c r="AB17" s="203"/>
      <c r="AC17" s="203"/>
      <c r="AD17" s="203"/>
      <c r="AE17" s="203"/>
      <c r="AF17" s="204" t="str">
        <f t="shared" si="5"/>
        <v/>
      </c>
      <c r="AG17" s="279"/>
      <c r="AH17" s="279"/>
      <c r="AI17" s="279"/>
      <c r="AK17" s="196"/>
      <c r="AL17" s="271">
        <f t="shared" si="38"/>
        <v>46089</v>
      </c>
      <c r="AM17" s="272" t="str">
        <f t="shared" si="6"/>
        <v>日</v>
      </c>
      <c r="AN17" s="272"/>
      <c r="AO17" s="273"/>
      <c r="AP17" s="273"/>
      <c r="AQ17" s="202"/>
      <c r="AR17" s="202"/>
      <c r="AS17" s="274" t="str">
        <f t="shared" si="7"/>
        <v/>
      </c>
      <c r="AT17" s="203"/>
      <c r="AU17" s="203"/>
      <c r="AV17" s="203"/>
      <c r="AW17" s="203"/>
      <c r="AX17" s="204" t="str">
        <f t="shared" si="8"/>
        <v/>
      </c>
      <c r="AY17" s="279"/>
      <c r="AZ17" s="279"/>
      <c r="BA17" s="279"/>
      <c r="BC17" s="196"/>
      <c r="BD17" s="271">
        <f t="shared" si="39"/>
        <v>46120</v>
      </c>
      <c r="BE17" s="272" t="str">
        <f t="shared" si="9"/>
        <v>水</v>
      </c>
      <c r="BF17" s="272" t="s">
        <v>22</v>
      </c>
      <c r="BG17" s="273">
        <v>0.375</v>
      </c>
      <c r="BH17" s="273">
        <v>0.75</v>
      </c>
      <c r="BI17" s="202">
        <v>0.5</v>
      </c>
      <c r="BJ17" s="202">
        <v>0.54166666666666663</v>
      </c>
      <c r="BK17" s="274" t="str">
        <f t="shared" si="10"/>
        <v>8h</v>
      </c>
      <c r="BL17" s="203">
        <v>0.375</v>
      </c>
      <c r="BM17" s="203">
        <v>0.75</v>
      </c>
      <c r="BN17" s="203">
        <v>0.5</v>
      </c>
      <c r="BO17" s="203">
        <v>0.54166666666666663</v>
      </c>
      <c r="BP17" s="204" t="str">
        <f t="shared" si="11"/>
        <v>8h</v>
      </c>
      <c r="BQ17" s="279"/>
      <c r="BR17" s="279"/>
      <c r="BS17" s="279"/>
      <c r="BU17" s="196"/>
      <c r="BV17" s="271">
        <f t="shared" si="40"/>
        <v>46150</v>
      </c>
      <c r="BW17" s="272" t="str">
        <f t="shared" si="12"/>
        <v>金</v>
      </c>
      <c r="BX17" s="272" t="s">
        <v>22</v>
      </c>
      <c r="BY17" s="273">
        <v>0.375</v>
      </c>
      <c r="BZ17" s="273">
        <v>0.75</v>
      </c>
      <c r="CA17" s="202">
        <v>0.5</v>
      </c>
      <c r="CB17" s="202">
        <v>0.54166666666666663</v>
      </c>
      <c r="CC17" s="274" t="str">
        <f t="shared" si="13"/>
        <v>8h</v>
      </c>
      <c r="CD17" s="203">
        <v>0.375</v>
      </c>
      <c r="CE17" s="203">
        <v>0.75</v>
      </c>
      <c r="CF17" s="203">
        <v>0.5</v>
      </c>
      <c r="CG17" s="203">
        <v>0.54166666666666663</v>
      </c>
      <c r="CH17" s="204" t="str">
        <f t="shared" si="14"/>
        <v>8h</v>
      </c>
      <c r="CI17" s="279"/>
      <c r="CJ17" s="279"/>
      <c r="CK17" s="279"/>
      <c r="CM17" s="196"/>
      <c r="CN17" s="271">
        <f t="shared" si="41"/>
        <v>46181</v>
      </c>
      <c r="CO17" s="272" t="str">
        <f t="shared" si="15"/>
        <v>月</v>
      </c>
      <c r="CP17" s="272" t="s">
        <v>22</v>
      </c>
      <c r="CQ17" s="273">
        <v>0.375</v>
      </c>
      <c r="CR17" s="273">
        <v>0.75</v>
      </c>
      <c r="CS17" s="202">
        <v>0.5</v>
      </c>
      <c r="CT17" s="202">
        <v>0.54166666666666663</v>
      </c>
      <c r="CU17" s="274" t="str">
        <f t="shared" si="16"/>
        <v>8h</v>
      </c>
      <c r="CV17" s="203">
        <v>0.375</v>
      </c>
      <c r="CW17" s="203">
        <v>0.75</v>
      </c>
      <c r="CX17" s="203">
        <v>0.5</v>
      </c>
      <c r="CY17" s="203">
        <v>0.54166666666666663</v>
      </c>
      <c r="CZ17" s="204" t="str">
        <f t="shared" si="17"/>
        <v>8h</v>
      </c>
      <c r="DA17" s="279"/>
      <c r="DB17" s="279"/>
      <c r="DC17" s="279"/>
      <c r="DE17" s="196"/>
      <c r="DF17" s="271">
        <f t="shared" si="42"/>
        <v>46211</v>
      </c>
      <c r="DG17" s="272" t="str">
        <f t="shared" si="18"/>
        <v>水</v>
      </c>
      <c r="DH17" s="272" t="s">
        <v>22</v>
      </c>
      <c r="DI17" s="273">
        <v>0.375</v>
      </c>
      <c r="DJ17" s="273">
        <v>0.75</v>
      </c>
      <c r="DK17" s="202">
        <v>0.5</v>
      </c>
      <c r="DL17" s="202">
        <v>0.54166666666666663</v>
      </c>
      <c r="DM17" s="274" t="str">
        <f t="shared" si="19"/>
        <v>8h</v>
      </c>
      <c r="DN17" s="203">
        <v>0.375</v>
      </c>
      <c r="DO17" s="203">
        <v>0.75</v>
      </c>
      <c r="DP17" s="203">
        <v>0.5</v>
      </c>
      <c r="DQ17" s="203">
        <v>0.54166666666666663</v>
      </c>
      <c r="DR17" s="204" t="str">
        <f t="shared" si="20"/>
        <v>8h</v>
      </c>
      <c r="DS17" s="279"/>
      <c r="DT17" s="279"/>
      <c r="DU17" s="279"/>
      <c r="DW17" s="196"/>
      <c r="DX17" s="271">
        <f t="shared" si="43"/>
        <v>46242</v>
      </c>
      <c r="DY17" s="272" t="str">
        <f t="shared" si="21"/>
        <v>土</v>
      </c>
      <c r="DZ17" s="272"/>
      <c r="EA17" s="273"/>
      <c r="EB17" s="273"/>
      <c r="EC17" s="202"/>
      <c r="ED17" s="202"/>
      <c r="EE17" s="274" t="str">
        <f t="shared" si="22"/>
        <v/>
      </c>
      <c r="EF17" s="203"/>
      <c r="EG17" s="203"/>
      <c r="EH17" s="203"/>
      <c r="EI17" s="203"/>
      <c r="EJ17" s="204" t="str">
        <f t="shared" si="23"/>
        <v/>
      </c>
      <c r="EK17" s="279"/>
      <c r="EL17" s="279"/>
      <c r="EM17" s="279"/>
      <c r="EO17" s="196"/>
      <c r="EP17" s="271">
        <f t="shared" si="44"/>
        <v>46273</v>
      </c>
      <c r="EQ17" s="272" t="str">
        <f t="shared" si="24"/>
        <v>火</v>
      </c>
      <c r="ER17" s="272" t="s">
        <v>22</v>
      </c>
      <c r="ES17" s="273">
        <v>0.375</v>
      </c>
      <c r="ET17" s="273">
        <v>0.75</v>
      </c>
      <c r="EU17" s="202">
        <v>0.5</v>
      </c>
      <c r="EV17" s="202">
        <v>0.54166666666666663</v>
      </c>
      <c r="EW17" s="274" t="str">
        <f t="shared" si="25"/>
        <v>8h</v>
      </c>
      <c r="EX17" s="203">
        <v>0.375</v>
      </c>
      <c r="EY17" s="203">
        <v>0.75</v>
      </c>
      <c r="EZ17" s="203">
        <v>0.5</v>
      </c>
      <c r="FA17" s="203">
        <v>0.54166666666666663</v>
      </c>
      <c r="FB17" s="204" t="str">
        <f t="shared" si="26"/>
        <v>8h</v>
      </c>
      <c r="FC17" s="279"/>
      <c r="FD17" s="279"/>
      <c r="FE17" s="279"/>
      <c r="FG17" s="196"/>
      <c r="FH17" s="271">
        <f t="shared" si="45"/>
        <v>46303</v>
      </c>
      <c r="FI17" s="272" t="str">
        <f t="shared" si="27"/>
        <v>木</v>
      </c>
      <c r="FJ17" s="272" t="s">
        <v>22</v>
      </c>
      <c r="FK17" s="273">
        <v>0.375</v>
      </c>
      <c r="FL17" s="273">
        <v>0.75</v>
      </c>
      <c r="FM17" s="202">
        <v>0.5</v>
      </c>
      <c r="FN17" s="202">
        <v>0.54166666666666663</v>
      </c>
      <c r="FO17" s="274" t="str">
        <f t="shared" si="28"/>
        <v>8h</v>
      </c>
      <c r="FP17" s="203">
        <v>0.375</v>
      </c>
      <c r="FQ17" s="203">
        <v>0.75</v>
      </c>
      <c r="FR17" s="203">
        <v>0.5</v>
      </c>
      <c r="FS17" s="203">
        <v>0.54166666666666663</v>
      </c>
      <c r="FT17" s="204" t="str">
        <f t="shared" si="29"/>
        <v>8h</v>
      </c>
      <c r="FU17" s="279"/>
      <c r="FV17" s="279"/>
      <c r="FW17" s="279"/>
      <c r="FY17" s="196"/>
      <c r="FZ17" s="271">
        <f t="shared" si="46"/>
        <v>46334</v>
      </c>
      <c r="GA17" s="272" t="str">
        <f t="shared" si="30"/>
        <v>日</v>
      </c>
      <c r="GB17" s="272"/>
      <c r="GC17" s="273"/>
      <c r="GD17" s="273"/>
      <c r="GE17" s="202"/>
      <c r="GF17" s="202"/>
      <c r="GG17" s="274" t="str">
        <f t="shared" si="31"/>
        <v/>
      </c>
      <c r="GH17" s="203"/>
      <c r="GI17" s="203"/>
      <c r="GJ17" s="203"/>
      <c r="GK17" s="203"/>
      <c r="GL17" s="204" t="str">
        <f t="shared" si="32"/>
        <v/>
      </c>
      <c r="GM17" s="279"/>
      <c r="GN17" s="279"/>
      <c r="GO17" s="279"/>
      <c r="GQ17" s="196"/>
      <c r="GR17" s="271">
        <f t="shared" si="47"/>
        <v>46364</v>
      </c>
      <c r="GS17" s="272" t="str">
        <f t="shared" si="33"/>
        <v>火</v>
      </c>
      <c r="GT17" s="272" t="s">
        <v>22</v>
      </c>
      <c r="GU17" s="273">
        <v>0.375</v>
      </c>
      <c r="GV17" s="273">
        <v>0.75</v>
      </c>
      <c r="GW17" s="202">
        <v>0.5</v>
      </c>
      <c r="GX17" s="202">
        <v>0.54166666666666663</v>
      </c>
      <c r="GY17" s="274" t="str">
        <f t="shared" si="34"/>
        <v>8h</v>
      </c>
      <c r="GZ17" s="203">
        <v>0.375</v>
      </c>
      <c r="HA17" s="203">
        <v>0.75</v>
      </c>
      <c r="HB17" s="203">
        <v>0.5</v>
      </c>
      <c r="HC17" s="203">
        <v>0.54166666666666663</v>
      </c>
      <c r="HD17" s="204" t="str">
        <f t="shared" si="35"/>
        <v>8h</v>
      </c>
      <c r="HE17" s="279"/>
      <c r="HF17" s="279"/>
      <c r="HG17" s="279"/>
    </row>
    <row r="18" spans="1:215" x14ac:dyDescent="0.45">
      <c r="A18" s="196"/>
      <c r="B18" s="271">
        <f t="shared" si="36"/>
        <v>46031</v>
      </c>
      <c r="C18" s="272" t="str">
        <f t="shared" si="0"/>
        <v>金</v>
      </c>
      <c r="D18" s="272" t="s">
        <v>22</v>
      </c>
      <c r="E18" s="273">
        <v>0.375</v>
      </c>
      <c r="F18" s="273">
        <v>0.75</v>
      </c>
      <c r="G18" s="202">
        <v>0.5</v>
      </c>
      <c r="H18" s="202">
        <v>0.54166666666666663</v>
      </c>
      <c r="I18" s="274" t="str">
        <f t="shared" si="1"/>
        <v>8h</v>
      </c>
      <c r="J18" s="203">
        <v>0.375</v>
      </c>
      <c r="K18" s="203">
        <v>0.75</v>
      </c>
      <c r="L18" s="203">
        <v>0.5</v>
      </c>
      <c r="M18" s="203">
        <v>0.54166666666666663</v>
      </c>
      <c r="N18" s="204" t="str">
        <f t="shared" si="2"/>
        <v>8h</v>
      </c>
      <c r="O18" s="279"/>
      <c r="P18" s="279"/>
      <c r="Q18" s="279"/>
      <c r="S18" s="196"/>
      <c r="T18" s="271">
        <f t="shared" si="37"/>
        <v>46062</v>
      </c>
      <c r="U18" s="272" t="str">
        <f t="shared" si="3"/>
        <v>月</v>
      </c>
      <c r="V18" s="272" t="s">
        <v>22</v>
      </c>
      <c r="W18" s="273">
        <v>0.375</v>
      </c>
      <c r="X18" s="273">
        <v>0.75</v>
      </c>
      <c r="Y18" s="202">
        <v>0.5</v>
      </c>
      <c r="Z18" s="202">
        <v>0.54166666666666663</v>
      </c>
      <c r="AA18" s="274" t="str">
        <f t="shared" si="4"/>
        <v>8h</v>
      </c>
      <c r="AB18" s="203">
        <v>0.375</v>
      </c>
      <c r="AC18" s="203">
        <v>0.75</v>
      </c>
      <c r="AD18" s="203">
        <v>0.5</v>
      </c>
      <c r="AE18" s="203">
        <v>0.54166666666666663</v>
      </c>
      <c r="AF18" s="204" t="str">
        <f t="shared" si="5"/>
        <v>8h</v>
      </c>
      <c r="AG18" s="279"/>
      <c r="AH18" s="279"/>
      <c r="AI18" s="279"/>
      <c r="AK18" s="196"/>
      <c r="AL18" s="271">
        <f t="shared" si="38"/>
        <v>46090</v>
      </c>
      <c r="AM18" s="272" t="str">
        <f t="shared" si="6"/>
        <v>月</v>
      </c>
      <c r="AN18" s="272" t="s">
        <v>22</v>
      </c>
      <c r="AO18" s="273">
        <v>0.375</v>
      </c>
      <c r="AP18" s="273">
        <v>0.75</v>
      </c>
      <c r="AQ18" s="202">
        <v>0.5</v>
      </c>
      <c r="AR18" s="202">
        <v>0.54166666666666663</v>
      </c>
      <c r="AS18" s="274" t="str">
        <f t="shared" si="7"/>
        <v>8h</v>
      </c>
      <c r="AT18" s="203">
        <v>0.375</v>
      </c>
      <c r="AU18" s="203">
        <v>0.75</v>
      </c>
      <c r="AV18" s="203">
        <v>0.5</v>
      </c>
      <c r="AW18" s="203">
        <v>0.54166666666666663</v>
      </c>
      <c r="AX18" s="204" t="str">
        <f t="shared" si="8"/>
        <v>8h</v>
      </c>
      <c r="AY18" s="279"/>
      <c r="AZ18" s="279"/>
      <c r="BA18" s="279"/>
      <c r="BC18" s="196"/>
      <c r="BD18" s="271">
        <f t="shared" si="39"/>
        <v>46121</v>
      </c>
      <c r="BE18" s="272" t="str">
        <f t="shared" si="9"/>
        <v>木</v>
      </c>
      <c r="BF18" s="272" t="s">
        <v>22</v>
      </c>
      <c r="BG18" s="273">
        <v>0.375</v>
      </c>
      <c r="BH18" s="273">
        <v>0.75</v>
      </c>
      <c r="BI18" s="202">
        <v>0.5</v>
      </c>
      <c r="BJ18" s="202">
        <v>0.54166666666666663</v>
      </c>
      <c r="BK18" s="274" t="str">
        <f t="shared" si="10"/>
        <v>8h</v>
      </c>
      <c r="BL18" s="203">
        <v>0.375</v>
      </c>
      <c r="BM18" s="203">
        <v>0.75</v>
      </c>
      <c r="BN18" s="203">
        <v>0.5</v>
      </c>
      <c r="BO18" s="203">
        <v>0.54166666666666663</v>
      </c>
      <c r="BP18" s="204" t="str">
        <f t="shared" si="11"/>
        <v>8h</v>
      </c>
      <c r="BQ18" s="279"/>
      <c r="BR18" s="279"/>
      <c r="BS18" s="279"/>
      <c r="BU18" s="196"/>
      <c r="BV18" s="271">
        <f t="shared" si="40"/>
        <v>46151</v>
      </c>
      <c r="BW18" s="272" t="str">
        <f t="shared" si="12"/>
        <v>土</v>
      </c>
      <c r="BX18" s="272"/>
      <c r="BY18" s="273"/>
      <c r="BZ18" s="273"/>
      <c r="CA18" s="202"/>
      <c r="CB18" s="202"/>
      <c r="CC18" s="274" t="str">
        <f t="shared" si="13"/>
        <v/>
      </c>
      <c r="CD18" s="203"/>
      <c r="CE18" s="203"/>
      <c r="CF18" s="203"/>
      <c r="CG18" s="203"/>
      <c r="CH18" s="204" t="str">
        <f t="shared" si="14"/>
        <v/>
      </c>
      <c r="CI18" s="279"/>
      <c r="CJ18" s="279"/>
      <c r="CK18" s="279"/>
      <c r="CM18" s="196"/>
      <c r="CN18" s="271">
        <f t="shared" si="41"/>
        <v>46182</v>
      </c>
      <c r="CO18" s="272" t="str">
        <f t="shared" si="15"/>
        <v>火</v>
      </c>
      <c r="CP18" s="272" t="s">
        <v>22</v>
      </c>
      <c r="CQ18" s="273">
        <v>0.375</v>
      </c>
      <c r="CR18" s="273">
        <v>0.75</v>
      </c>
      <c r="CS18" s="202">
        <v>0.5</v>
      </c>
      <c r="CT18" s="202">
        <v>0.54166666666666663</v>
      </c>
      <c r="CU18" s="274" t="str">
        <f t="shared" si="16"/>
        <v>8h</v>
      </c>
      <c r="CV18" s="203">
        <v>0.375</v>
      </c>
      <c r="CW18" s="203">
        <v>0.75</v>
      </c>
      <c r="CX18" s="203">
        <v>0.5</v>
      </c>
      <c r="CY18" s="203">
        <v>0.54166666666666663</v>
      </c>
      <c r="CZ18" s="204" t="str">
        <f t="shared" si="17"/>
        <v>8h</v>
      </c>
      <c r="DA18" s="279"/>
      <c r="DB18" s="279"/>
      <c r="DC18" s="279"/>
      <c r="DE18" s="196"/>
      <c r="DF18" s="271">
        <f t="shared" si="42"/>
        <v>46212</v>
      </c>
      <c r="DG18" s="272" t="str">
        <f t="shared" si="18"/>
        <v>木</v>
      </c>
      <c r="DH18" s="272" t="s">
        <v>22</v>
      </c>
      <c r="DI18" s="273">
        <v>0.375</v>
      </c>
      <c r="DJ18" s="273">
        <v>0.75</v>
      </c>
      <c r="DK18" s="202">
        <v>0.5</v>
      </c>
      <c r="DL18" s="202">
        <v>0.54166666666666663</v>
      </c>
      <c r="DM18" s="274" t="str">
        <f t="shared" si="19"/>
        <v>8h</v>
      </c>
      <c r="DN18" s="203">
        <v>0.375</v>
      </c>
      <c r="DO18" s="203">
        <v>0.75</v>
      </c>
      <c r="DP18" s="203">
        <v>0.5</v>
      </c>
      <c r="DQ18" s="203">
        <v>0.54166666666666663</v>
      </c>
      <c r="DR18" s="204" t="str">
        <f t="shared" si="20"/>
        <v>8h</v>
      </c>
      <c r="DS18" s="279"/>
      <c r="DT18" s="279"/>
      <c r="DU18" s="279"/>
      <c r="DW18" s="196"/>
      <c r="DX18" s="271">
        <f t="shared" si="43"/>
        <v>46243</v>
      </c>
      <c r="DY18" s="272" t="str">
        <f t="shared" si="21"/>
        <v>日</v>
      </c>
      <c r="DZ18" s="272"/>
      <c r="EA18" s="273"/>
      <c r="EB18" s="273"/>
      <c r="EC18" s="202"/>
      <c r="ED18" s="202"/>
      <c r="EE18" s="274" t="str">
        <f t="shared" si="22"/>
        <v/>
      </c>
      <c r="EF18" s="203"/>
      <c r="EG18" s="203"/>
      <c r="EH18" s="203"/>
      <c r="EI18" s="203"/>
      <c r="EJ18" s="204" t="str">
        <f t="shared" si="23"/>
        <v/>
      </c>
      <c r="EK18" s="279"/>
      <c r="EL18" s="279"/>
      <c r="EM18" s="279"/>
      <c r="EO18" s="196"/>
      <c r="EP18" s="271">
        <f t="shared" si="44"/>
        <v>46274</v>
      </c>
      <c r="EQ18" s="272" t="str">
        <f t="shared" si="24"/>
        <v>水</v>
      </c>
      <c r="ER18" s="272" t="s">
        <v>22</v>
      </c>
      <c r="ES18" s="273">
        <v>0.375</v>
      </c>
      <c r="ET18" s="273">
        <v>0.75</v>
      </c>
      <c r="EU18" s="202">
        <v>0.5</v>
      </c>
      <c r="EV18" s="202">
        <v>0.54166666666666663</v>
      </c>
      <c r="EW18" s="274" t="str">
        <f t="shared" si="25"/>
        <v>8h</v>
      </c>
      <c r="EX18" s="203">
        <v>0.375</v>
      </c>
      <c r="EY18" s="203">
        <v>0.75</v>
      </c>
      <c r="EZ18" s="203">
        <v>0.5</v>
      </c>
      <c r="FA18" s="203">
        <v>0.54166666666666663</v>
      </c>
      <c r="FB18" s="204" t="str">
        <f t="shared" si="26"/>
        <v>8h</v>
      </c>
      <c r="FC18" s="279"/>
      <c r="FD18" s="279"/>
      <c r="FE18" s="279"/>
      <c r="FG18" s="196"/>
      <c r="FH18" s="271">
        <f t="shared" si="45"/>
        <v>46304</v>
      </c>
      <c r="FI18" s="272" t="str">
        <f t="shared" si="27"/>
        <v>金</v>
      </c>
      <c r="FJ18" s="272" t="s">
        <v>22</v>
      </c>
      <c r="FK18" s="273">
        <v>0.375</v>
      </c>
      <c r="FL18" s="273">
        <v>0.75</v>
      </c>
      <c r="FM18" s="202">
        <v>0.5</v>
      </c>
      <c r="FN18" s="202">
        <v>0.54166666666666663</v>
      </c>
      <c r="FO18" s="274" t="str">
        <f t="shared" si="28"/>
        <v>8h</v>
      </c>
      <c r="FP18" s="203">
        <v>0.375</v>
      </c>
      <c r="FQ18" s="203">
        <v>0.75</v>
      </c>
      <c r="FR18" s="203">
        <v>0.5</v>
      </c>
      <c r="FS18" s="203">
        <v>0.54166666666666663</v>
      </c>
      <c r="FT18" s="204" t="str">
        <f t="shared" si="29"/>
        <v>8h</v>
      </c>
      <c r="FU18" s="279"/>
      <c r="FV18" s="279"/>
      <c r="FW18" s="279"/>
      <c r="FY18" s="196"/>
      <c r="FZ18" s="271">
        <f t="shared" si="46"/>
        <v>46335</v>
      </c>
      <c r="GA18" s="272" t="str">
        <f t="shared" si="30"/>
        <v>月</v>
      </c>
      <c r="GB18" s="272" t="s">
        <v>22</v>
      </c>
      <c r="GC18" s="273">
        <v>0.375</v>
      </c>
      <c r="GD18" s="273">
        <v>0.75</v>
      </c>
      <c r="GE18" s="202">
        <v>0.5</v>
      </c>
      <c r="GF18" s="202">
        <v>0.54166666666666663</v>
      </c>
      <c r="GG18" s="274" t="str">
        <f t="shared" si="31"/>
        <v>8h</v>
      </c>
      <c r="GH18" s="203">
        <v>0.375</v>
      </c>
      <c r="GI18" s="203">
        <v>0.75</v>
      </c>
      <c r="GJ18" s="203">
        <v>0.5</v>
      </c>
      <c r="GK18" s="203">
        <v>0.54166666666666663</v>
      </c>
      <c r="GL18" s="204" t="str">
        <f t="shared" si="32"/>
        <v>8h</v>
      </c>
      <c r="GM18" s="279"/>
      <c r="GN18" s="279"/>
      <c r="GO18" s="279"/>
      <c r="GQ18" s="196"/>
      <c r="GR18" s="271">
        <f t="shared" si="47"/>
        <v>46365</v>
      </c>
      <c r="GS18" s="272" t="str">
        <f t="shared" si="33"/>
        <v>水</v>
      </c>
      <c r="GT18" s="272" t="s">
        <v>22</v>
      </c>
      <c r="GU18" s="273">
        <v>0.375</v>
      </c>
      <c r="GV18" s="273">
        <v>0.75</v>
      </c>
      <c r="GW18" s="202">
        <v>0.5</v>
      </c>
      <c r="GX18" s="202">
        <v>0.54166666666666663</v>
      </c>
      <c r="GY18" s="274" t="str">
        <f t="shared" si="34"/>
        <v>8h</v>
      </c>
      <c r="GZ18" s="203">
        <v>0.375</v>
      </c>
      <c r="HA18" s="203">
        <v>0.75</v>
      </c>
      <c r="HB18" s="203">
        <v>0.5</v>
      </c>
      <c r="HC18" s="203">
        <v>0.54166666666666663</v>
      </c>
      <c r="HD18" s="204" t="str">
        <f t="shared" si="35"/>
        <v>8h</v>
      </c>
      <c r="HE18" s="279"/>
      <c r="HF18" s="279"/>
      <c r="HG18" s="279"/>
    </row>
    <row r="19" spans="1:215" x14ac:dyDescent="0.45">
      <c r="A19" s="196"/>
      <c r="B19" s="271">
        <f t="shared" si="36"/>
        <v>46032</v>
      </c>
      <c r="C19" s="272" t="str">
        <f t="shared" si="0"/>
        <v>土</v>
      </c>
      <c r="D19" s="272"/>
      <c r="E19" s="273"/>
      <c r="F19" s="273"/>
      <c r="G19" s="202"/>
      <c r="H19" s="202"/>
      <c r="I19" s="274" t="str">
        <f t="shared" si="1"/>
        <v/>
      </c>
      <c r="J19" s="203"/>
      <c r="K19" s="203"/>
      <c r="L19" s="203"/>
      <c r="M19" s="203"/>
      <c r="N19" s="204" t="str">
        <f t="shared" si="2"/>
        <v/>
      </c>
      <c r="O19" s="279"/>
      <c r="P19" s="279"/>
      <c r="Q19" s="279"/>
      <c r="S19" s="196"/>
      <c r="T19" s="271">
        <f t="shared" si="37"/>
        <v>46063</v>
      </c>
      <c r="U19" s="272" t="str">
        <f t="shared" si="3"/>
        <v>火</v>
      </c>
      <c r="V19" s="272" t="s">
        <v>22</v>
      </c>
      <c r="W19" s="273">
        <v>0.375</v>
      </c>
      <c r="X19" s="273">
        <v>0.75</v>
      </c>
      <c r="Y19" s="202">
        <v>0.5</v>
      </c>
      <c r="Z19" s="202">
        <v>0.54166666666666663</v>
      </c>
      <c r="AA19" s="274" t="str">
        <f t="shared" si="4"/>
        <v>8h</v>
      </c>
      <c r="AB19" s="203">
        <v>0.375</v>
      </c>
      <c r="AC19" s="203">
        <v>0.75</v>
      </c>
      <c r="AD19" s="203">
        <v>0.5</v>
      </c>
      <c r="AE19" s="203">
        <v>0.54166666666666663</v>
      </c>
      <c r="AF19" s="204" t="str">
        <f t="shared" si="5"/>
        <v>8h</v>
      </c>
      <c r="AG19" s="279"/>
      <c r="AH19" s="279"/>
      <c r="AI19" s="279"/>
      <c r="AK19" s="196"/>
      <c r="AL19" s="271">
        <f t="shared" si="38"/>
        <v>46091</v>
      </c>
      <c r="AM19" s="272" t="str">
        <f t="shared" si="6"/>
        <v>火</v>
      </c>
      <c r="AN19" s="272" t="s">
        <v>22</v>
      </c>
      <c r="AO19" s="273">
        <v>0.375</v>
      </c>
      <c r="AP19" s="273">
        <v>0.75</v>
      </c>
      <c r="AQ19" s="202">
        <v>0.5</v>
      </c>
      <c r="AR19" s="202">
        <v>0.54166666666666663</v>
      </c>
      <c r="AS19" s="274" t="str">
        <f t="shared" si="7"/>
        <v>8h</v>
      </c>
      <c r="AT19" s="203">
        <v>0.375</v>
      </c>
      <c r="AU19" s="203">
        <v>0.75</v>
      </c>
      <c r="AV19" s="203">
        <v>0.5</v>
      </c>
      <c r="AW19" s="203">
        <v>0.54166666666666663</v>
      </c>
      <c r="AX19" s="204" t="str">
        <f t="shared" si="8"/>
        <v>8h</v>
      </c>
      <c r="AY19" s="279"/>
      <c r="AZ19" s="279"/>
      <c r="BA19" s="279"/>
      <c r="BC19" s="196"/>
      <c r="BD19" s="271">
        <f t="shared" si="39"/>
        <v>46122</v>
      </c>
      <c r="BE19" s="272" t="str">
        <f t="shared" si="9"/>
        <v>金</v>
      </c>
      <c r="BF19" s="272" t="s">
        <v>22</v>
      </c>
      <c r="BG19" s="273">
        <v>0.375</v>
      </c>
      <c r="BH19" s="273">
        <v>0.75</v>
      </c>
      <c r="BI19" s="202">
        <v>0.5</v>
      </c>
      <c r="BJ19" s="202">
        <v>0.54166666666666663</v>
      </c>
      <c r="BK19" s="274" t="str">
        <f t="shared" si="10"/>
        <v>8h</v>
      </c>
      <c r="BL19" s="203">
        <v>0.375</v>
      </c>
      <c r="BM19" s="203">
        <v>0.75</v>
      </c>
      <c r="BN19" s="203">
        <v>0.5</v>
      </c>
      <c r="BO19" s="203">
        <v>0.54166666666666663</v>
      </c>
      <c r="BP19" s="204" t="str">
        <f t="shared" si="11"/>
        <v>8h</v>
      </c>
      <c r="BQ19" s="279"/>
      <c r="BR19" s="279"/>
      <c r="BS19" s="279"/>
      <c r="BU19" s="196"/>
      <c r="BV19" s="271">
        <f t="shared" si="40"/>
        <v>46152</v>
      </c>
      <c r="BW19" s="272" t="str">
        <f t="shared" si="12"/>
        <v>日</v>
      </c>
      <c r="BX19" s="272"/>
      <c r="BY19" s="273"/>
      <c r="BZ19" s="273"/>
      <c r="CA19" s="202"/>
      <c r="CB19" s="202"/>
      <c r="CC19" s="274" t="str">
        <f t="shared" si="13"/>
        <v/>
      </c>
      <c r="CD19" s="203"/>
      <c r="CE19" s="203"/>
      <c r="CF19" s="203"/>
      <c r="CG19" s="203"/>
      <c r="CH19" s="204" t="str">
        <f t="shared" si="14"/>
        <v/>
      </c>
      <c r="CI19" s="279"/>
      <c r="CJ19" s="279"/>
      <c r="CK19" s="279"/>
      <c r="CM19" s="196"/>
      <c r="CN19" s="271">
        <f t="shared" si="41"/>
        <v>46183</v>
      </c>
      <c r="CO19" s="272" t="str">
        <f t="shared" si="15"/>
        <v>水</v>
      </c>
      <c r="CP19" s="272" t="s">
        <v>22</v>
      </c>
      <c r="CQ19" s="273">
        <v>0.375</v>
      </c>
      <c r="CR19" s="273">
        <v>0.75</v>
      </c>
      <c r="CS19" s="202">
        <v>0.5</v>
      </c>
      <c r="CT19" s="202">
        <v>0.54166666666666663</v>
      </c>
      <c r="CU19" s="274" t="str">
        <f t="shared" si="16"/>
        <v>8h</v>
      </c>
      <c r="CV19" s="203">
        <v>0.375</v>
      </c>
      <c r="CW19" s="203">
        <v>0.75</v>
      </c>
      <c r="CX19" s="203">
        <v>0.5</v>
      </c>
      <c r="CY19" s="203">
        <v>0.54166666666666663</v>
      </c>
      <c r="CZ19" s="204" t="str">
        <f t="shared" si="17"/>
        <v>8h</v>
      </c>
      <c r="DA19" s="279"/>
      <c r="DB19" s="279"/>
      <c r="DC19" s="279"/>
      <c r="DE19" s="196"/>
      <c r="DF19" s="271">
        <f t="shared" si="42"/>
        <v>46213</v>
      </c>
      <c r="DG19" s="272" t="str">
        <f t="shared" si="18"/>
        <v>金</v>
      </c>
      <c r="DH19" s="272" t="s">
        <v>22</v>
      </c>
      <c r="DI19" s="273">
        <v>0.375</v>
      </c>
      <c r="DJ19" s="273">
        <v>0.75</v>
      </c>
      <c r="DK19" s="202">
        <v>0.5</v>
      </c>
      <c r="DL19" s="202">
        <v>0.54166666666666663</v>
      </c>
      <c r="DM19" s="274" t="str">
        <f t="shared" si="19"/>
        <v>8h</v>
      </c>
      <c r="DN19" s="203">
        <v>0.375</v>
      </c>
      <c r="DO19" s="203">
        <v>0.75</v>
      </c>
      <c r="DP19" s="203">
        <v>0.5</v>
      </c>
      <c r="DQ19" s="203">
        <v>0.54166666666666663</v>
      </c>
      <c r="DR19" s="204" t="str">
        <f t="shared" si="20"/>
        <v>8h</v>
      </c>
      <c r="DS19" s="279"/>
      <c r="DT19" s="279"/>
      <c r="DU19" s="279"/>
      <c r="DW19" s="196"/>
      <c r="DX19" s="271">
        <f t="shared" si="43"/>
        <v>46244</v>
      </c>
      <c r="DY19" s="272" t="str">
        <f t="shared" si="21"/>
        <v>月</v>
      </c>
      <c r="DZ19" s="272" t="s">
        <v>22</v>
      </c>
      <c r="EA19" s="273">
        <v>0.375</v>
      </c>
      <c r="EB19" s="273">
        <v>0.75</v>
      </c>
      <c r="EC19" s="202">
        <v>0.5</v>
      </c>
      <c r="ED19" s="202">
        <v>0.54166666666666663</v>
      </c>
      <c r="EE19" s="274" t="str">
        <f t="shared" si="22"/>
        <v>8h</v>
      </c>
      <c r="EF19" s="203">
        <v>0.375</v>
      </c>
      <c r="EG19" s="203">
        <v>0.75</v>
      </c>
      <c r="EH19" s="203">
        <v>0.5</v>
      </c>
      <c r="EI19" s="203">
        <v>0.54166666666666663</v>
      </c>
      <c r="EJ19" s="204" t="str">
        <f t="shared" si="23"/>
        <v>8h</v>
      </c>
      <c r="EK19" s="279"/>
      <c r="EL19" s="279"/>
      <c r="EM19" s="279"/>
      <c r="EO19" s="196"/>
      <c r="EP19" s="271">
        <f t="shared" si="44"/>
        <v>46275</v>
      </c>
      <c r="EQ19" s="272" t="str">
        <f t="shared" si="24"/>
        <v>木</v>
      </c>
      <c r="ER19" s="272" t="s">
        <v>22</v>
      </c>
      <c r="ES19" s="273">
        <v>0.375</v>
      </c>
      <c r="ET19" s="273">
        <v>0.75</v>
      </c>
      <c r="EU19" s="202">
        <v>0.5</v>
      </c>
      <c r="EV19" s="202">
        <v>0.54166666666666663</v>
      </c>
      <c r="EW19" s="274" t="str">
        <f t="shared" si="25"/>
        <v>8h</v>
      </c>
      <c r="EX19" s="203">
        <v>0.375</v>
      </c>
      <c r="EY19" s="203">
        <v>0.75</v>
      </c>
      <c r="EZ19" s="203">
        <v>0.5</v>
      </c>
      <c r="FA19" s="203">
        <v>0.54166666666666663</v>
      </c>
      <c r="FB19" s="204" t="str">
        <f t="shared" si="26"/>
        <v>8h</v>
      </c>
      <c r="FC19" s="279"/>
      <c r="FD19" s="279"/>
      <c r="FE19" s="279"/>
      <c r="FG19" s="196"/>
      <c r="FH19" s="271">
        <f t="shared" si="45"/>
        <v>46305</v>
      </c>
      <c r="FI19" s="272" t="str">
        <f t="shared" si="27"/>
        <v>土</v>
      </c>
      <c r="FJ19" s="272"/>
      <c r="FK19" s="273"/>
      <c r="FL19" s="273"/>
      <c r="FM19" s="202"/>
      <c r="FN19" s="202"/>
      <c r="FO19" s="274" t="str">
        <f t="shared" si="28"/>
        <v/>
      </c>
      <c r="FP19" s="203"/>
      <c r="FQ19" s="203"/>
      <c r="FR19" s="203"/>
      <c r="FS19" s="203"/>
      <c r="FT19" s="204" t="str">
        <f t="shared" si="29"/>
        <v/>
      </c>
      <c r="FU19" s="279"/>
      <c r="FV19" s="279"/>
      <c r="FW19" s="279"/>
      <c r="FY19" s="196"/>
      <c r="FZ19" s="271">
        <f t="shared" si="46"/>
        <v>46336</v>
      </c>
      <c r="GA19" s="272" t="str">
        <f t="shared" si="30"/>
        <v>火</v>
      </c>
      <c r="GB19" s="272" t="s">
        <v>22</v>
      </c>
      <c r="GC19" s="273">
        <v>0.375</v>
      </c>
      <c r="GD19" s="273">
        <v>0.75</v>
      </c>
      <c r="GE19" s="202">
        <v>0.5</v>
      </c>
      <c r="GF19" s="202">
        <v>0.54166666666666663</v>
      </c>
      <c r="GG19" s="274" t="str">
        <f t="shared" si="31"/>
        <v>8h</v>
      </c>
      <c r="GH19" s="203">
        <v>0.375</v>
      </c>
      <c r="GI19" s="203">
        <v>0.75</v>
      </c>
      <c r="GJ19" s="203">
        <v>0.5</v>
      </c>
      <c r="GK19" s="203">
        <v>0.54166666666666663</v>
      </c>
      <c r="GL19" s="204" t="str">
        <f t="shared" si="32"/>
        <v>8h</v>
      </c>
      <c r="GM19" s="279"/>
      <c r="GN19" s="279"/>
      <c r="GO19" s="279"/>
      <c r="GQ19" s="196"/>
      <c r="GR19" s="271">
        <f t="shared" si="47"/>
        <v>46366</v>
      </c>
      <c r="GS19" s="272" t="str">
        <f t="shared" si="33"/>
        <v>木</v>
      </c>
      <c r="GT19" s="272" t="s">
        <v>22</v>
      </c>
      <c r="GU19" s="273">
        <v>0.375</v>
      </c>
      <c r="GV19" s="273">
        <v>0.75</v>
      </c>
      <c r="GW19" s="202">
        <v>0.5</v>
      </c>
      <c r="GX19" s="202">
        <v>0.54166666666666663</v>
      </c>
      <c r="GY19" s="274" t="str">
        <f t="shared" si="34"/>
        <v>8h</v>
      </c>
      <c r="GZ19" s="203">
        <v>0.375</v>
      </c>
      <c r="HA19" s="203">
        <v>0.75</v>
      </c>
      <c r="HB19" s="203">
        <v>0.5</v>
      </c>
      <c r="HC19" s="203">
        <v>0.54166666666666663</v>
      </c>
      <c r="HD19" s="204" t="str">
        <f t="shared" si="35"/>
        <v>8h</v>
      </c>
      <c r="HE19" s="279"/>
      <c r="HF19" s="279"/>
      <c r="HG19" s="279"/>
    </row>
    <row r="20" spans="1:215" x14ac:dyDescent="0.45">
      <c r="A20" s="196"/>
      <c r="B20" s="271">
        <f t="shared" si="36"/>
        <v>46033</v>
      </c>
      <c r="C20" s="272" t="str">
        <f t="shared" si="0"/>
        <v>日</v>
      </c>
      <c r="D20" s="272"/>
      <c r="E20" s="273"/>
      <c r="F20" s="273"/>
      <c r="G20" s="202"/>
      <c r="H20" s="202"/>
      <c r="I20" s="274" t="str">
        <f t="shared" si="1"/>
        <v/>
      </c>
      <c r="J20" s="203"/>
      <c r="K20" s="203"/>
      <c r="L20" s="203"/>
      <c r="M20" s="203"/>
      <c r="N20" s="204" t="str">
        <f t="shared" si="2"/>
        <v/>
      </c>
      <c r="O20" s="279"/>
      <c r="P20" s="279"/>
      <c r="Q20" s="279"/>
      <c r="S20" s="196"/>
      <c r="T20" s="271">
        <f t="shared" si="37"/>
        <v>46064</v>
      </c>
      <c r="U20" s="272" t="str">
        <f t="shared" si="3"/>
        <v>水</v>
      </c>
      <c r="V20" s="272"/>
      <c r="W20" s="273"/>
      <c r="X20" s="273"/>
      <c r="Y20" s="202"/>
      <c r="Z20" s="202"/>
      <c r="AA20" s="274" t="str">
        <f t="shared" si="4"/>
        <v/>
      </c>
      <c r="AB20" s="203"/>
      <c r="AC20" s="203"/>
      <c r="AD20" s="203"/>
      <c r="AE20" s="203"/>
      <c r="AF20" s="204" t="str">
        <f t="shared" si="5"/>
        <v/>
      </c>
      <c r="AG20" s="279"/>
      <c r="AH20" s="279"/>
      <c r="AI20" s="279"/>
      <c r="AK20" s="196"/>
      <c r="AL20" s="271">
        <f t="shared" si="38"/>
        <v>46092</v>
      </c>
      <c r="AM20" s="272" t="str">
        <f t="shared" si="6"/>
        <v>水</v>
      </c>
      <c r="AN20" s="272" t="s">
        <v>22</v>
      </c>
      <c r="AO20" s="273">
        <v>0.375</v>
      </c>
      <c r="AP20" s="273">
        <v>0.75</v>
      </c>
      <c r="AQ20" s="202">
        <v>0.5</v>
      </c>
      <c r="AR20" s="202">
        <v>0.54166666666666663</v>
      </c>
      <c r="AS20" s="274" t="str">
        <f t="shared" si="7"/>
        <v>8h</v>
      </c>
      <c r="AT20" s="203">
        <v>0.375</v>
      </c>
      <c r="AU20" s="203">
        <v>0.75</v>
      </c>
      <c r="AV20" s="203">
        <v>0.5</v>
      </c>
      <c r="AW20" s="203">
        <v>0.54166666666666663</v>
      </c>
      <c r="AX20" s="204" t="str">
        <f t="shared" si="8"/>
        <v>8h</v>
      </c>
      <c r="AY20" s="279"/>
      <c r="AZ20" s="279"/>
      <c r="BA20" s="279"/>
      <c r="BC20" s="196"/>
      <c r="BD20" s="271">
        <f t="shared" si="39"/>
        <v>46123</v>
      </c>
      <c r="BE20" s="272" t="str">
        <f t="shared" si="9"/>
        <v>土</v>
      </c>
      <c r="BF20" s="272"/>
      <c r="BG20" s="273"/>
      <c r="BH20" s="273"/>
      <c r="BI20" s="202"/>
      <c r="BJ20" s="202"/>
      <c r="BK20" s="274" t="str">
        <f t="shared" si="10"/>
        <v/>
      </c>
      <c r="BL20" s="203"/>
      <c r="BM20" s="203"/>
      <c r="BN20" s="203"/>
      <c r="BO20" s="203"/>
      <c r="BP20" s="204" t="str">
        <f t="shared" si="11"/>
        <v/>
      </c>
      <c r="BQ20" s="279"/>
      <c r="BR20" s="279"/>
      <c r="BS20" s="279"/>
      <c r="BU20" s="196"/>
      <c r="BV20" s="271">
        <f t="shared" si="40"/>
        <v>46153</v>
      </c>
      <c r="BW20" s="272" t="str">
        <f t="shared" si="12"/>
        <v>月</v>
      </c>
      <c r="BX20" s="272" t="s">
        <v>22</v>
      </c>
      <c r="BY20" s="273">
        <v>0.375</v>
      </c>
      <c r="BZ20" s="273">
        <v>0.75</v>
      </c>
      <c r="CA20" s="202">
        <v>0.5</v>
      </c>
      <c r="CB20" s="202">
        <v>0.54166666666666663</v>
      </c>
      <c r="CC20" s="274" t="str">
        <f t="shared" si="13"/>
        <v>8h</v>
      </c>
      <c r="CD20" s="203">
        <v>0.375</v>
      </c>
      <c r="CE20" s="203">
        <v>0.75</v>
      </c>
      <c r="CF20" s="203">
        <v>0.5</v>
      </c>
      <c r="CG20" s="203">
        <v>0.54166666666666663</v>
      </c>
      <c r="CH20" s="204" t="str">
        <f t="shared" si="14"/>
        <v>8h</v>
      </c>
      <c r="CI20" s="279"/>
      <c r="CJ20" s="279"/>
      <c r="CK20" s="279"/>
      <c r="CM20" s="196"/>
      <c r="CN20" s="271">
        <f t="shared" si="41"/>
        <v>46184</v>
      </c>
      <c r="CO20" s="272" t="str">
        <f t="shared" si="15"/>
        <v>木</v>
      </c>
      <c r="CP20" s="272" t="s">
        <v>22</v>
      </c>
      <c r="CQ20" s="273">
        <v>0.375</v>
      </c>
      <c r="CR20" s="273">
        <v>0.75</v>
      </c>
      <c r="CS20" s="202">
        <v>0.5</v>
      </c>
      <c r="CT20" s="202">
        <v>0.54166666666666663</v>
      </c>
      <c r="CU20" s="274" t="str">
        <f t="shared" si="16"/>
        <v>8h</v>
      </c>
      <c r="CV20" s="203">
        <v>0.375</v>
      </c>
      <c r="CW20" s="203">
        <v>0.75</v>
      </c>
      <c r="CX20" s="203">
        <v>0.5</v>
      </c>
      <c r="CY20" s="203">
        <v>0.54166666666666663</v>
      </c>
      <c r="CZ20" s="204" t="str">
        <f t="shared" si="17"/>
        <v>8h</v>
      </c>
      <c r="DA20" s="279"/>
      <c r="DB20" s="279"/>
      <c r="DC20" s="279"/>
      <c r="DE20" s="196"/>
      <c r="DF20" s="271">
        <f t="shared" si="42"/>
        <v>46214</v>
      </c>
      <c r="DG20" s="272" t="str">
        <f t="shared" si="18"/>
        <v>土</v>
      </c>
      <c r="DH20" s="272"/>
      <c r="DI20" s="273"/>
      <c r="DJ20" s="273"/>
      <c r="DK20" s="202"/>
      <c r="DL20" s="202"/>
      <c r="DM20" s="274" t="str">
        <f t="shared" si="19"/>
        <v/>
      </c>
      <c r="DN20" s="203"/>
      <c r="DO20" s="203"/>
      <c r="DP20" s="203"/>
      <c r="DQ20" s="203"/>
      <c r="DR20" s="204" t="str">
        <f t="shared" si="20"/>
        <v/>
      </c>
      <c r="DS20" s="279"/>
      <c r="DT20" s="279"/>
      <c r="DU20" s="279"/>
      <c r="DW20" s="196"/>
      <c r="DX20" s="271">
        <f t="shared" si="43"/>
        <v>46245</v>
      </c>
      <c r="DY20" s="272" t="str">
        <f t="shared" si="21"/>
        <v>火</v>
      </c>
      <c r="DZ20" s="272"/>
      <c r="EA20" s="273"/>
      <c r="EB20" s="273"/>
      <c r="EC20" s="202"/>
      <c r="ED20" s="202"/>
      <c r="EE20" s="274" t="str">
        <f t="shared" si="22"/>
        <v/>
      </c>
      <c r="EF20" s="203"/>
      <c r="EG20" s="203"/>
      <c r="EH20" s="203"/>
      <c r="EI20" s="203"/>
      <c r="EJ20" s="204" t="str">
        <f t="shared" si="23"/>
        <v/>
      </c>
      <c r="EK20" s="279"/>
      <c r="EL20" s="279"/>
      <c r="EM20" s="279"/>
      <c r="EO20" s="196"/>
      <c r="EP20" s="271">
        <f t="shared" si="44"/>
        <v>46276</v>
      </c>
      <c r="EQ20" s="272" t="str">
        <f t="shared" si="24"/>
        <v>金</v>
      </c>
      <c r="ER20" s="272" t="s">
        <v>22</v>
      </c>
      <c r="ES20" s="273">
        <v>0.375</v>
      </c>
      <c r="ET20" s="273">
        <v>0.75</v>
      </c>
      <c r="EU20" s="202">
        <v>0.5</v>
      </c>
      <c r="EV20" s="202">
        <v>0.54166666666666663</v>
      </c>
      <c r="EW20" s="274" t="str">
        <f t="shared" si="25"/>
        <v>8h</v>
      </c>
      <c r="EX20" s="203">
        <v>0.375</v>
      </c>
      <c r="EY20" s="203">
        <v>0.75</v>
      </c>
      <c r="EZ20" s="203">
        <v>0.5</v>
      </c>
      <c r="FA20" s="203">
        <v>0.54166666666666663</v>
      </c>
      <c r="FB20" s="204" t="str">
        <f t="shared" si="26"/>
        <v>8h</v>
      </c>
      <c r="FC20" s="279"/>
      <c r="FD20" s="279"/>
      <c r="FE20" s="279"/>
      <c r="FG20" s="196"/>
      <c r="FH20" s="271">
        <f t="shared" si="45"/>
        <v>46306</v>
      </c>
      <c r="FI20" s="272" t="str">
        <f t="shared" si="27"/>
        <v>日</v>
      </c>
      <c r="FJ20" s="272"/>
      <c r="FK20" s="273"/>
      <c r="FL20" s="273"/>
      <c r="FM20" s="202"/>
      <c r="FN20" s="202"/>
      <c r="FO20" s="274" t="str">
        <f t="shared" si="28"/>
        <v/>
      </c>
      <c r="FP20" s="203"/>
      <c r="FQ20" s="203"/>
      <c r="FR20" s="203"/>
      <c r="FS20" s="203"/>
      <c r="FT20" s="204" t="str">
        <f t="shared" si="29"/>
        <v/>
      </c>
      <c r="FU20" s="279"/>
      <c r="FV20" s="279"/>
      <c r="FW20" s="279"/>
      <c r="FY20" s="196"/>
      <c r="FZ20" s="271">
        <f t="shared" si="46"/>
        <v>46337</v>
      </c>
      <c r="GA20" s="272" t="str">
        <f t="shared" si="30"/>
        <v>水</v>
      </c>
      <c r="GB20" s="272" t="s">
        <v>22</v>
      </c>
      <c r="GC20" s="273">
        <v>0.375</v>
      </c>
      <c r="GD20" s="273">
        <v>0.75</v>
      </c>
      <c r="GE20" s="202">
        <v>0.5</v>
      </c>
      <c r="GF20" s="202">
        <v>0.54166666666666663</v>
      </c>
      <c r="GG20" s="274" t="str">
        <f t="shared" si="31"/>
        <v>8h</v>
      </c>
      <c r="GH20" s="203">
        <v>0.375</v>
      </c>
      <c r="GI20" s="203">
        <v>0.75</v>
      </c>
      <c r="GJ20" s="203">
        <v>0.5</v>
      </c>
      <c r="GK20" s="203">
        <v>0.54166666666666663</v>
      </c>
      <c r="GL20" s="204" t="str">
        <f t="shared" si="32"/>
        <v>8h</v>
      </c>
      <c r="GM20" s="279"/>
      <c r="GN20" s="279"/>
      <c r="GO20" s="279"/>
      <c r="GQ20" s="196"/>
      <c r="GR20" s="271">
        <f t="shared" si="47"/>
        <v>46367</v>
      </c>
      <c r="GS20" s="272" t="str">
        <f t="shared" si="33"/>
        <v>金</v>
      </c>
      <c r="GT20" s="272" t="s">
        <v>22</v>
      </c>
      <c r="GU20" s="273">
        <v>0.375</v>
      </c>
      <c r="GV20" s="273">
        <v>0.75</v>
      </c>
      <c r="GW20" s="202">
        <v>0.5</v>
      </c>
      <c r="GX20" s="202">
        <v>0.54166666666666663</v>
      </c>
      <c r="GY20" s="274" t="str">
        <f t="shared" si="34"/>
        <v>8h</v>
      </c>
      <c r="GZ20" s="203">
        <v>0.375</v>
      </c>
      <c r="HA20" s="203">
        <v>0.75</v>
      </c>
      <c r="HB20" s="203">
        <v>0.5</v>
      </c>
      <c r="HC20" s="203">
        <v>0.54166666666666663</v>
      </c>
      <c r="HD20" s="204" t="str">
        <f t="shared" si="35"/>
        <v>8h</v>
      </c>
      <c r="HE20" s="279"/>
      <c r="HF20" s="279"/>
      <c r="HG20" s="279"/>
    </row>
    <row r="21" spans="1:215" x14ac:dyDescent="0.45">
      <c r="A21" s="196"/>
      <c r="B21" s="271">
        <f t="shared" si="36"/>
        <v>46034</v>
      </c>
      <c r="C21" s="272" t="str">
        <f t="shared" si="0"/>
        <v>月</v>
      </c>
      <c r="D21" s="272"/>
      <c r="E21" s="273"/>
      <c r="F21" s="273"/>
      <c r="G21" s="202"/>
      <c r="H21" s="202"/>
      <c r="I21" s="274" t="str">
        <f t="shared" si="1"/>
        <v/>
      </c>
      <c r="J21" s="203"/>
      <c r="K21" s="203"/>
      <c r="L21" s="203"/>
      <c r="M21" s="203"/>
      <c r="N21" s="204" t="str">
        <f t="shared" si="2"/>
        <v/>
      </c>
      <c r="O21" s="279"/>
      <c r="P21" s="279"/>
      <c r="Q21" s="279"/>
      <c r="S21" s="196"/>
      <c r="T21" s="271">
        <f t="shared" si="37"/>
        <v>46065</v>
      </c>
      <c r="U21" s="272" t="str">
        <f t="shared" si="3"/>
        <v>木</v>
      </c>
      <c r="V21" s="272" t="s">
        <v>22</v>
      </c>
      <c r="W21" s="273">
        <v>0.375</v>
      </c>
      <c r="X21" s="273">
        <v>0.75</v>
      </c>
      <c r="Y21" s="202">
        <v>0.5</v>
      </c>
      <c r="Z21" s="202">
        <v>0.54166666666666663</v>
      </c>
      <c r="AA21" s="274" t="str">
        <f t="shared" si="4"/>
        <v>8h</v>
      </c>
      <c r="AB21" s="203">
        <v>0.375</v>
      </c>
      <c r="AC21" s="203">
        <v>0.75</v>
      </c>
      <c r="AD21" s="203">
        <v>0.5</v>
      </c>
      <c r="AE21" s="203">
        <v>0.54166666666666663</v>
      </c>
      <c r="AF21" s="204" t="str">
        <f t="shared" si="5"/>
        <v>8h</v>
      </c>
      <c r="AG21" s="279"/>
      <c r="AH21" s="279"/>
      <c r="AI21" s="279"/>
      <c r="AK21" s="196"/>
      <c r="AL21" s="271">
        <f t="shared" si="38"/>
        <v>46093</v>
      </c>
      <c r="AM21" s="272" t="str">
        <f t="shared" si="6"/>
        <v>木</v>
      </c>
      <c r="AN21" s="272" t="s">
        <v>22</v>
      </c>
      <c r="AO21" s="273">
        <v>0.375</v>
      </c>
      <c r="AP21" s="273">
        <v>0.75</v>
      </c>
      <c r="AQ21" s="202">
        <v>0.5</v>
      </c>
      <c r="AR21" s="202">
        <v>0.54166666666666663</v>
      </c>
      <c r="AS21" s="274" t="str">
        <f t="shared" si="7"/>
        <v>8h</v>
      </c>
      <c r="AT21" s="203">
        <v>0.375</v>
      </c>
      <c r="AU21" s="203">
        <v>0.75</v>
      </c>
      <c r="AV21" s="203">
        <v>0.5</v>
      </c>
      <c r="AW21" s="203">
        <v>0.54166666666666663</v>
      </c>
      <c r="AX21" s="204" t="str">
        <f t="shared" si="8"/>
        <v>8h</v>
      </c>
      <c r="AY21" s="279"/>
      <c r="AZ21" s="279"/>
      <c r="BA21" s="279"/>
      <c r="BC21" s="196"/>
      <c r="BD21" s="271">
        <f t="shared" si="39"/>
        <v>46124</v>
      </c>
      <c r="BE21" s="272" t="str">
        <f t="shared" si="9"/>
        <v>日</v>
      </c>
      <c r="BF21" s="272"/>
      <c r="BG21" s="273"/>
      <c r="BH21" s="273"/>
      <c r="BI21" s="202"/>
      <c r="BJ21" s="202"/>
      <c r="BK21" s="274" t="str">
        <f t="shared" si="10"/>
        <v/>
      </c>
      <c r="BL21" s="203"/>
      <c r="BM21" s="203"/>
      <c r="BN21" s="203"/>
      <c r="BO21" s="203"/>
      <c r="BP21" s="204" t="str">
        <f t="shared" si="11"/>
        <v/>
      </c>
      <c r="BQ21" s="279"/>
      <c r="BR21" s="279"/>
      <c r="BS21" s="279"/>
      <c r="BU21" s="196"/>
      <c r="BV21" s="271">
        <f t="shared" si="40"/>
        <v>46154</v>
      </c>
      <c r="BW21" s="272" t="str">
        <f t="shared" si="12"/>
        <v>火</v>
      </c>
      <c r="BX21" s="272" t="s">
        <v>22</v>
      </c>
      <c r="BY21" s="273">
        <v>0.375</v>
      </c>
      <c r="BZ21" s="273">
        <v>0.75</v>
      </c>
      <c r="CA21" s="202">
        <v>0.5</v>
      </c>
      <c r="CB21" s="202">
        <v>0.54166666666666663</v>
      </c>
      <c r="CC21" s="274" t="str">
        <f t="shared" si="13"/>
        <v>8h</v>
      </c>
      <c r="CD21" s="203">
        <v>0.375</v>
      </c>
      <c r="CE21" s="203">
        <v>0.75</v>
      </c>
      <c r="CF21" s="203">
        <v>0.5</v>
      </c>
      <c r="CG21" s="203">
        <v>0.54166666666666663</v>
      </c>
      <c r="CH21" s="204" t="str">
        <f t="shared" si="14"/>
        <v>8h</v>
      </c>
      <c r="CI21" s="279"/>
      <c r="CJ21" s="279"/>
      <c r="CK21" s="279"/>
      <c r="CM21" s="196"/>
      <c r="CN21" s="271">
        <f t="shared" si="41"/>
        <v>46185</v>
      </c>
      <c r="CO21" s="272" t="str">
        <f t="shared" si="15"/>
        <v>金</v>
      </c>
      <c r="CP21" s="272" t="s">
        <v>22</v>
      </c>
      <c r="CQ21" s="273">
        <v>0.375</v>
      </c>
      <c r="CR21" s="273">
        <v>0.75</v>
      </c>
      <c r="CS21" s="202">
        <v>0.5</v>
      </c>
      <c r="CT21" s="202">
        <v>0.54166666666666663</v>
      </c>
      <c r="CU21" s="274" t="str">
        <f t="shared" si="16"/>
        <v>8h</v>
      </c>
      <c r="CV21" s="203">
        <v>0.375</v>
      </c>
      <c r="CW21" s="203">
        <v>0.75</v>
      </c>
      <c r="CX21" s="203">
        <v>0.5</v>
      </c>
      <c r="CY21" s="203">
        <v>0.54166666666666663</v>
      </c>
      <c r="CZ21" s="204" t="str">
        <f t="shared" si="17"/>
        <v>8h</v>
      </c>
      <c r="DA21" s="279"/>
      <c r="DB21" s="279"/>
      <c r="DC21" s="279"/>
      <c r="DE21" s="196"/>
      <c r="DF21" s="271">
        <f t="shared" si="42"/>
        <v>46215</v>
      </c>
      <c r="DG21" s="272" t="str">
        <f t="shared" si="18"/>
        <v>日</v>
      </c>
      <c r="DH21" s="272"/>
      <c r="DI21" s="273"/>
      <c r="DJ21" s="273"/>
      <c r="DK21" s="202"/>
      <c r="DL21" s="202"/>
      <c r="DM21" s="274" t="str">
        <f t="shared" si="19"/>
        <v/>
      </c>
      <c r="DN21" s="203"/>
      <c r="DO21" s="203"/>
      <c r="DP21" s="203"/>
      <c r="DQ21" s="203"/>
      <c r="DR21" s="204" t="str">
        <f t="shared" si="20"/>
        <v/>
      </c>
      <c r="DS21" s="279"/>
      <c r="DT21" s="279"/>
      <c r="DU21" s="279"/>
      <c r="DW21" s="196"/>
      <c r="DX21" s="271">
        <f t="shared" si="43"/>
        <v>46246</v>
      </c>
      <c r="DY21" s="272" t="str">
        <f t="shared" si="21"/>
        <v>水</v>
      </c>
      <c r="DZ21" s="272" t="s">
        <v>22</v>
      </c>
      <c r="EA21" s="273">
        <v>0.375</v>
      </c>
      <c r="EB21" s="273">
        <v>0.75</v>
      </c>
      <c r="EC21" s="202">
        <v>0.5</v>
      </c>
      <c r="ED21" s="202">
        <v>0.54166666666666663</v>
      </c>
      <c r="EE21" s="274" t="str">
        <f t="shared" si="22"/>
        <v>8h</v>
      </c>
      <c r="EF21" s="203">
        <v>0.375</v>
      </c>
      <c r="EG21" s="203">
        <v>0.75</v>
      </c>
      <c r="EH21" s="203">
        <v>0.5</v>
      </c>
      <c r="EI21" s="203">
        <v>0.54166666666666663</v>
      </c>
      <c r="EJ21" s="204" t="str">
        <f t="shared" si="23"/>
        <v>8h</v>
      </c>
      <c r="EK21" s="279"/>
      <c r="EL21" s="279"/>
      <c r="EM21" s="279"/>
      <c r="EO21" s="196"/>
      <c r="EP21" s="271">
        <f t="shared" si="44"/>
        <v>46277</v>
      </c>
      <c r="EQ21" s="272" t="str">
        <f t="shared" si="24"/>
        <v>土</v>
      </c>
      <c r="ER21" s="272"/>
      <c r="ES21" s="273"/>
      <c r="ET21" s="273"/>
      <c r="EU21" s="202"/>
      <c r="EV21" s="202"/>
      <c r="EW21" s="274" t="str">
        <f t="shared" si="25"/>
        <v/>
      </c>
      <c r="EX21" s="203"/>
      <c r="EY21" s="203"/>
      <c r="EZ21" s="203"/>
      <c r="FA21" s="203"/>
      <c r="FB21" s="204" t="str">
        <f t="shared" si="26"/>
        <v/>
      </c>
      <c r="FC21" s="279"/>
      <c r="FD21" s="279"/>
      <c r="FE21" s="279"/>
      <c r="FG21" s="196"/>
      <c r="FH21" s="271">
        <f t="shared" si="45"/>
        <v>46307</v>
      </c>
      <c r="FI21" s="272" t="str">
        <f t="shared" si="27"/>
        <v>月</v>
      </c>
      <c r="FJ21" s="272"/>
      <c r="FK21" s="273"/>
      <c r="FL21" s="273"/>
      <c r="FM21" s="202"/>
      <c r="FN21" s="202"/>
      <c r="FO21" s="274" t="str">
        <f t="shared" si="28"/>
        <v/>
      </c>
      <c r="FP21" s="203"/>
      <c r="FQ21" s="203"/>
      <c r="FR21" s="203"/>
      <c r="FS21" s="203"/>
      <c r="FT21" s="204" t="str">
        <f t="shared" si="29"/>
        <v/>
      </c>
      <c r="FU21" s="279"/>
      <c r="FV21" s="279"/>
      <c r="FW21" s="279"/>
      <c r="FY21" s="196"/>
      <c r="FZ21" s="271">
        <f t="shared" si="46"/>
        <v>46338</v>
      </c>
      <c r="GA21" s="272" t="str">
        <f t="shared" si="30"/>
        <v>木</v>
      </c>
      <c r="GB21" s="272" t="s">
        <v>22</v>
      </c>
      <c r="GC21" s="273">
        <v>0.375</v>
      </c>
      <c r="GD21" s="273">
        <v>0.75</v>
      </c>
      <c r="GE21" s="202">
        <v>0.5</v>
      </c>
      <c r="GF21" s="202">
        <v>0.54166666666666663</v>
      </c>
      <c r="GG21" s="274" t="str">
        <f t="shared" si="31"/>
        <v>8h</v>
      </c>
      <c r="GH21" s="203">
        <v>0.375</v>
      </c>
      <c r="GI21" s="203">
        <v>0.75</v>
      </c>
      <c r="GJ21" s="203">
        <v>0.5</v>
      </c>
      <c r="GK21" s="203">
        <v>0.54166666666666663</v>
      </c>
      <c r="GL21" s="204" t="str">
        <f t="shared" si="32"/>
        <v>8h</v>
      </c>
      <c r="GM21" s="279"/>
      <c r="GN21" s="279"/>
      <c r="GO21" s="279"/>
      <c r="GQ21" s="196"/>
      <c r="GR21" s="271">
        <f t="shared" si="47"/>
        <v>46368</v>
      </c>
      <c r="GS21" s="272" t="str">
        <f t="shared" si="33"/>
        <v>土</v>
      </c>
      <c r="GT21" s="272"/>
      <c r="GU21" s="273"/>
      <c r="GV21" s="273"/>
      <c r="GW21" s="202"/>
      <c r="GX21" s="202"/>
      <c r="GY21" s="274" t="str">
        <f t="shared" si="34"/>
        <v/>
      </c>
      <c r="GZ21" s="203"/>
      <c r="HA21" s="203"/>
      <c r="HB21" s="203"/>
      <c r="HC21" s="203"/>
      <c r="HD21" s="204" t="str">
        <f t="shared" si="35"/>
        <v/>
      </c>
      <c r="HE21" s="279"/>
      <c r="HF21" s="279"/>
      <c r="HG21" s="279"/>
    </row>
    <row r="22" spans="1:215" x14ac:dyDescent="0.45">
      <c r="A22" s="196"/>
      <c r="B22" s="271">
        <f t="shared" si="36"/>
        <v>46035</v>
      </c>
      <c r="C22" s="272" t="str">
        <f t="shared" si="0"/>
        <v>火</v>
      </c>
      <c r="D22" s="272" t="s">
        <v>22</v>
      </c>
      <c r="E22" s="273">
        <v>0.375</v>
      </c>
      <c r="F22" s="273">
        <v>0.75</v>
      </c>
      <c r="G22" s="202">
        <v>0.5</v>
      </c>
      <c r="H22" s="202">
        <v>0.54166666666666663</v>
      </c>
      <c r="I22" s="274" t="str">
        <f t="shared" si="1"/>
        <v>8h</v>
      </c>
      <c r="J22" s="203">
        <v>0.375</v>
      </c>
      <c r="K22" s="203">
        <v>0.75</v>
      </c>
      <c r="L22" s="203">
        <v>0.5</v>
      </c>
      <c r="M22" s="203">
        <v>0.54166666666666663</v>
      </c>
      <c r="N22" s="204" t="str">
        <f t="shared" si="2"/>
        <v>8h</v>
      </c>
      <c r="O22" s="279"/>
      <c r="P22" s="279"/>
      <c r="Q22" s="279"/>
      <c r="S22" s="196"/>
      <c r="T22" s="271">
        <f t="shared" si="37"/>
        <v>46066</v>
      </c>
      <c r="U22" s="272" t="str">
        <f t="shared" si="3"/>
        <v>金</v>
      </c>
      <c r="V22" s="272" t="s">
        <v>22</v>
      </c>
      <c r="W22" s="273">
        <v>0.375</v>
      </c>
      <c r="X22" s="273">
        <v>0.75</v>
      </c>
      <c r="Y22" s="202">
        <v>0.5</v>
      </c>
      <c r="Z22" s="202">
        <v>0.54166666666666663</v>
      </c>
      <c r="AA22" s="274" t="str">
        <f t="shared" si="4"/>
        <v>8h</v>
      </c>
      <c r="AB22" s="203">
        <v>0.375</v>
      </c>
      <c r="AC22" s="203">
        <v>0.75</v>
      </c>
      <c r="AD22" s="203">
        <v>0.5</v>
      </c>
      <c r="AE22" s="203">
        <v>0.54166666666666663</v>
      </c>
      <c r="AF22" s="204" t="str">
        <f t="shared" si="5"/>
        <v>8h</v>
      </c>
      <c r="AG22" s="279"/>
      <c r="AH22" s="279"/>
      <c r="AI22" s="279"/>
      <c r="AK22" s="196"/>
      <c r="AL22" s="271">
        <f t="shared" si="38"/>
        <v>46094</v>
      </c>
      <c r="AM22" s="272" t="str">
        <f t="shared" si="6"/>
        <v>金</v>
      </c>
      <c r="AN22" s="272" t="s">
        <v>22</v>
      </c>
      <c r="AO22" s="273">
        <v>0.375</v>
      </c>
      <c r="AP22" s="273">
        <v>0.75</v>
      </c>
      <c r="AQ22" s="202">
        <v>0.5</v>
      </c>
      <c r="AR22" s="202">
        <v>0.54166666666666663</v>
      </c>
      <c r="AS22" s="274" t="str">
        <f t="shared" si="7"/>
        <v>8h</v>
      </c>
      <c r="AT22" s="203">
        <v>0.375</v>
      </c>
      <c r="AU22" s="203">
        <v>0.75</v>
      </c>
      <c r="AV22" s="203">
        <v>0.5</v>
      </c>
      <c r="AW22" s="203">
        <v>0.54166666666666663</v>
      </c>
      <c r="AX22" s="204" t="str">
        <f t="shared" si="8"/>
        <v>8h</v>
      </c>
      <c r="AY22" s="279"/>
      <c r="AZ22" s="279"/>
      <c r="BA22" s="279"/>
      <c r="BC22" s="196"/>
      <c r="BD22" s="271">
        <f t="shared" si="39"/>
        <v>46125</v>
      </c>
      <c r="BE22" s="272" t="str">
        <f t="shared" si="9"/>
        <v>月</v>
      </c>
      <c r="BF22" s="272" t="s">
        <v>22</v>
      </c>
      <c r="BG22" s="273">
        <v>0.375</v>
      </c>
      <c r="BH22" s="273">
        <v>0.75</v>
      </c>
      <c r="BI22" s="202">
        <v>0.5</v>
      </c>
      <c r="BJ22" s="202">
        <v>0.54166666666666663</v>
      </c>
      <c r="BK22" s="274" t="str">
        <f t="shared" si="10"/>
        <v>8h</v>
      </c>
      <c r="BL22" s="203">
        <v>0.375</v>
      </c>
      <c r="BM22" s="203">
        <v>0.75</v>
      </c>
      <c r="BN22" s="203">
        <v>0.5</v>
      </c>
      <c r="BO22" s="203">
        <v>0.54166666666666663</v>
      </c>
      <c r="BP22" s="204" t="str">
        <f t="shared" si="11"/>
        <v>8h</v>
      </c>
      <c r="BQ22" s="279"/>
      <c r="BR22" s="279"/>
      <c r="BS22" s="279"/>
      <c r="BU22" s="196"/>
      <c r="BV22" s="271">
        <f t="shared" si="40"/>
        <v>46155</v>
      </c>
      <c r="BW22" s="272" t="str">
        <f t="shared" si="12"/>
        <v>水</v>
      </c>
      <c r="BX22" s="272" t="s">
        <v>22</v>
      </c>
      <c r="BY22" s="273">
        <v>0.375</v>
      </c>
      <c r="BZ22" s="273">
        <v>0.75</v>
      </c>
      <c r="CA22" s="202">
        <v>0.5</v>
      </c>
      <c r="CB22" s="202">
        <v>0.54166666666666663</v>
      </c>
      <c r="CC22" s="274" t="str">
        <f t="shared" si="13"/>
        <v>8h</v>
      </c>
      <c r="CD22" s="203">
        <v>0.375</v>
      </c>
      <c r="CE22" s="203">
        <v>0.75</v>
      </c>
      <c r="CF22" s="203">
        <v>0.5</v>
      </c>
      <c r="CG22" s="203">
        <v>0.54166666666666663</v>
      </c>
      <c r="CH22" s="204" t="str">
        <f t="shared" si="14"/>
        <v>8h</v>
      </c>
      <c r="CI22" s="279"/>
      <c r="CJ22" s="279"/>
      <c r="CK22" s="279"/>
      <c r="CM22" s="196"/>
      <c r="CN22" s="271">
        <f t="shared" si="41"/>
        <v>46186</v>
      </c>
      <c r="CO22" s="272" t="str">
        <f t="shared" si="15"/>
        <v>土</v>
      </c>
      <c r="CP22" s="272"/>
      <c r="CQ22" s="273"/>
      <c r="CR22" s="273"/>
      <c r="CS22" s="202"/>
      <c r="CT22" s="202"/>
      <c r="CU22" s="274" t="str">
        <f t="shared" si="16"/>
        <v/>
      </c>
      <c r="CV22" s="203"/>
      <c r="CW22" s="203"/>
      <c r="CX22" s="203"/>
      <c r="CY22" s="203"/>
      <c r="CZ22" s="204" t="str">
        <f t="shared" si="17"/>
        <v/>
      </c>
      <c r="DA22" s="279"/>
      <c r="DB22" s="279"/>
      <c r="DC22" s="279"/>
      <c r="DE22" s="196"/>
      <c r="DF22" s="271">
        <f t="shared" si="42"/>
        <v>46216</v>
      </c>
      <c r="DG22" s="272" t="str">
        <f t="shared" si="18"/>
        <v>月</v>
      </c>
      <c r="DH22" s="272" t="s">
        <v>22</v>
      </c>
      <c r="DI22" s="273">
        <v>0.375</v>
      </c>
      <c r="DJ22" s="273">
        <v>0.75</v>
      </c>
      <c r="DK22" s="202">
        <v>0.5</v>
      </c>
      <c r="DL22" s="202">
        <v>0.54166666666666663</v>
      </c>
      <c r="DM22" s="274" t="str">
        <f t="shared" si="19"/>
        <v>8h</v>
      </c>
      <c r="DN22" s="203">
        <v>0.375</v>
      </c>
      <c r="DO22" s="203">
        <v>0.75</v>
      </c>
      <c r="DP22" s="203">
        <v>0.5</v>
      </c>
      <c r="DQ22" s="203">
        <v>0.54166666666666663</v>
      </c>
      <c r="DR22" s="204" t="str">
        <f t="shared" si="20"/>
        <v>8h</v>
      </c>
      <c r="DS22" s="279"/>
      <c r="DT22" s="279"/>
      <c r="DU22" s="279"/>
      <c r="DW22" s="196"/>
      <c r="DX22" s="271">
        <f t="shared" si="43"/>
        <v>46247</v>
      </c>
      <c r="DY22" s="272" t="str">
        <f t="shared" si="21"/>
        <v>木</v>
      </c>
      <c r="DZ22" s="272" t="s">
        <v>22</v>
      </c>
      <c r="EA22" s="273">
        <v>0.375</v>
      </c>
      <c r="EB22" s="273">
        <v>0.75</v>
      </c>
      <c r="EC22" s="202">
        <v>0.5</v>
      </c>
      <c r="ED22" s="202">
        <v>0.54166666666666663</v>
      </c>
      <c r="EE22" s="274" t="str">
        <f t="shared" si="22"/>
        <v>8h</v>
      </c>
      <c r="EF22" s="203">
        <v>0.375</v>
      </c>
      <c r="EG22" s="203">
        <v>0.75</v>
      </c>
      <c r="EH22" s="203">
        <v>0.5</v>
      </c>
      <c r="EI22" s="203">
        <v>0.54166666666666663</v>
      </c>
      <c r="EJ22" s="204" t="str">
        <f t="shared" si="23"/>
        <v>8h</v>
      </c>
      <c r="EK22" s="279"/>
      <c r="EL22" s="279"/>
      <c r="EM22" s="279"/>
      <c r="EO22" s="196"/>
      <c r="EP22" s="271">
        <f t="shared" si="44"/>
        <v>46278</v>
      </c>
      <c r="EQ22" s="272" t="str">
        <f t="shared" si="24"/>
        <v>日</v>
      </c>
      <c r="ER22" s="272"/>
      <c r="ES22" s="273"/>
      <c r="ET22" s="273"/>
      <c r="EU22" s="202"/>
      <c r="EV22" s="202"/>
      <c r="EW22" s="274" t="str">
        <f t="shared" si="25"/>
        <v/>
      </c>
      <c r="EX22" s="203"/>
      <c r="EY22" s="203"/>
      <c r="EZ22" s="203"/>
      <c r="FA22" s="203"/>
      <c r="FB22" s="204" t="str">
        <f t="shared" si="26"/>
        <v/>
      </c>
      <c r="FC22" s="279"/>
      <c r="FD22" s="279"/>
      <c r="FE22" s="279"/>
      <c r="FG22" s="196"/>
      <c r="FH22" s="271">
        <f t="shared" si="45"/>
        <v>46308</v>
      </c>
      <c r="FI22" s="272" t="str">
        <f t="shared" si="27"/>
        <v>火</v>
      </c>
      <c r="FJ22" s="272" t="s">
        <v>22</v>
      </c>
      <c r="FK22" s="273">
        <v>0.375</v>
      </c>
      <c r="FL22" s="273">
        <v>0.75</v>
      </c>
      <c r="FM22" s="202">
        <v>0.5</v>
      </c>
      <c r="FN22" s="202">
        <v>0.54166666666666663</v>
      </c>
      <c r="FO22" s="274" t="str">
        <f t="shared" si="28"/>
        <v>8h</v>
      </c>
      <c r="FP22" s="203">
        <v>0.375</v>
      </c>
      <c r="FQ22" s="203">
        <v>0.75</v>
      </c>
      <c r="FR22" s="203">
        <v>0.5</v>
      </c>
      <c r="FS22" s="203">
        <v>0.54166666666666663</v>
      </c>
      <c r="FT22" s="204" t="str">
        <f t="shared" si="29"/>
        <v>8h</v>
      </c>
      <c r="FU22" s="279"/>
      <c r="FV22" s="279"/>
      <c r="FW22" s="279"/>
      <c r="FY22" s="196"/>
      <c r="FZ22" s="271">
        <f t="shared" si="46"/>
        <v>46339</v>
      </c>
      <c r="GA22" s="272" t="str">
        <f t="shared" si="30"/>
        <v>金</v>
      </c>
      <c r="GB22" s="272" t="s">
        <v>22</v>
      </c>
      <c r="GC22" s="273">
        <v>0.375</v>
      </c>
      <c r="GD22" s="273">
        <v>0.75</v>
      </c>
      <c r="GE22" s="202">
        <v>0.5</v>
      </c>
      <c r="GF22" s="202">
        <v>0.54166666666666663</v>
      </c>
      <c r="GG22" s="274" t="str">
        <f t="shared" si="31"/>
        <v>8h</v>
      </c>
      <c r="GH22" s="203">
        <v>0.375</v>
      </c>
      <c r="GI22" s="203">
        <v>0.75</v>
      </c>
      <c r="GJ22" s="203">
        <v>0.5</v>
      </c>
      <c r="GK22" s="203">
        <v>0.54166666666666663</v>
      </c>
      <c r="GL22" s="204" t="str">
        <f t="shared" si="32"/>
        <v>8h</v>
      </c>
      <c r="GM22" s="279"/>
      <c r="GN22" s="279"/>
      <c r="GO22" s="279"/>
      <c r="GQ22" s="196"/>
      <c r="GR22" s="271">
        <f t="shared" si="47"/>
        <v>46369</v>
      </c>
      <c r="GS22" s="272" t="str">
        <f t="shared" si="33"/>
        <v>日</v>
      </c>
      <c r="GT22" s="272"/>
      <c r="GU22" s="273"/>
      <c r="GV22" s="273"/>
      <c r="GW22" s="202"/>
      <c r="GX22" s="202"/>
      <c r="GY22" s="274" t="str">
        <f t="shared" si="34"/>
        <v/>
      </c>
      <c r="GZ22" s="203"/>
      <c r="HA22" s="203"/>
      <c r="HB22" s="203"/>
      <c r="HC22" s="203"/>
      <c r="HD22" s="204" t="str">
        <f t="shared" si="35"/>
        <v/>
      </c>
      <c r="HE22" s="279"/>
      <c r="HF22" s="279"/>
      <c r="HG22" s="279"/>
    </row>
    <row r="23" spans="1:215" x14ac:dyDescent="0.45">
      <c r="A23" s="196"/>
      <c r="B23" s="271">
        <f t="shared" si="36"/>
        <v>46036</v>
      </c>
      <c r="C23" s="272" t="str">
        <f t="shared" si="0"/>
        <v>水</v>
      </c>
      <c r="D23" s="272" t="s">
        <v>22</v>
      </c>
      <c r="E23" s="273">
        <v>0.375</v>
      </c>
      <c r="F23" s="273">
        <v>0.75</v>
      </c>
      <c r="G23" s="202">
        <v>0.5</v>
      </c>
      <c r="H23" s="202">
        <v>0.54166666666666663</v>
      </c>
      <c r="I23" s="274" t="str">
        <f t="shared" si="1"/>
        <v>8h</v>
      </c>
      <c r="J23" s="203">
        <v>0.375</v>
      </c>
      <c r="K23" s="203">
        <v>0.75</v>
      </c>
      <c r="L23" s="203">
        <v>0.5</v>
      </c>
      <c r="M23" s="203">
        <v>0.54166666666666663</v>
      </c>
      <c r="N23" s="204" t="str">
        <f t="shared" si="2"/>
        <v>8h</v>
      </c>
      <c r="O23" s="279"/>
      <c r="P23" s="279"/>
      <c r="Q23" s="279"/>
      <c r="S23" s="196"/>
      <c r="T23" s="271">
        <f t="shared" si="37"/>
        <v>46067</v>
      </c>
      <c r="U23" s="272" t="str">
        <f t="shared" si="3"/>
        <v>土</v>
      </c>
      <c r="V23" s="272"/>
      <c r="W23" s="273"/>
      <c r="X23" s="273"/>
      <c r="Y23" s="202"/>
      <c r="Z23" s="202"/>
      <c r="AA23" s="274" t="str">
        <f t="shared" si="4"/>
        <v/>
      </c>
      <c r="AB23" s="203"/>
      <c r="AC23" s="203"/>
      <c r="AD23" s="203"/>
      <c r="AE23" s="203"/>
      <c r="AF23" s="204" t="str">
        <f t="shared" si="5"/>
        <v/>
      </c>
      <c r="AG23" s="279"/>
      <c r="AH23" s="279"/>
      <c r="AI23" s="279"/>
      <c r="AK23" s="196"/>
      <c r="AL23" s="271">
        <f t="shared" si="38"/>
        <v>46095</v>
      </c>
      <c r="AM23" s="272" t="str">
        <f t="shared" si="6"/>
        <v>土</v>
      </c>
      <c r="AN23" s="272"/>
      <c r="AO23" s="273"/>
      <c r="AP23" s="273"/>
      <c r="AQ23" s="202"/>
      <c r="AR23" s="202"/>
      <c r="AS23" s="274" t="str">
        <f t="shared" si="7"/>
        <v/>
      </c>
      <c r="AT23" s="203"/>
      <c r="AU23" s="203"/>
      <c r="AV23" s="203"/>
      <c r="AW23" s="203"/>
      <c r="AX23" s="204" t="str">
        <f t="shared" si="8"/>
        <v/>
      </c>
      <c r="AY23" s="279"/>
      <c r="AZ23" s="279"/>
      <c r="BA23" s="279"/>
      <c r="BC23" s="196"/>
      <c r="BD23" s="271">
        <f t="shared" si="39"/>
        <v>46126</v>
      </c>
      <c r="BE23" s="272" t="str">
        <f t="shared" si="9"/>
        <v>火</v>
      </c>
      <c r="BF23" s="272" t="s">
        <v>22</v>
      </c>
      <c r="BG23" s="273">
        <v>0.375</v>
      </c>
      <c r="BH23" s="273">
        <v>0.75</v>
      </c>
      <c r="BI23" s="202">
        <v>0.5</v>
      </c>
      <c r="BJ23" s="202">
        <v>0.54166666666666663</v>
      </c>
      <c r="BK23" s="274" t="str">
        <f t="shared" si="10"/>
        <v>8h</v>
      </c>
      <c r="BL23" s="203">
        <v>0.375</v>
      </c>
      <c r="BM23" s="203">
        <v>0.75</v>
      </c>
      <c r="BN23" s="203">
        <v>0.5</v>
      </c>
      <c r="BO23" s="203">
        <v>0.54166666666666663</v>
      </c>
      <c r="BP23" s="204" t="str">
        <f t="shared" si="11"/>
        <v>8h</v>
      </c>
      <c r="BQ23" s="279"/>
      <c r="BR23" s="279"/>
      <c r="BS23" s="279"/>
      <c r="BU23" s="196"/>
      <c r="BV23" s="271">
        <f t="shared" si="40"/>
        <v>46156</v>
      </c>
      <c r="BW23" s="272" t="str">
        <f t="shared" si="12"/>
        <v>木</v>
      </c>
      <c r="BX23" s="272" t="s">
        <v>22</v>
      </c>
      <c r="BY23" s="273">
        <v>0.375</v>
      </c>
      <c r="BZ23" s="273">
        <v>0.75</v>
      </c>
      <c r="CA23" s="202">
        <v>0.5</v>
      </c>
      <c r="CB23" s="202">
        <v>0.54166666666666663</v>
      </c>
      <c r="CC23" s="274" t="str">
        <f t="shared" si="13"/>
        <v>8h</v>
      </c>
      <c r="CD23" s="203">
        <v>0.375</v>
      </c>
      <c r="CE23" s="203">
        <v>0.75</v>
      </c>
      <c r="CF23" s="203">
        <v>0.5</v>
      </c>
      <c r="CG23" s="203">
        <v>0.54166666666666663</v>
      </c>
      <c r="CH23" s="204" t="str">
        <f t="shared" si="14"/>
        <v>8h</v>
      </c>
      <c r="CI23" s="279"/>
      <c r="CJ23" s="279"/>
      <c r="CK23" s="279"/>
      <c r="CM23" s="196"/>
      <c r="CN23" s="271">
        <f t="shared" si="41"/>
        <v>46187</v>
      </c>
      <c r="CO23" s="272" t="str">
        <f t="shared" si="15"/>
        <v>日</v>
      </c>
      <c r="CP23" s="272"/>
      <c r="CQ23" s="273"/>
      <c r="CR23" s="273"/>
      <c r="CS23" s="202"/>
      <c r="CT23" s="202"/>
      <c r="CU23" s="274" t="str">
        <f t="shared" si="16"/>
        <v/>
      </c>
      <c r="CV23" s="203"/>
      <c r="CW23" s="203"/>
      <c r="CX23" s="203"/>
      <c r="CY23" s="203"/>
      <c r="CZ23" s="204" t="str">
        <f t="shared" si="17"/>
        <v/>
      </c>
      <c r="DA23" s="279"/>
      <c r="DB23" s="279"/>
      <c r="DC23" s="279"/>
      <c r="DE23" s="196"/>
      <c r="DF23" s="271">
        <f t="shared" si="42"/>
        <v>46217</v>
      </c>
      <c r="DG23" s="272" t="str">
        <f t="shared" si="18"/>
        <v>火</v>
      </c>
      <c r="DH23" s="272" t="s">
        <v>22</v>
      </c>
      <c r="DI23" s="273">
        <v>0.375</v>
      </c>
      <c r="DJ23" s="273">
        <v>0.75</v>
      </c>
      <c r="DK23" s="202">
        <v>0.5</v>
      </c>
      <c r="DL23" s="202">
        <v>0.54166666666666663</v>
      </c>
      <c r="DM23" s="274" t="str">
        <f t="shared" si="19"/>
        <v>8h</v>
      </c>
      <c r="DN23" s="203">
        <v>0.375</v>
      </c>
      <c r="DO23" s="203">
        <v>0.75</v>
      </c>
      <c r="DP23" s="203">
        <v>0.5</v>
      </c>
      <c r="DQ23" s="203">
        <v>0.54166666666666663</v>
      </c>
      <c r="DR23" s="204" t="str">
        <f t="shared" si="20"/>
        <v>8h</v>
      </c>
      <c r="DS23" s="279"/>
      <c r="DT23" s="279"/>
      <c r="DU23" s="279"/>
      <c r="DW23" s="196"/>
      <c r="DX23" s="271">
        <f t="shared" si="43"/>
        <v>46248</v>
      </c>
      <c r="DY23" s="272" t="str">
        <f t="shared" si="21"/>
        <v>金</v>
      </c>
      <c r="DZ23" s="272" t="s">
        <v>22</v>
      </c>
      <c r="EA23" s="273">
        <v>0.375</v>
      </c>
      <c r="EB23" s="273">
        <v>0.75</v>
      </c>
      <c r="EC23" s="202">
        <v>0.5</v>
      </c>
      <c r="ED23" s="202">
        <v>0.54166666666666663</v>
      </c>
      <c r="EE23" s="274" t="str">
        <f t="shared" si="22"/>
        <v>8h</v>
      </c>
      <c r="EF23" s="203">
        <v>0.375</v>
      </c>
      <c r="EG23" s="203">
        <v>0.75</v>
      </c>
      <c r="EH23" s="203">
        <v>0.5</v>
      </c>
      <c r="EI23" s="203">
        <v>0.54166666666666663</v>
      </c>
      <c r="EJ23" s="204" t="str">
        <f t="shared" si="23"/>
        <v>8h</v>
      </c>
      <c r="EK23" s="279"/>
      <c r="EL23" s="279"/>
      <c r="EM23" s="279"/>
      <c r="EO23" s="196"/>
      <c r="EP23" s="271">
        <f t="shared" si="44"/>
        <v>46279</v>
      </c>
      <c r="EQ23" s="272" t="str">
        <f t="shared" si="24"/>
        <v>月</v>
      </c>
      <c r="ER23" s="272" t="s">
        <v>22</v>
      </c>
      <c r="ES23" s="273">
        <v>0.375</v>
      </c>
      <c r="ET23" s="273">
        <v>0.75</v>
      </c>
      <c r="EU23" s="202">
        <v>0.5</v>
      </c>
      <c r="EV23" s="202">
        <v>0.54166666666666663</v>
      </c>
      <c r="EW23" s="274" t="str">
        <f t="shared" si="25"/>
        <v>8h</v>
      </c>
      <c r="EX23" s="203">
        <v>0.375</v>
      </c>
      <c r="EY23" s="203">
        <v>0.75</v>
      </c>
      <c r="EZ23" s="203">
        <v>0.5</v>
      </c>
      <c r="FA23" s="203">
        <v>0.54166666666666663</v>
      </c>
      <c r="FB23" s="204" t="str">
        <f t="shared" si="26"/>
        <v>8h</v>
      </c>
      <c r="FC23" s="279"/>
      <c r="FD23" s="279"/>
      <c r="FE23" s="279"/>
      <c r="FG23" s="196"/>
      <c r="FH23" s="271">
        <f t="shared" si="45"/>
        <v>46309</v>
      </c>
      <c r="FI23" s="272" t="str">
        <f t="shared" si="27"/>
        <v>水</v>
      </c>
      <c r="FJ23" s="272" t="s">
        <v>22</v>
      </c>
      <c r="FK23" s="273">
        <v>0.375</v>
      </c>
      <c r="FL23" s="273">
        <v>0.75</v>
      </c>
      <c r="FM23" s="202">
        <v>0.5</v>
      </c>
      <c r="FN23" s="202">
        <v>0.54166666666666663</v>
      </c>
      <c r="FO23" s="274" t="str">
        <f t="shared" si="28"/>
        <v>8h</v>
      </c>
      <c r="FP23" s="203">
        <v>0.375</v>
      </c>
      <c r="FQ23" s="203">
        <v>0.75</v>
      </c>
      <c r="FR23" s="203">
        <v>0.5</v>
      </c>
      <c r="FS23" s="203">
        <v>0.54166666666666663</v>
      </c>
      <c r="FT23" s="204" t="str">
        <f t="shared" si="29"/>
        <v>8h</v>
      </c>
      <c r="FU23" s="279"/>
      <c r="FV23" s="279"/>
      <c r="FW23" s="279"/>
      <c r="FY23" s="196"/>
      <c r="FZ23" s="271">
        <f t="shared" si="46"/>
        <v>46340</v>
      </c>
      <c r="GA23" s="272" t="str">
        <f t="shared" si="30"/>
        <v>土</v>
      </c>
      <c r="GB23" s="272"/>
      <c r="GC23" s="273"/>
      <c r="GD23" s="273"/>
      <c r="GE23" s="202"/>
      <c r="GF23" s="202"/>
      <c r="GG23" s="274" t="str">
        <f t="shared" si="31"/>
        <v/>
      </c>
      <c r="GH23" s="203"/>
      <c r="GI23" s="203"/>
      <c r="GJ23" s="203"/>
      <c r="GK23" s="203"/>
      <c r="GL23" s="204" t="str">
        <f t="shared" si="32"/>
        <v/>
      </c>
      <c r="GM23" s="279"/>
      <c r="GN23" s="279"/>
      <c r="GO23" s="279"/>
      <c r="GQ23" s="196"/>
      <c r="GR23" s="271">
        <f t="shared" si="47"/>
        <v>46370</v>
      </c>
      <c r="GS23" s="272" t="str">
        <f t="shared" si="33"/>
        <v>月</v>
      </c>
      <c r="GT23" s="272" t="s">
        <v>22</v>
      </c>
      <c r="GU23" s="273">
        <v>0.375</v>
      </c>
      <c r="GV23" s="273">
        <v>0.75</v>
      </c>
      <c r="GW23" s="202">
        <v>0.5</v>
      </c>
      <c r="GX23" s="202">
        <v>0.54166666666666663</v>
      </c>
      <c r="GY23" s="274" t="str">
        <f t="shared" si="34"/>
        <v>8h</v>
      </c>
      <c r="GZ23" s="203">
        <v>0.375</v>
      </c>
      <c r="HA23" s="203">
        <v>0.75</v>
      </c>
      <c r="HB23" s="203">
        <v>0.5</v>
      </c>
      <c r="HC23" s="203">
        <v>0.54166666666666663</v>
      </c>
      <c r="HD23" s="204" t="str">
        <f t="shared" si="35"/>
        <v>8h</v>
      </c>
      <c r="HE23" s="279"/>
      <c r="HF23" s="279"/>
      <c r="HG23" s="279"/>
    </row>
    <row r="24" spans="1:215" x14ac:dyDescent="0.45">
      <c r="A24" s="196"/>
      <c r="B24" s="271">
        <f t="shared" si="36"/>
        <v>46037</v>
      </c>
      <c r="C24" s="272" t="str">
        <f t="shared" si="0"/>
        <v>木</v>
      </c>
      <c r="D24" s="272" t="s">
        <v>22</v>
      </c>
      <c r="E24" s="273">
        <v>0.375</v>
      </c>
      <c r="F24" s="273">
        <v>0.75</v>
      </c>
      <c r="G24" s="202">
        <v>0.5</v>
      </c>
      <c r="H24" s="202">
        <v>0.54166666666666663</v>
      </c>
      <c r="I24" s="274" t="str">
        <f t="shared" si="1"/>
        <v>8h</v>
      </c>
      <c r="J24" s="203">
        <v>0.375</v>
      </c>
      <c r="K24" s="203">
        <v>0.75</v>
      </c>
      <c r="L24" s="203">
        <v>0.5</v>
      </c>
      <c r="M24" s="203">
        <v>0.54166666666666663</v>
      </c>
      <c r="N24" s="204" t="str">
        <f t="shared" si="2"/>
        <v>8h</v>
      </c>
      <c r="O24" s="279"/>
      <c r="P24" s="279"/>
      <c r="Q24" s="279"/>
      <c r="S24" s="196"/>
      <c r="T24" s="271">
        <f t="shared" si="37"/>
        <v>46068</v>
      </c>
      <c r="U24" s="272" t="str">
        <f t="shared" si="3"/>
        <v>日</v>
      </c>
      <c r="V24" s="272"/>
      <c r="W24" s="273"/>
      <c r="X24" s="273"/>
      <c r="Y24" s="202"/>
      <c r="Z24" s="202"/>
      <c r="AA24" s="274" t="str">
        <f t="shared" si="4"/>
        <v/>
      </c>
      <c r="AB24" s="203"/>
      <c r="AC24" s="203"/>
      <c r="AD24" s="203"/>
      <c r="AE24" s="203"/>
      <c r="AF24" s="204" t="str">
        <f t="shared" si="5"/>
        <v/>
      </c>
      <c r="AG24" s="279"/>
      <c r="AH24" s="279"/>
      <c r="AI24" s="279"/>
      <c r="AK24" s="196"/>
      <c r="AL24" s="271">
        <f t="shared" si="38"/>
        <v>46096</v>
      </c>
      <c r="AM24" s="272" t="str">
        <f t="shared" si="6"/>
        <v>日</v>
      </c>
      <c r="AN24" s="272"/>
      <c r="AO24" s="273"/>
      <c r="AP24" s="273"/>
      <c r="AQ24" s="202"/>
      <c r="AR24" s="202"/>
      <c r="AS24" s="274" t="str">
        <f t="shared" si="7"/>
        <v/>
      </c>
      <c r="AT24" s="203"/>
      <c r="AU24" s="203"/>
      <c r="AV24" s="203"/>
      <c r="AW24" s="203"/>
      <c r="AX24" s="204" t="str">
        <f t="shared" si="8"/>
        <v/>
      </c>
      <c r="AY24" s="279"/>
      <c r="AZ24" s="279"/>
      <c r="BA24" s="279"/>
      <c r="BC24" s="196"/>
      <c r="BD24" s="271">
        <f t="shared" si="39"/>
        <v>46127</v>
      </c>
      <c r="BE24" s="272" t="str">
        <f t="shared" si="9"/>
        <v>水</v>
      </c>
      <c r="BF24" s="272" t="s">
        <v>22</v>
      </c>
      <c r="BG24" s="273">
        <v>0.375</v>
      </c>
      <c r="BH24" s="273">
        <v>0.75</v>
      </c>
      <c r="BI24" s="202">
        <v>0.5</v>
      </c>
      <c r="BJ24" s="202">
        <v>0.54166666666666663</v>
      </c>
      <c r="BK24" s="274" t="str">
        <f t="shared" si="10"/>
        <v>8h</v>
      </c>
      <c r="BL24" s="203">
        <v>0.375</v>
      </c>
      <c r="BM24" s="203">
        <v>0.75</v>
      </c>
      <c r="BN24" s="203">
        <v>0.5</v>
      </c>
      <c r="BO24" s="203">
        <v>0.54166666666666663</v>
      </c>
      <c r="BP24" s="204" t="str">
        <f t="shared" si="11"/>
        <v>8h</v>
      </c>
      <c r="BQ24" s="279"/>
      <c r="BR24" s="279"/>
      <c r="BS24" s="279"/>
      <c r="BU24" s="196"/>
      <c r="BV24" s="271">
        <f t="shared" si="40"/>
        <v>46157</v>
      </c>
      <c r="BW24" s="272" t="str">
        <f t="shared" si="12"/>
        <v>金</v>
      </c>
      <c r="BX24" s="272" t="s">
        <v>22</v>
      </c>
      <c r="BY24" s="273">
        <v>0.375</v>
      </c>
      <c r="BZ24" s="273">
        <v>0.75</v>
      </c>
      <c r="CA24" s="202">
        <v>0.5</v>
      </c>
      <c r="CB24" s="202">
        <v>0.54166666666666663</v>
      </c>
      <c r="CC24" s="274" t="str">
        <f t="shared" si="13"/>
        <v>8h</v>
      </c>
      <c r="CD24" s="203">
        <v>0.375</v>
      </c>
      <c r="CE24" s="203">
        <v>0.75</v>
      </c>
      <c r="CF24" s="203">
        <v>0.5</v>
      </c>
      <c r="CG24" s="203">
        <v>0.54166666666666663</v>
      </c>
      <c r="CH24" s="204" t="str">
        <f t="shared" si="14"/>
        <v>8h</v>
      </c>
      <c r="CI24" s="279"/>
      <c r="CJ24" s="279"/>
      <c r="CK24" s="279"/>
      <c r="CM24" s="196"/>
      <c r="CN24" s="271">
        <f t="shared" si="41"/>
        <v>46188</v>
      </c>
      <c r="CO24" s="272" t="str">
        <f t="shared" si="15"/>
        <v>月</v>
      </c>
      <c r="CP24" s="272" t="s">
        <v>22</v>
      </c>
      <c r="CQ24" s="273">
        <v>0.375</v>
      </c>
      <c r="CR24" s="273">
        <v>0.75</v>
      </c>
      <c r="CS24" s="202">
        <v>0.5</v>
      </c>
      <c r="CT24" s="202">
        <v>0.54166666666666663</v>
      </c>
      <c r="CU24" s="274" t="str">
        <f t="shared" si="16"/>
        <v>8h</v>
      </c>
      <c r="CV24" s="203">
        <v>0.375</v>
      </c>
      <c r="CW24" s="203">
        <v>0.75</v>
      </c>
      <c r="CX24" s="203">
        <v>0.5</v>
      </c>
      <c r="CY24" s="203">
        <v>0.54166666666666663</v>
      </c>
      <c r="CZ24" s="204" t="str">
        <f t="shared" si="17"/>
        <v>8h</v>
      </c>
      <c r="DA24" s="279"/>
      <c r="DB24" s="279"/>
      <c r="DC24" s="279"/>
      <c r="DE24" s="196"/>
      <c r="DF24" s="271">
        <f t="shared" si="42"/>
        <v>46218</v>
      </c>
      <c r="DG24" s="272" t="str">
        <f t="shared" si="18"/>
        <v>水</v>
      </c>
      <c r="DH24" s="272" t="s">
        <v>22</v>
      </c>
      <c r="DI24" s="273">
        <v>0.375</v>
      </c>
      <c r="DJ24" s="273">
        <v>0.75</v>
      </c>
      <c r="DK24" s="202">
        <v>0.5</v>
      </c>
      <c r="DL24" s="202">
        <v>0.54166666666666663</v>
      </c>
      <c r="DM24" s="274" t="str">
        <f t="shared" si="19"/>
        <v>8h</v>
      </c>
      <c r="DN24" s="203">
        <v>0.375</v>
      </c>
      <c r="DO24" s="203">
        <v>0.75</v>
      </c>
      <c r="DP24" s="203">
        <v>0.5</v>
      </c>
      <c r="DQ24" s="203">
        <v>0.54166666666666663</v>
      </c>
      <c r="DR24" s="204" t="str">
        <f t="shared" si="20"/>
        <v>8h</v>
      </c>
      <c r="DS24" s="279"/>
      <c r="DT24" s="279"/>
      <c r="DU24" s="279"/>
      <c r="DW24" s="196"/>
      <c r="DX24" s="271">
        <f t="shared" si="43"/>
        <v>46249</v>
      </c>
      <c r="DY24" s="272" t="str">
        <f t="shared" si="21"/>
        <v>土</v>
      </c>
      <c r="DZ24" s="272"/>
      <c r="EA24" s="273"/>
      <c r="EB24" s="273"/>
      <c r="EC24" s="202"/>
      <c r="ED24" s="202"/>
      <c r="EE24" s="274" t="str">
        <f t="shared" si="22"/>
        <v/>
      </c>
      <c r="EF24" s="203"/>
      <c r="EG24" s="203"/>
      <c r="EH24" s="203"/>
      <c r="EI24" s="203"/>
      <c r="EJ24" s="204" t="str">
        <f t="shared" si="23"/>
        <v/>
      </c>
      <c r="EK24" s="279"/>
      <c r="EL24" s="279"/>
      <c r="EM24" s="279"/>
      <c r="EO24" s="196"/>
      <c r="EP24" s="271">
        <f t="shared" si="44"/>
        <v>46280</v>
      </c>
      <c r="EQ24" s="272" t="str">
        <f t="shared" si="24"/>
        <v>火</v>
      </c>
      <c r="ER24" s="272" t="s">
        <v>22</v>
      </c>
      <c r="ES24" s="273">
        <v>0.375</v>
      </c>
      <c r="ET24" s="273">
        <v>0.75</v>
      </c>
      <c r="EU24" s="202">
        <v>0.5</v>
      </c>
      <c r="EV24" s="202">
        <v>0.54166666666666663</v>
      </c>
      <c r="EW24" s="274" t="str">
        <f t="shared" si="25"/>
        <v>8h</v>
      </c>
      <c r="EX24" s="203">
        <v>0.375</v>
      </c>
      <c r="EY24" s="203">
        <v>0.75</v>
      </c>
      <c r="EZ24" s="203">
        <v>0.5</v>
      </c>
      <c r="FA24" s="203">
        <v>0.54166666666666663</v>
      </c>
      <c r="FB24" s="204" t="str">
        <f t="shared" si="26"/>
        <v>8h</v>
      </c>
      <c r="FC24" s="279"/>
      <c r="FD24" s="279"/>
      <c r="FE24" s="279"/>
      <c r="FG24" s="196"/>
      <c r="FH24" s="271">
        <f t="shared" si="45"/>
        <v>46310</v>
      </c>
      <c r="FI24" s="272" t="str">
        <f t="shared" si="27"/>
        <v>木</v>
      </c>
      <c r="FJ24" s="272" t="s">
        <v>22</v>
      </c>
      <c r="FK24" s="273">
        <v>0.375</v>
      </c>
      <c r="FL24" s="273">
        <v>0.75</v>
      </c>
      <c r="FM24" s="202">
        <v>0.5</v>
      </c>
      <c r="FN24" s="202">
        <v>0.54166666666666663</v>
      </c>
      <c r="FO24" s="274" t="str">
        <f t="shared" si="28"/>
        <v>8h</v>
      </c>
      <c r="FP24" s="203">
        <v>0.375</v>
      </c>
      <c r="FQ24" s="203">
        <v>0.75</v>
      </c>
      <c r="FR24" s="203">
        <v>0.5</v>
      </c>
      <c r="FS24" s="203">
        <v>0.54166666666666663</v>
      </c>
      <c r="FT24" s="204" t="str">
        <f t="shared" si="29"/>
        <v>8h</v>
      </c>
      <c r="FU24" s="279"/>
      <c r="FV24" s="279"/>
      <c r="FW24" s="279"/>
      <c r="FY24" s="196"/>
      <c r="FZ24" s="271">
        <f t="shared" si="46"/>
        <v>46341</v>
      </c>
      <c r="GA24" s="272" t="str">
        <f t="shared" si="30"/>
        <v>日</v>
      </c>
      <c r="GB24" s="272"/>
      <c r="GC24" s="273"/>
      <c r="GD24" s="273"/>
      <c r="GE24" s="202"/>
      <c r="GF24" s="202"/>
      <c r="GG24" s="274" t="str">
        <f t="shared" si="31"/>
        <v/>
      </c>
      <c r="GH24" s="203"/>
      <c r="GI24" s="203"/>
      <c r="GJ24" s="203"/>
      <c r="GK24" s="203"/>
      <c r="GL24" s="204" t="str">
        <f t="shared" si="32"/>
        <v/>
      </c>
      <c r="GM24" s="279"/>
      <c r="GN24" s="279"/>
      <c r="GO24" s="279"/>
      <c r="GQ24" s="196"/>
      <c r="GR24" s="271">
        <f t="shared" si="47"/>
        <v>46371</v>
      </c>
      <c r="GS24" s="272" t="str">
        <f t="shared" si="33"/>
        <v>火</v>
      </c>
      <c r="GT24" s="272" t="s">
        <v>22</v>
      </c>
      <c r="GU24" s="273">
        <v>0.375</v>
      </c>
      <c r="GV24" s="273">
        <v>0.75</v>
      </c>
      <c r="GW24" s="202">
        <v>0.5</v>
      </c>
      <c r="GX24" s="202">
        <v>0.54166666666666663</v>
      </c>
      <c r="GY24" s="274" t="str">
        <f t="shared" si="34"/>
        <v>8h</v>
      </c>
      <c r="GZ24" s="203">
        <v>0.375</v>
      </c>
      <c r="HA24" s="203">
        <v>0.75</v>
      </c>
      <c r="HB24" s="203">
        <v>0.5</v>
      </c>
      <c r="HC24" s="203">
        <v>0.54166666666666663</v>
      </c>
      <c r="HD24" s="204" t="str">
        <f t="shared" si="35"/>
        <v>8h</v>
      </c>
      <c r="HE24" s="279"/>
      <c r="HF24" s="279"/>
      <c r="HG24" s="279"/>
    </row>
    <row r="25" spans="1:215" x14ac:dyDescent="0.45">
      <c r="A25" s="196"/>
      <c r="B25" s="271">
        <f t="shared" si="36"/>
        <v>46038</v>
      </c>
      <c r="C25" s="272" t="str">
        <f t="shared" si="0"/>
        <v>金</v>
      </c>
      <c r="D25" s="272" t="s">
        <v>22</v>
      </c>
      <c r="E25" s="273">
        <v>0.375</v>
      </c>
      <c r="F25" s="273">
        <v>0.75</v>
      </c>
      <c r="G25" s="202">
        <v>0.5</v>
      </c>
      <c r="H25" s="202">
        <v>0.54166666666666663</v>
      </c>
      <c r="I25" s="274" t="str">
        <f t="shared" si="1"/>
        <v>8h</v>
      </c>
      <c r="J25" s="203">
        <v>0.375</v>
      </c>
      <c r="K25" s="203">
        <v>0.75</v>
      </c>
      <c r="L25" s="203">
        <v>0.5</v>
      </c>
      <c r="M25" s="203">
        <v>0.54166666666666663</v>
      </c>
      <c r="N25" s="204" t="str">
        <f t="shared" si="2"/>
        <v>8h</v>
      </c>
      <c r="O25" s="279"/>
      <c r="P25" s="279"/>
      <c r="Q25" s="279"/>
      <c r="S25" s="196"/>
      <c r="T25" s="271">
        <f t="shared" si="37"/>
        <v>46069</v>
      </c>
      <c r="U25" s="272" t="str">
        <f t="shared" si="3"/>
        <v>月</v>
      </c>
      <c r="V25" s="272" t="s">
        <v>22</v>
      </c>
      <c r="W25" s="273">
        <v>0.375</v>
      </c>
      <c r="X25" s="273">
        <v>0.75</v>
      </c>
      <c r="Y25" s="202">
        <v>0.5</v>
      </c>
      <c r="Z25" s="202">
        <v>0.54166666666666663</v>
      </c>
      <c r="AA25" s="274" t="str">
        <f t="shared" si="4"/>
        <v>8h</v>
      </c>
      <c r="AB25" s="203">
        <v>0.375</v>
      </c>
      <c r="AC25" s="203">
        <v>0.75</v>
      </c>
      <c r="AD25" s="203">
        <v>0.5</v>
      </c>
      <c r="AE25" s="203">
        <v>0.54166666666666663</v>
      </c>
      <c r="AF25" s="204" t="str">
        <f t="shared" si="5"/>
        <v>8h</v>
      </c>
      <c r="AG25" s="279"/>
      <c r="AH25" s="279"/>
      <c r="AI25" s="279"/>
      <c r="AK25" s="196"/>
      <c r="AL25" s="271">
        <f t="shared" si="38"/>
        <v>46097</v>
      </c>
      <c r="AM25" s="272" t="str">
        <f t="shared" si="6"/>
        <v>月</v>
      </c>
      <c r="AN25" s="272" t="s">
        <v>22</v>
      </c>
      <c r="AO25" s="273">
        <v>0.375</v>
      </c>
      <c r="AP25" s="273">
        <v>0.75</v>
      </c>
      <c r="AQ25" s="202">
        <v>0.5</v>
      </c>
      <c r="AR25" s="202">
        <v>0.54166666666666663</v>
      </c>
      <c r="AS25" s="274" t="str">
        <f t="shared" si="7"/>
        <v>8h</v>
      </c>
      <c r="AT25" s="203">
        <v>0.375</v>
      </c>
      <c r="AU25" s="203">
        <v>0.75</v>
      </c>
      <c r="AV25" s="203">
        <v>0.5</v>
      </c>
      <c r="AW25" s="203">
        <v>0.54166666666666663</v>
      </c>
      <c r="AX25" s="204" t="str">
        <f t="shared" si="8"/>
        <v>8h</v>
      </c>
      <c r="AY25" s="279"/>
      <c r="AZ25" s="279"/>
      <c r="BA25" s="279"/>
      <c r="BC25" s="196"/>
      <c r="BD25" s="271">
        <f t="shared" si="39"/>
        <v>46128</v>
      </c>
      <c r="BE25" s="272" t="str">
        <f t="shared" si="9"/>
        <v>木</v>
      </c>
      <c r="BF25" s="272" t="s">
        <v>22</v>
      </c>
      <c r="BG25" s="273">
        <v>0.375</v>
      </c>
      <c r="BH25" s="273">
        <v>0.75</v>
      </c>
      <c r="BI25" s="202">
        <v>0.5</v>
      </c>
      <c r="BJ25" s="202">
        <v>0.54166666666666663</v>
      </c>
      <c r="BK25" s="274" t="str">
        <f t="shared" si="10"/>
        <v>8h</v>
      </c>
      <c r="BL25" s="203">
        <v>0.375</v>
      </c>
      <c r="BM25" s="203">
        <v>0.75</v>
      </c>
      <c r="BN25" s="203">
        <v>0.5</v>
      </c>
      <c r="BO25" s="203">
        <v>0.54166666666666663</v>
      </c>
      <c r="BP25" s="204" t="str">
        <f t="shared" si="11"/>
        <v>8h</v>
      </c>
      <c r="BQ25" s="279"/>
      <c r="BR25" s="279"/>
      <c r="BS25" s="279"/>
      <c r="BU25" s="196"/>
      <c r="BV25" s="271">
        <f t="shared" si="40"/>
        <v>46158</v>
      </c>
      <c r="BW25" s="272" t="str">
        <f t="shared" si="12"/>
        <v>土</v>
      </c>
      <c r="BX25" s="272"/>
      <c r="BY25" s="273"/>
      <c r="BZ25" s="273"/>
      <c r="CA25" s="202"/>
      <c r="CB25" s="202"/>
      <c r="CC25" s="274" t="str">
        <f t="shared" si="13"/>
        <v/>
      </c>
      <c r="CD25" s="203"/>
      <c r="CE25" s="203"/>
      <c r="CF25" s="203"/>
      <c r="CG25" s="203"/>
      <c r="CH25" s="204" t="str">
        <f t="shared" si="14"/>
        <v/>
      </c>
      <c r="CI25" s="279"/>
      <c r="CJ25" s="279"/>
      <c r="CK25" s="279"/>
      <c r="CM25" s="196"/>
      <c r="CN25" s="271">
        <f t="shared" si="41"/>
        <v>46189</v>
      </c>
      <c r="CO25" s="272" t="str">
        <f t="shared" si="15"/>
        <v>火</v>
      </c>
      <c r="CP25" s="272" t="s">
        <v>22</v>
      </c>
      <c r="CQ25" s="273">
        <v>0.375</v>
      </c>
      <c r="CR25" s="273">
        <v>0.75</v>
      </c>
      <c r="CS25" s="202">
        <v>0.5</v>
      </c>
      <c r="CT25" s="202">
        <v>0.54166666666666663</v>
      </c>
      <c r="CU25" s="274" t="str">
        <f t="shared" si="16"/>
        <v>8h</v>
      </c>
      <c r="CV25" s="203">
        <v>0.375</v>
      </c>
      <c r="CW25" s="203">
        <v>0.75</v>
      </c>
      <c r="CX25" s="203">
        <v>0.5</v>
      </c>
      <c r="CY25" s="203">
        <v>0.54166666666666663</v>
      </c>
      <c r="CZ25" s="204" t="str">
        <f t="shared" si="17"/>
        <v>8h</v>
      </c>
      <c r="DA25" s="279"/>
      <c r="DB25" s="279"/>
      <c r="DC25" s="279"/>
      <c r="DE25" s="196"/>
      <c r="DF25" s="271">
        <f t="shared" si="42"/>
        <v>46219</v>
      </c>
      <c r="DG25" s="272" t="str">
        <f t="shared" si="18"/>
        <v>木</v>
      </c>
      <c r="DH25" s="272" t="s">
        <v>22</v>
      </c>
      <c r="DI25" s="273">
        <v>0.375</v>
      </c>
      <c r="DJ25" s="273">
        <v>0.75</v>
      </c>
      <c r="DK25" s="202">
        <v>0.5</v>
      </c>
      <c r="DL25" s="202">
        <v>0.54166666666666663</v>
      </c>
      <c r="DM25" s="274" t="str">
        <f t="shared" si="19"/>
        <v>8h</v>
      </c>
      <c r="DN25" s="203">
        <v>0.375</v>
      </c>
      <c r="DO25" s="203">
        <v>0.75</v>
      </c>
      <c r="DP25" s="203">
        <v>0.5</v>
      </c>
      <c r="DQ25" s="203">
        <v>0.54166666666666663</v>
      </c>
      <c r="DR25" s="204" t="str">
        <f t="shared" si="20"/>
        <v>8h</v>
      </c>
      <c r="DS25" s="279"/>
      <c r="DT25" s="279"/>
      <c r="DU25" s="279"/>
      <c r="DW25" s="196"/>
      <c r="DX25" s="271">
        <f t="shared" si="43"/>
        <v>46250</v>
      </c>
      <c r="DY25" s="272" t="str">
        <f t="shared" si="21"/>
        <v>日</v>
      </c>
      <c r="DZ25" s="272"/>
      <c r="EA25" s="273"/>
      <c r="EB25" s="273"/>
      <c r="EC25" s="202"/>
      <c r="ED25" s="202"/>
      <c r="EE25" s="274" t="str">
        <f t="shared" si="22"/>
        <v/>
      </c>
      <c r="EF25" s="203"/>
      <c r="EG25" s="203"/>
      <c r="EH25" s="203"/>
      <c r="EI25" s="203"/>
      <c r="EJ25" s="204" t="str">
        <f t="shared" si="23"/>
        <v/>
      </c>
      <c r="EK25" s="279"/>
      <c r="EL25" s="279"/>
      <c r="EM25" s="279"/>
      <c r="EO25" s="196"/>
      <c r="EP25" s="271">
        <f t="shared" si="44"/>
        <v>46281</v>
      </c>
      <c r="EQ25" s="272" t="str">
        <f t="shared" si="24"/>
        <v>水</v>
      </c>
      <c r="ER25" s="272" t="s">
        <v>22</v>
      </c>
      <c r="ES25" s="273">
        <v>0.375</v>
      </c>
      <c r="ET25" s="273">
        <v>0.75</v>
      </c>
      <c r="EU25" s="202">
        <v>0.5</v>
      </c>
      <c r="EV25" s="202">
        <v>0.54166666666666663</v>
      </c>
      <c r="EW25" s="274" t="str">
        <f t="shared" si="25"/>
        <v>8h</v>
      </c>
      <c r="EX25" s="203">
        <v>0.375</v>
      </c>
      <c r="EY25" s="203">
        <v>0.75</v>
      </c>
      <c r="EZ25" s="203">
        <v>0.5</v>
      </c>
      <c r="FA25" s="203">
        <v>0.54166666666666663</v>
      </c>
      <c r="FB25" s="204" t="str">
        <f t="shared" si="26"/>
        <v>8h</v>
      </c>
      <c r="FC25" s="279"/>
      <c r="FD25" s="279"/>
      <c r="FE25" s="279"/>
      <c r="FG25" s="196"/>
      <c r="FH25" s="271">
        <f t="shared" si="45"/>
        <v>46311</v>
      </c>
      <c r="FI25" s="272" t="str">
        <f t="shared" si="27"/>
        <v>金</v>
      </c>
      <c r="FJ25" s="272" t="s">
        <v>22</v>
      </c>
      <c r="FK25" s="273">
        <v>0.375</v>
      </c>
      <c r="FL25" s="273">
        <v>0.75</v>
      </c>
      <c r="FM25" s="202">
        <v>0.5</v>
      </c>
      <c r="FN25" s="202">
        <v>0.54166666666666663</v>
      </c>
      <c r="FO25" s="274" t="str">
        <f t="shared" si="28"/>
        <v>8h</v>
      </c>
      <c r="FP25" s="203">
        <v>0.375</v>
      </c>
      <c r="FQ25" s="203">
        <v>0.75</v>
      </c>
      <c r="FR25" s="203">
        <v>0.5</v>
      </c>
      <c r="FS25" s="203">
        <v>0.54166666666666663</v>
      </c>
      <c r="FT25" s="204" t="str">
        <f t="shared" si="29"/>
        <v>8h</v>
      </c>
      <c r="FU25" s="279"/>
      <c r="FV25" s="279"/>
      <c r="FW25" s="279"/>
      <c r="FY25" s="196"/>
      <c r="FZ25" s="271">
        <f t="shared" si="46"/>
        <v>46342</v>
      </c>
      <c r="GA25" s="272" t="str">
        <f t="shared" si="30"/>
        <v>月</v>
      </c>
      <c r="GB25" s="272" t="s">
        <v>22</v>
      </c>
      <c r="GC25" s="273">
        <v>0.375</v>
      </c>
      <c r="GD25" s="273">
        <v>0.75</v>
      </c>
      <c r="GE25" s="202">
        <v>0.5</v>
      </c>
      <c r="GF25" s="202">
        <v>0.54166666666666663</v>
      </c>
      <c r="GG25" s="274" t="str">
        <f t="shared" si="31"/>
        <v>8h</v>
      </c>
      <c r="GH25" s="203">
        <v>0.375</v>
      </c>
      <c r="GI25" s="203">
        <v>0.75</v>
      </c>
      <c r="GJ25" s="203">
        <v>0.5</v>
      </c>
      <c r="GK25" s="203">
        <v>0.54166666666666663</v>
      </c>
      <c r="GL25" s="204" t="str">
        <f t="shared" si="32"/>
        <v>8h</v>
      </c>
      <c r="GM25" s="279"/>
      <c r="GN25" s="279"/>
      <c r="GO25" s="279"/>
      <c r="GQ25" s="196"/>
      <c r="GR25" s="271">
        <f t="shared" si="47"/>
        <v>46372</v>
      </c>
      <c r="GS25" s="272" t="str">
        <f t="shared" si="33"/>
        <v>水</v>
      </c>
      <c r="GT25" s="272" t="s">
        <v>22</v>
      </c>
      <c r="GU25" s="273">
        <v>0.375</v>
      </c>
      <c r="GV25" s="273">
        <v>0.75</v>
      </c>
      <c r="GW25" s="202">
        <v>0.5</v>
      </c>
      <c r="GX25" s="202">
        <v>0.54166666666666663</v>
      </c>
      <c r="GY25" s="274" t="str">
        <f t="shared" si="34"/>
        <v>8h</v>
      </c>
      <c r="GZ25" s="203">
        <v>0.375</v>
      </c>
      <c r="HA25" s="203">
        <v>0.75</v>
      </c>
      <c r="HB25" s="203">
        <v>0.5</v>
      </c>
      <c r="HC25" s="203">
        <v>0.54166666666666663</v>
      </c>
      <c r="HD25" s="204" t="str">
        <f t="shared" si="35"/>
        <v>8h</v>
      </c>
      <c r="HE25" s="279"/>
      <c r="HF25" s="279"/>
      <c r="HG25" s="279"/>
    </row>
    <row r="26" spans="1:215" x14ac:dyDescent="0.45">
      <c r="A26" s="196"/>
      <c r="B26" s="271">
        <f t="shared" si="36"/>
        <v>46039</v>
      </c>
      <c r="C26" s="272" t="str">
        <f t="shared" si="0"/>
        <v>土</v>
      </c>
      <c r="D26" s="272"/>
      <c r="E26" s="273"/>
      <c r="F26" s="273"/>
      <c r="G26" s="202"/>
      <c r="H26" s="202"/>
      <c r="I26" s="274" t="str">
        <f t="shared" si="1"/>
        <v/>
      </c>
      <c r="J26" s="203"/>
      <c r="K26" s="203"/>
      <c r="L26" s="203"/>
      <c r="M26" s="203"/>
      <c r="N26" s="204" t="str">
        <f t="shared" si="2"/>
        <v/>
      </c>
      <c r="O26" s="279"/>
      <c r="P26" s="279"/>
      <c r="Q26" s="279"/>
      <c r="S26" s="196"/>
      <c r="T26" s="271">
        <f t="shared" si="37"/>
        <v>46070</v>
      </c>
      <c r="U26" s="272" t="str">
        <f t="shared" si="3"/>
        <v>火</v>
      </c>
      <c r="V26" s="272" t="s">
        <v>22</v>
      </c>
      <c r="W26" s="273">
        <v>0.375</v>
      </c>
      <c r="X26" s="273">
        <v>0.75</v>
      </c>
      <c r="Y26" s="202">
        <v>0.5</v>
      </c>
      <c r="Z26" s="202">
        <v>0.54166666666666663</v>
      </c>
      <c r="AA26" s="274" t="str">
        <f t="shared" si="4"/>
        <v>8h</v>
      </c>
      <c r="AB26" s="203">
        <v>0.375</v>
      </c>
      <c r="AC26" s="203">
        <v>0.75</v>
      </c>
      <c r="AD26" s="203">
        <v>0.5</v>
      </c>
      <c r="AE26" s="203">
        <v>0.54166666666666663</v>
      </c>
      <c r="AF26" s="204" t="str">
        <f t="shared" si="5"/>
        <v>8h</v>
      </c>
      <c r="AG26" s="279"/>
      <c r="AH26" s="279"/>
      <c r="AI26" s="279"/>
      <c r="AK26" s="196"/>
      <c r="AL26" s="271">
        <f t="shared" si="38"/>
        <v>46098</v>
      </c>
      <c r="AM26" s="272" t="str">
        <f t="shared" si="6"/>
        <v>火</v>
      </c>
      <c r="AN26" s="272" t="s">
        <v>22</v>
      </c>
      <c r="AO26" s="273">
        <v>0.375</v>
      </c>
      <c r="AP26" s="273">
        <v>0.75</v>
      </c>
      <c r="AQ26" s="202">
        <v>0.5</v>
      </c>
      <c r="AR26" s="202">
        <v>0.54166666666666663</v>
      </c>
      <c r="AS26" s="274" t="str">
        <f t="shared" si="7"/>
        <v>8h</v>
      </c>
      <c r="AT26" s="203">
        <v>0.375</v>
      </c>
      <c r="AU26" s="203">
        <v>0.75</v>
      </c>
      <c r="AV26" s="203">
        <v>0.5</v>
      </c>
      <c r="AW26" s="203">
        <v>0.54166666666666663</v>
      </c>
      <c r="AX26" s="204" t="str">
        <f t="shared" si="8"/>
        <v>8h</v>
      </c>
      <c r="AY26" s="279"/>
      <c r="AZ26" s="279"/>
      <c r="BA26" s="279"/>
      <c r="BC26" s="196"/>
      <c r="BD26" s="271">
        <f t="shared" si="39"/>
        <v>46129</v>
      </c>
      <c r="BE26" s="272" t="str">
        <f t="shared" si="9"/>
        <v>金</v>
      </c>
      <c r="BF26" s="272" t="s">
        <v>22</v>
      </c>
      <c r="BG26" s="273">
        <v>0.375</v>
      </c>
      <c r="BH26" s="273">
        <v>0.75</v>
      </c>
      <c r="BI26" s="202">
        <v>0.5</v>
      </c>
      <c r="BJ26" s="202">
        <v>0.54166666666666663</v>
      </c>
      <c r="BK26" s="274" t="str">
        <f t="shared" si="10"/>
        <v>8h</v>
      </c>
      <c r="BL26" s="203">
        <v>0.375</v>
      </c>
      <c r="BM26" s="203">
        <v>0.75</v>
      </c>
      <c r="BN26" s="203">
        <v>0.5</v>
      </c>
      <c r="BO26" s="203">
        <v>0.54166666666666663</v>
      </c>
      <c r="BP26" s="204" t="str">
        <f t="shared" si="11"/>
        <v>8h</v>
      </c>
      <c r="BQ26" s="279"/>
      <c r="BR26" s="279"/>
      <c r="BS26" s="279"/>
      <c r="BU26" s="196"/>
      <c r="BV26" s="271">
        <f t="shared" si="40"/>
        <v>46159</v>
      </c>
      <c r="BW26" s="272" t="str">
        <f t="shared" si="12"/>
        <v>日</v>
      </c>
      <c r="BX26" s="272"/>
      <c r="BY26" s="273"/>
      <c r="BZ26" s="273"/>
      <c r="CA26" s="202"/>
      <c r="CB26" s="202"/>
      <c r="CC26" s="274" t="str">
        <f t="shared" si="13"/>
        <v/>
      </c>
      <c r="CD26" s="203"/>
      <c r="CE26" s="203"/>
      <c r="CF26" s="203"/>
      <c r="CG26" s="203"/>
      <c r="CH26" s="204" t="str">
        <f t="shared" si="14"/>
        <v/>
      </c>
      <c r="CI26" s="279"/>
      <c r="CJ26" s="279"/>
      <c r="CK26" s="279"/>
      <c r="CM26" s="196"/>
      <c r="CN26" s="271">
        <f t="shared" si="41"/>
        <v>46190</v>
      </c>
      <c r="CO26" s="272" t="str">
        <f t="shared" si="15"/>
        <v>水</v>
      </c>
      <c r="CP26" s="272" t="s">
        <v>22</v>
      </c>
      <c r="CQ26" s="273">
        <v>0.375</v>
      </c>
      <c r="CR26" s="273">
        <v>0.75</v>
      </c>
      <c r="CS26" s="202">
        <v>0.5</v>
      </c>
      <c r="CT26" s="202">
        <v>0.54166666666666663</v>
      </c>
      <c r="CU26" s="274" t="str">
        <f t="shared" si="16"/>
        <v>8h</v>
      </c>
      <c r="CV26" s="203">
        <v>0.375</v>
      </c>
      <c r="CW26" s="203">
        <v>0.75</v>
      </c>
      <c r="CX26" s="203">
        <v>0.5</v>
      </c>
      <c r="CY26" s="203">
        <v>0.54166666666666663</v>
      </c>
      <c r="CZ26" s="204" t="str">
        <f t="shared" si="17"/>
        <v>8h</v>
      </c>
      <c r="DA26" s="279"/>
      <c r="DB26" s="279"/>
      <c r="DC26" s="279"/>
      <c r="DE26" s="196"/>
      <c r="DF26" s="271">
        <f t="shared" si="42"/>
        <v>46220</v>
      </c>
      <c r="DG26" s="272" t="str">
        <f t="shared" si="18"/>
        <v>金</v>
      </c>
      <c r="DH26" s="272" t="s">
        <v>22</v>
      </c>
      <c r="DI26" s="273">
        <v>0.375</v>
      </c>
      <c r="DJ26" s="273">
        <v>0.75</v>
      </c>
      <c r="DK26" s="202">
        <v>0.5</v>
      </c>
      <c r="DL26" s="202">
        <v>0.54166666666666663</v>
      </c>
      <c r="DM26" s="274" t="str">
        <f t="shared" si="19"/>
        <v>8h</v>
      </c>
      <c r="DN26" s="203">
        <v>0.375</v>
      </c>
      <c r="DO26" s="203">
        <v>0.75</v>
      </c>
      <c r="DP26" s="203">
        <v>0.5</v>
      </c>
      <c r="DQ26" s="203">
        <v>0.54166666666666663</v>
      </c>
      <c r="DR26" s="204" t="str">
        <f t="shared" si="20"/>
        <v>8h</v>
      </c>
      <c r="DS26" s="279"/>
      <c r="DT26" s="279"/>
      <c r="DU26" s="279"/>
      <c r="DW26" s="196"/>
      <c r="DX26" s="271">
        <f t="shared" si="43"/>
        <v>46251</v>
      </c>
      <c r="DY26" s="272" t="str">
        <f t="shared" si="21"/>
        <v>月</v>
      </c>
      <c r="DZ26" s="272" t="s">
        <v>22</v>
      </c>
      <c r="EA26" s="273">
        <v>0.375</v>
      </c>
      <c r="EB26" s="273">
        <v>0.75</v>
      </c>
      <c r="EC26" s="202">
        <v>0.5</v>
      </c>
      <c r="ED26" s="202">
        <v>0.54166666666666663</v>
      </c>
      <c r="EE26" s="274" t="str">
        <f t="shared" si="22"/>
        <v>8h</v>
      </c>
      <c r="EF26" s="203">
        <v>0.375</v>
      </c>
      <c r="EG26" s="203">
        <v>0.75</v>
      </c>
      <c r="EH26" s="203">
        <v>0.5</v>
      </c>
      <c r="EI26" s="203">
        <v>0.54166666666666663</v>
      </c>
      <c r="EJ26" s="204" t="str">
        <f t="shared" si="23"/>
        <v>8h</v>
      </c>
      <c r="EK26" s="279"/>
      <c r="EL26" s="279"/>
      <c r="EM26" s="279"/>
      <c r="EO26" s="196"/>
      <c r="EP26" s="271">
        <f t="shared" si="44"/>
        <v>46282</v>
      </c>
      <c r="EQ26" s="272" t="str">
        <f t="shared" si="24"/>
        <v>木</v>
      </c>
      <c r="ER26" s="272" t="s">
        <v>22</v>
      </c>
      <c r="ES26" s="273">
        <v>0.375</v>
      </c>
      <c r="ET26" s="273">
        <v>0.75</v>
      </c>
      <c r="EU26" s="202">
        <v>0.5</v>
      </c>
      <c r="EV26" s="202">
        <v>0.54166666666666663</v>
      </c>
      <c r="EW26" s="274" t="str">
        <f t="shared" si="25"/>
        <v>8h</v>
      </c>
      <c r="EX26" s="203">
        <v>0.375</v>
      </c>
      <c r="EY26" s="203">
        <v>0.75</v>
      </c>
      <c r="EZ26" s="203">
        <v>0.5</v>
      </c>
      <c r="FA26" s="203">
        <v>0.54166666666666663</v>
      </c>
      <c r="FB26" s="204" t="str">
        <f t="shared" si="26"/>
        <v>8h</v>
      </c>
      <c r="FC26" s="279"/>
      <c r="FD26" s="279"/>
      <c r="FE26" s="279"/>
      <c r="FG26" s="196"/>
      <c r="FH26" s="271">
        <f t="shared" si="45"/>
        <v>46312</v>
      </c>
      <c r="FI26" s="272" t="str">
        <f t="shared" si="27"/>
        <v>土</v>
      </c>
      <c r="FJ26" s="272"/>
      <c r="FK26" s="273"/>
      <c r="FL26" s="273"/>
      <c r="FM26" s="202"/>
      <c r="FN26" s="202"/>
      <c r="FO26" s="274" t="str">
        <f t="shared" si="28"/>
        <v/>
      </c>
      <c r="FP26" s="203"/>
      <c r="FQ26" s="203"/>
      <c r="FR26" s="203"/>
      <c r="FS26" s="203"/>
      <c r="FT26" s="204" t="str">
        <f t="shared" si="29"/>
        <v/>
      </c>
      <c r="FU26" s="279"/>
      <c r="FV26" s="279"/>
      <c r="FW26" s="279"/>
      <c r="FY26" s="196"/>
      <c r="FZ26" s="271">
        <f t="shared" si="46"/>
        <v>46343</v>
      </c>
      <c r="GA26" s="272" t="str">
        <f t="shared" si="30"/>
        <v>火</v>
      </c>
      <c r="GB26" s="272" t="s">
        <v>22</v>
      </c>
      <c r="GC26" s="273">
        <v>0.375</v>
      </c>
      <c r="GD26" s="273">
        <v>0.75</v>
      </c>
      <c r="GE26" s="202">
        <v>0.5</v>
      </c>
      <c r="GF26" s="202">
        <v>0.54166666666666663</v>
      </c>
      <c r="GG26" s="274" t="str">
        <f t="shared" si="31"/>
        <v>8h</v>
      </c>
      <c r="GH26" s="203">
        <v>0.375</v>
      </c>
      <c r="GI26" s="203">
        <v>0.75</v>
      </c>
      <c r="GJ26" s="203">
        <v>0.5</v>
      </c>
      <c r="GK26" s="203">
        <v>0.54166666666666663</v>
      </c>
      <c r="GL26" s="204" t="str">
        <f t="shared" si="32"/>
        <v>8h</v>
      </c>
      <c r="GM26" s="279"/>
      <c r="GN26" s="279"/>
      <c r="GO26" s="279"/>
      <c r="GQ26" s="196"/>
      <c r="GR26" s="271">
        <f t="shared" si="47"/>
        <v>46373</v>
      </c>
      <c r="GS26" s="272" t="str">
        <f t="shared" si="33"/>
        <v>木</v>
      </c>
      <c r="GT26" s="272" t="s">
        <v>22</v>
      </c>
      <c r="GU26" s="273">
        <v>0.375</v>
      </c>
      <c r="GV26" s="273">
        <v>0.75</v>
      </c>
      <c r="GW26" s="202">
        <v>0.5</v>
      </c>
      <c r="GX26" s="202">
        <v>0.54166666666666663</v>
      </c>
      <c r="GY26" s="274" t="str">
        <f t="shared" si="34"/>
        <v>8h</v>
      </c>
      <c r="GZ26" s="203">
        <v>0.375</v>
      </c>
      <c r="HA26" s="203">
        <v>0.75</v>
      </c>
      <c r="HB26" s="203">
        <v>0.5</v>
      </c>
      <c r="HC26" s="203">
        <v>0.54166666666666663</v>
      </c>
      <c r="HD26" s="204" t="str">
        <f t="shared" si="35"/>
        <v>8h</v>
      </c>
      <c r="HE26" s="279"/>
      <c r="HF26" s="279"/>
      <c r="HG26" s="279"/>
    </row>
    <row r="27" spans="1:215" x14ac:dyDescent="0.45">
      <c r="A27" s="196"/>
      <c r="B27" s="271">
        <f t="shared" si="36"/>
        <v>46040</v>
      </c>
      <c r="C27" s="272" t="str">
        <f t="shared" si="0"/>
        <v>日</v>
      </c>
      <c r="D27" s="272"/>
      <c r="E27" s="273"/>
      <c r="F27" s="273"/>
      <c r="G27" s="202"/>
      <c r="H27" s="202"/>
      <c r="I27" s="274" t="str">
        <f t="shared" si="1"/>
        <v/>
      </c>
      <c r="J27" s="203"/>
      <c r="K27" s="203"/>
      <c r="L27" s="203"/>
      <c r="M27" s="203"/>
      <c r="N27" s="204" t="str">
        <f t="shared" si="2"/>
        <v/>
      </c>
      <c r="O27" s="279"/>
      <c r="P27" s="279"/>
      <c r="Q27" s="279"/>
      <c r="S27" s="196"/>
      <c r="T27" s="271">
        <f t="shared" si="37"/>
        <v>46071</v>
      </c>
      <c r="U27" s="272" t="str">
        <f t="shared" si="3"/>
        <v>水</v>
      </c>
      <c r="V27" s="272" t="s">
        <v>22</v>
      </c>
      <c r="W27" s="273">
        <v>0.375</v>
      </c>
      <c r="X27" s="273">
        <v>0.75</v>
      </c>
      <c r="Y27" s="202">
        <v>0.5</v>
      </c>
      <c r="Z27" s="202">
        <v>0.54166666666666663</v>
      </c>
      <c r="AA27" s="274" t="str">
        <f t="shared" si="4"/>
        <v>8h</v>
      </c>
      <c r="AB27" s="203">
        <v>0.375</v>
      </c>
      <c r="AC27" s="203">
        <v>0.75</v>
      </c>
      <c r="AD27" s="203">
        <v>0.5</v>
      </c>
      <c r="AE27" s="203">
        <v>0.54166666666666663</v>
      </c>
      <c r="AF27" s="204" t="str">
        <f t="shared" si="5"/>
        <v>8h</v>
      </c>
      <c r="AG27" s="279"/>
      <c r="AH27" s="279"/>
      <c r="AI27" s="279"/>
      <c r="AK27" s="196"/>
      <c r="AL27" s="271">
        <f t="shared" si="38"/>
        <v>46099</v>
      </c>
      <c r="AM27" s="272" t="str">
        <f t="shared" si="6"/>
        <v>水</v>
      </c>
      <c r="AN27" s="272" t="s">
        <v>22</v>
      </c>
      <c r="AO27" s="273">
        <v>0.375</v>
      </c>
      <c r="AP27" s="273">
        <v>0.75</v>
      </c>
      <c r="AQ27" s="202">
        <v>0.5</v>
      </c>
      <c r="AR27" s="202">
        <v>0.54166666666666663</v>
      </c>
      <c r="AS27" s="274" t="str">
        <f t="shared" si="7"/>
        <v>8h</v>
      </c>
      <c r="AT27" s="203">
        <v>0.375</v>
      </c>
      <c r="AU27" s="203">
        <v>0.75</v>
      </c>
      <c r="AV27" s="203">
        <v>0.5</v>
      </c>
      <c r="AW27" s="203">
        <v>0.54166666666666663</v>
      </c>
      <c r="AX27" s="204" t="str">
        <f t="shared" si="8"/>
        <v>8h</v>
      </c>
      <c r="AY27" s="279"/>
      <c r="AZ27" s="279"/>
      <c r="BA27" s="279"/>
      <c r="BC27" s="196"/>
      <c r="BD27" s="271">
        <f t="shared" si="39"/>
        <v>46130</v>
      </c>
      <c r="BE27" s="272" t="str">
        <f t="shared" si="9"/>
        <v>土</v>
      </c>
      <c r="BF27" s="272"/>
      <c r="BG27" s="273"/>
      <c r="BH27" s="273"/>
      <c r="BI27" s="202"/>
      <c r="BJ27" s="202"/>
      <c r="BK27" s="274" t="str">
        <f t="shared" si="10"/>
        <v/>
      </c>
      <c r="BL27" s="203"/>
      <c r="BM27" s="203"/>
      <c r="BN27" s="203"/>
      <c r="BO27" s="203"/>
      <c r="BP27" s="204" t="str">
        <f t="shared" si="11"/>
        <v/>
      </c>
      <c r="BQ27" s="279"/>
      <c r="BR27" s="279"/>
      <c r="BS27" s="279"/>
      <c r="BU27" s="196"/>
      <c r="BV27" s="271">
        <f t="shared" si="40"/>
        <v>46160</v>
      </c>
      <c r="BW27" s="272" t="str">
        <f t="shared" si="12"/>
        <v>月</v>
      </c>
      <c r="BX27" s="272" t="s">
        <v>22</v>
      </c>
      <c r="BY27" s="273">
        <v>0.375</v>
      </c>
      <c r="BZ27" s="273">
        <v>0.75</v>
      </c>
      <c r="CA27" s="202">
        <v>0.5</v>
      </c>
      <c r="CB27" s="202">
        <v>0.54166666666666663</v>
      </c>
      <c r="CC27" s="274" t="str">
        <f t="shared" si="13"/>
        <v>8h</v>
      </c>
      <c r="CD27" s="203">
        <v>0.375</v>
      </c>
      <c r="CE27" s="203">
        <v>0.75</v>
      </c>
      <c r="CF27" s="203">
        <v>0.5</v>
      </c>
      <c r="CG27" s="203">
        <v>0.54166666666666663</v>
      </c>
      <c r="CH27" s="204" t="str">
        <f t="shared" si="14"/>
        <v>8h</v>
      </c>
      <c r="CI27" s="279"/>
      <c r="CJ27" s="279"/>
      <c r="CK27" s="279"/>
      <c r="CM27" s="196"/>
      <c r="CN27" s="271">
        <f t="shared" si="41"/>
        <v>46191</v>
      </c>
      <c r="CO27" s="272" t="str">
        <f t="shared" si="15"/>
        <v>木</v>
      </c>
      <c r="CP27" s="272" t="s">
        <v>22</v>
      </c>
      <c r="CQ27" s="273">
        <v>0.375</v>
      </c>
      <c r="CR27" s="273">
        <v>0.75</v>
      </c>
      <c r="CS27" s="202">
        <v>0.5</v>
      </c>
      <c r="CT27" s="202">
        <v>0.54166666666666663</v>
      </c>
      <c r="CU27" s="274" t="str">
        <f t="shared" si="16"/>
        <v>8h</v>
      </c>
      <c r="CV27" s="203">
        <v>0.375</v>
      </c>
      <c r="CW27" s="203">
        <v>0.75</v>
      </c>
      <c r="CX27" s="203">
        <v>0.5</v>
      </c>
      <c r="CY27" s="203">
        <v>0.54166666666666663</v>
      </c>
      <c r="CZ27" s="204" t="str">
        <f t="shared" si="17"/>
        <v>8h</v>
      </c>
      <c r="DA27" s="279"/>
      <c r="DB27" s="279"/>
      <c r="DC27" s="279"/>
      <c r="DE27" s="196"/>
      <c r="DF27" s="271">
        <f t="shared" si="42"/>
        <v>46221</v>
      </c>
      <c r="DG27" s="272" t="str">
        <f t="shared" si="18"/>
        <v>土</v>
      </c>
      <c r="DH27" s="272"/>
      <c r="DI27" s="273"/>
      <c r="DJ27" s="273"/>
      <c r="DK27" s="202"/>
      <c r="DL27" s="202"/>
      <c r="DM27" s="274" t="str">
        <f t="shared" si="19"/>
        <v/>
      </c>
      <c r="DN27" s="203"/>
      <c r="DO27" s="203"/>
      <c r="DP27" s="203"/>
      <c r="DQ27" s="203"/>
      <c r="DR27" s="204" t="str">
        <f t="shared" si="20"/>
        <v/>
      </c>
      <c r="DS27" s="279"/>
      <c r="DT27" s="279"/>
      <c r="DU27" s="279"/>
      <c r="DW27" s="196"/>
      <c r="DX27" s="271">
        <f t="shared" si="43"/>
        <v>46252</v>
      </c>
      <c r="DY27" s="272" t="str">
        <f t="shared" si="21"/>
        <v>火</v>
      </c>
      <c r="DZ27" s="272" t="s">
        <v>22</v>
      </c>
      <c r="EA27" s="273">
        <v>0.375</v>
      </c>
      <c r="EB27" s="273">
        <v>0.75</v>
      </c>
      <c r="EC27" s="202">
        <v>0.5</v>
      </c>
      <c r="ED27" s="202">
        <v>0.54166666666666663</v>
      </c>
      <c r="EE27" s="274" t="str">
        <f t="shared" si="22"/>
        <v>8h</v>
      </c>
      <c r="EF27" s="203">
        <v>0.375</v>
      </c>
      <c r="EG27" s="203">
        <v>0.75</v>
      </c>
      <c r="EH27" s="203">
        <v>0.5</v>
      </c>
      <c r="EI27" s="203">
        <v>0.54166666666666663</v>
      </c>
      <c r="EJ27" s="204" t="str">
        <f t="shared" si="23"/>
        <v>8h</v>
      </c>
      <c r="EK27" s="279"/>
      <c r="EL27" s="279"/>
      <c r="EM27" s="279"/>
      <c r="EO27" s="196"/>
      <c r="EP27" s="271">
        <f t="shared" si="44"/>
        <v>46283</v>
      </c>
      <c r="EQ27" s="272" t="str">
        <f t="shared" si="24"/>
        <v>金</v>
      </c>
      <c r="ER27" s="272" t="s">
        <v>22</v>
      </c>
      <c r="ES27" s="273">
        <v>0.375</v>
      </c>
      <c r="ET27" s="273">
        <v>0.75</v>
      </c>
      <c r="EU27" s="202">
        <v>0.5</v>
      </c>
      <c r="EV27" s="202">
        <v>0.54166666666666663</v>
      </c>
      <c r="EW27" s="274" t="str">
        <f t="shared" si="25"/>
        <v>8h</v>
      </c>
      <c r="EX27" s="203">
        <v>0.375</v>
      </c>
      <c r="EY27" s="203">
        <v>0.75</v>
      </c>
      <c r="EZ27" s="203">
        <v>0.5</v>
      </c>
      <c r="FA27" s="203">
        <v>0.54166666666666663</v>
      </c>
      <c r="FB27" s="204" t="str">
        <f t="shared" si="26"/>
        <v>8h</v>
      </c>
      <c r="FC27" s="279"/>
      <c r="FD27" s="279"/>
      <c r="FE27" s="279"/>
      <c r="FG27" s="196"/>
      <c r="FH27" s="271">
        <f t="shared" si="45"/>
        <v>46313</v>
      </c>
      <c r="FI27" s="272" t="str">
        <f t="shared" si="27"/>
        <v>日</v>
      </c>
      <c r="FJ27" s="272"/>
      <c r="FK27" s="273"/>
      <c r="FL27" s="273"/>
      <c r="FM27" s="202"/>
      <c r="FN27" s="202"/>
      <c r="FO27" s="274" t="str">
        <f t="shared" si="28"/>
        <v/>
      </c>
      <c r="FP27" s="203"/>
      <c r="FQ27" s="203"/>
      <c r="FR27" s="203"/>
      <c r="FS27" s="203"/>
      <c r="FT27" s="204" t="str">
        <f t="shared" si="29"/>
        <v/>
      </c>
      <c r="FU27" s="279"/>
      <c r="FV27" s="279"/>
      <c r="FW27" s="279"/>
      <c r="FY27" s="196"/>
      <c r="FZ27" s="271">
        <f t="shared" si="46"/>
        <v>46344</v>
      </c>
      <c r="GA27" s="272" t="str">
        <f t="shared" si="30"/>
        <v>水</v>
      </c>
      <c r="GB27" s="272" t="s">
        <v>22</v>
      </c>
      <c r="GC27" s="273">
        <v>0.375</v>
      </c>
      <c r="GD27" s="273">
        <v>0.75</v>
      </c>
      <c r="GE27" s="202">
        <v>0.5</v>
      </c>
      <c r="GF27" s="202">
        <v>0.54166666666666663</v>
      </c>
      <c r="GG27" s="274" t="str">
        <f t="shared" si="31"/>
        <v>8h</v>
      </c>
      <c r="GH27" s="203">
        <v>0.375</v>
      </c>
      <c r="GI27" s="203">
        <v>0.75</v>
      </c>
      <c r="GJ27" s="203">
        <v>0.5</v>
      </c>
      <c r="GK27" s="203">
        <v>0.54166666666666663</v>
      </c>
      <c r="GL27" s="204" t="str">
        <f t="shared" si="32"/>
        <v>8h</v>
      </c>
      <c r="GM27" s="279"/>
      <c r="GN27" s="279"/>
      <c r="GO27" s="279"/>
      <c r="GQ27" s="196"/>
      <c r="GR27" s="271">
        <f t="shared" si="47"/>
        <v>46374</v>
      </c>
      <c r="GS27" s="272" t="str">
        <f t="shared" si="33"/>
        <v>金</v>
      </c>
      <c r="GT27" s="272" t="s">
        <v>22</v>
      </c>
      <c r="GU27" s="273">
        <v>0.375</v>
      </c>
      <c r="GV27" s="273">
        <v>0.75</v>
      </c>
      <c r="GW27" s="202">
        <v>0.5</v>
      </c>
      <c r="GX27" s="202">
        <v>0.54166666666666663</v>
      </c>
      <c r="GY27" s="274" t="str">
        <f t="shared" si="34"/>
        <v>8h</v>
      </c>
      <c r="GZ27" s="203">
        <v>0.375</v>
      </c>
      <c r="HA27" s="203">
        <v>0.75</v>
      </c>
      <c r="HB27" s="203">
        <v>0.5</v>
      </c>
      <c r="HC27" s="203">
        <v>0.54166666666666663</v>
      </c>
      <c r="HD27" s="204" t="str">
        <f t="shared" si="35"/>
        <v>8h</v>
      </c>
      <c r="HE27" s="279"/>
      <c r="HF27" s="279"/>
      <c r="HG27" s="279"/>
    </row>
    <row r="28" spans="1:215" x14ac:dyDescent="0.45">
      <c r="A28" s="196"/>
      <c r="B28" s="271">
        <f t="shared" si="36"/>
        <v>46041</v>
      </c>
      <c r="C28" s="272" t="str">
        <f t="shared" si="0"/>
        <v>月</v>
      </c>
      <c r="D28" s="272" t="s">
        <v>22</v>
      </c>
      <c r="E28" s="273">
        <v>0.375</v>
      </c>
      <c r="F28" s="273">
        <v>0.75</v>
      </c>
      <c r="G28" s="202">
        <v>0.5</v>
      </c>
      <c r="H28" s="202">
        <v>0.54166666666666663</v>
      </c>
      <c r="I28" s="274" t="str">
        <f t="shared" si="1"/>
        <v>8h</v>
      </c>
      <c r="J28" s="203">
        <v>0.375</v>
      </c>
      <c r="K28" s="203">
        <v>0.75</v>
      </c>
      <c r="L28" s="203">
        <v>0.5</v>
      </c>
      <c r="M28" s="203">
        <v>0.54166666666666663</v>
      </c>
      <c r="N28" s="204" t="str">
        <f t="shared" si="2"/>
        <v>8h</v>
      </c>
      <c r="O28" s="279"/>
      <c r="P28" s="279"/>
      <c r="Q28" s="279"/>
      <c r="S28" s="196"/>
      <c r="T28" s="271">
        <f t="shared" si="37"/>
        <v>46072</v>
      </c>
      <c r="U28" s="272" t="str">
        <f t="shared" si="3"/>
        <v>木</v>
      </c>
      <c r="V28" s="272" t="s">
        <v>22</v>
      </c>
      <c r="W28" s="273">
        <v>0.375</v>
      </c>
      <c r="X28" s="273">
        <v>0.75</v>
      </c>
      <c r="Y28" s="202">
        <v>0.5</v>
      </c>
      <c r="Z28" s="202">
        <v>0.54166666666666663</v>
      </c>
      <c r="AA28" s="274" t="str">
        <f t="shared" si="4"/>
        <v>8h</v>
      </c>
      <c r="AB28" s="203">
        <v>0.375</v>
      </c>
      <c r="AC28" s="203">
        <v>0.75</v>
      </c>
      <c r="AD28" s="203">
        <v>0.5</v>
      </c>
      <c r="AE28" s="203">
        <v>0.54166666666666663</v>
      </c>
      <c r="AF28" s="204" t="str">
        <f t="shared" si="5"/>
        <v>8h</v>
      </c>
      <c r="AG28" s="279"/>
      <c r="AH28" s="279"/>
      <c r="AI28" s="279"/>
      <c r="AK28" s="196"/>
      <c r="AL28" s="271">
        <f t="shared" si="38"/>
        <v>46100</v>
      </c>
      <c r="AM28" s="272" t="str">
        <f t="shared" si="6"/>
        <v>木</v>
      </c>
      <c r="AN28" s="272" t="s">
        <v>22</v>
      </c>
      <c r="AO28" s="273">
        <v>0.375</v>
      </c>
      <c r="AP28" s="273">
        <v>0.75</v>
      </c>
      <c r="AQ28" s="202">
        <v>0.5</v>
      </c>
      <c r="AR28" s="202">
        <v>0.54166666666666663</v>
      </c>
      <c r="AS28" s="274" t="str">
        <f t="shared" si="7"/>
        <v>8h</v>
      </c>
      <c r="AT28" s="203">
        <v>0.375</v>
      </c>
      <c r="AU28" s="203">
        <v>0.75</v>
      </c>
      <c r="AV28" s="203">
        <v>0.5</v>
      </c>
      <c r="AW28" s="203">
        <v>0.54166666666666663</v>
      </c>
      <c r="AX28" s="204" t="str">
        <f t="shared" si="8"/>
        <v>8h</v>
      </c>
      <c r="AY28" s="279"/>
      <c r="AZ28" s="279"/>
      <c r="BA28" s="279"/>
      <c r="BC28" s="196"/>
      <c r="BD28" s="271">
        <f t="shared" si="39"/>
        <v>46131</v>
      </c>
      <c r="BE28" s="272" t="str">
        <f t="shared" si="9"/>
        <v>日</v>
      </c>
      <c r="BF28" s="272"/>
      <c r="BG28" s="273"/>
      <c r="BH28" s="273"/>
      <c r="BI28" s="202"/>
      <c r="BJ28" s="202"/>
      <c r="BK28" s="274" t="str">
        <f t="shared" si="10"/>
        <v/>
      </c>
      <c r="BL28" s="203"/>
      <c r="BM28" s="203"/>
      <c r="BN28" s="203"/>
      <c r="BO28" s="203"/>
      <c r="BP28" s="204" t="str">
        <f t="shared" si="11"/>
        <v/>
      </c>
      <c r="BQ28" s="279"/>
      <c r="BR28" s="279"/>
      <c r="BS28" s="279"/>
      <c r="BU28" s="196"/>
      <c r="BV28" s="271">
        <f t="shared" si="40"/>
        <v>46161</v>
      </c>
      <c r="BW28" s="272" t="str">
        <f t="shared" si="12"/>
        <v>火</v>
      </c>
      <c r="BX28" s="272" t="s">
        <v>22</v>
      </c>
      <c r="BY28" s="273">
        <v>0.375</v>
      </c>
      <c r="BZ28" s="273">
        <v>0.75</v>
      </c>
      <c r="CA28" s="202">
        <v>0.5</v>
      </c>
      <c r="CB28" s="202">
        <v>0.54166666666666663</v>
      </c>
      <c r="CC28" s="274" t="str">
        <f t="shared" si="13"/>
        <v>8h</v>
      </c>
      <c r="CD28" s="203">
        <v>0.375</v>
      </c>
      <c r="CE28" s="203">
        <v>0.75</v>
      </c>
      <c r="CF28" s="203">
        <v>0.5</v>
      </c>
      <c r="CG28" s="203">
        <v>0.54166666666666663</v>
      </c>
      <c r="CH28" s="204" t="str">
        <f t="shared" si="14"/>
        <v>8h</v>
      </c>
      <c r="CI28" s="279"/>
      <c r="CJ28" s="279"/>
      <c r="CK28" s="279"/>
      <c r="CM28" s="196"/>
      <c r="CN28" s="271">
        <f t="shared" si="41"/>
        <v>46192</v>
      </c>
      <c r="CO28" s="272" t="str">
        <f t="shared" si="15"/>
        <v>金</v>
      </c>
      <c r="CP28" s="272" t="s">
        <v>22</v>
      </c>
      <c r="CQ28" s="273">
        <v>0.375</v>
      </c>
      <c r="CR28" s="273">
        <v>0.75</v>
      </c>
      <c r="CS28" s="202">
        <v>0.5</v>
      </c>
      <c r="CT28" s="202">
        <v>0.54166666666666663</v>
      </c>
      <c r="CU28" s="274" t="str">
        <f t="shared" si="16"/>
        <v>8h</v>
      </c>
      <c r="CV28" s="203">
        <v>0.375</v>
      </c>
      <c r="CW28" s="203">
        <v>0.75</v>
      </c>
      <c r="CX28" s="203">
        <v>0.5</v>
      </c>
      <c r="CY28" s="203">
        <v>0.54166666666666663</v>
      </c>
      <c r="CZ28" s="204" t="str">
        <f t="shared" si="17"/>
        <v>8h</v>
      </c>
      <c r="DA28" s="279"/>
      <c r="DB28" s="279"/>
      <c r="DC28" s="279"/>
      <c r="DE28" s="196"/>
      <c r="DF28" s="271">
        <f t="shared" si="42"/>
        <v>46222</v>
      </c>
      <c r="DG28" s="272" t="str">
        <f t="shared" si="18"/>
        <v>日</v>
      </c>
      <c r="DH28" s="272"/>
      <c r="DI28" s="273"/>
      <c r="DJ28" s="273"/>
      <c r="DK28" s="202"/>
      <c r="DL28" s="202"/>
      <c r="DM28" s="274" t="str">
        <f t="shared" si="19"/>
        <v/>
      </c>
      <c r="DN28" s="203"/>
      <c r="DO28" s="203"/>
      <c r="DP28" s="203"/>
      <c r="DQ28" s="203"/>
      <c r="DR28" s="204" t="str">
        <f t="shared" si="20"/>
        <v/>
      </c>
      <c r="DS28" s="279"/>
      <c r="DT28" s="279"/>
      <c r="DU28" s="279"/>
      <c r="DW28" s="196"/>
      <c r="DX28" s="271">
        <f t="shared" si="43"/>
        <v>46253</v>
      </c>
      <c r="DY28" s="272" t="str">
        <f t="shared" si="21"/>
        <v>水</v>
      </c>
      <c r="DZ28" s="272" t="s">
        <v>22</v>
      </c>
      <c r="EA28" s="273">
        <v>0.375</v>
      </c>
      <c r="EB28" s="273">
        <v>0.75</v>
      </c>
      <c r="EC28" s="202">
        <v>0.5</v>
      </c>
      <c r="ED28" s="202">
        <v>0.54166666666666663</v>
      </c>
      <c r="EE28" s="274" t="str">
        <f t="shared" si="22"/>
        <v>8h</v>
      </c>
      <c r="EF28" s="203">
        <v>0.375</v>
      </c>
      <c r="EG28" s="203">
        <v>0.75</v>
      </c>
      <c r="EH28" s="203">
        <v>0.5</v>
      </c>
      <c r="EI28" s="203">
        <v>0.54166666666666663</v>
      </c>
      <c r="EJ28" s="204" t="str">
        <f t="shared" si="23"/>
        <v>8h</v>
      </c>
      <c r="EK28" s="279"/>
      <c r="EL28" s="279"/>
      <c r="EM28" s="279"/>
      <c r="EO28" s="196"/>
      <c r="EP28" s="271">
        <f t="shared" si="44"/>
        <v>46284</v>
      </c>
      <c r="EQ28" s="272" t="str">
        <f t="shared" si="24"/>
        <v>土</v>
      </c>
      <c r="ER28" s="272"/>
      <c r="ES28" s="273"/>
      <c r="ET28" s="273"/>
      <c r="EU28" s="202"/>
      <c r="EV28" s="202"/>
      <c r="EW28" s="274" t="str">
        <f t="shared" si="25"/>
        <v/>
      </c>
      <c r="EX28" s="203"/>
      <c r="EY28" s="203"/>
      <c r="EZ28" s="203"/>
      <c r="FA28" s="203"/>
      <c r="FB28" s="204" t="str">
        <f t="shared" si="26"/>
        <v/>
      </c>
      <c r="FC28" s="279"/>
      <c r="FD28" s="279"/>
      <c r="FE28" s="279"/>
      <c r="FG28" s="196"/>
      <c r="FH28" s="271">
        <f t="shared" si="45"/>
        <v>46314</v>
      </c>
      <c r="FI28" s="272" t="str">
        <f t="shared" si="27"/>
        <v>月</v>
      </c>
      <c r="FJ28" s="272" t="s">
        <v>22</v>
      </c>
      <c r="FK28" s="273">
        <v>0.375</v>
      </c>
      <c r="FL28" s="273">
        <v>0.75</v>
      </c>
      <c r="FM28" s="202">
        <v>0.5</v>
      </c>
      <c r="FN28" s="202">
        <v>0.54166666666666663</v>
      </c>
      <c r="FO28" s="274" t="str">
        <f t="shared" si="28"/>
        <v>8h</v>
      </c>
      <c r="FP28" s="203">
        <v>0.375</v>
      </c>
      <c r="FQ28" s="203">
        <v>0.75</v>
      </c>
      <c r="FR28" s="203">
        <v>0.5</v>
      </c>
      <c r="FS28" s="203">
        <v>0.54166666666666663</v>
      </c>
      <c r="FT28" s="204" t="str">
        <f t="shared" si="29"/>
        <v>8h</v>
      </c>
      <c r="FU28" s="279"/>
      <c r="FV28" s="279"/>
      <c r="FW28" s="279"/>
      <c r="FY28" s="196"/>
      <c r="FZ28" s="271">
        <f t="shared" si="46"/>
        <v>46345</v>
      </c>
      <c r="GA28" s="272" t="str">
        <f t="shared" si="30"/>
        <v>木</v>
      </c>
      <c r="GB28" s="272" t="s">
        <v>22</v>
      </c>
      <c r="GC28" s="273">
        <v>0.375</v>
      </c>
      <c r="GD28" s="273">
        <v>0.75</v>
      </c>
      <c r="GE28" s="202">
        <v>0.5</v>
      </c>
      <c r="GF28" s="202">
        <v>0.54166666666666663</v>
      </c>
      <c r="GG28" s="274" t="str">
        <f t="shared" si="31"/>
        <v>8h</v>
      </c>
      <c r="GH28" s="203">
        <v>0.375</v>
      </c>
      <c r="GI28" s="203">
        <v>0.75</v>
      </c>
      <c r="GJ28" s="203">
        <v>0.5</v>
      </c>
      <c r="GK28" s="203">
        <v>0.54166666666666663</v>
      </c>
      <c r="GL28" s="204" t="str">
        <f t="shared" si="32"/>
        <v>8h</v>
      </c>
      <c r="GM28" s="279"/>
      <c r="GN28" s="279"/>
      <c r="GO28" s="279"/>
      <c r="GQ28" s="196"/>
      <c r="GR28" s="271">
        <f t="shared" si="47"/>
        <v>46375</v>
      </c>
      <c r="GS28" s="272" t="str">
        <f t="shared" si="33"/>
        <v>土</v>
      </c>
      <c r="GT28" s="272"/>
      <c r="GU28" s="273"/>
      <c r="GV28" s="273"/>
      <c r="GW28" s="202"/>
      <c r="GX28" s="202"/>
      <c r="GY28" s="274" t="str">
        <f t="shared" si="34"/>
        <v/>
      </c>
      <c r="GZ28" s="203"/>
      <c r="HA28" s="203"/>
      <c r="HB28" s="203"/>
      <c r="HC28" s="203"/>
      <c r="HD28" s="204" t="str">
        <f t="shared" si="35"/>
        <v/>
      </c>
      <c r="HE28" s="279"/>
      <c r="HF28" s="279"/>
      <c r="HG28" s="279"/>
    </row>
    <row r="29" spans="1:215" x14ac:dyDescent="0.45">
      <c r="A29" s="196"/>
      <c r="B29" s="271">
        <f t="shared" si="36"/>
        <v>46042</v>
      </c>
      <c r="C29" s="272" t="str">
        <f t="shared" si="0"/>
        <v>火</v>
      </c>
      <c r="D29" s="272" t="s">
        <v>22</v>
      </c>
      <c r="E29" s="273">
        <v>0.375</v>
      </c>
      <c r="F29" s="273">
        <v>0.75</v>
      </c>
      <c r="G29" s="202">
        <v>0.5</v>
      </c>
      <c r="H29" s="202">
        <v>0.54166666666666663</v>
      </c>
      <c r="I29" s="274" t="str">
        <f t="shared" si="1"/>
        <v>8h</v>
      </c>
      <c r="J29" s="203">
        <v>0.375</v>
      </c>
      <c r="K29" s="203">
        <v>0.75</v>
      </c>
      <c r="L29" s="203">
        <v>0.5</v>
      </c>
      <c r="M29" s="203">
        <v>0.54166666666666663</v>
      </c>
      <c r="N29" s="204" t="str">
        <f t="shared" si="2"/>
        <v>8h</v>
      </c>
      <c r="O29" s="279"/>
      <c r="P29" s="279"/>
      <c r="Q29" s="279"/>
      <c r="S29" s="196"/>
      <c r="T29" s="271">
        <f t="shared" si="37"/>
        <v>46073</v>
      </c>
      <c r="U29" s="272" t="str">
        <f t="shared" si="3"/>
        <v>金</v>
      </c>
      <c r="V29" s="272" t="s">
        <v>22</v>
      </c>
      <c r="W29" s="273">
        <v>0.375</v>
      </c>
      <c r="X29" s="273">
        <v>0.75</v>
      </c>
      <c r="Y29" s="202">
        <v>0.5</v>
      </c>
      <c r="Z29" s="202">
        <v>0.54166666666666663</v>
      </c>
      <c r="AA29" s="274" t="str">
        <f t="shared" si="4"/>
        <v>8h</v>
      </c>
      <c r="AB29" s="203">
        <v>0.375</v>
      </c>
      <c r="AC29" s="203">
        <v>0.75</v>
      </c>
      <c r="AD29" s="203">
        <v>0.5</v>
      </c>
      <c r="AE29" s="203">
        <v>0.54166666666666663</v>
      </c>
      <c r="AF29" s="204" t="str">
        <f t="shared" si="5"/>
        <v>8h</v>
      </c>
      <c r="AG29" s="279"/>
      <c r="AH29" s="279"/>
      <c r="AI29" s="279"/>
      <c r="AK29" s="196"/>
      <c r="AL29" s="271">
        <f t="shared" si="38"/>
        <v>46101</v>
      </c>
      <c r="AM29" s="272" t="str">
        <f t="shared" si="6"/>
        <v>金</v>
      </c>
      <c r="AN29" s="272"/>
      <c r="AO29" s="273"/>
      <c r="AP29" s="273"/>
      <c r="AQ29" s="202"/>
      <c r="AR29" s="202"/>
      <c r="AS29" s="274" t="str">
        <f t="shared" si="7"/>
        <v/>
      </c>
      <c r="AT29" s="203"/>
      <c r="AU29" s="203"/>
      <c r="AV29" s="203"/>
      <c r="AW29" s="203"/>
      <c r="AX29" s="204" t="str">
        <f t="shared" si="8"/>
        <v/>
      </c>
      <c r="AY29" s="279"/>
      <c r="AZ29" s="279"/>
      <c r="BA29" s="279"/>
      <c r="BC29" s="196"/>
      <c r="BD29" s="271">
        <f t="shared" si="39"/>
        <v>46132</v>
      </c>
      <c r="BE29" s="272" t="str">
        <f t="shared" si="9"/>
        <v>月</v>
      </c>
      <c r="BF29" s="272" t="s">
        <v>22</v>
      </c>
      <c r="BG29" s="273">
        <v>0.375</v>
      </c>
      <c r="BH29" s="273">
        <v>0.75</v>
      </c>
      <c r="BI29" s="202">
        <v>0.5</v>
      </c>
      <c r="BJ29" s="202">
        <v>0.54166666666666663</v>
      </c>
      <c r="BK29" s="274" t="str">
        <f t="shared" si="10"/>
        <v>8h</v>
      </c>
      <c r="BL29" s="203">
        <v>0.375</v>
      </c>
      <c r="BM29" s="203">
        <v>0.75</v>
      </c>
      <c r="BN29" s="203">
        <v>0.5</v>
      </c>
      <c r="BO29" s="203">
        <v>0.54166666666666663</v>
      </c>
      <c r="BP29" s="204" t="str">
        <f t="shared" si="11"/>
        <v>8h</v>
      </c>
      <c r="BQ29" s="279"/>
      <c r="BR29" s="279"/>
      <c r="BS29" s="279"/>
      <c r="BU29" s="196"/>
      <c r="BV29" s="271">
        <f t="shared" si="40"/>
        <v>46162</v>
      </c>
      <c r="BW29" s="272" t="str">
        <f t="shared" si="12"/>
        <v>水</v>
      </c>
      <c r="BX29" s="272" t="s">
        <v>22</v>
      </c>
      <c r="BY29" s="273">
        <v>0.375</v>
      </c>
      <c r="BZ29" s="273">
        <v>0.75</v>
      </c>
      <c r="CA29" s="202">
        <v>0.5</v>
      </c>
      <c r="CB29" s="202">
        <v>0.54166666666666663</v>
      </c>
      <c r="CC29" s="274" t="str">
        <f t="shared" si="13"/>
        <v>8h</v>
      </c>
      <c r="CD29" s="203">
        <v>0.375</v>
      </c>
      <c r="CE29" s="203">
        <v>0.75</v>
      </c>
      <c r="CF29" s="203">
        <v>0.5</v>
      </c>
      <c r="CG29" s="203">
        <v>0.54166666666666663</v>
      </c>
      <c r="CH29" s="204" t="str">
        <f t="shared" si="14"/>
        <v>8h</v>
      </c>
      <c r="CI29" s="279"/>
      <c r="CJ29" s="279"/>
      <c r="CK29" s="279"/>
      <c r="CM29" s="196"/>
      <c r="CN29" s="271">
        <f t="shared" si="41"/>
        <v>46193</v>
      </c>
      <c r="CO29" s="272" t="str">
        <f t="shared" si="15"/>
        <v>土</v>
      </c>
      <c r="CP29" s="272"/>
      <c r="CQ29" s="273"/>
      <c r="CR29" s="273"/>
      <c r="CS29" s="202"/>
      <c r="CT29" s="202"/>
      <c r="CU29" s="274" t="str">
        <f t="shared" si="16"/>
        <v/>
      </c>
      <c r="CV29" s="203"/>
      <c r="CW29" s="203"/>
      <c r="CX29" s="203"/>
      <c r="CY29" s="203"/>
      <c r="CZ29" s="204" t="str">
        <f t="shared" si="17"/>
        <v/>
      </c>
      <c r="DA29" s="279"/>
      <c r="DB29" s="279"/>
      <c r="DC29" s="279"/>
      <c r="DE29" s="196"/>
      <c r="DF29" s="271">
        <f t="shared" si="42"/>
        <v>46223</v>
      </c>
      <c r="DG29" s="272" t="str">
        <f t="shared" si="18"/>
        <v>月</v>
      </c>
      <c r="DH29" s="272"/>
      <c r="DI29" s="273"/>
      <c r="DJ29" s="273"/>
      <c r="DK29" s="202"/>
      <c r="DL29" s="202"/>
      <c r="DM29" s="274" t="str">
        <f t="shared" si="19"/>
        <v/>
      </c>
      <c r="DN29" s="203"/>
      <c r="DO29" s="203"/>
      <c r="DP29" s="203"/>
      <c r="DQ29" s="203"/>
      <c r="DR29" s="204" t="str">
        <f t="shared" si="20"/>
        <v/>
      </c>
      <c r="DS29" s="279"/>
      <c r="DT29" s="279"/>
      <c r="DU29" s="279"/>
      <c r="DW29" s="196"/>
      <c r="DX29" s="271">
        <f t="shared" si="43"/>
        <v>46254</v>
      </c>
      <c r="DY29" s="272" t="str">
        <f t="shared" si="21"/>
        <v>木</v>
      </c>
      <c r="DZ29" s="272" t="s">
        <v>22</v>
      </c>
      <c r="EA29" s="273">
        <v>0.375</v>
      </c>
      <c r="EB29" s="273">
        <v>0.75</v>
      </c>
      <c r="EC29" s="202">
        <v>0.5</v>
      </c>
      <c r="ED29" s="202">
        <v>0.54166666666666663</v>
      </c>
      <c r="EE29" s="274" t="str">
        <f t="shared" si="22"/>
        <v>8h</v>
      </c>
      <c r="EF29" s="203">
        <v>0.375</v>
      </c>
      <c r="EG29" s="203">
        <v>0.75</v>
      </c>
      <c r="EH29" s="203">
        <v>0.5</v>
      </c>
      <c r="EI29" s="203">
        <v>0.54166666666666663</v>
      </c>
      <c r="EJ29" s="204" t="str">
        <f t="shared" si="23"/>
        <v>8h</v>
      </c>
      <c r="EK29" s="279"/>
      <c r="EL29" s="279"/>
      <c r="EM29" s="279"/>
      <c r="EO29" s="196"/>
      <c r="EP29" s="271">
        <f t="shared" si="44"/>
        <v>46285</v>
      </c>
      <c r="EQ29" s="272" t="str">
        <f t="shared" si="24"/>
        <v>日</v>
      </c>
      <c r="ER29" s="272"/>
      <c r="ES29" s="273"/>
      <c r="ET29" s="273"/>
      <c r="EU29" s="202"/>
      <c r="EV29" s="202"/>
      <c r="EW29" s="274" t="str">
        <f t="shared" si="25"/>
        <v/>
      </c>
      <c r="EX29" s="203"/>
      <c r="EY29" s="203"/>
      <c r="EZ29" s="203"/>
      <c r="FA29" s="203"/>
      <c r="FB29" s="204" t="str">
        <f t="shared" si="26"/>
        <v/>
      </c>
      <c r="FC29" s="279"/>
      <c r="FD29" s="279"/>
      <c r="FE29" s="279"/>
      <c r="FG29" s="196"/>
      <c r="FH29" s="271">
        <f t="shared" si="45"/>
        <v>46315</v>
      </c>
      <c r="FI29" s="272" t="str">
        <f t="shared" si="27"/>
        <v>火</v>
      </c>
      <c r="FJ29" s="272" t="s">
        <v>22</v>
      </c>
      <c r="FK29" s="273">
        <v>0.375</v>
      </c>
      <c r="FL29" s="273">
        <v>0.75</v>
      </c>
      <c r="FM29" s="202">
        <v>0.5</v>
      </c>
      <c r="FN29" s="202">
        <v>0.54166666666666663</v>
      </c>
      <c r="FO29" s="274" t="str">
        <f t="shared" si="28"/>
        <v>8h</v>
      </c>
      <c r="FP29" s="203">
        <v>0.375</v>
      </c>
      <c r="FQ29" s="203">
        <v>0.75</v>
      </c>
      <c r="FR29" s="203">
        <v>0.5</v>
      </c>
      <c r="FS29" s="203">
        <v>0.54166666666666663</v>
      </c>
      <c r="FT29" s="204" t="str">
        <f t="shared" si="29"/>
        <v>8h</v>
      </c>
      <c r="FU29" s="279"/>
      <c r="FV29" s="279"/>
      <c r="FW29" s="279"/>
      <c r="FY29" s="196"/>
      <c r="FZ29" s="271">
        <f t="shared" si="46"/>
        <v>46346</v>
      </c>
      <c r="GA29" s="272" t="str">
        <f t="shared" si="30"/>
        <v>金</v>
      </c>
      <c r="GB29" s="272" t="s">
        <v>22</v>
      </c>
      <c r="GC29" s="273">
        <v>0.375</v>
      </c>
      <c r="GD29" s="273">
        <v>0.75</v>
      </c>
      <c r="GE29" s="202">
        <v>0.5</v>
      </c>
      <c r="GF29" s="202">
        <v>0.54166666666666663</v>
      </c>
      <c r="GG29" s="274" t="str">
        <f t="shared" si="31"/>
        <v>8h</v>
      </c>
      <c r="GH29" s="203">
        <v>0.375</v>
      </c>
      <c r="GI29" s="203">
        <v>0.75</v>
      </c>
      <c r="GJ29" s="203">
        <v>0.5</v>
      </c>
      <c r="GK29" s="203">
        <v>0.54166666666666663</v>
      </c>
      <c r="GL29" s="204" t="str">
        <f t="shared" si="32"/>
        <v>8h</v>
      </c>
      <c r="GM29" s="279"/>
      <c r="GN29" s="279"/>
      <c r="GO29" s="279"/>
      <c r="GQ29" s="196"/>
      <c r="GR29" s="271">
        <f t="shared" si="47"/>
        <v>46376</v>
      </c>
      <c r="GS29" s="272" t="str">
        <f t="shared" si="33"/>
        <v>日</v>
      </c>
      <c r="GT29" s="272"/>
      <c r="GU29" s="273"/>
      <c r="GV29" s="273"/>
      <c r="GW29" s="202"/>
      <c r="GX29" s="202"/>
      <c r="GY29" s="274" t="str">
        <f t="shared" si="34"/>
        <v/>
      </c>
      <c r="GZ29" s="203"/>
      <c r="HA29" s="203"/>
      <c r="HB29" s="203"/>
      <c r="HC29" s="203"/>
      <c r="HD29" s="204" t="str">
        <f t="shared" si="35"/>
        <v/>
      </c>
      <c r="HE29" s="279"/>
      <c r="HF29" s="279"/>
      <c r="HG29" s="279"/>
    </row>
    <row r="30" spans="1:215" x14ac:dyDescent="0.45">
      <c r="A30" s="196"/>
      <c r="B30" s="271">
        <f t="shared" si="36"/>
        <v>46043</v>
      </c>
      <c r="C30" s="272" t="str">
        <f t="shared" si="0"/>
        <v>水</v>
      </c>
      <c r="D30" s="272" t="s">
        <v>22</v>
      </c>
      <c r="E30" s="273">
        <v>0.375</v>
      </c>
      <c r="F30" s="273">
        <v>0.75</v>
      </c>
      <c r="G30" s="202">
        <v>0.5</v>
      </c>
      <c r="H30" s="202">
        <v>0.54166666666666663</v>
      </c>
      <c r="I30" s="274" t="str">
        <f t="shared" si="1"/>
        <v>8h</v>
      </c>
      <c r="J30" s="203">
        <v>0.375</v>
      </c>
      <c r="K30" s="203">
        <v>0.75</v>
      </c>
      <c r="L30" s="203">
        <v>0.5</v>
      </c>
      <c r="M30" s="203">
        <v>0.54166666666666663</v>
      </c>
      <c r="N30" s="204" t="str">
        <f t="shared" si="2"/>
        <v>8h</v>
      </c>
      <c r="O30" s="279"/>
      <c r="P30" s="279"/>
      <c r="Q30" s="279"/>
      <c r="S30" s="196"/>
      <c r="T30" s="271">
        <f t="shared" si="37"/>
        <v>46074</v>
      </c>
      <c r="U30" s="272" t="str">
        <f t="shared" si="3"/>
        <v>土</v>
      </c>
      <c r="V30" s="272"/>
      <c r="W30" s="273"/>
      <c r="X30" s="273"/>
      <c r="Y30" s="202"/>
      <c r="Z30" s="202"/>
      <c r="AA30" s="274" t="str">
        <f t="shared" si="4"/>
        <v/>
      </c>
      <c r="AB30" s="203"/>
      <c r="AC30" s="203"/>
      <c r="AD30" s="203"/>
      <c r="AE30" s="203"/>
      <c r="AF30" s="204" t="str">
        <f t="shared" si="5"/>
        <v/>
      </c>
      <c r="AG30" s="279"/>
      <c r="AH30" s="279"/>
      <c r="AI30" s="279"/>
      <c r="AK30" s="196"/>
      <c r="AL30" s="271">
        <f t="shared" si="38"/>
        <v>46102</v>
      </c>
      <c r="AM30" s="272" t="str">
        <f t="shared" si="6"/>
        <v>土</v>
      </c>
      <c r="AN30" s="272"/>
      <c r="AO30" s="273"/>
      <c r="AP30" s="273"/>
      <c r="AQ30" s="202"/>
      <c r="AR30" s="202"/>
      <c r="AS30" s="274" t="str">
        <f t="shared" si="7"/>
        <v/>
      </c>
      <c r="AT30" s="203"/>
      <c r="AU30" s="203"/>
      <c r="AV30" s="203"/>
      <c r="AW30" s="203"/>
      <c r="AX30" s="204" t="str">
        <f t="shared" si="8"/>
        <v/>
      </c>
      <c r="AY30" s="279"/>
      <c r="AZ30" s="279"/>
      <c r="BA30" s="279"/>
      <c r="BC30" s="196"/>
      <c r="BD30" s="271">
        <f t="shared" si="39"/>
        <v>46133</v>
      </c>
      <c r="BE30" s="272" t="str">
        <f t="shared" si="9"/>
        <v>火</v>
      </c>
      <c r="BF30" s="272" t="s">
        <v>22</v>
      </c>
      <c r="BG30" s="273">
        <v>0.375</v>
      </c>
      <c r="BH30" s="273">
        <v>0.75</v>
      </c>
      <c r="BI30" s="202">
        <v>0.5</v>
      </c>
      <c r="BJ30" s="202">
        <v>0.54166666666666663</v>
      </c>
      <c r="BK30" s="274" t="str">
        <f t="shared" si="10"/>
        <v>8h</v>
      </c>
      <c r="BL30" s="203">
        <v>0.375</v>
      </c>
      <c r="BM30" s="203">
        <v>0.75</v>
      </c>
      <c r="BN30" s="203">
        <v>0.5</v>
      </c>
      <c r="BO30" s="203">
        <v>0.54166666666666663</v>
      </c>
      <c r="BP30" s="204" t="str">
        <f t="shared" si="11"/>
        <v>8h</v>
      </c>
      <c r="BQ30" s="279"/>
      <c r="BR30" s="279"/>
      <c r="BS30" s="279"/>
      <c r="BU30" s="196"/>
      <c r="BV30" s="271">
        <f t="shared" si="40"/>
        <v>46163</v>
      </c>
      <c r="BW30" s="272" t="str">
        <f t="shared" si="12"/>
        <v>木</v>
      </c>
      <c r="BX30" s="272" t="s">
        <v>22</v>
      </c>
      <c r="BY30" s="273">
        <v>0.375</v>
      </c>
      <c r="BZ30" s="273">
        <v>0.75</v>
      </c>
      <c r="CA30" s="202">
        <v>0.5</v>
      </c>
      <c r="CB30" s="202">
        <v>0.54166666666666663</v>
      </c>
      <c r="CC30" s="274" t="str">
        <f t="shared" si="13"/>
        <v>8h</v>
      </c>
      <c r="CD30" s="203">
        <v>0.375</v>
      </c>
      <c r="CE30" s="203">
        <v>0.75</v>
      </c>
      <c r="CF30" s="203">
        <v>0.5</v>
      </c>
      <c r="CG30" s="203">
        <v>0.54166666666666663</v>
      </c>
      <c r="CH30" s="204" t="str">
        <f t="shared" si="14"/>
        <v>8h</v>
      </c>
      <c r="CI30" s="279"/>
      <c r="CJ30" s="279"/>
      <c r="CK30" s="279"/>
      <c r="CM30" s="196"/>
      <c r="CN30" s="271">
        <f t="shared" si="41"/>
        <v>46194</v>
      </c>
      <c r="CO30" s="272" t="str">
        <f t="shared" si="15"/>
        <v>日</v>
      </c>
      <c r="CP30" s="272"/>
      <c r="CQ30" s="273"/>
      <c r="CR30" s="273"/>
      <c r="CS30" s="202"/>
      <c r="CT30" s="202"/>
      <c r="CU30" s="274" t="str">
        <f t="shared" si="16"/>
        <v/>
      </c>
      <c r="CV30" s="203"/>
      <c r="CW30" s="203"/>
      <c r="CX30" s="203"/>
      <c r="CY30" s="203"/>
      <c r="CZ30" s="204" t="str">
        <f t="shared" si="17"/>
        <v/>
      </c>
      <c r="DA30" s="279"/>
      <c r="DB30" s="279"/>
      <c r="DC30" s="279"/>
      <c r="DE30" s="196"/>
      <c r="DF30" s="271">
        <f t="shared" si="42"/>
        <v>46224</v>
      </c>
      <c r="DG30" s="272" t="str">
        <f t="shared" si="18"/>
        <v>火</v>
      </c>
      <c r="DH30" s="272" t="s">
        <v>22</v>
      </c>
      <c r="DI30" s="273">
        <v>0.375</v>
      </c>
      <c r="DJ30" s="273">
        <v>0.75</v>
      </c>
      <c r="DK30" s="202">
        <v>0.5</v>
      </c>
      <c r="DL30" s="202">
        <v>0.54166666666666663</v>
      </c>
      <c r="DM30" s="274" t="str">
        <f t="shared" si="19"/>
        <v>8h</v>
      </c>
      <c r="DN30" s="203">
        <v>0.375</v>
      </c>
      <c r="DO30" s="203">
        <v>0.75</v>
      </c>
      <c r="DP30" s="203">
        <v>0.5</v>
      </c>
      <c r="DQ30" s="203">
        <v>0.54166666666666663</v>
      </c>
      <c r="DR30" s="204" t="str">
        <f t="shared" si="20"/>
        <v>8h</v>
      </c>
      <c r="DS30" s="279"/>
      <c r="DT30" s="279"/>
      <c r="DU30" s="279"/>
      <c r="DW30" s="196"/>
      <c r="DX30" s="271">
        <f t="shared" si="43"/>
        <v>46255</v>
      </c>
      <c r="DY30" s="272" t="str">
        <f t="shared" si="21"/>
        <v>金</v>
      </c>
      <c r="DZ30" s="272" t="s">
        <v>22</v>
      </c>
      <c r="EA30" s="273">
        <v>0.375</v>
      </c>
      <c r="EB30" s="273">
        <v>0.75</v>
      </c>
      <c r="EC30" s="202">
        <v>0.5</v>
      </c>
      <c r="ED30" s="202">
        <v>0.54166666666666663</v>
      </c>
      <c r="EE30" s="274" t="str">
        <f t="shared" si="22"/>
        <v>8h</v>
      </c>
      <c r="EF30" s="203">
        <v>0.375</v>
      </c>
      <c r="EG30" s="203">
        <v>0.75</v>
      </c>
      <c r="EH30" s="203">
        <v>0.5</v>
      </c>
      <c r="EI30" s="203">
        <v>0.54166666666666663</v>
      </c>
      <c r="EJ30" s="204" t="str">
        <f t="shared" si="23"/>
        <v>8h</v>
      </c>
      <c r="EK30" s="279"/>
      <c r="EL30" s="279"/>
      <c r="EM30" s="279"/>
      <c r="EO30" s="196"/>
      <c r="EP30" s="271">
        <f t="shared" si="44"/>
        <v>46286</v>
      </c>
      <c r="EQ30" s="272" t="str">
        <f t="shared" si="24"/>
        <v>月</v>
      </c>
      <c r="ER30" s="272"/>
      <c r="ES30" s="273"/>
      <c r="ET30" s="273"/>
      <c r="EU30" s="202"/>
      <c r="EV30" s="202"/>
      <c r="EW30" s="274" t="str">
        <f t="shared" si="25"/>
        <v/>
      </c>
      <c r="EX30" s="203"/>
      <c r="EY30" s="203"/>
      <c r="EZ30" s="203"/>
      <c r="FA30" s="203"/>
      <c r="FB30" s="204" t="str">
        <f t="shared" si="26"/>
        <v/>
      </c>
      <c r="FC30" s="279"/>
      <c r="FD30" s="279"/>
      <c r="FE30" s="279"/>
      <c r="FG30" s="196"/>
      <c r="FH30" s="271">
        <f t="shared" si="45"/>
        <v>46316</v>
      </c>
      <c r="FI30" s="272" t="str">
        <f t="shared" si="27"/>
        <v>水</v>
      </c>
      <c r="FJ30" s="272" t="s">
        <v>22</v>
      </c>
      <c r="FK30" s="273">
        <v>0.375</v>
      </c>
      <c r="FL30" s="273">
        <v>0.75</v>
      </c>
      <c r="FM30" s="202">
        <v>0.5</v>
      </c>
      <c r="FN30" s="202">
        <v>0.54166666666666663</v>
      </c>
      <c r="FO30" s="274" t="str">
        <f t="shared" si="28"/>
        <v>8h</v>
      </c>
      <c r="FP30" s="203">
        <v>0.375</v>
      </c>
      <c r="FQ30" s="203">
        <v>0.75</v>
      </c>
      <c r="FR30" s="203">
        <v>0.5</v>
      </c>
      <c r="FS30" s="203">
        <v>0.54166666666666663</v>
      </c>
      <c r="FT30" s="204" t="str">
        <f t="shared" si="29"/>
        <v>8h</v>
      </c>
      <c r="FU30" s="279"/>
      <c r="FV30" s="279"/>
      <c r="FW30" s="279"/>
      <c r="FY30" s="196"/>
      <c r="FZ30" s="271">
        <f t="shared" si="46"/>
        <v>46347</v>
      </c>
      <c r="GA30" s="272" t="str">
        <f t="shared" si="30"/>
        <v>土</v>
      </c>
      <c r="GB30" s="272"/>
      <c r="GC30" s="273"/>
      <c r="GD30" s="273"/>
      <c r="GE30" s="202"/>
      <c r="GF30" s="202"/>
      <c r="GG30" s="274" t="str">
        <f t="shared" si="31"/>
        <v/>
      </c>
      <c r="GH30" s="203"/>
      <c r="GI30" s="203"/>
      <c r="GJ30" s="203"/>
      <c r="GK30" s="203"/>
      <c r="GL30" s="204" t="str">
        <f t="shared" si="32"/>
        <v/>
      </c>
      <c r="GM30" s="279"/>
      <c r="GN30" s="279"/>
      <c r="GO30" s="279"/>
      <c r="GQ30" s="196"/>
      <c r="GR30" s="271">
        <f t="shared" si="47"/>
        <v>46377</v>
      </c>
      <c r="GS30" s="272" t="str">
        <f t="shared" si="33"/>
        <v>月</v>
      </c>
      <c r="GT30" s="272" t="s">
        <v>22</v>
      </c>
      <c r="GU30" s="273">
        <v>0.375</v>
      </c>
      <c r="GV30" s="273">
        <v>0.75</v>
      </c>
      <c r="GW30" s="202">
        <v>0.5</v>
      </c>
      <c r="GX30" s="202">
        <v>0.54166666666666663</v>
      </c>
      <c r="GY30" s="274" t="str">
        <f t="shared" si="34"/>
        <v>8h</v>
      </c>
      <c r="GZ30" s="203">
        <v>0.375</v>
      </c>
      <c r="HA30" s="203">
        <v>0.75</v>
      </c>
      <c r="HB30" s="203">
        <v>0.5</v>
      </c>
      <c r="HC30" s="203">
        <v>0.54166666666666663</v>
      </c>
      <c r="HD30" s="204" t="str">
        <f t="shared" si="35"/>
        <v>8h</v>
      </c>
      <c r="HE30" s="279"/>
      <c r="HF30" s="279"/>
      <c r="HG30" s="279"/>
    </row>
    <row r="31" spans="1:215" x14ac:dyDescent="0.45">
      <c r="A31" s="196"/>
      <c r="B31" s="271">
        <f t="shared" si="36"/>
        <v>46044</v>
      </c>
      <c r="C31" s="272" t="str">
        <f t="shared" si="0"/>
        <v>木</v>
      </c>
      <c r="D31" s="272" t="s">
        <v>22</v>
      </c>
      <c r="E31" s="273">
        <v>0.375</v>
      </c>
      <c r="F31" s="273">
        <v>0.75</v>
      </c>
      <c r="G31" s="202">
        <v>0.5</v>
      </c>
      <c r="H31" s="202">
        <v>0.54166666666666663</v>
      </c>
      <c r="I31" s="274" t="str">
        <f t="shared" si="1"/>
        <v>8h</v>
      </c>
      <c r="J31" s="203">
        <v>0.375</v>
      </c>
      <c r="K31" s="203">
        <v>0.75</v>
      </c>
      <c r="L31" s="203">
        <v>0.5</v>
      </c>
      <c r="M31" s="203">
        <v>0.54166666666666663</v>
      </c>
      <c r="N31" s="204" t="str">
        <f t="shared" si="2"/>
        <v>8h</v>
      </c>
      <c r="O31" s="279"/>
      <c r="P31" s="279"/>
      <c r="Q31" s="279"/>
      <c r="S31" s="196"/>
      <c r="T31" s="271">
        <f t="shared" si="37"/>
        <v>46075</v>
      </c>
      <c r="U31" s="272" t="str">
        <f t="shared" si="3"/>
        <v>日</v>
      </c>
      <c r="V31" s="272"/>
      <c r="W31" s="273"/>
      <c r="X31" s="273"/>
      <c r="Y31" s="202"/>
      <c r="Z31" s="202"/>
      <c r="AA31" s="274" t="str">
        <f t="shared" si="4"/>
        <v/>
      </c>
      <c r="AB31" s="203"/>
      <c r="AC31" s="203"/>
      <c r="AD31" s="203"/>
      <c r="AE31" s="203"/>
      <c r="AF31" s="204" t="str">
        <f t="shared" si="5"/>
        <v/>
      </c>
      <c r="AG31" s="279"/>
      <c r="AH31" s="279"/>
      <c r="AI31" s="279"/>
      <c r="AK31" s="196"/>
      <c r="AL31" s="271">
        <f t="shared" si="38"/>
        <v>46103</v>
      </c>
      <c r="AM31" s="272" t="str">
        <f t="shared" si="6"/>
        <v>日</v>
      </c>
      <c r="AN31" s="272"/>
      <c r="AO31" s="273"/>
      <c r="AP31" s="273"/>
      <c r="AQ31" s="202"/>
      <c r="AR31" s="202"/>
      <c r="AS31" s="274" t="str">
        <f t="shared" si="7"/>
        <v/>
      </c>
      <c r="AT31" s="203"/>
      <c r="AU31" s="203"/>
      <c r="AV31" s="203"/>
      <c r="AW31" s="203"/>
      <c r="AX31" s="204" t="str">
        <f t="shared" si="8"/>
        <v/>
      </c>
      <c r="AY31" s="279"/>
      <c r="AZ31" s="279"/>
      <c r="BA31" s="279"/>
      <c r="BC31" s="196"/>
      <c r="BD31" s="271">
        <f t="shared" si="39"/>
        <v>46134</v>
      </c>
      <c r="BE31" s="272" t="str">
        <f t="shared" si="9"/>
        <v>水</v>
      </c>
      <c r="BF31" s="272" t="s">
        <v>22</v>
      </c>
      <c r="BG31" s="273">
        <v>0.375</v>
      </c>
      <c r="BH31" s="273">
        <v>0.75</v>
      </c>
      <c r="BI31" s="202">
        <v>0.5</v>
      </c>
      <c r="BJ31" s="202">
        <v>0.54166666666666663</v>
      </c>
      <c r="BK31" s="274" t="str">
        <f t="shared" si="10"/>
        <v>8h</v>
      </c>
      <c r="BL31" s="203">
        <v>0.375</v>
      </c>
      <c r="BM31" s="203">
        <v>0.75</v>
      </c>
      <c r="BN31" s="203">
        <v>0.5</v>
      </c>
      <c r="BO31" s="203">
        <v>0.54166666666666663</v>
      </c>
      <c r="BP31" s="204" t="str">
        <f t="shared" si="11"/>
        <v>8h</v>
      </c>
      <c r="BQ31" s="279"/>
      <c r="BR31" s="279"/>
      <c r="BS31" s="279"/>
      <c r="BU31" s="196"/>
      <c r="BV31" s="271">
        <f t="shared" si="40"/>
        <v>46164</v>
      </c>
      <c r="BW31" s="272" t="str">
        <f t="shared" si="12"/>
        <v>金</v>
      </c>
      <c r="BX31" s="272" t="s">
        <v>22</v>
      </c>
      <c r="BY31" s="273">
        <v>0.375</v>
      </c>
      <c r="BZ31" s="273">
        <v>0.75</v>
      </c>
      <c r="CA31" s="202">
        <v>0.5</v>
      </c>
      <c r="CB31" s="202">
        <v>0.54166666666666663</v>
      </c>
      <c r="CC31" s="274" t="str">
        <f t="shared" si="13"/>
        <v>8h</v>
      </c>
      <c r="CD31" s="203">
        <v>0.375</v>
      </c>
      <c r="CE31" s="203">
        <v>0.75</v>
      </c>
      <c r="CF31" s="203">
        <v>0.5</v>
      </c>
      <c r="CG31" s="203">
        <v>0.54166666666666663</v>
      </c>
      <c r="CH31" s="204" t="str">
        <f t="shared" si="14"/>
        <v>8h</v>
      </c>
      <c r="CI31" s="279"/>
      <c r="CJ31" s="279"/>
      <c r="CK31" s="279"/>
      <c r="CM31" s="196"/>
      <c r="CN31" s="271">
        <f t="shared" si="41"/>
        <v>46195</v>
      </c>
      <c r="CO31" s="272" t="str">
        <f t="shared" si="15"/>
        <v>月</v>
      </c>
      <c r="CP31" s="272" t="s">
        <v>22</v>
      </c>
      <c r="CQ31" s="273">
        <v>0.375</v>
      </c>
      <c r="CR31" s="273">
        <v>0.75</v>
      </c>
      <c r="CS31" s="202">
        <v>0.5</v>
      </c>
      <c r="CT31" s="202">
        <v>0.54166666666666663</v>
      </c>
      <c r="CU31" s="274" t="str">
        <f t="shared" si="16"/>
        <v>8h</v>
      </c>
      <c r="CV31" s="203">
        <v>0.375</v>
      </c>
      <c r="CW31" s="203">
        <v>0.75</v>
      </c>
      <c r="CX31" s="203">
        <v>0.5</v>
      </c>
      <c r="CY31" s="203">
        <v>0.54166666666666663</v>
      </c>
      <c r="CZ31" s="204" t="str">
        <f t="shared" si="17"/>
        <v>8h</v>
      </c>
      <c r="DA31" s="279"/>
      <c r="DB31" s="279"/>
      <c r="DC31" s="279"/>
      <c r="DE31" s="196"/>
      <c r="DF31" s="271">
        <f t="shared" si="42"/>
        <v>46225</v>
      </c>
      <c r="DG31" s="272" t="str">
        <f t="shared" si="18"/>
        <v>水</v>
      </c>
      <c r="DH31" s="272" t="s">
        <v>22</v>
      </c>
      <c r="DI31" s="273">
        <v>0.375</v>
      </c>
      <c r="DJ31" s="273">
        <v>0.75</v>
      </c>
      <c r="DK31" s="202">
        <v>0.5</v>
      </c>
      <c r="DL31" s="202">
        <v>0.54166666666666663</v>
      </c>
      <c r="DM31" s="274" t="str">
        <f t="shared" si="19"/>
        <v>8h</v>
      </c>
      <c r="DN31" s="203">
        <v>0.375</v>
      </c>
      <c r="DO31" s="203">
        <v>0.75</v>
      </c>
      <c r="DP31" s="203">
        <v>0.5</v>
      </c>
      <c r="DQ31" s="203">
        <v>0.54166666666666663</v>
      </c>
      <c r="DR31" s="204" t="str">
        <f t="shared" si="20"/>
        <v>8h</v>
      </c>
      <c r="DS31" s="279"/>
      <c r="DT31" s="279"/>
      <c r="DU31" s="279"/>
      <c r="DW31" s="196"/>
      <c r="DX31" s="271">
        <f t="shared" si="43"/>
        <v>46256</v>
      </c>
      <c r="DY31" s="272" t="str">
        <f t="shared" si="21"/>
        <v>土</v>
      </c>
      <c r="DZ31" s="272"/>
      <c r="EA31" s="273"/>
      <c r="EB31" s="273"/>
      <c r="EC31" s="202"/>
      <c r="ED31" s="202"/>
      <c r="EE31" s="274" t="str">
        <f t="shared" si="22"/>
        <v/>
      </c>
      <c r="EF31" s="203"/>
      <c r="EG31" s="203"/>
      <c r="EH31" s="203"/>
      <c r="EI31" s="203"/>
      <c r="EJ31" s="204" t="str">
        <f t="shared" si="23"/>
        <v/>
      </c>
      <c r="EK31" s="279"/>
      <c r="EL31" s="279"/>
      <c r="EM31" s="279"/>
      <c r="EO31" s="196"/>
      <c r="EP31" s="271">
        <f t="shared" si="44"/>
        <v>46287</v>
      </c>
      <c r="EQ31" s="272" t="str">
        <f t="shared" si="24"/>
        <v>火</v>
      </c>
      <c r="ER31" s="272"/>
      <c r="ES31" s="273"/>
      <c r="ET31" s="273"/>
      <c r="EU31" s="202"/>
      <c r="EV31" s="202"/>
      <c r="EW31" s="274" t="str">
        <f t="shared" si="25"/>
        <v/>
      </c>
      <c r="EX31" s="203"/>
      <c r="EY31" s="203"/>
      <c r="EZ31" s="203"/>
      <c r="FA31" s="203"/>
      <c r="FB31" s="204" t="str">
        <f t="shared" si="26"/>
        <v/>
      </c>
      <c r="FC31" s="279"/>
      <c r="FD31" s="279"/>
      <c r="FE31" s="279"/>
      <c r="FG31" s="196"/>
      <c r="FH31" s="271">
        <f t="shared" si="45"/>
        <v>46317</v>
      </c>
      <c r="FI31" s="272" t="str">
        <f t="shared" si="27"/>
        <v>木</v>
      </c>
      <c r="FJ31" s="272" t="s">
        <v>22</v>
      </c>
      <c r="FK31" s="273">
        <v>0.375</v>
      </c>
      <c r="FL31" s="273">
        <v>0.75</v>
      </c>
      <c r="FM31" s="202">
        <v>0.5</v>
      </c>
      <c r="FN31" s="202">
        <v>0.54166666666666663</v>
      </c>
      <c r="FO31" s="274" t="str">
        <f t="shared" si="28"/>
        <v>8h</v>
      </c>
      <c r="FP31" s="203">
        <v>0.375</v>
      </c>
      <c r="FQ31" s="203">
        <v>0.75</v>
      </c>
      <c r="FR31" s="203">
        <v>0.5</v>
      </c>
      <c r="FS31" s="203">
        <v>0.54166666666666663</v>
      </c>
      <c r="FT31" s="204" t="str">
        <f t="shared" si="29"/>
        <v>8h</v>
      </c>
      <c r="FU31" s="279"/>
      <c r="FV31" s="279"/>
      <c r="FW31" s="279"/>
      <c r="FY31" s="196"/>
      <c r="FZ31" s="271">
        <f t="shared" si="46"/>
        <v>46348</v>
      </c>
      <c r="GA31" s="272" t="str">
        <f t="shared" si="30"/>
        <v>日</v>
      </c>
      <c r="GB31" s="272"/>
      <c r="GC31" s="273"/>
      <c r="GD31" s="273"/>
      <c r="GE31" s="202"/>
      <c r="GF31" s="202"/>
      <c r="GG31" s="274" t="str">
        <f t="shared" si="31"/>
        <v/>
      </c>
      <c r="GH31" s="203"/>
      <c r="GI31" s="203"/>
      <c r="GJ31" s="203"/>
      <c r="GK31" s="203"/>
      <c r="GL31" s="204" t="str">
        <f t="shared" si="32"/>
        <v/>
      </c>
      <c r="GM31" s="279"/>
      <c r="GN31" s="279"/>
      <c r="GO31" s="279"/>
      <c r="GQ31" s="196"/>
      <c r="GR31" s="271">
        <f t="shared" si="47"/>
        <v>46378</v>
      </c>
      <c r="GS31" s="272" t="str">
        <f t="shared" si="33"/>
        <v>火</v>
      </c>
      <c r="GT31" s="272" t="s">
        <v>22</v>
      </c>
      <c r="GU31" s="273">
        <v>0.375</v>
      </c>
      <c r="GV31" s="273">
        <v>0.75</v>
      </c>
      <c r="GW31" s="202">
        <v>0.5</v>
      </c>
      <c r="GX31" s="202">
        <v>0.54166666666666663</v>
      </c>
      <c r="GY31" s="274" t="str">
        <f t="shared" si="34"/>
        <v>8h</v>
      </c>
      <c r="GZ31" s="203">
        <v>0.375</v>
      </c>
      <c r="HA31" s="203">
        <v>0.75</v>
      </c>
      <c r="HB31" s="203">
        <v>0.5</v>
      </c>
      <c r="HC31" s="203">
        <v>0.54166666666666663</v>
      </c>
      <c r="HD31" s="204" t="str">
        <f t="shared" si="35"/>
        <v>8h</v>
      </c>
      <c r="HE31" s="279"/>
      <c r="HF31" s="279"/>
      <c r="HG31" s="279"/>
    </row>
    <row r="32" spans="1:215" x14ac:dyDescent="0.45">
      <c r="A32" s="196"/>
      <c r="B32" s="271">
        <f t="shared" si="36"/>
        <v>46045</v>
      </c>
      <c r="C32" s="272" t="str">
        <f t="shared" si="0"/>
        <v>金</v>
      </c>
      <c r="D32" s="272" t="s">
        <v>22</v>
      </c>
      <c r="E32" s="273">
        <v>0.375</v>
      </c>
      <c r="F32" s="273">
        <v>0.75</v>
      </c>
      <c r="G32" s="202">
        <v>0.5</v>
      </c>
      <c r="H32" s="202">
        <v>0.54166666666666663</v>
      </c>
      <c r="I32" s="274" t="str">
        <f t="shared" si="1"/>
        <v>8h</v>
      </c>
      <c r="J32" s="203">
        <v>0.375</v>
      </c>
      <c r="K32" s="203">
        <v>0.75</v>
      </c>
      <c r="L32" s="203">
        <v>0.5</v>
      </c>
      <c r="M32" s="203">
        <v>0.54166666666666663</v>
      </c>
      <c r="N32" s="204" t="str">
        <f t="shared" si="2"/>
        <v>8h</v>
      </c>
      <c r="O32" s="279"/>
      <c r="P32" s="279"/>
      <c r="Q32" s="279"/>
      <c r="S32" s="196"/>
      <c r="T32" s="271">
        <f t="shared" si="37"/>
        <v>46076</v>
      </c>
      <c r="U32" s="272" t="str">
        <f t="shared" si="3"/>
        <v>月</v>
      </c>
      <c r="V32" s="272"/>
      <c r="W32" s="273"/>
      <c r="X32" s="273"/>
      <c r="Y32" s="202"/>
      <c r="Z32" s="202"/>
      <c r="AA32" s="274" t="str">
        <f t="shared" si="4"/>
        <v/>
      </c>
      <c r="AB32" s="203"/>
      <c r="AC32" s="203"/>
      <c r="AD32" s="203"/>
      <c r="AE32" s="203"/>
      <c r="AF32" s="204" t="str">
        <f t="shared" si="5"/>
        <v/>
      </c>
      <c r="AG32" s="279"/>
      <c r="AH32" s="279"/>
      <c r="AI32" s="279"/>
      <c r="AK32" s="196"/>
      <c r="AL32" s="271">
        <f t="shared" si="38"/>
        <v>46104</v>
      </c>
      <c r="AM32" s="272" t="str">
        <f t="shared" si="6"/>
        <v>月</v>
      </c>
      <c r="AN32" s="272" t="s">
        <v>22</v>
      </c>
      <c r="AO32" s="273">
        <v>0.375</v>
      </c>
      <c r="AP32" s="273">
        <v>0.75</v>
      </c>
      <c r="AQ32" s="202">
        <v>0.5</v>
      </c>
      <c r="AR32" s="202">
        <v>0.54166666666666663</v>
      </c>
      <c r="AS32" s="274" t="str">
        <f t="shared" si="7"/>
        <v>8h</v>
      </c>
      <c r="AT32" s="203">
        <v>0.375</v>
      </c>
      <c r="AU32" s="203">
        <v>0.75</v>
      </c>
      <c r="AV32" s="203">
        <v>0.5</v>
      </c>
      <c r="AW32" s="203">
        <v>0.54166666666666663</v>
      </c>
      <c r="AX32" s="204" t="str">
        <f t="shared" si="8"/>
        <v>8h</v>
      </c>
      <c r="AY32" s="279"/>
      <c r="AZ32" s="279"/>
      <c r="BA32" s="279"/>
      <c r="BC32" s="196"/>
      <c r="BD32" s="271">
        <f t="shared" si="39"/>
        <v>46135</v>
      </c>
      <c r="BE32" s="272" t="str">
        <f t="shared" si="9"/>
        <v>木</v>
      </c>
      <c r="BF32" s="272" t="s">
        <v>22</v>
      </c>
      <c r="BG32" s="273">
        <v>0.375</v>
      </c>
      <c r="BH32" s="273">
        <v>0.75</v>
      </c>
      <c r="BI32" s="202">
        <v>0.5</v>
      </c>
      <c r="BJ32" s="202">
        <v>0.54166666666666663</v>
      </c>
      <c r="BK32" s="274" t="str">
        <f t="shared" si="10"/>
        <v>8h</v>
      </c>
      <c r="BL32" s="203">
        <v>0.375</v>
      </c>
      <c r="BM32" s="203">
        <v>0.75</v>
      </c>
      <c r="BN32" s="203">
        <v>0.5</v>
      </c>
      <c r="BO32" s="203">
        <v>0.54166666666666663</v>
      </c>
      <c r="BP32" s="204" t="str">
        <f t="shared" si="11"/>
        <v>8h</v>
      </c>
      <c r="BQ32" s="279"/>
      <c r="BR32" s="279"/>
      <c r="BS32" s="279"/>
      <c r="BU32" s="196"/>
      <c r="BV32" s="271">
        <f t="shared" si="40"/>
        <v>46165</v>
      </c>
      <c r="BW32" s="272" t="str">
        <f t="shared" si="12"/>
        <v>土</v>
      </c>
      <c r="BX32" s="272"/>
      <c r="BY32" s="273"/>
      <c r="BZ32" s="273"/>
      <c r="CA32" s="202"/>
      <c r="CB32" s="202"/>
      <c r="CC32" s="274" t="str">
        <f t="shared" si="13"/>
        <v/>
      </c>
      <c r="CD32" s="203"/>
      <c r="CE32" s="203"/>
      <c r="CF32" s="203"/>
      <c r="CG32" s="203"/>
      <c r="CH32" s="204" t="str">
        <f t="shared" si="14"/>
        <v/>
      </c>
      <c r="CI32" s="279"/>
      <c r="CJ32" s="279"/>
      <c r="CK32" s="279"/>
      <c r="CM32" s="196"/>
      <c r="CN32" s="271">
        <f t="shared" si="41"/>
        <v>46196</v>
      </c>
      <c r="CO32" s="272" t="str">
        <f t="shared" si="15"/>
        <v>火</v>
      </c>
      <c r="CP32" s="272" t="s">
        <v>22</v>
      </c>
      <c r="CQ32" s="273">
        <v>0.375</v>
      </c>
      <c r="CR32" s="273">
        <v>0.75</v>
      </c>
      <c r="CS32" s="202">
        <v>0.5</v>
      </c>
      <c r="CT32" s="202">
        <v>0.54166666666666663</v>
      </c>
      <c r="CU32" s="274" t="str">
        <f t="shared" si="16"/>
        <v>8h</v>
      </c>
      <c r="CV32" s="203">
        <v>0.375</v>
      </c>
      <c r="CW32" s="203">
        <v>0.75</v>
      </c>
      <c r="CX32" s="203">
        <v>0.5</v>
      </c>
      <c r="CY32" s="203">
        <v>0.54166666666666663</v>
      </c>
      <c r="CZ32" s="204" t="str">
        <f t="shared" si="17"/>
        <v>8h</v>
      </c>
      <c r="DA32" s="279"/>
      <c r="DB32" s="279"/>
      <c r="DC32" s="279"/>
      <c r="DE32" s="196"/>
      <c r="DF32" s="271">
        <f t="shared" si="42"/>
        <v>46226</v>
      </c>
      <c r="DG32" s="272" t="str">
        <f t="shared" si="18"/>
        <v>木</v>
      </c>
      <c r="DH32" s="272" t="s">
        <v>22</v>
      </c>
      <c r="DI32" s="273">
        <v>0.375</v>
      </c>
      <c r="DJ32" s="273">
        <v>0.75</v>
      </c>
      <c r="DK32" s="202">
        <v>0.5</v>
      </c>
      <c r="DL32" s="202">
        <v>0.54166666666666663</v>
      </c>
      <c r="DM32" s="274" t="str">
        <f t="shared" si="19"/>
        <v>8h</v>
      </c>
      <c r="DN32" s="203">
        <v>0.375</v>
      </c>
      <c r="DO32" s="203">
        <v>0.75</v>
      </c>
      <c r="DP32" s="203">
        <v>0.5</v>
      </c>
      <c r="DQ32" s="203">
        <v>0.54166666666666663</v>
      </c>
      <c r="DR32" s="204" t="str">
        <f t="shared" si="20"/>
        <v>8h</v>
      </c>
      <c r="DS32" s="279"/>
      <c r="DT32" s="279"/>
      <c r="DU32" s="279"/>
      <c r="DW32" s="196"/>
      <c r="DX32" s="271">
        <f t="shared" si="43"/>
        <v>46257</v>
      </c>
      <c r="DY32" s="272" t="str">
        <f t="shared" si="21"/>
        <v>日</v>
      </c>
      <c r="DZ32" s="272"/>
      <c r="EA32" s="273"/>
      <c r="EB32" s="273"/>
      <c r="EC32" s="202"/>
      <c r="ED32" s="202"/>
      <c r="EE32" s="274" t="str">
        <f t="shared" si="22"/>
        <v/>
      </c>
      <c r="EF32" s="203"/>
      <c r="EG32" s="203"/>
      <c r="EH32" s="203"/>
      <c r="EI32" s="203"/>
      <c r="EJ32" s="204" t="str">
        <f t="shared" si="23"/>
        <v/>
      </c>
      <c r="EK32" s="279"/>
      <c r="EL32" s="279"/>
      <c r="EM32" s="279"/>
      <c r="EO32" s="196"/>
      <c r="EP32" s="271">
        <f t="shared" si="44"/>
        <v>46288</v>
      </c>
      <c r="EQ32" s="272" t="str">
        <f t="shared" si="24"/>
        <v>水</v>
      </c>
      <c r="ER32" s="272"/>
      <c r="ES32" s="273"/>
      <c r="ET32" s="273"/>
      <c r="EU32" s="202"/>
      <c r="EV32" s="202"/>
      <c r="EW32" s="274" t="str">
        <f t="shared" si="25"/>
        <v/>
      </c>
      <c r="EX32" s="203"/>
      <c r="EY32" s="203"/>
      <c r="EZ32" s="203"/>
      <c r="FA32" s="203"/>
      <c r="FB32" s="204" t="str">
        <f t="shared" si="26"/>
        <v/>
      </c>
      <c r="FC32" s="279"/>
      <c r="FD32" s="279"/>
      <c r="FE32" s="279"/>
      <c r="FG32" s="196"/>
      <c r="FH32" s="271">
        <f t="shared" si="45"/>
        <v>46318</v>
      </c>
      <c r="FI32" s="272" t="str">
        <f t="shared" si="27"/>
        <v>金</v>
      </c>
      <c r="FJ32" s="272" t="s">
        <v>22</v>
      </c>
      <c r="FK32" s="273">
        <v>0.375</v>
      </c>
      <c r="FL32" s="273">
        <v>0.75</v>
      </c>
      <c r="FM32" s="202">
        <v>0.5</v>
      </c>
      <c r="FN32" s="202">
        <v>0.54166666666666663</v>
      </c>
      <c r="FO32" s="274" t="str">
        <f t="shared" si="28"/>
        <v>8h</v>
      </c>
      <c r="FP32" s="203">
        <v>0.375</v>
      </c>
      <c r="FQ32" s="203">
        <v>0.75</v>
      </c>
      <c r="FR32" s="203">
        <v>0.5</v>
      </c>
      <c r="FS32" s="203">
        <v>0.54166666666666663</v>
      </c>
      <c r="FT32" s="204" t="str">
        <f t="shared" si="29"/>
        <v>8h</v>
      </c>
      <c r="FU32" s="279"/>
      <c r="FV32" s="279"/>
      <c r="FW32" s="279"/>
      <c r="FY32" s="196"/>
      <c r="FZ32" s="271">
        <f t="shared" si="46"/>
        <v>46349</v>
      </c>
      <c r="GA32" s="272" t="str">
        <f t="shared" si="30"/>
        <v>月</v>
      </c>
      <c r="GB32" s="272"/>
      <c r="GC32" s="273"/>
      <c r="GD32" s="273"/>
      <c r="GE32" s="202"/>
      <c r="GF32" s="202"/>
      <c r="GG32" s="274" t="str">
        <f t="shared" si="31"/>
        <v/>
      </c>
      <c r="GH32" s="203"/>
      <c r="GI32" s="203"/>
      <c r="GJ32" s="203"/>
      <c r="GK32" s="203"/>
      <c r="GL32" s="204" t="str">
        <f t="shared" si="32"/>
        <v/>
      </c>
      <c r="GM32" s="279"/>
      <c r="GN32" s="279"/>
      <c r="GO32" s="279"/>
      <c r="GQ32" s="196"/>
      <c r="GR32" s="271">
        <f t="shared" si="47"/>
        <v>46379</v>
      </c>
      <c r="GS32" s="272" t="str">
        <f t="shared" si="33"/>
        <v>水</v>
      </c>
      <c r="GT32" s="272" t="s">
        <v>22</v>
      </c>
      <c r="GU32" s="273">
        <v>0.375</v>
      </c>
      <c r="GV32" s="273">
        <v>0.75</v>
      </c>
      <c r="GW32" s="202">
        <v>0.5</v>
      </c>
      <c r="GX32" s="202">
        <v>0.54166666666666663</v>
      </c>
      <c r="GY32" s="274" t="str">
        <f t="shared" si="34"/>
        <v>8h</v>
      </c>
      <c r="GZ32" s="203">
        <v>0.375</v>
      </c>
      <c r="HA32" s="203">
        <v>0.75</v>
      </c>
      <c r="HB32" s="203">
        <v>0.5</v>
      </c>
      <c r="HC32" s="203">
        <v>0.54166666666666663</v>
      </c>
      <c r="HD32" s="204" t="str">
        <f t="shared" si="35"/>
        <v>8h</v>
      </c>
      <c r="HE32" s="279"/>
      <c r="HF32" s="279"/>
      <c r="HG32" s="279"/>
    </row>
    <row r="33" spans="1:215" x14ac:dyDescent="0.45">
      <c r="A33" s="196"/>
      <c r="B33" s="271">
        <f t="shared" si="36"/>
        <v>46046</v>
      </c>
      <c r="C33" s="272" t="str">
        <f t="shared" si="0"/>
        <v>土</v>
      </c>
      <c r="D33" s="272"/>
      <c r="E33" s="273"/>
      <c r="F33" s="273"/>
      <c r="G33" s="202"/>
      <c r="H33" s="202"/>
      <c r="I33" s="274" t="str">
        <f t="shared" si="1"/>
        <v/>
      </c>
      <c r="J33" s="203"/>
      <c r="K33" s="203"/>
      <c r="L33" s="203"/>
      <c r="M33" s="203"/>
      <c r="N33" s="204" t="str">
        <f t="shared" si="2"/>
        <v/>
      </c>
      <c r="O33" s="279"/>
      <c r="P33" s="279"/>
      <c r="Q33" s="279"/>
      <c r="S33" s="196"/>
      <c r="T33" s="271">
        <f t="shared" si="37"/>
        <v>46077</v>
      </c>
      <c r="U33" s="272" t="str">
        <f t="shared" si="3"/>
        <v>火</v>
      </c>
      <c r="V33" s="272" t="s">
        <v>22</v>
      </c>
      <c r="W33" s="273">
        <v>0.375</v>
      </c>
      <c r="X33" s="273">
        <v>0.75</v>
      </c>
      <c r="Y33" s="202">
        <v>0.5</v>
      </c>
      <c r="Z33" s="202">
        <v>0.54166666666666663</v>
      </c>
      <c r="AA33" s="274" t="str">
        <f t="shared" si="4"/>
        <v>8h</v>
      </c>
      <c r="AB33" s="203">
        <v>0.375</v>
      </c>
      <c r="AC33" s="203">
        <v>0.75</v>
      </c>
      <c r="AD33" s="203">
        <v>0.5</v>
      </c>
      <c r="AE33" s="203">
        <v>0.54166666666666663</v>
      </c>
      <c r="AF33" s="204" t="str">
        <f t="shared" si="5"/>
        <v>8h</v>
      </c>
      <c r="AG33" s="279"/>
      <c r="AH33" s="279"/>
      <c r="AI33" s="279"/>
      <c r="AK33" s="196"/>
      <c r="AL33" s="271">
        <f t="shared" si="38"/>
        <v>46105</v>
      </c>
      <c r="AM33" s="272" t="str">
        <f t="shared" si="6"/>
        <v>火</v>
      </c>
      <c r="AN33" s="272" t="s">
        <v>22</v>
      </c>
      <c r="AO33" s="273">
        <v>0.375</v>
      </c>
      <c r="AP33" s="273">
        <v>0.75</v>
      </c>
      <c r="AQ33" s="202">
        <v>0.5</v>
      </c>
      <c r="AR33" s="202">
        <v>0.54166666666666663</v>
      </c>
      <c r="AS33" s="274" t="str">
        <f t="shared" si="7"/>
        <v>8h</v>
      </c>
      <c r="AT33" s="203">
        <v>0.375</v>
      </c>
      <c r="AU33" s="203">
        <v>0.75</v>
      </c>
      <c r="AV33" s="203">
        <v>0.5</v>
      </c>
      <c r="AW33" s="203">
        <v>0.54166666666666663</v>
      </c>
      <c r="AX33" s="204" t="str">
        <f t="shared" si="8"/>
        <v>8h</v>
      </c>
      <c r="AY33" s="279"/>
      <c r="AZ33" s="279"/>
      <c r="BA33" s="279"/>
      <c r="BC33" s="196"/>
      <c r="BD33" s="271">
        <f t="shared" si="39"/>
        <v>46136</v>
      </c>
      <c r="BE33" s="272" t="str">
        <f t="shared" si="9"/>
        <v>金</v>
      </c>
      <c r="BF33" s="272" t="s">
        <v>22</v>
      </c>
      <c r="BG33" s="273">
        <v>0.375</v>
      </c>
      <c r="BH33" s="273">
        <v>0.75</v>
      </c>
      <c r="BI33" s="202">
        <v>0.5</v>
      </c>
      <c r="BJ33" s="202">
        <v>0.54166666666666663</v>
      </c>
      <c r="BK33" s="274" t="str">
        <f t="shared" si="10"/>
        <v>8h</v>
      </c>
      <c r="BL33" s="203">
        <v>0.375</v>
      </c>
      <c r="BM33" s="203">
        <v>0.75</v>
      </c>
      <c r="BN33" s="203">
        <v>0.5</v>
      </c>
      <c r="BO33" s="203">
        <v>0.54166666666666663</v>
      </c>
      <c r="BP33" s="204" t="str">
        <f t="shared" si="11"/>
        <v>8h</v>
      </c>
      <c r="BQ33" s="279"/>
      <c r="BR33" s="279"/>
      <c r="BS33" s="279"/>
      <c r="BU33" s="196"/>
      <c r="BV33" s="271">
        <f t="shared" si="40"/>
        <v>46166</v>
      </c>
      <c r="BW33" s="272" t="str">
        <f t="shared" si="12"/>
        <v>日</v>
      </c>
      <c r="BX33" s="272"/>
      <c r="BY33" s="273"/>
      <c r="BZ33" s="273"/>
      <c r="CA33" s="202"/>
      <c r="CB33" s="202"/>
      <c r="CC33" s="274" t="str">
        <f t="shared" si="13"/>
        <v/>
      </c>
      <c r="CD33" s="203"/>
      <c r="CE33" s="203"/>
      <c r="CF33" s="203"/>
      <c r="CG33" s="203"/>
      <c r="CH33" s="204" t="str">
        <f t="shared" si="14"/>
        <v/>
      </c>
      <c r="CI33" s="279"/>
      <c r="CJ33" s="279"/>
      <c r="CK33" s="279"/>
      <c r="CM33" s="196"/>
      <c r="CN33" s="271">
        <f t="shared" si="41"/>
        <v>46197</v>
      </c>
      <c r="CO33" s="272" t="str">
        <f t="shared" si="15"/>
        <v>水</v>
      </c>
      <c r="CP33" s="272" t="s">
        <v>22</v>
      </c>
      <c r="CQ33" s="273">
        <v>0.375</v>
      </c>
      <c r="CR33" s="273">
        <v>0.75</v>
      </c>
      <c r="CS33" s="202">
        <v>0.5</v>
      </c>
      <c r="CT33" s="202">
        <v>0.54166666666666663</v>
      </c>
      <c r="CU33" s="274" t="str">
        <f t="shared" si="16"/>
        <v>8h</v>
      </c>
      <c r="CV33" s="203">
        <v>0.375</v>
      </c>
      <c r="CW33" s="203">
        <v>0.75</v>
      </c>
      <c r="CX33" s="203">
        <v>0.5</v>
      </c>
      <c r="CY33" s="203">
        <v>0.54166666666666663</v>
      </c>
      <c r="CZ33" s="204" t="str">
        <f t="shared" si="17"/>
        <v>8h</v>
      </c>
      <c r="DA33" s="279"/>
      <c r="DB33" s="279"/>
      <c r="DC33" s="279"/>
      <c r="DE33" s="196"/>
      <c r="DF33" s="271">
        <f t="shared" si="42"/>
        <v>46227</v>
      </c>
      <c r="DG33" s="272" t="str">
        <f t="shared" si="18"/>
        <v>金</v>
      </c>
      <c r="DH33" s="272" t="s">
        <v>22</v>
      </c>
      <c r="DI33" s="273">
        <v>0.375</v>
      </c>
      <c r="DJ33" s="273">
        <v>0.75</v>
      </c>
      <c r="DK33" s="202">
        <v>0.5</v>
      </c>
      <c r="DL33" s="202">
        <v>0.54166666666666663</v>
      </c>
      <c r="DM33" s="274" t="str">
        <f t="shared" si="19"/>
        <v>8h</v>
      </c>
      <c r="DN33" s="203">
        <v>0.375</v>
      </c>
      <c r="DO33" s="203">
        <v>0.75</v>
      </c>
      <c r="DP33" s="203">
        <v>0.5</v>
      </c>
      <c r="DQ33" s="203">
        <v>0.54166666666666663</v>
      </c>
      <c r="DR33" s="204" t="str">
        <f t="shared" si="20"/>
        <v>8h</v>
      </c>
      <c r="DS33" s="279"/>
      <c r="DT33" s="279"/>
      <c r="DU33" s="279"/>
      <c r="DW33" s="196"/>
      <c r="DX33" s="271">
        <f t="shared" si="43"/>
        <v>46258</v>
      </c>
      <c r="DY33" s="272" t="str">
        <f t="shared" si="21"/>
        <v>月</v>
      </c>
      <c r="DZ33" s="272" t="s">
        <v>22</v>
      </c>
      <c r="EA33" s="273">
        <v>0.375</v>
      </c>
      <c r="EB33" s="273">
        <v>0.75</v>
      </c>
      <c r="EC33" s="202">
        <v>0.5</v>
      </c>
      <c r="ED33" s="202">
        <v>0.54166666666666663</v>
      </c>
      <c r="EE33" s="274" t="str">
        <f t="shared" si="22"/>
        <v>8h</v>
      </c>
      <c r="EF33" s="203">
        <v>0.375</v>
      </c>
      <c r="EG33" s="203">
        <v>0.75</v>
      </c>
      <c r="EH33" s="203">
        <v>0.5</v>
      </c>
      <c r="EI33" s="203">
        <v>0.54166666666666663</v>
      </c>
      <c r="EJ33" s="204" t="str">
        <f t="shared" si="23"/>
        <v>8h</v>
      </c>
      <c r="EK33" s="279"/>
      <c r="EL33" s="279"/>
      <c r="EM33" s="279"/>
      <c r="EO33" s="196"/>
      <c r="EP33" s="271">
        <f t="shared" si="44"/>
        <v>46289</v>
      </c>
      <c r="EQ33" s="272" t="str">
        <f t="shared" si="24"/>
        <v>木</v>
      </c>
      <c r="ER33" s="272" t="s">
        <v>22</v>
      </c>
      <c r="ES33" s="273">
        <v>0.375</v>
      </c>
      <c r="ET33" s="273">
        <v>0.75</v>
      </c>
      <c r="EU33" s="202">
        <v>0.5</v>
      </c>
      <c r="EV33" s="202">
        <v>0.54166666666666663</v>
      </c>
      <c r="EW33" s="274" t="str">
        <f t="shared" si="25"/>
        <v>8h</v>
      </c>
      <c r="EX33" s="203">
        <v>0.375</v>
      </c>
      <c r="EY33" s="203">
        <v>0.75</v>
      </c>
      <c r="EZ33" s="203">
        <v>0.5</v>
      </c>
      <c r="FA33" s="203">
        <v>0.54166666666666663</v>
      </c>
      <c r="FB33" s="204" t="str">
        <f t="shared" si="26"/>
        <v>8h</v>
      </c>
      <c r="FC33" s="279"/>
      <c r="FD33" s="279"/>
      <c r="FE33" s="279"/>
      <c r="FG33" s="196"/>
      <c r="FH33" s="271">
        <f t="shared" si="45"/>
        <v>46319</v>
      </c>
      <c r="FI33" s="272" t="str">
        <f t="shared" si="27"/>
        <v>土</v>
      </c>
      <c r="FJ33" s="272"/>
      <c r="FK33" s="273"/>
      <c r="FL33" s="273"/>
      <c r="FM33" s="202"/>
      <c r="FN33" s="202"/>
      <c r="FO33" s="274" t="str">
        <f t="shared" si="28"/>
        <v/>
      </c>
      <c r="FP33" s="203"/>
      <c r="FQ33" s="203"/>
      <c r="FR33" s="203"/>
      <c r="FS33" s="203"/>
      <c r="FT33" s="204" t="str">
        <f t="shared" si="29"/>
        <v/>
      </c>
      <c r="FU33" s="279"/>
      <c r="FV33" s="279"/>
      <c r="FW33" s="279"/>
      <c r="FY33" s="196"/>
      <c r="FZ33" s="271">
        <f t="shared" si="46"/>
        <v>46350</v>
      </c>
      <c r="GA33" s="272" t="str">
        <f t="shared" si="30"/>
        <v>火</v>
      </c>
      <c r="GB33" s="272" t="s">
        <v>22</v>
      </c>
      <c r="GC33" s="273">
        <v>0.375</v>
      </c>
      <c r="GD33" s="273">
        <v>0.75</v>
      </c>
      <c r="GE33" s="202">
        <v>0.5</v>
      </c>
      <c r="GF33" s="202">
        <v>0.54166666666666663</v>
      </c>
      <c r="GG33" s="274" t="str">
        <f t="shared" si="31"/>
        <v>8h</v>
      </c>
      <c r="GH33" s="203">
        <v>0.375</v>
      </c>
      <c r="GI33" s="203">
        <v>0.75</v>
      </c>
      <c r="GJ33" s="203">
        <v>0.5</v>
      </c>
      <c r="GK33" s="203">
        <v>0.54166666666666663</v>
      </c>
      <c r="GL33" s="204" t="str">
        <f t="shared" si="32"/>
        <v>8h</v>
      </c>
      <c r="GM33" s="279"/>
      <c r="GN33" s="279"/>
      <c r="GO33" s="279"/>
      <c r="GQ33" s="196"/>
      <c r="GR33" s="271">
        <f t="shared" si="47"/>
        <v>46380</v>
      </c>
      <c r="GS33" s="272" t="str">
        <f t="shared" si="33"/>
        <v>木</v>
      </c>
      <c r="GT33" s="272" t="s">
        <v>22</v>
      </c>
      <c r="GU33" s="273">
        <v>0.375</v>
      </c>
      <c r="GV33" s="273">
        <v>0.75</v>
      </c>
      <c r="GW33" s="202">
        <v>0.5</v>
      </c>
      <c r="GX33" s="202">
        <v>0.54166666666666663</v>
      </c>
      <c r="GY33" s="274" t="str">
        <f t="shared" si="34"/>
        <v>8h</v>
      </c>
      <c r="GZ33" s="203">
        <v>0.375</v>
      </c>
      <c r="HA33" s="203">
        <v>0.75</v>
      </c>
      <c r="HB33" s="203">
        <v>0.5</v>
      </c>
      <c r="HC33" s="203">
        <v>0.54166666666666663</v>
      </c>
      <c r="HD33" s="204" t="str">
        <f t="shared" si="35"/>
        <v>8h</v>
      </c>
      <c r="HE33" s="279"/>
      <c r="HF33" s="279"/>
      <c r="HG33" s="279"/>
    </row>
    <row r="34" spans="1:215" x14ac:dyDescent="0.45">
      <c r="A34" s="196"/>
      <c r="B34" s="271">
        <f t="shared" si="36"/>
        <v>46047</v>
      </c>
      <c r="C34" s="272" t="str">
        <f t="shared" si="0"/>
        <v>日</v>
      </c>
      <c r="D34" s="272"/>
      <c r="E34" s="273"/>
      <c r="F34" s="273"/>
      <c r="G34" s="202"/>
      <c r="H34" s="202"/>
      <c r="I34" s="274" t="str">
        <f t="shared" si="1"/>
        <v/>
      </c>
      <c r="J34" s="203"/>
      <c r="K34" s="203"/>
      <c r="L34" s="203"/>
      <c r="M34" s="203"/>
      <c r="N34" s="204" t="str">
        <f t="shared" si="2"/>
        <v/>
      </c>
      <c r="O34" s="279"/>
      <c r="P34" s="279"/>
      <c r="Q34" s="279"/>
      <c r="S34" s="196"/>
      <c r="T34" s="271">
        <f t="shared" si="37"/>
        <v>46078</v>
      </c>
      <c r="U34" s="272" t="str">
        <f t="shared" si="3"/>
        <v>水</v>
      </c>
      <c r="V34" s="272" t="s">
        <v>22</v>
      </c>
      <c r="W34" s="273">
        <v>0.375</v>
      </c>
      <c r="X34" s="273">
        <v>0.75</v>
      </c>
      <c r="Y34" s="202">
        <v>0.5</v>
      </c>
      <c r="Z34" s="202">
        <v>0.54166666666666663</v>
      </c>
      <c r="AA34" s="274" t="str">
        <f t="shared" si="4"/>
        <v>8h</v>
      </c>
      <c r="AB34" s="203">
        <v>0.375</v>
      </c>
      <c r="AC34" s="203">
        <v>0.75</v>
      </c>
      <c r="AD34" s="203">
        <v>0.5</v>
      </c>
      <c r="AE34" s="203">
        <v>0.54166666666666663</v>
      </c>
      <c r="AF34" s="204" t="str">
        <f t="shared" si="5"/>
        <v>8h</v>
      </c>
      <c r="AG34" s="279"/>
      <c r="AH34" s="279"/>
      <c r="AI34" s="279"/>
      <c r="AK34" s="196"/>
      <c r="AL34" s="271">
        <f t="shared" si="38"/>
        <v>46106</v>
      </c>
      <c r="AM34" s="272" t="str">
        <f t="shared" si="6"/>
        <v>水</v>
      </c>
      <c r="AN34" s="272" t="s">
        <v>22</v>
      </c>
      <c r="AO34" s="273">
        <v>0.375</v>
      </c>
      <c r="AP34" s="273">
        <v>0.75</v>
      </c>
      <c r="AQ34" s="202">
        <v>0.5</v>
      </c>
      <c r="AR34" s="202">
        <v>0.54166666666666663</v>
      </c>
      <c r="AS34" s="274" t="str">
        <f t="shared" si="7"/>
        <v>8h</v>
      </c>
      <c r="AT34" s="203">
        <v>0.375</v>
      </c>
      <c r="AU34" s="203">
        <v>0.75</v>
      </c>
      <c r="AV34" s="203">
        <v>0.5</v>
      </c>
      <c r="AW34" s="203">
        <v>0.54166666666666663</v>
      </c>
      <c r="AX34" s="204" t="str">
        <f t="shared" si="8"/>
        <v>8h</v>
      </c>
      <c r="AY34" s="279"/>
      <c r="AZ34" s="279"/>
      <c r="BA34" s="279"/>
      <c r="BC34" s="196"/>
      <c r="BD34" s="271">
        <f t="shared" si="39"/>
        <v>46137</v>
      </c>
      <c r="BE34" s="272" t="str">
        <f t="shared" si="9"/>
        <v>土</v>
      </c>
      <c r="BF34" s="272"/>
      <c r="BG34" s="273"/>
      <c r="BH34" s="273"/>
      <c r="BI34" s="202"/>
      <c r="BJ34" s="202"/>
      <c r="BK34" s="274" t="str">
        <f t="shared" si="10"/>
        <v/>
      </c>
      <c r="BL34" s="203"/>
      <c r="BM34" s="203"/>
      <c r="BN34" s="203"/>
      <c r="BO34" s="203"/>
      <c r="BP34" s="204" t="str">
        <f t="shared" si="11"/>
        <v/>
      </c>
      <c r="BQ34" s="279"/>
      <c r="BR34" s="279"/>
      <c r="BS34" s="279"/>
      <c r="BU34" s="196"/>
      <c r="BV34" s="271">
        <f t="shared" si="40"/>
        <v>46167</v>
      </c>
      <c r="BW34" s="272" t="str">
        <f t="shared" si="12"/>
        <v>月</v>
      </c>
      <c r="BX34" s="272" t="s">
        <v>22</v>
      </c>
      <c r="BY34" s="273">
        <v>0.375</v>
      </c>
      <c r="BZ34" s="273">
        <v>0.75</v>
      </c>
      <c r="CA34" s="202">
        <v>0.5</v>
      </c>
      <c r="CB34" s="202">
        <v>0.54166666666666663</v>
      </c>
      <c r="CC34" s="274" t="str">
        <f t="shared" si="13"/>
        <v>8h</v>
      </c>
      <c r="CD34" s="203">
        <v>0.375</v>
      </c>
      <c r="CE34" s="203">
        <v>0.75</v>
      </c>
      <c r="CF34" s="203">
        <v>0.5</v>
      </c>
      <c r="CG34" s="203">
        <v>0.54166666666666663</v>
      </c>
      <c r="CH34" s="204" t="str">
        <f t="shared" si="14"/>
        <v>8h</v>
      </c>
      <c r="CI34" s="279"/>
      <c r="CJ34" s="279"/>
      <c r="CK34" s="279"/>
      <c r="CM34" s="196"/>
      <c r="CN34" s="271">
        <f t="shared" si="41"/>
        <v>46198</v>
      </c>
      <c r="CO34" s="272" t="str">
        <f t="shared" si="15"/>
        <v>木</v>
      </c>
      <c r="CP34" s="272" t="s">
        <v>22</v>
      </c>
      <c r="CQ34" s="273">
        <v>0.375</v>
      </c>
      <c r="CR34" s="273">
        <v>0.75</v>
      </c>
      <c r="CS34" s="202">
        <v>0.5</v>
      </c>
      <c r="CT34" s="202">
        <v>0.54166666666666663</v>
      </c>
      <c r="CU34" s="274" t="str">
        <f t="shared" si="16"/>
        <v>8h</v>
      </c>
      <c r="CV34" s="203">
        <v>0.375</v>
      </c>
      <c r="CW34" s="203">
        <v>0.75</v>
      </c>
      <c r="CX34" s="203">
        <v>0.5</v>
      </c>
      <c r="CY34" s="203">
        <v>0.54166666666666663</v>
      </c>
      <c r="CZ34" s="204" t="str">
        <f t="shared" si="17"/>
        <v>8h</v>
      </c>
      <c r="DA34" s="279"/>
      <c r="DB34" s="279"/>
      <c r="DC34" s="279"/>
      <c r="DE34" s="196"/>
      <c r="DF34" s="271">
        <f t="shared" si="42"/>
        <v>46228</v>
      </c>
      <c r="DG34" s="272" t="str">
        <f t="shared" si="18"/>
        <v>土</v>
      </c>
      <c r="DH34" s="272"/>
      <c r="DI34" s="273"/>
      <c r="DJ34" s="273"/>
      <c r="DK34" s="202"/>
      <c r="DL34" s="202"/>
      <c r="DM34" s="274" t="str">
        <f t="shared" si="19"/>
        <v/>
      </c>
      <c r="DN34" s="203"/>
      <c r="DO34" s="203"/>
      <c r="DP34" s="203"/>
      <c r="DQ34" s="203"/>
      <c r="DR34" s="204" t="str">
        <f t="shared" si="20"/>
        <v/>
      </c>
      <c r="DS34" s="279"/>
      <c r="DT34" s="279"/>
      <c r="DU34" s="279"/>
      <c r="DW34" s="196"/>
      <c r="DX34" s="271">
        <f t="shared" si="43"/>
        <v>46259</v>
      </c>
      <c r="DY34" s="272" t="str">
        <f t="shared" si="21"/>
        <v>火</v>
      </c>
      <c r="DZ34" s="272" t="s">
        <v>22</v>
      </c>
      <c r="EA34" s="273">
        <v>0.375</v>
      </c>
      <c r="EB34" s="273">
        <v>0.75</v>
      </c>
      <c r="EC34" s="202">
        <v>0.5</v>
      </c>
      <c r="ED34" s="202">
        <v>0.54166666666666663</v>
      </c>
      <c r="EE34" s="274" t="str">
        <f t="shared" si="22"/>
        <v>8h</v>
      </c>
      <c r="EF34" s="203">
        <v>0.375</v>
      </c>
      <c r="EG34" s="203">
        <v>0.75</v>
      </c>
      <c r="EH34" s="203">
        <v>0.5</v>
      </c>
      <c r="EI34" s="203">
        <v>0.54166666666666663</v>
      </c>
      <c r="EJ34" s="204" t="str">
        <f t="shared" si="23"/>
        <v>8h</v>
      </c>
      <c r="EK34" s="279"/>
      <c r="EL34" s="279"/>
      <c r="EM34" s="279"/>
      <c r="EO34" s="196"/>
      <c r="EP34" s="271">
        <f t="shared" si="44"/>
        <v>46290</v>
      </c>
      <c r="EQ34" s="272" t="str">
        <f t="shared" si="24"/>
        <v>金</v>
      </c>
      <c r="ER34" s="272" t="s">
        <v>22</v>
      </c>
      <c r="ES34" s="273">
        <v>0.375</v>
      </c>
      <c r="ET34" s="273">
        <v>0.75</v>
      </c>
      <c r="EU34" s="202">
        <v>0.5</v>
      </c>
      <c r="EV34" s="202">
        <v>0.54166666666666663</v>
      </c>
      <c r="EW34" s="274" t="str">
        <f t="shared" si="25"/>
        <v>8h</v>
      </c>
      <c r="EX34" s="203">
        <v>0.375</v>
      </c>
      <c r="EY34" s="203">
        <v>0.75</v>
      </c>
      <c r="EZ34" s="203">
        <v>0.5</v>
      </c>
      <c r="FA34" s="203">
        <v>0.54166666666666663</v>
      </c>
      <c r="FB34" s="204" t="str">
        <f t="shared" si="26"/>
        <v>8h</v>
      </c>
      <c r="FC34" s="279"/>
      <c r="FD34" s="279"/>
      <c r="FE34" s="279"/>
      <c r="FG34" s="196"/>
      <c r="FH34" s="271">
        <f t="shared" si="45"/>
        <v>46320</v>
      </c>
      <c r="FI34" s="272" t="str">
        <f t="shared" si="27"/>
        <v>日</v>
      </c>
      <c r="FJ34" s="272"/>
      <c r="FK34" s="273"/>
      <c r="FL34" s="273"/>
      <c r="FM34" s="202"/>
      <c r="FN34" s="202"/>
      <c r="FO34" s="274" t="str">
        <f t="shared" si="28"/>
        <v/>
      </c>
      <c r="FP34" s="203"/>
      <c r="FQ34" s="203"/>
      <c r="FR34" s="203"/>
      <c r="FS34" s="203"/>
      <c r="FT34" s="204" t="str">
        <f t="shared" si="29"/>
        <v/>
      </c>
      <c r="FU34" s="279"/>
      <c r="FV34" s="279"/>
      <c r="FW34" s="279"/>
      <c r="FY34" s="196"/>
      <c r="FZ34" s="271">
        <f t="shared" si="46"/>
        <v>46351</v>
      </c>
      <c r="GA34" s="272" t="str">
        <f t="shared" si="30"/>
        <v>水</v>
      </c>
      <c r="GB34" s="272" t="s">
        <v>22</v>
      </c>
      <c r="GC34" s="273">
        <v>0.375</v>
      </c>
      <c r="GD34" s="273">
        <v>0.75</v>
      </c>
      <c r="GE34" s="202">
        <v>0.5</v>
      </c>
      <c r="GF34" s="202">
        <v>0.54166666666666663</v>
      </c>
      <c r="GG34" s="274" t="str">
        <f t="shared" si="31"/>
        <v>8h</v>
      </c>
      <c r="GH34" s="203">
        <v>0.375</v>
      </c>
      <c r="GI34" s="203">
        <v>0.75</v>
      </c>
      <c r="GJ34" s="203">
        <v>0.5</v>
      </c>
      <c r="GK34" s="203">
        <v>0.54166666666666663</v>
      </c>
      <c r="GL34" s="204" t="str">
        <f t="shared" si="32"/>
        <v>8h</v>
      </c>
      <c r="GM34" s="279"/>
      <c r="GN34" s="279"/>
      <c r="GO34" s="279"/>
      <c r="GQ34" s="196"/>
      <c r="GR34" s="271">
        <f t="shared" si="47"/>
        <v>46381</v>
      </c>
      <c r="GS34" s="272" t="str">
        <f t="shared" si="33"/>
        <v>金</v>
      </c>
      <c r="GT34" s="272" t="s">
        <v>22</v>
      </c>
      <c r="GU34" s="273">
        <v>0.375</v>
      </c>
      <c r="GV34" s="273">
        <v>0.75</v>
      </c>
      <c r="GW34" s="202">
        <v>0.5</v>
      </c>
      <c r="GX34" s="202">
        <v>0.54166666666666663</v>
      </c>
      <c r="GY34" s="274" t="str">
        <f t="shared" si="34"/>
        <v>8h</v>
      </c>
      <c r="GZ34" s="203">
        <v>0.375</v>
      </c>
      <c r="HA34" s="203">
        <v>0.75</v>
      </c>
      <c r="HB34" s="203">
        <v>0.5</v>
      </c>
      <c r="HC34" s="203">
        <v>0.54166666666666663</v>
      </c>
      <c r="HD34" s="204" t="str">
        <f t="shared" si="35"/>
        <v>8h</v>
      </c>
      <c r="HE34" s="279"/>
      <c r="HF34" s="279"/>
      <c r="HG34" s="279"/>
    </row>
    <row r="35" spans="1:215" x14ac:dyDescent="0.45">
      <c r="A35" s="196"/>
      <c r="B35" s="271">
        <f t="shared" si="36"/>
        <v>46048</v>
      </c>
      <c r="C35" s="272" t="str">
        <f t="shared" si="0"/>
        <v>月</v>
      </c>
      <c r="D35" s="272" t="s">
        <v>22</v>
      </c>
      <c r="E35" s="273">
        <v>0.375</v>
      </c>
      <c r="F35" s="273">
        <v>0.75</v>
      </c>
      <c r="G35" s="202">
        <v>0.5</v>
      </c>
      <c r="H35" s="202">
        <v>0.54166666666666663</v>
      </c>
      <c r="I35" s="274" t="str">
        <f t="shared" si="1"/>
        <v>8h</v>
      </c>
      <c r="J35" s="203">
        <v>0.375</v>
      </c>
      <c r="K35" s="203">
        <v>0.75</v>
      </c>
      <c r="L35" s="203">
        <v>0.5</v>
      </c>
      <c r="M35" s="203">
        <v>0.54166666666666663</v>
      </c>
      <c r="N35" s="204" t="str">
        <f t="shared" si="2"/>
        <v>8h</v>
      </c>
      <c r="O35" s="279"/>
      <c r="P35" s="279"/>
      <c r="Q35" s="279"/>
      <c r="S35" s="196"/>
      <c r="T35" s="271">
        <f t="shared" si="37"/>
        <v>46079</v>
      </c>
      <c r="U35" s="272" t="str">
        <f t="shared" si="3"/>
        <v>木</v>
      </c>
      <c r="V35" s="272" t="s">
        <v>22</v>
      </c>
      <c r="W35" s="273">
        <v>0.375</v>
      </c>
      <c r="X35" s="273">
        <v>0.75</v>
      </c>
      <c r="Y35" s="202">
        <v>0.5</v>
      </c>
      <c r="Z35" s="202">
        <v>0.54166666666666663</v>
      </c>
      <c r="AA35" s="274" t="str">
        <f t="shared" si="4"/>
        <v>8h</v>
      </c>
      <c r="AB35" s="203">
        <v>0.375</v>
      </c>
      <c r="AC35" s="203">
        <v>0.75</v>
      </c>
      <c r="AD35" s="203">
        <v>0.5</v>
      </c>
      <c r="AE35" s="203">
        <v>0.54166666666666663</v>
      </c>
      <c r="AF35" s="204" t="str">
        <f t="shared" si="5"/>
        <v>8h</v>
      </c>
      <c r="AG35" s="279"/>
      <c r="AH35" s="279"/>
      <c r="AI35" s="279"/>
      <c r="AK35" s="196"/>
      <c r="AL35" s="271">
        <f t="shared" si="38"/>
        <v>46107</v>
      </c>
      <c r="AM35" s="272" t="str">
        <f t="shared" si="6"/>
        <v>木</v>
      </c>
      <c r="AN35" s="272" t="s">
        <v>22</v>
      </c>
      <c r="AO35" s="273">
        <v>0.375</v>
      </c>
      <c r="AP35" s="273">
        <v>0.75</v>
      </c>
      <c r="AQ35" s="202">
        <v>0.5</v>
      </c>
      <c r="AR35" s="202">
        <v>0.54166666666666663</v>
      </c>
      <c r="AS35" s="274" t="str">
        <f t="shared" si="7"/>
        <v>8h</v>
      </c>
      <c r="AT35" s="203">
        <v>0.375</v>
      </c>
      <c r="AU35" s="203">
        <v>0.75</v>
      </c>
      <c r="AV35" s="203">
        <v>0.5</v>
      </c>
      <c r="AW35" s="203">
        <v>0.54166666666666663</v>
      </c>
      <c r="AX35" s="204" t="str">
        <f t="shared" si="8"/>
        <v>8h</v>
      </c>
      <c r="AY35" s="279"/>
      <c r="AZ35" s="279"/>
      <c r="BA35" s="279"/>
      <c r="BC35" s="196"/>
      <c r="BD35" s="271">
        <f t="shared" si="39"/>
        <v>46138</v>
      </c>
      <c r="BE35" s="272" t="str">
        <f t="shared" si="9"/>
        <v>日</v>
      </c>
      <c r="BF35" s="272"/>
      <c r="BG35" s="273"/>
      <c r="BH35" s="273"/>
      <c r="BI35" s="202"/>
      <c r="BJ35" s="202"/>
      <c r="BK35" s="274" t="str">
        <f t="shared" si="10"/>
        <v/>
      </c>
      <c r="BL35" s="203"/>
      <c r="BM35" s="203"/>
      <c r="BN35" s="203"/>
      <c r="BO35" s="203"/>
      <c r="BP35" s="204" t="str">
        <f t="shared" si="11"/>
        <v/>
      </c>
      <c r="BQ35" s="279"/>
      <c r="BR35" s="279"/>
      <c r="BS35" s="279"/>
      <c r="BU35" s="196"/>
      <c r="BV35" s="271">
        <f t="shared" si="40"/>
        <v>46168</v>
      </c>
      <c r="BW35" s="272" t="str">
        <f t="shared" si="12"/>
        <v>火</v>
      </c>
      <c r="BX35" s="272" t="s">
        <v>22</v>
      </c>
      <c r="BY35" s="273">
        <v>0.375</v>
      </c>
      <c r="BZ35" s="273">
        <v>0.75</v>
      </c>
      <c r="CA35" s="202">
        <v>0.5</v>
      </c>
      <c r="CB35" s="202">
        <v>0.54166666666666663</v>
      </c>
      <c r="CC35" s="274" t="str">
        <f t="shared" si="13"/>
        <v>8h</v>
      </c>
      <c r="CD35" s="203">
        <v>0.375</v>
      </c>
      <c r="CE35" s="203">
        <v>0.75</v>
      </c>
      <c r="CF35" s="203">
        <v>0.5</v>
      </c>
      <c r="CG35" s="203">
        <v>0.54166666666666663</v>
      </c>
      <c r="CH35" s="204" t="str">
        <f t="shared" si="14"/>
        <v>8h</v>
      </c>
      <c r="CI35" s="279"/>
      <c r="CJ35" s="279"/>
      <c r="CK35" s="279"/>
      <c r="CM35" s="196"/>
      <c r="CN35" s="271">
        <f t="shared" si="41"/>
        <v>46199</v>
      </c>
      <c r="CO35" s="272" t="str">
        <f t="shared" si="15"/>
        <v>金</v>
      </c>
      <c r="CP35" s="272" t="s">
        <v>22</v>
      </c>
      <c r="CQ35" s="273">
        <v>0.375</v>
      </c>
      <c r="CR35" s="273">
        <v>0.75</v>
      </c>
      <c r="CS35" s="202">
        <v>0.5</v>
      </c>
      <c r="CT35" s="202">
        <v>0.54166666666666663</v>
      </c>
      <c r="CU35" s="274" t="str">
        <f t="shared" si="16"/>
        <v>8h</v>
      </c>
      <c r="CV35" s="203">
        <v>0.375</v>
      </c>
      <c r="CW35" s="203">
        <v>0.75</v>
      </c>
      <c r="CX35" s="203">
        <v>0.5</v>
      </c>
      <c r="CY35" s="203">
        <v>0.54166666666666663</v>
      </c>
      <c r="CZ35" s="204" t="str">
        <f t="shared" si="17"/>
        <v>8h</v>
      </c>
      <c r="DA35" s="279"/>
      <c r="DB35" s="279"/>
      <c r="DC35" s="279"/>
      <c r="DE35" s="196"/>
      <c r="DF35" s="271">
        <f t="shared" si="42"/>
        <v>46229</v>
      </c>
      <c r="DG35" s="272" t="str">
        <f t="shared" si="18"/>
        <v>日</v>
      </c>
      <c r="DH35" s="272"/>
      <c r="DI35" s="273"/>
      <c r="DJ35" s="273"/>
      <c r="DK35" s="202"/>
      <c r="DL35" s="202"/>
      <c r="DM35" s="274" t="str">
        <f t="shared" si="19"/>
        <v/>
      </c>
      <c r="DN35" s="203"/>
      <c r="DO35" s="203"/>
      <c r="DP35" s="203"/>
      <c r="DQ35" s="203"/>
      <c r="DR35" s="204" t="str">
        <f t="shared" si="20"/>
        <v/>
      </c>
      <c r="DS35" s="279"/>
      <c r="DT35" s="279"/>
      <c r="DU35" s="279"/>
      <c r="DW35" s="196"/>
      <c r="DX35" s="271">
        <f t="shared" si="43"/>
        <v>46260</v>
      </c>
      <c r="DY35" s="272" t="str">
        <f t="shared" si="21"/>
        <v>水</v>
      </c>
      <c r="DZ35" s="272" t="s">
        <v>22</v>
      </c>
      <c r="EA35" s="273">
        <v>0.375</v>
      </c>
      <c r="EB35" s="273">
        <v>0.75</v>
      </c>
      <c r="EC35" s="202">
        <v>0.5</v>
      </c>
      <c r="ED35" s="202">
        <v>0.54166666666666663</v>
      </c>
      <c r="EE35" s="274" t="str">
        <f t="shared" si="22"/>
        <v>8h</v>
      </c>
      <c r="EF35" s="203">
        <v>0.375</v>
      </c>
      <c r="EG35" s="203">
        <v>0.75</v>
      </c>
      <c r="EH35" s="203">
        <v>0.5</v>
      </c>
      <c r="EI35" s="203">
        <v>0.54166666666666663</v>
      </c>
      <c r="EJ35" s="204" t="str">
        <f t="shared" si="23"/>
        <v>8h</v>
      </c>
      <c r="EK35" s="279"/>
      <c r="EL35" s="279"/>
      <c r="EM35" s="279"/>
      <c r="EO35" s="196"/>
      <c r="EP35" s="271">
        <f t="shared" si="44"/>
        <v>46291</v>
      </c>
      <c r="EQ35" s="272" t="str">
        <f t="shared" si="24"/>
        <v>土</v>
      </c>
      <c r="ER35" s="272"/>
      <c r="ES35" s="273"/>
      <c r="ET35" s="273"/>
      <c r="EU35" s="202"/>
      <c r="EV35" s="202"/>
      <c r="EW35" s="274" t="str">
        <f t="shared" si="25"/>
        <v/>
      </c>
      <c r="EX35" s="203"/>
      <c r="EY35" s="203"/>
      <c r="EZ35" s="203"/>
      <c r="FA35" s="203"/>
      <c r="FB35" s="204" t="str">
        <f t="shared" si="26"/>
        <v/>
      </c>
      <c r="FC35" s="279"/>
      <c r="FD35" s="279"/>
      <c r="FE35" s="279"/>
      <c r="FG35" s="196"/>
      <c r="FH35" s="271">
        <f t="shared" si="45"/>
        <v>46321</v>
      </c>
      <c r="FI35" s="272" t="str">
        <f t="shared" si="27"/>
        <v>月</v>
      </c>
      <c r="FJ35" s="272" t="s">
        <v>22</v>
      </c>
      <c r="FK35" s="273">
        <v>0.375</v>
      </c>
      <c r="FL35" s="273">
        <v>0.75</v>
      </c>
      <c r="FM35" s="202">
        <v>0.5</v>
      </c>
      <c r="FN35" s="202">
        <v>0.54166666666666663</v>
      </c>
      <c r="FO35" s="274" t="str">
        <f t="shared" si="28"/>
        <v>8h</v>
      </c>
      <c r="FP35" s="203">
        <v>0.375</v>
      </c>
      <c r="FQ35" s="203">
        <v>0.75</v>
      </c>
      <c r="FR35" s="203">
        <v>0.5</v>
      </c>
      <c r="FS35" s="203">
        <v>0.54166666666666663</v>
      </c>
      <c r="FT35" s="204" t="str">
        <f t="shared" si="29"/>
        <v>8h</v>
      </c>
      <c r="FU35" s="279"/>
      <c r="FV35" s="279"/>
      <c r="FW35" s="279"/>
      <c r="FY35" s="196"/>
      <c r="FZ35" s="271">
        <f t="shared" si="46"/>
        <v>46352</v>
      </c>
      <c r="GA35" s="272" t="str">
        <f t="shared" si="30"/>
        <v>木</v>
      </c>
      <c r="GB35" s="272" t="s">
        <v>22</v>
      </c>
      <c r="GC35" s="273">
        <v>0.375</v>
      </c>
      <c r="GD35" s="273">
        <v>0.75</v>
      </c>
      <c r="GE35" s="202">
        <v>0.5</v>
      </c>
      <c r="GF35" s="202">
        <v>0.54166666666666663</v>
      </c>
      <c r="GG35" s="274" t="str">
        <f t="shared" si="31"/>
        <v>8h</v>
      </c>
      <c r="GH35" s="203">
        <v>0.375</v>
      </c>
      <c r="GI35" s="203">
        <v>0.75</v>
      </c>
      <c r="GJ35" s="203">
        <v>0.5</v>
      </c>
      <c r="GK35" s="203">
        <v>0.54166666666666663</v>
      </c>
      <c r="GL35" s="204" t="str">
        <f t="shared" si="32"/>
        <v>8h</v>
      </c>
      <c r="GM35" s="279"/>
      <c r="GN35" s="279"/>
      <c r="GO35" s="279"/>
      <c r="GQ35" s="196"/>
      <c r="GR35" s="271">
        <f t="shared" si="47"/>
        <v>46382</v>
      </c>
      <c r="GS35" s="272" t="str">
        <f t="shared" si="33"/>
        <v>土</v>
      </c>
      <c r="GT35" s="272"/>
      <c r="GU35" s="273"/>
      <c r="GV35" s="273"/>
      <c r="GW35" s="202"/>
      <c r="GX35" s="202"/>
      <c r="GY35" s="274" t="str">
        <f t="shared" si="34"/>
        <v/>
      </c>
      <c r="GZ35" s="203"/>
      <c r="HA35" s="203"/>
      <c r="HB35" s="203"/>
      <c r="HC35" s="203"/>
      <c r="HD35" s="204" t="str">
        <f t="shared" si="35"/>
        <v/>
      </c>
      <c r="HE35" s="279"/>
      <c r="HF35" s="279"/>
      <c r="HG35" s="279"/>
    </row>
    <row r="36" spans="1:215" x14ac:dyDescent="0.45">
      <c r="A36" s="196"/>
      <c r="B36" s="271">
        <f t="shared" si="36"/>
        <v>46049</v>
      </c>
      <c r="C36" s="272" t="str">
        <f t="shared" si="0"/>
        <v>火</v>
      </c>
      <c r="D36" s="272" t="s">
        <v>22</v>
      </c>
      <c r="E36" s="273">
        <v>0.375</v>
      </c>
      <c r="F36" s="273">
        <v>0.75</v>
      </c>
      <c r="G36" s="202">
        <v>0.5</v>
      </c>
      <c r="H36" s="202">
        <v>0.54166666666666663</v>
      </c>
      <c r="I36" s="274" t="str">
        <f t="shared" si="1"/>
        <v>8h</v>
      </c>
      <c r="J36" s="203">
        <v>0.375</v>
      </c>
      <c r="K36" s="203">
        <v>0.75</v>
      </c>
      <c r="L36" s="203">
        <v>0.5</v>
      </c>
      <c r="M36" s="203">
        <v>0.54166666666666663</v>
      </c>
      <c r="N36" s="204" t="str">
        <f t="shared" si="2"/>
        <v>8h</v>
      </c>
      <c r="O36" s="279"/>
      <c r="P36" s="279"/>
      <c r="Q36" s="279"/>
      <c r="S36" s="196"/>
      <c r="T36" s="271">
        <f t="shared" si="37"/>
        <v>46080</v>
      </c>
      <c r="U36" s="272" t="str">
        <f t="shared" si="3"/>
        <v>金</v>
      </c>
      <c r="V36" s="272" t="s">
        <v>22</v>
      </c>
      <c r="W36" s="273">
        <v>0.375</v>
      </c>
      <c r="X36" s="273">
        <v>0.75</v>
      </c>
      <c r="Y36" s="202">
        <v>0.5</v>
      </c>
      <c r="Z36" s="202">
        <v>0.54166666666666663</v>
      </c>
      <c r="AA36" s="274" t="str">
        <f t="shared" si="4"/>
        <v>8h</v>
      </c>
      <c r="AB36" s="203">
        <v>0.375</v>
      </c>
      <c r="AC36" s="203">
        <v>0.75</v>
      </c>
      <c r="AD36" s="203">
        <v>0.5</v>
      </c>
      <c r="AE36" s="203">
        <v>0.54166666666666663</v>
      </c>
      <c r="AF36" s="204" t="str">
        <f t="shared" si="5"/>
        <v>8h</v>
      </c>
      <c r="AG36" s="279"/>
      <c r="AH36" s="279"/>
      <c r="AI36" s="279"/>
      <c r="AK36" s="196"/>
      <c r="AL36" s="271">
        <f t="shared" si="38"/>
        <v>46108</v>
      </c>
      <c r="AM36" s="272" t="str">
        <f t="shared" si="6"/>
        <v>金</v>
      </c>
      <c r="AN36" s="272" t="s">
        <v>22</v>
      </c>
      <c r="AO36" s="273">
        <v>0.375</v>
      </c>
      <c r="AP36" s="273">
        <v>0.75</v>
      </c>
      <c r="AQ36" s="202">
        <v>0.5</v>
      </c>
      <c r="AR36" s="202">
        <v>0.54166666666666663</v>
      </c>
      <c r="AS36" s="274" t="str">
        <f t="shared" si="7"/>
        <v>8h</v>
      </c>
      <c r="AT36" s="203">
        <v>0.375</v>
      </c>
      <c r="AU36" s="203">
        <v>0.75</v>
      </c>
      <c r="AV36" s="203">
        <v>0.5</v>
      </c>
      <c r="AW36" s="203">
        <v>0.54166666666666663</v>
      </c>
      <c r="AX36" s="204" t="str">
        <f t="shared" si="8"/>
        <v>8h</v>
      </c>
      <c r="AY36" s="279"/>
      <c r="AZ36" s="279"/>
      <c r="BA36" s="279"/>
      <c r="BC36" s="196"/>
      <c r="BD36" s="271">
        <f t="shared" si="39"/>
        <v>46139</v>
      </c>
      <c r="BE36" s="272" t="str">
        <f t="shared" si="9"/>
        <v>月</v>
      </c>
      <c r="BF36" s="272" t="s">
        <v>22</v>
      </c>
      <c r="BG36" s="273">
        <v>0.375</v>
      </c>
      <c r="BH36" s="273">
        <v>0.75</v>
      </c>
      <c r="BI36" s="202">
        <v>0.5</v>
      </c>
      <c r="BJ36" s="202">
        <v>0.54166666666666663</v>
      </c>
      <c r="BK36" s="274" t="str">
        <f t="shared" si="10"/>
        <v>8h</v>
      </c>
      <c r="BL36" s="203">
        <v>0.375</v>
      </c>
      <c r="BM36" s="203">
        <v>0.75</v>
      </c>
      <c r="BN36" s="203">
        <v>0.5</v>
      </c>
      <c r="BO36" s="203">
        <v>0.54166666666666663</v>
      </c>
      <c r="BP36" s="204" t="str">
        <f t="shared" si="11"/>
        <v>8h</v>
      </c>
      <c r="BQ36" s="279"/>
      <c r="BR36" s="279"/>
      <c r="BS36" s="279"/>
      <c r="BU36" s="196"/>
      <c r="BV36" s="271">
        <f t="shared" si="40"/>
        <v>46169</v>
      </c>
      <c r="BW36" s="272" t="str">
        <f t="shared" si="12"/>
        <v>水</v>
      </c>
      <c r="BX36" s="272" t="s">
        <v>22</v>
      </c>
      <c r="BY36" s="273">
        <v>0.375</v>
      </c>
      <c r="BZ36" s="273">
        <v>0.75</v>
      </c>
      <c r="CA36" s="202">
        <v>0.5</v>
      </c>
      <c r="CB36" s="202">
        <v>0.54166666666666663</v>
      </c>
      <c r="CC36" s="274" t="str">
        <f t="shared" si="13"/>
        <v>8h</v>
      </c>
      <c r="CD36" s="203">
        <v>0.375</v>
      </c>
      <c r="CE36" s="203">
        <v>0.75</v>
      </c>
      <c r="CF36" s="203">
        <v>0.5</v>
      </c>
      <c r="CG36" s="203">
        <v>0.54166666666666663</v>
      </c>
      <c r="CH36" s="204" t="str">
        <f t="shared" si="14"/>
        <v>8h</v>
      </c>
      <c r="CI36" s="279"/>
      <c r="CJ36" s="279"/>
      <c r="CK36" s="279"/>
      <c r="CM36" s="196"/>
      <c r="CN36" s="271">
        <f t="shared" si="41"/>
        <v>46200</v>
      </c>
      <c r="CO36" s="272" t="str">
        <f t="shared" si="15"/>
        <v>土</v>
      </c>
      <c r="CP36" s="272"/>
      <c r="CQ36" s="273"/>
      <c r="CR36" s="273"/>
      <c r="CS36" s="202"/>
      <c r="CT36" s="202"/>
      <c r="CU36" s="274" t="str">
        <f t="shared" si="16"/>
        <v/>
      </c>
      <c r="CV36" s="203"/>
      <c r="CW36" s="203"/>
      <c r="CX36" s="203"/>
      <c r="CY36" s="203"/>
      <c r="CZ36" s="204" t="str">
        <f t="shared" si="17"/>
        <v/>
      </c>
      <c r="DA36" s="279"/>
      <c r="DB36" s="279"/>
      <c r="DC36" s="279"/>
      <c r="DE36" s="196"/>
      <c r="DF36" s="271">
        <f t="shared" si="42"/>
        <v>46230</v>
      </c>
      <c r="DG36" s="272" t="str">
        <f t="shared" si="18"/>
        <v>月</v>
      </c>
      <c r="DH36" s="272" t="s">
        <v>22</v>
      </c>
      <c r="DI36" s="273">
        <v>0.375</v>
      </c>
      <c r="DJ36" s="273">
        <v>0.75</v>
      </c>
      <c r="DK36" s="202">
        <v>0.5</v>
      </c>
      <c r="DL36" s="202">
        <v>0.54166666666666663</v>
      </c>
      <c r="DM36" s="274" t="str">
        <f t="shared" si="19"/>
        <v>8h</v>
      </c>
      <c r="DN36" s="203">
        <v>0.375</v>
      </c>
      <c r="DO36" s="203">
        <v>0.75</v>
      </c>
      <c r="DP36" s="203">
        <v>0.5</v>
      </c>
      <c r="DQ36" s="203">
        <v>0.54166666666666663</v>
      </c>
      <c r="DR36" s="204" t="str">
        <f t="shared" si="20"/>
        <v>8h</v>
      </c>
      <c r="DS36" s="279"/>
      <c r="DT36" s="279"/>
      <c r="DU36" s="279"/>
      <c r="DW36" s="196"/>
      <c r="DX36" s="271">
        <f t="shared" si="43"/>
        <v>46261</v>
      </c>
      <c r="DY36" s="272" t="str">
        <f t="shared" si="21"/>
        <v>木</v>
      </c>
      <c r="DZ36" s="272" t="s">
        <v>22</v>
      </c>
      <c r="EA36" s="273">
        <v>0.375</v>
      </c>
      <c r="EB36" s="273">
        <v>0.75</v>
      </c>
      <c r="EC36" s="202">
        <v>0.5</v>
      </c>
      <c r="ED36" s="202">
        <v>0.54166666666666663</v>
      </c>
      <c r="EE36" s="274" t="str">
        <f t="shared" si="22"/>
        <v>8h</v>
      </c>
      <c r="EF36" s="203">
        <v>0.375</v>
      </c>
      <c r="EG36" s="203">
        <v>0.75</v>
      </c>
      <c r="EH36" s="203">
        <v>0.5</v>
      </c>
      <c r="EI36" s="203">
        <v>0.54166666666666663</v>
      </c>
      <c r="EJ36" s="204" t="str">
        <f t="shared" si="23"/>
        <v>8h</v>
      </c>
      <c r="EK36" s="279"/>
      <c r="EL36" s="279"/>
      <c r="EM36" s="279"/>
      <c r="EO36" s="196"/>
      <c r="EP36" s="271">
        <f t="shared" si="44"/>
        <v>46292</v>
      </c>
      <c r="EQ36" s="272" t="str">
        <f t="shared" si="24"/>
        <v>日</v>
      </c>
      <c r="ER36" s="272"/>
      <c r="ES36" s="273"/>
      <c r="ET36" s="273"/>
      <c r="EU36" s="202"/>
      <c r="EV36" s="202"/>
      <c r="EW36" s="274" t="str">
        <f t="shared" si="25"/>
        <v/>
      </c>
      <c r="EX36" s="203"/>
      <c r="EY36" s="203"/>
      <c r="EZ36" s="203"/>
      <c r="FA36" s="203"/>
      <c r="FB36" s="204" t="str">
        <f t="shared" si="26"/>
        <v/>
      </c>
      <c r="FC36" s="279"/>
      <c r="FD36" s="279"/>
      <c r="FE36" s="279"/>
      <c r="FG36" s="196"/>
      <c r="FH36" s="271">
        <f t="shared" si="45"/>
        <v>46322</v>
      </c>
      <c r="FI36" s="272" t="str">
        <f t="shared" si="27"/>
        <v>火</v>
      </c>
      <c r="FJ36" s="272" t="s">
        <v>22</v>
      </c>
      <c r="FK36" s="273">
        <v>0.375</v>
      </c>
      <c r="FL36" s="273">
        <v>0.75</v>
      </c>
      <c r="FM36" s="202">
        <v>0.5</v>
      </c>
      <c r="FN36" s="202">
        <v>0.54166666666666663</v>
      </c>
      <c r="FO36" s="274" t="str">
        <f t="shared" si="28"/>
        <v>8h</v>
      </c>
      <c r="FP36" s="203">
        <v>0.375</v>
      </c>
      <c r="FQ36" s="203">
        <v>0.75</v>
      </c>
      <c r="FR36" s="203">
        <v>0.5</v>
      </c>
      <c r="FS36" s="203">
        <v>0.54166666666666663</v>
      </c>
      <c r="FT36" s="204" t="str">
        <f t="shared" si="29"/>
        <v>8h</v>
      </c>
      <c r="FU36" s="279"/>
      <c r="FV36" s="279"/>
      <c r="FW36" s="279"/>
      <c r="FY36" s="196"/>
      <c r="FZ36" s="271">
        <f t="shared" si="46"/>
        <v>46353</v>
      </c>
      <c r="GA36" s="272" t="str">
        <f t="shared" si="30"/>
        <v>金</v>
      </c>
      <c r="GB36" s="272" t="s">
        <v>22</v>
      </c>
      <c r="GC36" s="273">
        <v>0.375</v>
      </c>
      <c r="GD36" s="273">
        <v>0.75</v>
      </c>
      <c r="GE36" s="202">
        <v>0.5</v>
      </c>
      <c r="GF36" s="202">
        <v>0.54166666666666663</v>
      </c>
      <c r="GG36" s="274" t="str">
        <f t="shared" si="31"/>
        <v>8h</v>
      </c>
      <c r="GH36" s="203">
        <v>0.375</v>
      </c>
      <c r="GI36" s="203">
        <v>0.75</v>
      </c>
      <c r="GJ36" s="203">
        <v>0.5</v>
      </c>
      <c r="GK36" s="203">
        <v>0.54166666666666663</v>
      </c>
      <c r="GL36" s="204" t="str">
        <f t="shared" si="32"/>
        <v>8h</v>
      </c>
      <c r="GM36" s="279"/>
      <c r="GN36" s="279"/>
      <c r="GO36" s="279"/>
      <c r="GQ36" s="196"/>
      <c r="GR36" s="271">
        <f t="shared" si="47"/>
        <v>46383</v>
      </c>
      <c r="GS36" s="272" t="str">
        <f t="shared" si="33"/>
        <v>日</v>
      </c>
      <c r="GT36" s="272"/>
      <c r="GU36" s="273"/>
      <c r="GV36" s="273"/>
      <c r="GW36" s="202"/>
      <c r="GX36" s="202"/>
      <c r="GY36" s="274" t="str">
        <f t="shared" si="34"/>
        <v/>
      </c>
      <c r="GZ36" s="203"/>
      <c r="HA36" s="203"/>
      <c r="HB36" s="203"/>
      <c r="HC36" s="203"/>
      <c r="HD36" s="204" t="str">
        <f t="shared" si="35"/>
        <v/>
      </c>
      <c r="HE36" s="279"/>
      <c r="HF36" s="279"/>
      <c r="HG36" s="279"/>
    </row>
    <row r="37" spans="1:215" x14ac:dyDescent="0.45">
      <c r="A37" s="196"/>
      <c r="B37" s="271">
        <f t="shared" si="36"/>
        <v>46050</v>
      </c>
      <c r="C37" s="272" t="str">
        <f t="shared" si="0"/>
        <v>水</v>
      </c>
      <c r="D37" s="272" t="s">
        <v>22</v>
      </c>
      <c r="E37" s="273">
        <v>0.375</v>
      </c>
      <c r="F37" s="273">
        <v>0.75</v>
      </c>
      <c r="G37" s="202">
        <v>0.5</v>
      </c>
      <c r="H37" s="202">
        <v>0.54166666666666663</v>
      </c>
      <c r="I37" s="274" t="str">
        <f t="shared" si="1"/>
        <v>8h</v>
      </c>
      <c r="J37" s="203">
        <v>0.375</v>
      </c>
      <c r="K37" s="203">
        <v>0.75</v>
      </c>
      <c r="L37" s="203">
        <v>0.5</v>
      </c>
      <c r="M37" s="203">
        <v>0.54166666666666663</v>
      </c>
      <c r="N37" s="204" t="str">
        <f t="shared" si="2"/>
        <v>8h</v>
      </c>
      <c r="O37" s="279"/>
      <c r="P37" s="279"/>
      <c r="Q37" s="279"/>
      <c r="S37" s="196"/>
      <c r="T37" s="271">
        <f t="shared" si="37"/>
        <v>46081</v>
      </c>
      <c r="U37" s="272" t="str">
        <f t="shared" si="3"/>
        <v>土</v>
      </c>
      <c r="V37" s="272"/>
      <c r="W37" s="273"/>
      <c r="X37" s="273"/>
      <c r="Y37" s="202"/>
      <c r="Z37" s="202"/>
      <c r="AA37" s="274" t="str">
        <f t="shared" si="4"/>
        <v/>
      </c>
      <c r="AB37" s="203"/>
      <c r="AC37" s="203"/>
      <c r="AD37" s="203"/>
      <c r="AE37" s="203"/>
      <c r="AF37" s="204" t="str">
        <f t="shared" si="5"/>
        <v/>
      </c>
      <c r="AG37" s="279"/>
      <c r="AH37" s="279"/>
      <c r="AI37" s="279"/>
      <c r="AK37" s="196"/>
      <c r="AL37" s="271">
        <f t="shared" si="38"/>
        <v>46109</v>
      </c>
      <c r="AM37" s="272" t="str">
        <f t="shared" si="6"/>
        <v>土</v>
      </c>
      <c r="AN37" s="272"/>
      <c r="AO37" s="273"/>
      <c r="AP37" s="273"/>
      <c r="AQ37" s="202"/>
      <c r="AR37" s="202"/>
      <c r="AS37" s="274" t="str">
        <f t="shared" si="7"/>
        <v/>
      </c>
      <c r="AT37" s="203"/>
      <c r="AU37" s="203"/>
      <c r="AV37" s="203"/>
      <c r="AW37" s="203"/>
      <c r="AX37" s="204" t="str">
        <f t="shared" si="8"/>
        <v/>
      </c>
      <c r="AY37" s="279"/>
      <c r="AZ37" s="279"/>
      <c r="BA37" s="279"/>
      <c r="BC37" s="196"/>
      <c r="BD37" s="271">
        <f t="shared" si="39"/>
        <v>46140</v>
      </c>
      <c r="BE37" s="272" t="str">
        <f t="shared" si="9"/>
        <v>火</v>
      </c>
      <c r="BF37" s="272" t="s">
        <v>22</v>
      </c>
      <c r="BG37" s="273">
        <v>0.375</v>
      </c>
      <c r="BH37" s="273">
        <v>0.75</v>
      </c>
      <c r="BI37" s="202">
        <v>0.5</v>
      </c>
      <c r="BJ37" s="202">
        <v>0.54166666666666663</v>
      </c>
      <c r="BK37" s="274" t="str">
        <f t="shared" si="10"/>
        <v>8h</v>
      </c>
      <c r="BL37" s="203">
        <v>0.375</v>
      </c>
      <c r="BM37" s="203">
        <v>0.75</v>
      </c>
      <c r="BN37" s="203">
        <v>0.5</v>
      </c>
      <c r="BO37" s="203">
        <v>0.54166666666666663</v>
      </c>
      <c r="BP37" s="204" t="str">
        <f t="shared" si="11"/>
        <v>8h</v>
      </c>
      <c r="BQ37" s="279"/>
      <c r="BR37" s="279"/>
      <c r="BS37" s="279"/>
      <c r="BU37" s="196"/>
      <c r="BV37" s="271">
        <f t="shared" si="40"/>
        <v>46170</v>
      </c>
      <c r="BW37" s="272" t="str">
        <f t="shared" si="12"/>
        <v>木</v>
      </c>
      <c r="BX37" s="272" t="s">
        <v>22</v>
      </c>
      <c r="BY37" s="273">
        <v>0.375</v>
      </c>
      <c r="BZ37" s="273">
        <v>0.75</v>
      </c>
      <c r="CA37" s="202">
        <v>0.5</v>
      </c>
      <c r="CB37" s="202">
        <v>0.54166666666666663</v>
      </c>
      <c r="CC37" s="274" t="str">
        <f t="shared" si="13"/>
        <v>8h</v>
      </c>
      <c r="CD37" s="203">
        <v>0.375</v>
      </c>
      <c r="CE37" s="203">
        <v>0.75</v>
      </c>
      <c r="CF37" s="203">
        <v>0.5</v>
      </c>
      <c r="CG37" s="203">
        <v>0.54166666666666663</v>
      </c>
      <c r="CH37" s="204" t="str">
        <f t="shared" si="14"/>
        <v>8h</v>
      </c>
      <c r="CI37" s="279"/>
      <c r="CJ37" s="279"/>
      <c r="CK37" s="279"/>
      <c r="CM37" s="196"/>
      <c r="CN37" s="271">
        <f t="shared" si="41"/>
        <v>46201</v>
      </c>
      <c r="CO37" s="272" t="str">
        <f t="shared" si="15"/>
        <v>日</v>
      </c>
      <c r="CP37" s="272"/>
      <c r="CQ37" s="273"/>
      <c r="CR37" s="273"/>
      <c r="CS37" s="202"/>
      <c r="CT37" s="202"/>
      <c r="CU37" s="274" t="str">
        <f t="shared" si="16"/>
        <v/>
      </c>
      <c r="CV37" s="203"/>
      <c r="CW37" s="203"/>
      <c r="CX37" s="203"/>
      <c r="CY37" s="203"/>
      <c r="CZ37" s="204" t="str">
        <f t="shared" si="17"/>
        <v/>
      </c>
      <c r="DA37" s="279"/>
      <c r="DB37" s="279"/>
      <c r="DC37" s="279"/>
      <c r="DE37" s="196"/>
      <c r="DF37" s="271">
        <f t="shared" si="42"/>
        <v>46231</v>
      </c>
      <c r="DG37" s="272" t="str">
        <f t="shared" si="18"/>
        <v>火</v>
      </c>
      <c r="DH37" s="272" t="s">
        <v>22</v>
      </c>
      <c r="DI37" s="273">
        <v>0.375</v>
      </c>
      <c r="DJ37" s="273">
        <v>0.75</v>
      </c>
      <c r="DK37" s="202">
        <v>0.5</v>
      </c>
      <c r="DL37" s="202">
        <v>0.54166666666666663</v>
      </c>
      <c r="DM37" s="274" t="str">
        <f t="shared" si="19"/>
        <v>8h</v>
      </c>
      <c r="DN37" s="203">
        <v>0.375</v>
      </c>
      <c r="DO37" s="203">
        <v>0.75</v>
      </c>
      <c r="DP37" s="203">
        <v>0.5</v>
      </c>
      <c r="DQ37" s="203">
        <v>0.54166666666666663</v>
      </c>
      <c r="DR37" s="204" t="str">
        <f t="shared" si="20"/>
        <v>8h</v>
      </c>
      <c r="DS37" s="279"/>
      <c r="DT37" s="279"/>
      <c r="DU37" s="279"/>
      <c r="DW37" s="196"/>
      <c r="DX37" s="271">
        <f t="shared" si="43"/>
        <v>46262</v>
      </c>
      <c r="DY37" s="272" t="str">
        <f t="shared" si="21"/>
        <v>金</v>
      </c>
      <c r="DZ37" s="272" t="s">
        <v>22</v>
      </c>
      <c r="EA37" s="273">
        <v>0.375</v>
      </c>
      <c r="EB37" s="273">
        <v>0.75</v>
      </c>
      <c r="EC37" s="202">
        <v>0.5</v>
      </c>
      <c r="ED37" s="202">
        <v>0.54166666666666663</v>
      </c>
      <c r="EE37" s="274" t="str">
        <f t="shared" si="22"/>
        <v>8h</v>
      </c>
      <c r="EF37" s="203">
        <v>0.375</v>
      </c>
      <c r="EG37" s="203">
        <v>0.75</v>
      </c>
      <c r="EH37" s="203">
        <v>0.5</v>
      </c>
      <c r="EI37" s="203">
        <v>0.54166666666666663</v>
      </c>
      <c r="EJ37" s="204" t="str">
        <f t="shared" si="23"/>
        <v>8h</v>
      </c>
      <c r="EK37" s="279"/>
      <c r="EL37" s="279"/>
      <c r="EM37" s="279"/>
      <c r="EO37" s="196"/>
      <c r="EP37" s="271">
        <f t="shared" si="44"/>
        <v>46293</v>
      </c>
      <c r="EQ37" s="272" t="str">
        <f t="shared" si="24"/>
        <v>月</v>
      </c>
      <c r="ER37" s="272" t="s">
        <v>22</v>
      </c>
      <c r="ES37" s="273">
        <v>0.375</v>
      </c>
      <c r="ET37" s="273">
        <v>0.75</v>
      </c>
      <c r="EU37" s="202">
        <v>0.5</v>
      </c>
      <c r="EV37" s="202">
        <v>0.54166666666666663</v>
      </c>
      <c r="EW37" s="274" t="str">
        <f t="shared" si="25"/>
        <v>8h</v>
      </c>
      <c r="EX37" s="203">
        <v>0.375</v>
      </c>
      <c r="EY37" s="203">
        <v>0.75</v>
      </c>
      <c r="EZ37" s="203">
        <v>0.5</v>
      </c>
      <c r="FA37" s="203">
        <v>0.54166666666666663</v>
      </c>
      <c r="FB37" s="204" t="str">
        <f t="shared" si="26"/>
        <v>8h</v>
      </c>
      <c r="FC37" s="279"/>
      <c r="FD37" s="279"/>
      <c r="FE37" s="279"/>
      <c r="FG37" s="196"/>
      <c r="FH37" s="271">
        <f t="shared" si="45"/>
        <v>46323</v>
      </c>
      <c r="FI37" s="272" t="str">
        <f t="shared" si="27"/>
        <v>水</v>
      </c>
      <c r="FJ37" s="272" t="s">
        <v>22</v>
      </c>
      <c r="FK37" s="273">
        <v>0.375</v>
      </c>
      <c r="FL37" s="273">
        <v>0.75</v>
      </c>
      <c r="FM37" s="202">
        <v>0.5</v>
      </c>
      <c r="FN37" s="202">
        <v>0.54166666666666663</v>
      </c>
      <c r="FO37" s="274" t="str">
        <f t="shared" si="28"/>
        <v>8h</v>
      </c>
      <c r="FP37" s="203">
        <v>0.375</v>
      </c>
      <c r="FQ37" s="203">
        <v>0.75</v>
      </c>
      <c r="FR37" s="203">
        <v>0.5</v>
      </c>
      <c r="FS37" s="203">
        <v>0.54166666666666663</v>
      </c>
      <c r="FT37" s="204" t="str">
        <f t="shared" si="29"/>
        <v>8h</v>
      </c>
      <c r="FU37" s="279"/>
      <c r="FV37" s="279"/>
      <c r="FW37" s="279"/>
      <c r="FY37" s="196"/>
      <c r="FZ37" s="271">
        <f t="shared" si="46"/>
        <v>46354</v>
      </c>
      <c r="GA37" s="272" t="str">
        <f t="shared" si="30"/>
        <v>土</v>
      </c>
      <c r="GB37" s="272"/>
      <c r="GC37" s="273"/>
      <c r="GD37" s="273"/>
      <c r="GE37" s="202"/>
      <c r="GF37" s="202"/>
      <c r="GG37" s="274" t="str">
        <f t="shared" si="31"/>
        <v/>
      </c>
      <c r="GH37" s="203"/>
      <c r="GI37" s="203"/>
      <c r="GJ37" s="203"/>
      <c r="GK37" s="203"/>
      <c r="GL37" s="204" t="str">
        <f t="shared" si="32"/>
        <v/>
      </c>
      <c r="GM37" s="279"/>
      <c r="GN37" s="279"/>
      <c r="GO37" s="279"/>
      <c r="GQ37" s="196"/>
      <c r="GR37" s="271">
        <f t="shared" si="47"/>
        <v>46384</v>
      </c>
      <c r="GS37" s="272" t="str">
        <f t="shared" si="33"/>
        <v>月</v>
      </c>
      <c r="GT37" s="272" t="s">
        <v>22</v>
      </c>
      <c r="GU37" s="273">
        <v>0.375</v>
      </c>
      <c r="GV37" s="273">
        <v>0.75</v>
      </c>
      <c r="GW37" s="202">
        <v>0.5</v>
      </c>
      <c r="GX37" s="202">
        <v>0.54166666666666663</v>
      </c>
      <c r="GY37" s="274" t="str">
        <f t="shared" si="34"/>
        <v>8h</v>
      </c>
      <c r="GZ37" s="203">
        <v>0.375</v>
      </c>
      <c r="HA37" s="203">
        <v>0.75</v>
      </c>
      <c r="HB37" s="203">
        <v>0.5</v>
      </c>
      <c r="HC37" s="203">
        <v>0.54166666666666663</v>
      </c>
      <c r="HD37" s="204" t="str">
        <f t="shared" si="35"/>
        <v>8h</v>
      </c>
      <c r="HE37" s="279"/>
      <c r="HF37" s="279"/>
      <c r="HG37" s="279"/>
    </row>
    <row r="38" spans="1:215" x14ac:dyDescent="0.45">
      <c r="A38" s="196"/>
      <c r="B38" s="271">
        <f t="shared" si="36"/>
        <v>46051</v>
      </c>
      <c r="C38" s="272" t="str">
        <f t="shared" si="0"/>
        <v>木</v>
      </c>
      <c r="D38" s="272" t="s">
        <v>22</v>
      </c>
      <c r="E38" s="273">
        <v>0.375</v>
      </c>
      <c r="F38" s="273">
        <v>0.75</v>
      </c>
      <c r="G38" s="202">
        <v>0.5</v>
      </c>
      <c r="H38" s="202">
        <v>0.54166666666666663</v>
      </c>
      <c r="I38" s="274" t="str">
        <f t="shared" si="1"/>
        <v>8h</v>
      </c>
      <c r="J38" s="203">
        <v>0.375</v>
      </c>
      <c r="K38" s="203">
        <v>0.75</v>
      </c>
      <c r="L38" s="203">
        <v>0.5</v>
      </c>
      <c r="M38" s="203">
        <v>0.54166666666666663</v>
      </c>
      <c r="N38" s="204" t="str">
        <f t="shared" si="2"/>
        <v>8h</v>
      </c>
      <c r="O38" s="279"/>
      <c r="P38" s="279"/>
      <c r="Q38" s="279"/>
      <c r="S38" s="196"/>
      <c r="T38" s="271" t="str">
        <f t="shared" si="37"/>
        <v/>
      </c>
      <c r="U38" s="272" t="str">
        <f t="shared" si="3"/>
        <v/>
      </c>
      <c r="V38" s="272"/>
      <c r="W38" s="273"/>
      <c r="X38" s="273"/>
      <c r="Y38" s="202"/>
      <c r="Z38" s="202"/>
      <c r="AA38" s="274" t="str">
        <f t="shared" si="4"/>
        <v/>
      </c>
      <c r="AB38" s="203"/>
      <c r="AC38" s="203"/>
      <c r="AD38" s="203"/>
      <c r="AE38" s="203"/>
      <c r="AF38" s="204" t="str">
        <f t="shared" si="5"/>
        <v/>
      </c>
      <c r="AG38" s="279"/>
      <c r="AH38" s="279"/>
      <c r="AI38" s="279"/>
      <c r="AK38" s="196"/>
      <c r="AL38" s="271">
        <f t="shared" si="38"/>
        <v>46110</v>
      </c>
      <c r="AM38" s="272" t="str">
        <f t="shared" si="6"/>
        <v>日</v>
      </c>
      <c r="AN38" s="272"/>
      <c r="AO38" s="273"/>
      <c r="AP38" s="273"/>
      <c r="AQ38" s="202"/>
      <c r="AR38" s="202"/>
      <c r="AS38" s="274" t="str">
        <f t="shared" si="7"/>
        <v/>
      </c>
      <c r="AT38" s="203"/>
      <c r="AU38" s="203"/>
      <c r="AV38" s="203"/>
      <c r="AW38" s="203"/>
      <c r="AX38" s="204" t="str">
        <f t="shared" si="8"/>
        <v/>
      </c>
      <c r="AY38" s="279"/>
      <c r="AZ38" s="279"/>
      <c r="BA38" s="279"/>
      <c r="BC38" s="196"/>
      <c r="BD38" s="271">
        <f t="shared" si="39"/>
        <v>46141</v>
      </c>
      <c r="BE38" s="272" t="str">
        <f t="shared" si="9"/>
        <v>水</v>
      </c>
      <c r="BF38" s="272"/>
      <c r="BG38" s="273"/>
      <c r="BH38" s="273"/>
      <c r="BI38" s="202"/>
      <c r="BJ38" s="202"/>
      <c r="BK38" s="274" t="str">
        <f t="shared" si="10"/>
        <v/>
      </c>
      <c r="BL38" s="203"/>
      <c r="BM38" s="203"/>
      <c r="BN38" s="203"/>
      <c r="BO38" s="203"/>
      <c r="BP38" s="204" t="str">
        <f t="shared" si="11"/>
        <v/>
      </c>
      <c r="BQ38" s="279"/>
      <c r="BR38" s="279"/>
      <c r="BS38" s="279"/>
      <c r="BU38" s="196"/>
      <c r="BV38" s="271">
        <f t="shared" si="40"/>
        <v>46171</v>
      </c>
      <c r="BW38" s="272" t="str">
        <f t="shared" si="12"/>
        <v>金</v>
      </c>
      <c r="BX38" s="272" t="s">
        <v>22</v>
      </c>
      <c r="BY38" s="273">
        <v>0.375</v>
      </c>
      <c r="BZ38" s="273">
        <v>0.75</v>
      </c>
      <c r="CA38" s="202">
        <v>0.5</v>
      </c>
      <c r="CB38" s="202">
        <v>0.54166666666666663</v>
      </c>
      <c r="CC38" s="274" t="str">
        <f t="shared" si="13"/>
        <v>8h</v>
      </c>
      <c r="CD38" s="203">
        <v>0.375</v>
      </c>
      <c r="CE38" s="203">
        <v>0.75</v>
      </c>
      <c r="CF38" s="203">
        <v>0.5</v>
      </c>
      <c r="CG38" s="203">
        <v>0.54166666666666663</v>
      </c>
      <c r="CH38" s="204" t="str">
        <f t="shared" si="14"/>
        <v>8h</v>
      </c>
      <c r="CI38" s="279"/>
      <c r="CJ38" s="279"/>
      <c r="CK38" s="279"/>
      <c r="CM38" s="196"/>
      <c r="CN38" s="271">
        <f t="shared" si="41"/>
        <v>46202</v>
      </c>
      <c r="CO38" s="272" t="str">
        <f t="shared" si="15"/>
        <v>月</v>
      </c>
      <c r="CP38" s="272" t="s">
        <v>22</v>
      </c>
      <c r="CQ38" s="273">
        <v>0.375</v>
      </c>
      <c r="CR38" s="273">
        <v>0.75</v>
      </c>
      <c r="CS38" s="202">
        <v>0.5</v>
      </c>
      <c r="CT38" s="202">
        <v>0.54166666666666663</v>
      </c>
      <c r="CU38" s="274" t="str">
        <f t="shared" si="16"/>
        <v>8h</v>
      </c>
      <c r="CV38" s="203">
        <v>0.375</v>
      </c>
      <c r="CW38" s="203">
        <v>0.75</v>
      </c>
      <c r="CX38" s="203">
        <v>0.5</v>
      </c>
      <c r="CY38" s="203">
        <v>0.54166666666666663</v>
      </c>
      <c r="CZ38" s="204" t="str">
        <f t="shared" si="17"/>
        <v>8h</v>
      </c>
      <c r="DA38" s="279"/>
      <c r="DB38" s="279"/>
      <c r="DC38" s="279"/>
      <c r="DE38" s="196"/>
      <c r="DF38" s="271">
        <f t="shared" si="42"/>
        <v>46232</v>
      </c>
      <c r="DG38" s="272" t="str">
        <f t="shared" si="18"/>
        <v>水</v>
      </c>
      <c r="DH38" s="272" t="s">
        <v>22</v>
      </c>
      <c r="DI38" s="273">
        <v>0.375</v>
      </c>
      <c r="DJ38" s="273">
        <v>0.75</v>
      </c>
      <c r="DK38" s="202">
        <v>0.5</v>
      </c>
      <c r="DL38" s="202">
        <v>0.54166666666666663</v>
      </c>
      <c r="DM38" s="274" t="str">
        <f t="shared" si="19"/>
        <v>8h</v>
      </c>
      <c r="DN38" s="203">
        <v>0.375</v>
      </c>
      <c r="DO38" s="203">
        <v>0.75</v>
      </c>
      <c r="DP38" s="203">
        <v>0.5</v>
      </c>
      <c r="DQ38" s="203">
        <v>0.54166666666666663</v>
      </c>
      <c r="DR38" s="204" t="str">
        <f t="shared" si="20"/>
        <v>8h</v>
      </c>
      <c r="DS38" s="279"/>
      <c r="DT38" s="279"/>
      <c r="DU38" s="279"/>
      <c r="DW38" s="196"/>
      <c r="DX38" s="271">
        <f t="shared" si="43"/>
        <v>46263</v>
      </c>
      <c r="DY38" s="272" t="str">
        <f t="shared" si="21"/>
        <v>土</v>
      </c>
      <c r="DZ38" s="272"/>
      <c r="EA38" s="273"/>
      <c r="EB38" s="273"/>
      <c r="EC38" s="202"/>
      <c r="ED38" s="202"/>
      <c r="EE38" s="274" t="str">
        <f t="shared" si="22"/>
        <v/>
      </c>
      <c r="EF38" s="203"/>
      <c r="EG38" s="203"/>
      <c r="EH38" s="203"/>
      <c r="EI38" s="203"/>
      <c r="EJ38" s="204" t="str">
        <f t="shared" si="23"/>
        <v/>
      </c>
      <c r="EK38" s="279"/>
      <c r="EL38" s="279"/>
      <c r="EM38" s="279"/>
      <c r="EO38" s="196"/>
      <c r="EP38" s="271">
        <f t="shared" si="44"/>
        <v>46294</v>
      </c>
      <c r="EQ38" s="272" t="str">
        <f t="shared" si="24"/>
        <v>火</v>
      </c>
      <c r="ER38" s="272" t="s">
        <v>22</v>
      </c>
      <c r="ES38" s="273">
        <v>0.375</v>
      </c>
      <c r="ET38" s="273">
        <v>0.75</v>
      </c>
      <c r="EU38" s="202">
        <v>0.5</v>
      </c>
      <c r="EV38" s="202">
        <v>0.54166666666666663</v>
      </c>
      <c r="EW38" s="274" t="str">
        <f t="shared" si="25"/>
        <v>8h</v>
      </c>
      <c r="EX38" s="203">
        <v>0.375</v>
      </c>
      <c r="EY38" s="203">
        <v>0.75</v>
      </c>
      <c r="EZ38" s="203">
        <v>0.5</v>
      </c>
      <c r="FA38" s="203">
        <v>0.54166666666666663</v>
      </c>
      <c r="FB38" s="204" t="str">
        <f t="shared" si="26"/>
        <v>8h</v>
      </c>
      <c r="FC38" s="279"/>
      <c r="FD38" s="279"/>
      <c r="FE38" s="279"/>
      <c r="FG38" s="196"/>
      <c r="FH38" s="271">
        <f t="shared" si="45"/>
        <v>46324</v>
      </c>
      <c r="FI38" s="272" t="str">
        <f t="shared" si="27"/>
        <v>木</v>
      </c>
      <c r="FJ38" s="272" t="s">
        <v>22</v>
      </c>
      <c r="FK38" s="273">
        <v>0.375</v>
      </c>
      <c r="FL38" s="273">
        <v>0.75</v>
      </c>
      <c r="FM38" s="202">
        <v>0.5</v>
      </c>
      <c r="FN38" s="202">
        <v>0.54166666666666663</v>
      </c>
      <c r="FO38" s="274" t="str">
        <f t="shared" si="28"/>
        <v>8h</v>
      </c>
      <c r="FP38" s="203">
        <v>0.375</v>
      </c>
      <c r="FQ38" s="203">
        <v>0.75</v>
      </c>
      <c r="FR38" s="203">
        <v>0.5</v>
      </c>
      <c r="FS38" s="203">
        <v>0.54166666666666663</v>
      </c>
      <c r="FT38" s="204" t="str">
        <f t="shared" si="29"/>
        <v>8h</v>
      </c>
      <c r="FU38" s="279"/>
      <c r="FV38" s="279"/>
      <c r="FW38" s="279"/>
      <c r="FY38" s="196"/>
      <c r="FZ38" s="271">
        <f t="shared" si="46"/>
        <v>46355</v>
      </c>
      <c r="GA38" s="272" t="str">
        <f t="shared" si="30"/>
        <v>日</v>
      </c>
      <c r="GB38" s="272"/>
      <c r="GC38" s="273"/>
      <c r="GD38" s="273"/>
      <c r="GE38" s="202"/>
      <c r="GF38" s="202"/>
      <c r="GG38" s="274" t="str">
        <f t="shared" si="31"/>
        <v/>
      </c>
      <c r="GH38" s="203"/>
      <c r="GI38" s="203"/>
      <c r="GJ38" s="203"/>
      <c r="GK38" s="203"/>
      <c r="GL38" s="204" t="str">
        <f t="shared" si="32"/>
        <v/>
      </c>
      <c r="GM38" s="279"/>
      <c r="GN38" s="279"/>
      <c r="GO38" s="279"/>
      <c r="GQ38" s="196"/>
      <c r="GR38" s="271">
        <f t="shared" si="47"/>
        <v>46385</v>
      </c>
      <c r="GS38" s="272" t="str">
        <f t="shared" si="33"/>
        <v>火</v>
      </c>
      <c r="GT38" s="272"/>
      <c r="GU38" s="273"/>
      <c r="GV38" s="273"/>
      <c r="GW38" s="202"/>
      <c r="GX38" s="202"/>
      <c r="GY38" s="274" t="str">
        <f t="shared" si="34"/>
        <v/>
      </c>
      <c r="GZ38" s="203"/>
      <c r="HA38" s="203"/>
      <c r="HB38" s="203"/>
      <c r="HC38" s="203"/>
      <c r="HD38" s="204" t="str">
        <f t="shared" si="35"/>
        <v/>
      </c>
      <c r="HE38" s="279"/>
      <c r="HF38" s="279"/>
      <c r="HG38" s="279"/>
    </row>
    <row r="39" spans="1:215" x14ac:dyDescent="0.45">
      <c r="A39" s="196"/>
      <c r="B39" s="271">
        <f t="shared" si="36"/>
        <v>46052</v>
      </c>
      <c r="C39" s="272" t="str">
        <f t="shared" si="0"/>
        <v>金</v>
      </c>
      <c r="D39" s="272" t="s">
        <v>22</v>
      </c>
      <c r="E39" s="273">
        <v>0.375</v>
      </c>
      <c r="F39" s="273">
        <v>0.75</v>
      </c>
      <c r="G39" s="202">
        <v>0.5</v>
      </c>
      <c r="H39" s="202">
        <v>0.54166666666666663</v>
      </c>
      <c r="I39" s="274" t="str">
        <f t="shared" si="1"/>
        <v>8h</v>
      </c>
      <c r="J39" s="203">
        <v>0.375</v>
      </c>
      <c r="K39" s="203">
        <v>0.75</v>
      </c>
      <c r="L39" s="203">
        <v>0.5</v>
      </c>
      <c r="M39" s="203">
        <v>0.54166666666666663</v>
      </c>
      <c r="N39" s="204" t="str">
        <f t="shared" si="2"/>
        <v>8h</v>
      </c>
      <c r="O39" s="279"/>
      <c r="P39" s="279"/>
      <c r="Q39" s="279"/>
      <c r="S39" s="196"/>
      <c r="T39" s="271" t="str">
        <f t="shared" si="37"/>
        <v/>
      </c>
      <c r="U39" s="272" t="str">
        <f t="shared" si="3"/>
        <v/>
      </c>
      <c r="V39" s="272"/>
      <c r="W39" s="273"/>
      <c r="X39" s="273"/>
      <c r="Y39" s="202"/>
      <c r="Z39" s="202"/>
      <c r="AA39" s="274" t="str">
        <f t="shared" si="4"/>
        <v/>
      </c>
      <c r="AB39" s="203"/>
      <c r="AC39" s="203"/>
      <c r="AD39" s="203"/>
      <c r="AE39" s="203"/>
      <c r="AF39" s="204" t="str">
        <f t="shared" si="5"/>
        <v/>
      </c>
      <c r="AG39" s="279"/>
      <c r="AH39" s="279"/>
      <c r="AI39" s="279"/>
      <c r="AK39" s="196"/>
      <c r="AL39" s="271">
        <f t="shared" si="38"/>
        <v>46111</v>
      </c>
      <c r="AM39" s="272" t="str">
        <f t="shared" si="6"/>
        <v>月</v>
      </c>
      <c r="AN39" s="272" t="s">
        <v>22</v>
      </c>
      <c r="AO39" s="273">
        <v>0.375</v>
      </c>
      <c r="AP39" s="273">
        <v>0.75</v>
      </c>
      <c r="AQ39" s="202">
        <v>0.5</v>
      </c>
      <c r="AR39" s="202">
        <v>0.54166666666666663</v>
      </c>
      <c r="AS39" s="274" t="str">
        <f t="shared" si="7"/>
        <v>8h</v>
      </c>
      <c r="AT39" s="203">
        <v>0.375</v>
      </c>
      <c r="AU39" s="203">
        <v>0.75</v>
      </c>
      <c r="AV39" s="203">
        <v>0.5</v>
      </c>
      <c r="AW39" s="203">
        <v>0.54166666666666663</v>
      </c>
      <c r="AX39" s="204" t="str">
        <f t="shared" si="8"/>
        <v>8h</v>
      </c>
      <c r="AY39" s="279"/>
      <c r="AZ39" s="279"/>
      <c r="BA39" s="279"/>
      <c r="BC39" s="196"/>
      <c r="BD39" s="271">
        <f t="shared" si="39"/>
        <v>46142</v>
      </c>
      <c r="BE39" s="272" t="str">
        <f t="shared" si="9"/>
        <v>木</v>
      </c>
      <c r="BF39" s="272" t="s">
        <v>22</v>
      </c>
      <c r="BG39" s="273">
        <v>0.375</v>
      </c>
      <c r="BH39" s="273">
        <v>0.75</v>
      </c>
      <c r="BI39" s="202">
        <v>0.5</v>
      </c>
      <c r="BJ39" s="202">
        <v>0.54166666666666663</v>
      </c>
      <c r="BK39" s="274" t="str">
        <f t="shared" si="10"/>
        <v>8h</v>
      </c>
      <c r="BL39" s="203">
        <v>0.375</v>
      </c>
      <c r="BM39" s="203">
        <v>0.75</v>
      </c>
      <c r="BN39" s="203">
        <v>0.5</v>
      </c>
      <c r="BO39" s="203">
        <v>0.54166666666666663</v>
      </c>
      <c r="BP39" s="204" t="str">
        <f t="shared" si="11"/>
        <v>8h</v>
      </c>
      <c r="BQ39" s="279"/>
      <c r="BR39" s="279"/>
      <c r="BS39" s="279"/>
      <c r="BU39" s="196"/>
      <c r="BV39" s="271">
        <f t="shared" si="40"/>
        <v>46172</v>
      </c>
      <c r="BW39" s="272" t="str">
        <f t="shared" si="12"/>
        <v>土</v>
      </c>
      <c r="BX39" s="272"/>
      <c r="BY39" s="273"/>
      <c r="BZ39" s="273"/>
      <c r="CA39" s="202"/>
      <c r="CB39" s="202"/>
      <c r="CC39" s="274" t="str">
        <f t="shared" si="13"/>
        <v/>
      </c>
      <c r="CD39" s="203"/>
      <c r="CE39" s="203"/>
      <c r="CF39" s="203"/>
      <c r="CG39" s="203"/>
      <c r="CH39" s="204" t="str">
        <f t="shared" si="14"/>
        <v/>
      </c>
      <c r="CI39" s="279"/>
      <c r="CJ39" s="279"/>
      <c r="CK39" s="279"/>
      <c r="CM39" s="196"/>
      <c r="CN39" s="271">
        <f t="shared" si="41"/>
        <v>46203</v>
      </c>
      <c r="CO39" s="272" t="str">
        <f t="shared" si="15"/>
        <v>火</v>
      </c>
      <c r="CP39" s="272" t="s">
        <v>22</v>
      </c>
      <c r="CQ39" s="273">
        <v>0.375</v>
      </c>
      <c r="CR39" s="273">
        <v>0.75</v>
      </c>
      <c r="CS39" s="202">
        <v>0.5</v>
      </c>
      <c r="CT39" s="202">
        <v>0.54166666666666663</v>
      </c>
      <c r="CU39" s="274" t="str">
        <f t="shared" si="16"/>
        <v>8h</v>
      </c>
      <c r="CV39" s="203">
        <v>0.375</v>
      </c>
      <c r="CW39" s="203">
        <v>0.75</v>
      </c>
      <c r="CX39" s="203">
        <v>0.5</v>
      </c>
      <c r="CY39" s="203">
        <v>0.54166666666666663</v>
      </c>
      <c r="CZ39" s="204" t="str">
        <f t="shared" si="17"/>
        <v>8h</v>
      </c>
      <c r="DA39" s="279"/>
      <c r="DB39" s="279"/>
      <c r="DC39" s="279"/>
      <c r="DE39" s="196"/>
      <c r="DF39" s="271">
        <f t="shared" si="42"/>
        <v>46233</v>
      </c>
      <c r="DG39" s="272" t="str">
        <f t="shared" si="18"/>
        <v>木</v>
      </c>
      <c r="DH39" s="272" t="s">
        <v>22</v>
      </c>
      <c r="DI39" s="273">
        <v>0.375</v>
      </c>
      <c r="DJ39" s="273">
        <v>0.75</v>
      </c>
      <c r="DK39" s="202">
        <v>0.5</v>
      </c>
      <c r="DL39" s="202">
        <v>0.54166666666666663</v>
      </c>
      <c r="DM39" s="274" t="str">
        <f t="shared" si="19"/>
        <v>8h</v>
      </c>
      <c r="DN39" s="203">
        <v>0.375</v>
      </c>
      <c r="DO39" s="203">
        <v>0.75</v>
      </c>
      <c r="DP39" s="203">
        <v>0.5</v>
      </c>
      <c r="DQ39" s="203">
        <v>0.54166666666666663</v>
      </c>
      <c r="DR39" s="204" t="str">
        <f t="shared" si="20"/>
        <v>8h</v>
      </c>
      <c r="DS39" s="279"/>
      <c r="DT39" s="279"/>
      <c r="DU39" s="279"/>
      <c r="DW39" s="196"/>
      <c r="DX39" s="271">
        <f t="shared" si="43"/>
        <v>46264</v>
      </c>
      <c r="DY39" s="272" t="str">
        <f t="shared" si="21"/>
        <v>日</v>
      </c>
      <c r="DZ39" s="272"/>
      <c r="EA39" s="273"/>
      <c r="EB39" s="273"/>
      <c r="EC39" s="202"/>
      <c r="ED39" s="202"/>
      <c r="EE39" s="274" t="str">
        <f t="shared" si="22"/>
        <v/>
      </c>
      <c r="EF39" s="203"/>
      <c r="EG39" s="203"/>
      <c r="EH39" s="203"/>
      <c r="EI39" s="203"/>
      <c r="EJ39" s="204" t="str">
        <f t="shared" si="23"/>
        <v/>
      </c>
      <c r="EK39" s="279"/>
      <c r="EL39" s="279"/>
      <c r="EM39" s="279"/>
      <c r="EO39" s="196"/>
      <c r="EP39" s="271">
        <f t="shared" si="44"/>
        <v>46295</v>
      </c>
      <c r="EQ39" s="272" t="str">
        <f t="shared" si="24"/>
        <v>水</v>
      </c>
      <c r="ER39" s="272" t="s">
        <v>22</v>
      </c>
      <c r="ES39" s="273">
        <v>0.375</v>
      </c>
      <c r="ET39" s="273">
        <v>0.75</v>
      </c>
      <c r="EU39" s="202">
        <v>0.5</v>
      </c>
      <c r="EV39" s="202">
        <v>0.54166666666666663</v>
      </c>
      <c r="EW39" s="274" t="str">
        <f t="shared" si="25"/>
        <v>8h</v>
      </c>
      <c r="EX39" s="203">
        <v>0.375</v>
      </c>
      <c r="EY39" s="203">
        <v>0.75</v>
      </c>
      <c r="EZ39" s="203">
        <v>0.5</v>
      </c>
      <c r="FA39" s="203">
        <v>0.54166666666666663</v>
      </c>
      <c r="FB39" s="204" t="str">
        <f t="shared" si="26"/>
        <v>8h</v>
      </c>
      <c r="FC39" s="279"/>
      <c r="FD39" s="279"/>
      <c r="FE39" s="279"/>
      <c r="FG39" s="196"/>
      <c r="FH39" s="271">
        <f t="shared" si="45"/>
        <v>46325</v>
      </c>
      <c r="FI39" s="272" t="str">
        <f t="shared" si="27"/>
        <v>金</v>
      </c>
      <c r="FJ39" s="272" t="s">
        <v>22</v>
      </c>
      <c r="FK39" s="273">
        <v>0.375</v>
      </c>
      <c r="FL39" s="273">
        <v>0.75</v>
      </c>
      <c r="FM39" s="202">
        <v>0.5</v>
      </c>
      <c r="FN39" s="202">
        <v>0.54166666666666663</v>
      </c>
      <c r="FO39" s="274" t="str">
        <f t="shared" si="28"/>
        <v>8h</v>
      </c>
      <c r="FP39" s="203">
        <v>0.375</v>
      </c>
      <c r="FQ39" s="203">
        <v>0.75</v>
      </c>
      <c r="FR39" s="203">
        <v>0.5</v>
      </c>
      <c r="FS39" s="203">
        <v>0.54166666666666663</v>
      </c>
      <c r="FT39" s="204" t="str">
        <f t="shared" si="29"/>
        <v>8h</v>
      </c>
      <c r="FU39" s="279"/>
      <c r="FV39" s="279"/>
      <c r="FW39" s="279"/>
      <c r="FY39" s="196"/>
      <c r="FZ39" s="271">
        <f t="shared" si="46"/>
        <v>46356</v>
      </c>
      <c r="GA39" s="272" t="str">
        <f t="shared" si="30"/>
        <v>月</v>
      </c>
      <c r="GB39" s="272" t="s">
        <v>22</v>
      </c>
      <c r="GC39" s="273">
        <v>0.375</v>
      </c>
      <c r="GD39" s="273">
        <v>0.75</v>
      </c>
      <c r="GE39" s="202">
        <v>0.5</v>
      </c>
      <c r="GF39" s="202">
        <v>0.54166666666666663</v>
      </c>
      <c r="GG39" s="274" t="str">
        <f t="shared" si="31"/>
        <v>8h</v>
      </c>
      <c r="GH39" s="203">
        <v>0.375</v>
      </c>
      <c r="GI39" s="203">
        <v>0.75</v>
      </c>
      <c r="GJ39" s="203">
        <v>0.5</v>
      </c>
      <c r="GK39" s="203">
        <v>0.54166666666666663</v>
      </c>
      <c r="GL39" s="204" t="str">
        <f t="shared" si="32"/>
        <v>8h</v>
      </c>
      <c r="GM39" s="279"/>
      <c r="GN39" s="279"/>
      <c r="GO39" s="279"/>
      <c r="GQ39" s="196"/>
      <c r="GR39" s="271">
        <f t="shared" si="47"/>
        <v>46386</v>
      </c>
      <c r="GS39" s="272" t="str">
        <f t="shared" si="33"/>
        <v>水</v>
      </c>
      <c r="GT39" s="272"/>
      <c r="GU39" s="273"/>
      <c r="GV39" s="273"/>
      <c r="GW39" s="202"/>
      <c r="GX39" s="202"/>
      <c r="GY39" s="274" t="str">
        <f t="shared" si="34"/>
        <v/>
      </c>
      <c r="GZ39" s="203"/>
      <c r="HA39" s="203"/>
      <c r="HB39" s="203"/>
      <c r="HC39" s="203"/>
      <c r="HD39" s="204" t="str">
        <f t="shared" si="35"/>
        <v/>
      </c>
      <c r="HE39" s="279"/>
      <c r="HF39" s="279"/>
      <c r="HG39" s="279"/>
    </row>
    <row r="40" spans="1:215" x14ac:dyDescent="0.45">
      <c r="A40" s="196"/>
      <c r="B40" s="275">
        <f t="shared" si="36"/>
        <v>46053</v>
      </c>
      <c r="C40" s="276" t="str">
        <f t="shared" si="0"/>
        <v>土</v>
      </c>
      <c r="D40" s="276"/>
      <c r="E40" s="277"/>
      <c r="F40" s="277"/>
      <c r="G40" s="205"/>
      <c r="H40" s="205"/>
      <c r="I40" s="278" t="str">
        <f t="shared" si="1"/>
        <v/>
      </c>
      <c r="J40" s="206"/>
      <c r="K40" s="206"/>
      <c r="L40" s="206"/>
      <c r="M40" s="206"/>
      <c r="N40" s="207" t="str">
        <f t="shared" si="2"/>
        <v/>
      </c>
      <c r="O40" s="280"/>
      <c r="P40" s="280"/>
      <c r="Q40" s="280"/>
      <c r="S40" s="196"/>
      <c r="T40" s="275" t="str">
        <f t="shared" si="37"/>
        <v/>
      </c>
      <c r="U40" s="276" t="str">
        <f t="shared" si="3"/>
        <v/>
      </c>
      <c r="V40" s="276"/>
      <c r="W40" s="277"/>
      <c r="X40" s="277"/>
      <c r="Y40" s="205"/>
      <c r="Z40" s="205"/>
      <c r="AA40" s="278" t="str">
        <f t="shared" si="4"/>
        <v/>
      </c>
      <c r="AB40" s="206"/>
      <c r="AC40" s="206"/>
      <c r="AD40" s="206"/>
      <c r="AE40" s="206"/>
      <c r="AF40" s="207" t="str">
        <f t="shared" si="5"/>
        <v/>
      </c>
      <c r="AG40" s="280"/>
      <c r="AH40" s="280"/>
      <c r="AI40" s="280"/>
      <c r="AK40" s="196"/>
      <c r="AL40" s="275">
        <f t="shared" si="38"/>
        <v>46112</v>
      </c>
      <c r="AM40" s="276" t="str">
        <f t="shared" si="6"/>
        <v>火</v>
      </c>
      <c r="AN40" s="276" t="s">
        <v>22</v>
      </c>
      <c r="AO40" s="277">
        <v>0.375</v>
      </c>
      <c r="AP40" s="277">
        <v>0.75</v>
      </c>
      <c r="AQ40" s="205">
        <v>0.5</v>
      </c>
      <c r="AR40" s="205">
        <v>0.54166666666666663</v>
      </c>
      <c r="AS40" s="278" t="str">
        <f t="shared" si="7"/>
        <v>8h</v>
      </c>
      <c r="AT40" s="206">
        <v>0.375</v>
      </c>
      <c r="AU40" s="206">
        <v>0.75</v>
      </c>
      <c r="AV40" s="206">
        <v>0.5</v>
      </c>
      <c r="AW40" s="206">
        <v>0.54166666666666663</v>
      </c>
      <c r="AX40" s="207" t="str">
        <f t="shared" si="8"/>
        <v>8h</v>
      </c>
      <c r="AY40" s="280"/>
      <c r="AZ40" s="280"/>
      <c r="BA40" s="280"/>
      <c r="BC40" s="196"/>
      <c r="BD40" s="275" t="str">
        <f t="shared" si="39"/>
        <v/>
      </c>
      <c r="BE40" s="276" t="str">
        <f t="shared" si="9"/>
        <v/>
      </c>
      <c r="BF40" s="276"/>
      <c r="BG40" s="277"/>
      <c r="BH40" s="277"/>
      <c r="BI40" s="205"/>
      <c r="BJ40" s="205"/>
      <c r="BK40" s="278" t="str">
        <f t="shared" si="10"/>
        <v/>
      </c>
      <c r="BL40" s="206"/>
      <c r="BM40" s="206"/>
      <c r="BN40" s="206"/>
      <c r="BO40" s="206"/>
      <c r="BP40" s="207" t="str">
        <f t="shared" si="11"/>
        <v/>
      </c>
      <c r="BQ40" s="280"/>
      <c r="BR40" s="280"/>
      <c r="BS40" s="280"/>
      <c r="BU40" s="196"/>
      <c r="BV40" s="275">
        <f t="shared" si="40"/>
        <v>46173</v>
      </c>
      <c r="BW40" s="276" t="str">
        <f t="shared" si="12"/>
        <v>日</v>
      </c>
      <c r="BX40" s="276"/>
      <c r="BY40" s="277"/>
      <c r="BZ40" s="277"/>
      <c r="CA40" s="205"/>
      <c r="CB40" s="205"/>
      <c r="CC40" s="278" t="str">
        <f t="shared" si="13"/>
        <v/>
      </c>
      <c r="CD40" s="206"/>
      <c r="CE40" s="206"/>
      <c r="CF40" s="206"/>
      <c r="CG40" s="206"/>
      <c r="CH40" s="207" t="str">
        <f t="shared" si="14"/>
        <v/>
      </c>
      <c r="CI40" s="280"/>
      <c r="CJ40" s="280"/>
      <c r="CK40" s="280"/>
      <c r="CM40" s="196"/>
      <c r="CN40" s="275" t="str">
        <f t="shared" si="41"/>
        <v/>
      </c>
      <c r="CO40" s="276" t="str">
        <f t="shared" si="15"/>
        <v/>
      </c>
      <c r="CP40" s="276"/>
      <c r="CQ40" s="277"/>
      <c r="CR40" s="277"/>
      <c r="CS40" s="205"/>
      <c r="CT40" s="205"/>
      <c r="CU40" s="278" t="str">
        <f t="shared" si="16"/>
        <v/>
      </c>
      <c r="CV40" s="206"/>
      <c r="CW40" s="206"/>
      <c r="CX40" s="206"/>
      <c r="CY40" s="206"/>
      <c r="CZ40" s="207" t="str">
        <f t="shared" si="17"/>
        <v/>
      </c>
      <c r="DA40" s="280"/>
      <c r="DB40" s="280"/>
      <c r="DC40" s="280"/>
      <c r="DE40" s="196"/>
      <c r="DF40" s="275">
        <f t="shared" si="42"/>
        <v>46234</v>
      </c>
      <c r="DG40" s="276" t="str">
        <f t="shared" si="18"/>
        <v>金</v>
      </c>
      <c r="DH40" s="276" t="s">
        <v>22</v>
      </c>
      <c r="DI40" s="277">
        <v>0.375</v>
      </c>
      <c r="DJ40" s="277">
        <v>0.75</v>
      </c>
      <c r="DK40" s="205">
        <v>0.5</v>
      </c>
      <c r="DL40" s="205">
        <v>0.54166666666666663</v>
      </c>
      <c r="DM40" s="278" t="str">
        <f t="shared" si="19"/>
        <v>8h</v>
      </c>
      <c r="DN40" s="206">
        <v>0.375</v>
      </c>
      <c r="DO40" s="206">
        <v>0.75</v>
      </c>
      <c r="DP40" s="206">
        <v>0.5</v>
      </c>
      <c r="DQ40" s="206">
        <v>0.54166666666666663</v>
      </c>
      <c r="DR40" s="207" t="str">
        <f t="shared" si="20"/>
        <v>8h</v>
      </c>
      <c r="DS40" s="280"/>
      <c r="DT40" s="280"/>
      <c r="DU40" s="280"/>
      <c r="DW40" s="196"/>
      <c r="DX40" s="275">
        <f t="shared" si="43"/>
        <v>46265</v>
      </c>
      <c r="DY40" s="276" t="str">
        <f t="shared" si="21"/>
        <v>月</v>
      </c>
      <c r="DZ40" s="276" t="s">
        <v>22</v>
      </c>
      <c r="EA40" s="277">
        <v>0.375</v>
      </c>
      <c r="EB40" s="277">
        <v>0.75</v>
      </c>
      <c r="EC40" s="205">
        <v>0.5</v>
      </c>
      <c r="ED40" s="205">
        <v>0.54166666666666663</v>
      </c>
      <c r="EE40" s="278" t="str">
        <f t="shared" si="22"/>
        <v>8h</v>
      </c>
      <c r="EF40" s="206">
        <v>0.375</v>
      </c>
      <c r="EG40" s="206">
        <v>0.75</v>
      </c>
      <c r="EH40" s="206">
        <v>0.5</v>
      </c>
      <c r="EI40" s="206">
        <v>0.54166666666666663</v>
      </c>
      <c r="EJ40" s="207" t="str">
        <f t="shared" si="23"/>
        <v>8h</v>
      </c>
      <c r="EK40" s="280"/>
      <c r="EL40" s="280"/>
      <c r="EM40" s="280"/>
      <c r="EO40" s="196"/>
      <c r="EP40" s="275" t="str">
        <f t="shared" si="44"/>
        <v/>
      </c>
      <c r="EQ40" s="276" t="str">
        <f t="shared" si="24"/>
        <v/>
      </c>
      <c r="ER40" s="276"/>
      <c r="ES40" s="277"/>
      <c r="ET40" s="277"/>
      <c r="EU40" s="205"/>
      <c r="EV40" s="205"/>
      <c r="EW40" s="278" t="str">
        <f t="shared" si="25"/>
        <v/>
      </c>
      <c r="EX40" s="206"/>
      <c r="EY40" s="206"/>
      <c r="EZ40" s="206"/>
      <c r="FA40" s="206"/>
      <c r="FB40" s="207" t="str">
        <f t="shared" si="26"/>
        <v/>
      </c>
      <c r="FC40" s="280"/>
      <c r="FD40" s="280"/>
      <c r="FE40" s="280"/>
      <c r="FG40" s="196"/>
      <c r="FH40" s="275">
        <f t="shared" si="45"/>
        <v>46326</v>
      </c>
      <c r="FI40" s="276" t="str">
        <f t="shared" si="27"/>
        <v>土</v>
      </c>
      <c r="FJ40" s="276"/>
      <c r="FK40" s="277"/>
      <c r="FL40" s="277"/>
      <c r="FM40" s="205"/>
      <c r="FN40" s="205"/>
      <c r="FO40" s="278" t="str">
        <f t="shared" si="28"/>
        <v/>
      </c>
      <c r="FP40" s="206"/>
      <c r="FQ40" s="206"/>
      <c r="FR40" s="206"/>
      <c r="FS40" s="206"/>
      <c r="FT40" s="207" t="str">
        <f t="shared" si="29"/>
        <v/>
      </c>
      <c r="FU40" s="280"/>
      <c r="FV40" s="280"/>
      <c r="FW40" s="280"/>
      <c r="FY40" s="196"/>
      <c r="FZ40" s="275" t="str">
        <f t="shared" si="46"/>
        <v/>
      </c>
      <c r="GA40" s="276" t="str">
        <f t="shared" si="30"/>
        <v/>
      </c>
      <c r="GB40" s="276"/>
      <c r="GC40" s="277"/>
      <c r="GD40" s="277"/>
      <c r="GE40" s="205"/>
      <c r="GF40" s="205"/>
      <c r="GG40" s="278" t="str">
        <f t="shared" si="31"/>
        <v/>
      </c>
      <c r="GH40" s="206"/>
      <c r="GI40" s="206"/>
      <c r="GJ40" s="206"/>
      <c r="GK40" s="206"/>
      <c r="GL40" s="207" t="str">
        <f t="shared" si="32"/>
        <v/>
      </c>
      <c r="GM40" s="280"/>
      <c r="GN40" s="280"/>
      <c r="GO40" s="280"/>
      <c r="GQ40" s="196"/>
      <c r="GR40" s="275">
        <f t="shared" si="47"/>
        <v>46387</v>
      </c>
      <c r="GS40" s="276" t="str">
        <f t="shared" si="33"/>
        <v>木</v>
      </c>
      <c r="GT40" s="276"/>
      <c r="GU40" s="277"/>
      <c r="GV40" s="277"/>
      <c r="GW40" s="205"/>
      <c r="GX40" s="205"/>
      <c r="GY40" s="278" t="str">
        <f t="shared" si="34"/>
        <v/>
      </c>
      <c r="GZ40" s="206"/>
      <c r="HA40" s="206"/>
      <c r="HB40" s="206"/>
      <c r="HC40" s="206"/>
      <c r="HD40" s="207" t="str">
        <f t="shared" si="35"/>
        <v/>
      </c>
      <c r="HE40" s="280"/>
      <c r="HF40" s="280"/>
      <c r="HG40" s="280"/>
    </row>
  </sheetData>
  <mergeCells count="517"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</mergeCells>
  <phoneticPr fontId="1"/>
  <conditionalFormatting sqref="B10:Q40">
    <cfRule type="expression" dxfId="575" priority="1" stopIfTrue="1">
      <formula>$B10=""</formula>
    </cfRule>
  </conditionalFormatting>
  <conditionalFormatting sqref="C10:C40">
    <cfRule type="expression" dxfId="574" priority="3" stopIfTrue="1">
      <formula>WEEKDAY(B10,2)=7</formula>
    </cfRule>
    <cfRule type="expression" dxfId="573" priority="4" stopIfTrue="1">
      <formula>WEEKDAY(B10,2)=6</formula>
    </cfRule>
  </conditionalFormatting>
  <conditionalFormatting sqref="T10:AI40">
    <cfRule type="expression" dxfId="572" priority="5" stopIfTrue="1">
      <formula>$T10=""</formula>
    </cfRule>
  </conditionalFormatting>
  <conditionalFormatting sqref="U10:U40">
    <cfRule type="expression" dxfId="571" priority="7" stopIfTrue="1">
      <formula>WEEKDAY(T10,2)=7</formula>
    </cfRule>
    <cfRule type="expression" dxfId="570" priority="8" stopIfTrue="1">
      <formula>WEEKDAY(T10,2)=6</formula>
    </cfRule>
  </conditionalFormatting>
  <conditionalFormatting sqref="AL10:BA40">
    <cfRule type="expression" dxfId="569" priority="9" stopIfTrue="1">
      <formula>$AL10=""</formula>
    </cfRule>
  </conditionalFormatting>
  <conditionalFormatting sqref="AM10:AM40">
    <cfRule type="expression" dxfId="568" priority="11" stopIfTrue="1">
      <formula>WEEKDAY(AL10,2)=7</formula>
    </cfRule>
    <cfRule type="expression" dxfId="567" priority="12" stopIfTrue="1">
      <formula>WEEKDAY(AL10,2)=6</formula>
    </cfRule>
  </conditionalFormatting>
  <conditionalFormatting sqref="BD10:BS40">
    <cfRule type="expression" dxfId="566" priority="13" stopIfTrue="1">
      <formula>$BD10=""</formula>
    </cfRule>
  </conditionalFormatting>
  <conditionalFormatting sqref="BE10:BE40">
    <cfRule type="expression" dxfId="565" priority="15" stopIfTrue="1">
      <formula>WEEKDAY(BD10,2)=7</formula>
    </cfRule>
    <cfRule type="expression" dxfId="564" priority="16" stopIfTrue="1">
      <formula>WEEKDAY(BD10,2)=6</formula>
    </cfRule>
  </conditionalFormatting>
  <conditionalFormatting sqref="BV10:CK40">
    <cfRule type="expression" dxfId="563" priority="17" stopIfTrue="1">
      <formula>$BV10=""</formula>
    </cfRule>
  </conditionalFormatting>
  <conditionalFormatting sqref="BW10:BW40">
    <cfRule type="expression" dxfId="562" priority="19" stopIfTrue="1">
      <formula>WEEKDAY(BV10,2)=7</formula>
    </cfRule>
    <cfRule type="expression" dxfId="561" priority="20" stopIfTrue="1">
      <formula>WEEKDAY(BV10,2)=6</formula>
    </cfRule>
  </conditionalFormatting>
  <conditionalFormatting sqref="CN10:DC40">
    <cfRule type="expression" dxfId="560" priority="21" stopIfTrue="1">
      <formula>$CN10=""</formula>
    </cfRule>
  </conditionalFormatting>
  <conditionalFormatting sqref="CO10:CO40">
    <cfRule type="expression" dxfId="559" priority="23" stopIfTrue="1">
      <formula>WEEKDAY(CN10,2)=7</formula>
    </cfRule>
    <cfRule type="expression" dxfId="558" priority="24" stopIfTrue="1">
      <formula>WEEKDAY(CN10,2)=6</formula>
    </cfRule>
  </conditionalFormatting>
  <conditionalFormatting sqref="DF10:DU40">
    <cfRule type="expression" dxfId="557" priority="25" stopIfTrue="1">
      <formula>$DF10=""</formula>
    </cfRule>
  </conditionalFormatting>
  <conditionalFormatting sqref="DG10:DG40">
    <cfRule type="expression" dxfId="556" priority="27" stopIfTrue="1">
      <formula>WEEKDAY(DF10,2)=7</formula>
    </cfRule>
    <cfRule type="expression" dxfId="555" priority="28" stopIfTrue="1">
      <formula>WEEKDAY(DF10,2)=6</formula>
    </cfRule>
  </conditionalFormatting>
  <conditionalFormatting sqref="DX10:EM40">
    <cfRule type="expression" dxfId="554" priority="29" stopIfTrue="1">
      <formula>$DX10=""</formula>
    </cfRule>
  </conditionalFormatting>
  <conditionalFormatting sqref="DY10:DY40">
    <cfRule type="expression" dxfId="553" priority="31" stopIfTrue="1">
      <formula>WEEKDAY(DX10,2)=7</formula>
    </cfRule>
    <cfRule type="expression" dxfId="552" priority="32" stopIfTrue="1">
      <formula>WEEKDAY(DX10,2)=6</formula>
    </cfRule>
  </conditionalFormatting>
  <conditionalFormatting sqref="EP10:FE40">
    <cfRule type="expression" dxfId="551" priority="33" stopIfTrue="1">
      <formula>$EP10=""</formula>
    </cfRule>
  </conditionalFormatting>
  <conditionalFormatting sqref="EQ10:EQ40">
    <cfRule type="expression" dxfId="550" priority="35" stopIfTrue="1">
      <formula>WEEKDAY(EP10,2)=7</formula>
    </cfRule>
    <cfRule type="expression" dxfId="549" priority="36" stopIfTrue="1">
      <formula>WEEKDAY(EP10,2)=6</formula>
    </cfRule>
  </conditionalFormatting>
  <conditionalFormatting sqref="FH10:FW40">
    <cfRule type="expression" dxfId="548" priority="37" stopIfTrue="1">
      <formula>$FH10=""</formula>
    </cfRule>
  </conditionalFormatting>
  <conditionalFormatting sqref="FI10:FI40">
    <cfRule type="expression" dxfId="547" priority="39" stopIfTrue="1">
      <formula>WEEKDAY(FH10,2)=7</formula>
    </cfRule>
    <cfRule type="expression" dxfId="546" priority="40" stopIfTrue="1">
      <formula>WEEKDAY(FH10,2)=6</formula>
    </cfRule>
  </conditionalFormatting>
  <conditionalFormatting sqref="FZ10:GO40">
    <cfRule type="expression" dxfId="545" priority="41" stopIfTrue="1">
      <formula>$FZ10=""</formula>
    </cfRule>
  </conditionalFormatting>
  <conditionalFormatting sqref="GA10:GA40">
    <cfRule type="expression" dxfId="544" priority="43" stopIfTrue="1">
      <formula>WEEKDAY(FZ10,2)=7</formula>
    </cfRule>
  </conditionalFormatting>
  <conditionalFormatting sqref="GA10:GA40">
    <cfRule type="expression" dxfId="543" priority="44" stopIfTrue="1">
      <formula>WEEKDAY(FZ10,2)=6</formula>
    </cfRule>
  </conditionalFormatting>
  <conditionalFormatting sqref="GR10:HG40">
    <cfRule type="expression" dxfId="542" priority="45" stopIfTrue="1">
      <formula>$GR10=""</formula>
    </cfRule>
  </conditionalFormatting>
  <conditionalFormatting sqref="GS10:GS40">
    <cfRule type="expression" dxfId="541" priority="47" stopIfTrue="1">
      <formula>WEEKDAY(GR10,2)=7</formula>
    </cfRule>
  </conditionalFormatting>
  <conditionalFormatting sqref="GS10:GS40">
    <cfRule type="expression" dxfId="540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FCA1F40-33ED-4AEF-859B-EEBE7EE502BB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5C1B46F5-6FB6-410B-99AF-249F27EFEBD2}">
            <xm:f>COUNTIF(祝日!$B:$B,T10)&gt;0</xm:f>
            <x14:dxf>
              <fill>
                <patternFill>
                  <bgColor rgb="FFFFC2CA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DE011381-5381-46BF-9628-AAA8D3B26E70}">
            <xm:f>COUNTIF(祝日!$B:$B,AL10)&gt;0</xm:f>
            <x14:dxf>
              <fill>
                <patternFill>
                  <bgColor rgb="FFFFC2CA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00358362-0B08-4ADB-8B92-E057D970DCAE}">
            <xm:f>COUNTIF(祝日!$B:$B,BD10)&gt;0</xm:f>
            <x14:dxf>
              <fill>
                <patternFill>
                  <bgColor rgb="FFFFC2CA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E29D0835-98BD-4A9E-AFD5-C1445A78352F}">
            <xm:f>COUNTIF(祝日!$B:$B,BV10)&gt;0</xm:f>
            <x14:dxf>
              <fill>
                <patternFill>
                  <bgColor rgb="FFFFC2CA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8ED524C-6697-4C77-A1DB-7EF556875C54}">
            <xm:f>COUNTIF(祝日!$B:$B,CN10)&gt;0</xm:f>
            <x14:dxf>
              <fill>
                <patternFill>
                  <bgColor rgb="FFFFC2CA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FC5A1BE-C9E6-44DC-954E-8D99AB9BD8AC}">
            <xm:f>COUNTIF(祝日!$B:$B,DF10)&gt;0</xm:f>
            <x14:dxf>
              <fill>
                <patternFill>
                  <bgColor rgb="FFFFC2CA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B1029D0-4DD3-4D4A-BAD8-2A97637D87A0}">
            <xm:f>COUNTIF(祝日!$B:$B,DX10)&gt;0</xm:f>
            <x14:dxf>
              <fill>
                <patternFill>
                  <bgColor rgb="FFFFC2CA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B9AC8E72-AB92-4B13-82F3-E4ACB52D0BEB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A22BFD1-43FE-407C-9BF1-68711158E2E7}">
            <xm:f>COUNTIF(祝日!$B:$B,FH10)&gt;0</xm:f>
            <x14:dxf>
              <fill>
                <patternFill>
                  <bgColor rgb="FFFFC2CA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7BB1DE16-476C-492A-AB38-3C1C2CD5E2AA}">
            <xm:f>COUNTIF(祝日!$B:$B,FZ10)&gt;0</xm:f>
            <x14:dxf>
              <fill>
                <patternFill>
                  <bgColor rgb="FFFFC2CA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3D4561A2-C292-444A-AAA1-FA372B8D2A27}">
            <xm:f>COUNTIF(祝日!$B:$B,GR10)&gt;0</xm:f>
            <x14:dxf>
              <fill>
                <patternFill>
                  <bgColor rgb="FFFFC2CA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AA29A-4A53-4153-8B17-CC29CC4CD777}">
  <sheetPr codeName="Sheet109">
    <outlinePr summaryRight="0"/>
  </sheetPr>
  <dimension ref="A1:HH40"/>
  <sheetViews>
    <sheetView showGridLines="0" workbookViewId="0">
      <pane ySplit="9" topLeftCell="A10" activePane="bottomLeft" state="frozen"/>
      <selection pane="bottomLeft" activeCell="G22" sqref="G22"/>
    </sheetView>
  </sheetViews>
  <sheetFormatPr defaultRowHeight="18" outlineLevelRow="1" outlineLevelCol="1" x14ac:dyDescent="0.45"/>
  <cols>
    <col min="1" max="1" width="4.19921875" style="28" customWidth="1"/>
    <col min="2" max="4" width="3.69921875" style="28" customWidth="1" outlineLevel="1"/>
    <col min="5" max="17" width="6.69921875" style="28" customWidth="1" outlineLevel="1"/>
    <col min="18" max="18" width="2.69921875" style="28" customWidth="1" outlineLevel="1"/>
    <col min="19" max="19" width="4.19921875" style="28" customWidth="1"/>
    <col min="20" max="22" width="3.69921875" style="28" customWidth="1" outlineLevel="1"/>
    <col min="23" max="35" width="6.69921875" style="28" customWidth="1" outlineLevel="1"/>
    <col min="36" max="36" width="2.69921875" style="28" customWidth="1" outlineLevel="1"/>
    <col min="37" max="37" width="4.19921875" style="28" customWidth="1"/>
    <col min="38" max="40" width="3.69921875" style="28" customWidth="1" outlineLevel="1"/>
    <col min="41" max="53" width="6.69921875" style="28" customWidth="1" outlineLevel="1"/>
    <col min="54" max="54" width="2.69921875" style="28" customWidth="1" outlineLevel="1"/>
    <col min="55" max="55" width="4.19921875" style="28" customWidth="1"/>
    <col min="56" max="58" width="3.69921875" style="28" customWidth="1" outlineLevel="1"/>
    <col min="59" max="71" width="6.69921875" style="28" customWidth="1" outlineLevel="1"/>
    <col min="72" max="72" width="2.69921875" style="28" customWidth="1" outlineLevel="1"/>
    <col min="73" max="73" width="4.19921875" style="28" customWidth="1"/>
    <col min="74" max="76" width="3.69921875" style="28" customWidth="1" outlineLevel="1"/>
    <col min="77" max="89" width="6.69921875" style="28" customWidth="1" outlineLevel="1"/>
    <col min="90" max="90" width="2.69921875" style="28" customWidth="1" outlineLevel="1"/>
    <col min="91" max="91" width="4.19921875" style="28" customWidth="1"/>
    <col min="92" max="94" width="3.69921875" style="28" customWidth="1" outlineLevel="1"/>
    <col min="95" max="107" width="6.69921875" style="28" customWidth="1" outlineLevel="1"/>
    <col min="108" max="108" width="2.69921875" style="28" customWidth="1" outlineLevel="1"/>
    <col min="109" max="109" width="4.19921875" style="28" customWidth="1"/>
    <col min="110" max="112" width="3.69921875" style="28" customWidth="1" outlineLevel="1"/>
    <col min="113" max="125" width="6.69921875" style="28" customWidth="1" outlineLevel="1"/>
    <col min="126" max="126" width="2.69921875" style="28" customWidth="1" outlineLevel="1"/>
    <col min="127" max="127" width="4.19921875" style="28" customWidth="1"/>
    <col min="128" max="130" width="3.69921875" style="28" customWidth="1" outlineLevel="1"/>
    <col min="131" max="143" width="6.69921875" style="28" customWidth="1" outlineLevel="1"/>
    <col min="144" max="144" width="2.69921875" style="28" customWidth="1" outlineLevel="1"/>
    <col min="145" max="145" width="4.19921875" style="28" customWidth="1"/>
    <col min="146" max="148" width="3.69921875" style="28" customWidth="1" outlineLevel="1"/>
    <col min="149" max="161" width="6.69921875" style="28" customWidth="1" outlineLevel="1"/>
    <col min="162" max="162" width="2.69921875" style="28" customWidth="1" outlineLevel="1"/>
    <col min="163" max="163" width="4.19921875" style="28" customWidth="1"/>
    <col min="164" max="166" width="3.69921875" style="28" customWidth="1" outlineLevel="1"/>
    <col min="167" max="179" width="6.69921875" style="28" customWidth="1" outlineLevel="1"/>
    <col min="180" max="180" width="2.69921875" style="28" customWidth="1" outlineLevel="1"/>
    <col min="181" max="181" width="4.19921875" style="28" customWidth="1"/>
    <col min="182" max="184" width="3.69921875" style="28" customWidth="1" outlineLevel="1"/>
    <col min="185" max="197" width="6.69921875" style="28" customWidth="1" outlineLevel="1"/>
    <col min="198" max="198" width="2.69921875" style="28" customWidth="1" outlineLevel="1"/>
    <col min="199" max="199" width="4.19921875" style="28" customWidth="1"/>
    <col min="200" max="202" width="3.69921875" style="28" customWidth="1" outlineLevel="1"/>
    <col min="203" max="215" width="6.69921875" style="28" customWidth="1" outlineLevel="1"/>
    <col min="216" max="216" width="2.69921875" style="28" customWidth="1" outlineLevel="1"/>
    <col min="217" max="16384" width="8.796875" style="28"/>
  </cols>
  <sheetData>
    <row r="1" spans="1:215" x14ac:dyDescent="0.45">
      <c r="A1" s="176"/>
      <c r="B1" s="303">
        <v>46023</v>
      </c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5"/>
      <c r="S1" s="176"/>
      <c r="T1" s="314">
        <v>46054</v>
      </c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  <c r="AI1" s="305"/>
      <c r="AK1" s="176"/>
      <c r="AL1" s="314">
        <v>46082</v>
      </c>
      <c r="AM1" s="304"/>
      <c r="AN1" s="304"/>
      <c r="AO1" s="304"/>
      <c r="AP1" s="304"/>
      <c r="AQ1" s="304"/>
      <c r="AR1" s="304"/>
      <c r="AS1" s="304"/>
      <c r="AT1" s="304"/>
      <c r="AU1" s="304"/>
      <c r="AV1" s="304"/>
      <c r="AW1" s="304"/>
      <c r="AX1" s="304"/>
      <c r="AY1" s="304"/>
      <c r="AZ1" s="304"/>
      <c r="BA1" s="305"/>
      <c r="BC1" s="176"/>
      <c r="BD1" s="314">
        <v>46113</v>
      </c>
      <c r="BE1" s="304"/>
      <c r="BF1" s="304"/>
      <c r="BG1" s="304"/>
      <c r="BH1" s="304"/>
      <c r="BI1" s="304"/>
      <c r="BJ1" s="304"/>
      <c r="BK1" s="304"/>
      <c r="BL1" s="304"/>
      <c r="BM1" s="304"/>
      <c r="BN1" s="304"/>
      <c r="BO1" s="304"/>
      <c r="BP1" s="304"/>
      <c r="BQ1" s="304"/>
      <c r="BR1" s="304"/>
      <c r="BS1" s="305"/>
      <c r="BU1" s="176"/>
      <c r="BV1" s="314">
        <v>46143</v>
      </c>
      <c r="BW1" s="304"/>
      <c r="BX1" s="304"/>
      <c r="BY1" s="304"/>
      <c r="BZ1" s="304"/>
      <c r="CA1" s="304"/>
      <c r="CB1" s="304"/>
      <c r="CC1" s="304"/>
      <c r="CD1" s="304"/>
      <c r="CE1" s="304"/>
      <c r="CF1" s="304"/>
      <c r="CG1" s="304"/>
      <c r="CH1" s="304"/>
      <c r="CI1" s="304"/>
      <c r="CJ1" s="304"/>
      <c r="CK1" s="305"/>
      <c r="CM1" s="176"/>
      <c r="CN1" s="314">
        <v>46174</v>
      </c>
      <c r="CO1" s="304"/>
      <c r="CP1" s="304"/>
      <c r="CQ1" s="304"/>
      <c r="CR1" s="304"/>
      <c r="CS1" s="304"/>
      <c r="CT1" s="304"/>
      <c r="CU1" s="304"/>
      <c r="CV1" s="304"/>
      <c r="CW1" s="304"/>
      <c r="CX1" s="304"/>
      <c r="CY1" s="304"/>
      <c r="CZ1" s="304"/>
      <c r="DA1" s="304"/>
      <c r="DB1" s="304"/>
      <c r="DC1" s="305"/>
      <c r="DE1" s="176"/>
      <c r="DF1" s="314">
        <v>46204</v>
      </c>
      <c r="DG1" s="304"/>
      <c r="DH1" s="304"/>
      <c r="DI1" s="304"/>
      <c r="DJ1" s="304"/>
      <c r="DK1" s="304"/>
      <c r="DL1" s="304"/>
      <c r="DM1" s="304"/>
      <c r="DN1" s="304"/>
      <c r="DO1" s="304"/>
      <c r="DP1" s="304"/>
      <c r="DQ1" s="304"/>
      <c r="DR1" s="304"/>
      <c r="DS1" s="304"/>
      <c r="DT1" s="304"/>
      <c r="DU1" s="305"/>
      <c r="DW1" s="176"/>
      <c r="DX1" s="314">
        <v>46235</v>
      </c>
      <c r="DY1" s="304"/>
      <c r="DZ1" s="304"/>
      <c r="EA1" s="304"/>
      <c r="EB1" s="304"/>
      <c r="EC1" s="304"/>
      <c r="ED1" s="304"/>
      <c r="EE1" s="304"/>
      <c r="EF1" s="304"/>
      <c r="EG1" s="304"/>
      <c r="EH1" s="304"/>
      <c r="EI1" s="304"/>
      <c r="EJ1" s="304"/>
      <c r="EK1" s="304"/>
      <c r="EL1" s="304"/>
      <c r="EM1" s="305"/>
      <c r="EO1" s="176"/>
      <c r="EP1" s="314">
        <v>46266</v>
      </c>
      <c r="EQ1" s="304"/>
      <c r="ER1" s="304"/>
      <c r="ES1" s="304"/>
      <c r="ET1" s="304"/>
      <c r="EU1" s="304"/>
      <c r="EV1" s="304"/>
      <c r="EW1" s="304"/>
      <c r="EX1" s="304"/>
      <c r="EY1" s="304"/>
      <c r="EZ1" s="304"/>
      <c r="FA1" s="304"/>
      <c r="FB1" s="304"/>
      <c r="FC1" s="304"/>
      <c r="FD1" s="304"/>
      <c r="FE1" s="305"/>
      <c r="FG1" s="176"/>
      <c r="FH1" s="314">
        <v>46296</v>
      </c>
      <c r="FI1" s="304"/>
      <c r="FJ1" s="304"/>
      <c r="FK1" s="304"/>
      <c r="FL1" s="304"/>
      <c r="FM1" s="304"/>
      <c r="FN1" s="304"/>
      <c r="FO1" s="304"/>
      <c r="FP1" s="304"/>
      <c r="FQ1" s="304"/>
      <c r="FR1" s="304"/>
      <c r="FS1" s="304"/>
      <c r="FT1" s="304"/>
      <c r="FU1" s="304"/>
      <c r="FV1" s="304"/>
      <c r="FW1" s="305"/>
      <c r="FY1" s="176"/>
      <c r="FZ1" s="314">
        <v>46327</v>
      </c>
      <c r="GA1" s="304"/>
      <c r="GB1" s="304"/>
      <c r="GC1" s="304"/>
      <c r="GD1" s="304"/>
      <c r="GE1" s="304"/>
      <c r="GF1" s="304"/>
      <c r="GG1" s="304"/>
      <c r="GH1" s="304"/>
      <c r="GI1" s="304"/>
      <c r="GJ1" s="304"/>
      <c r="GK1" s="304"/>
      <c r="GL1" s="304"/>
      <c r="GM1" s="304"/>
      <c r="GN1" s="304"/>
      <c r="GO1" s="305"/>
      <c r="GQ1" s="176"/>
      <c r="GR1" s="314">
        <v>46357</v>
      </c>
      <c r="GS1" s="304"/>
      <c r="GT1" s="304"/>
      <c r="GU1" s="304"/>
      <c r="GV1" s="304"/>
      <c r="GW1" s="304"/>
      <c r="GX1" s="304"/>
      <c r="GY1" s="304"/>
      <c r="GZ1" s="304"/>
      <c r="HA1" s="304"/>
      <c r="HB1" s="304"/>
      <c r="HC1" s="304"/>
      <c r="HD1" s="304"/>
      <c r="HE1" s="304"/>
      <c r="HF1" s="304"/>
      <c r="HG1" s="305"/>
    </row>
    <row r="2" spans="1:215" ht="6" customHeight="1" outlineLevel="1" x14ac:dyDescent="0.45">
      <c r="A2" s="17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7"/>
      <c r="S2" s="17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7"/>
      <c r="AK2" s="17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7"/>
      <c r="BC2" s="176"/>
      <c r="BD2" s="216"/>
      <c r="BE2" s="216"/>
      <c r="BF2" s="216"/>
      <c r="BG2" s="216"/>
      <c r="BH2" s="216"/>
      <c r="BI2" s="216"/>
      <c r="BJ2" s="216"/>
      <c r="BK2" s="216"/>
      <c r="BL2" s="216"/>
      <c r="BM2" s="216"/>
      <c r="BN2" s="216"/>
      <c r="BO2" s="216"/>
      <c r="BP2" s="216"/>
      <c r="BQ2" s="216"/>
      <c r="BR2" s="216"/>
      <c r="BS2" s="217"/>
      <c r="BU2" s="176"/>
      <c r="BV2" s="216"/>
      <c r="BW2" s="216"/>
      <c r="BX2" s="216"/>
      <c r="BY2" s="216"/>
      <c r="BZ2" s="216"/>
      <c r="CA2" s="216"/>
      <c r="CB2" s="216"/>
      <c r="CC2" s="216"/>
      <c r="CD2" s="216"/>
      <c r="CE2" s="216"/>
      <c r="CF2" s="216"/>
      <c r="CG2" s="216"/>
      <c r="CH2" s="216"/>
      <c r="CI2" s="216"/>
      <c r="CJ2" s="216"/>
      <c r="CK2" s="217"/>
      <c r="CM2" s="176"/>
      <c r="CN2" s="216"/>
      <c r="CO2" s="216"/>
      <c r="CP2" s="216"/>
      <c r="CQ2" s="216"/>
      <c r="CR2" s="216"/>
      <c r="CS2" s="216"/>
      <c r="CT2" s="216"/>
      <c r="CU2" s="216"/>
      <c r="CV2" s="216"/>
      <c r="CW2" s="216"/>
      <c r="CX2" s="216"/>
      <c r="CY2" s="216"/>
      <c r="CZ2" s="216"/>
      <c r="DA2" s="216"/>
      <c r="DB2" s="216"/>
      <c r="DC2" s="217"/>
      <c r="DE2" s="176"/>
      <c r="DF2" s="216"/>
      <c r="DG2" s="216"/>
      <c r="DH2" s="216"/>
      <c r="DI2" s="216"/>
      <c r="DJ2" s="216"/>
      <c r="DK2" s="216"/>
      <c r="DL2" s="216"/>
      <c r="DM2" s="216"/>
      <c r="DN2" s="216"/>
      <c r="DO2" s="216"/>
      <c r="DP2" s="216"/>
      <c r="DQ2" s="216"/>
      <c r="DR2" s="216"/>
      <c r="DS2" s="216"/>
      <c r="DT2" s="216"/>
      <c r="DU2" s="217"/>
      <c r="DW2" s="176"/>
      <c r="DX2" s="216"/>
      <c r="DY2" s="216"/>
      <c r="DZ2" s="216"/>
      <c r="EA2" s="216"/>
      <c r="EB2" s="216"/>
      <c r="EC2" s="216"/>
      <c r="ED2" s="216"/>
      <c r="EE2" s="216"/>
      <c r="EF2" s="216"/>
      <c r="EG2" s="216"/>
      <c r="EH2" s="216"/>
      <c r="EI2" s="216"/>
      <c r="EJ2" s="216"/>
      <c r="EK2" s="216"/>
      <c r="EL2" s="216"/>
      <c r="EM2" s="217"/>
      <c r="EO2" s="176"/>
      <c r="EP2" s="216"/>
      <c r="EQ2" s="216"/>
      <c r="ER2" s="216"/>
      <c r="ES2" s="216"/>
      <c r="ET2" s="216"/>
      <c r="EU2" s="216"/>
      <c r="EV2" s="216"/>
      <c r="EW2" s="216"/>
      <c r="EX2" s="216"/>
      <c r="EY2" s="216"/>
      <c r="EZ2" s="216"/>
      <c r="FA2" s="216"/>
      <c r="FB2" s="216"/>
      <c r="FC2" s="216"/>
      <c r="FD2" s="216"/>
      <c r="FE2" s="217"/>
      <c r="FG2" s="176"/>
      <c r="FH2" s="216"/>
      <c r="FI2" s="216"/>
      <c r="FJ2" s="216"/>
      <c r="FK2" s="216"/>
      <c r="FL2" s="216"/>
      <c r="FM2" s="216"/>
      <c r="FN2" s="216"/>
      <c r="FO2" s="216"/>
      <c r="FP2" s="216"/>
      <c r="FQ2" s="216"/>
      <c r="FR2" s="216"/>
      <c r="FS2" s="216"/>
      <c r="FT2" s="216"/>
      <c r="FU2" s="216"/>
      <c r="FV2" s="216"/>
      <c r="FW2" s="217"/>
      <c r="FY2" s="176"/>
      <c r="FZ2" s="216"/>
      <c r="GA2" s="216"/>
      <c r="GB2" s="216"/>
      <c r="GC2" s="216"/>
      <c r="GD2" s="216"/>
      <c r="GE2" s="216"/>
      <c r="GF2" s="216"/>
      <c r="GG2" s="216"/>
      <c r="GH2" s="216"/>
      <c r="GI2" s="216"/>
      <c r="GJ2" s="216"/>
      <c r="GK2" s="216"/>
      <c r="GL2" s="216"/>
      <c r="GM2" s="216"/>
      <c r="GN2" s="216"/>
      <c r="GO2" s="217"/>
      <c r="GQ2" s="176"/>
      <c r="GR2" s="216"/>
      <c r="GS2" s="216"/>
      <c r="GT2" s="216"/>
      <c r="GU2" s="216"/>
      <c r="GV2" s="216"/>
      <c r="GW2" s="216"/>
      <c r="GX2" s="216"/>
      <c r="GY2" s="216"/>
      <c r="GZ2" s="216"/>
      <c r="HA2" s="216"/>
      <c r="HB2" s="216"/>
      <c r="HC2" s="216"/>
      <c r="HD2" s="216"/>
      <c r="HE2" s="216"/>
      <c r="HF2" s="216"/>
      <c r="HG2" s="217"/>
    </row>
    <row r="3" spans="1:215" outlineLevel="1" x14ac:dyDescent="0.45">
      <c r="A3" s="176"/>
      <c r="B3" s="306" t="s">
        <v>24</v>
      </c>
      <c r="C3" s="306"/>
      <c r="D3" s="306"/>
      <c r="E3" s="218">
        <f>COUNTIF(D10:D40,"出")</f>
        <v>0</v>
      </c>
      <c r="F3" s="216"/>
      <c r="G3" s="309" t="s">
        <v>35</v>
      </c>
      <c r="H3" s="309"/>
      <c r="I3" s="216"/>
      <c r="J3" s="309" t="s">
        <v>36</v>
      </c>
      <c r="K3" s="309"/>
      <c r="L3" s="216"/>
      <c r="M3" s="216"/>
      <c r="N3" s="216"/>
      <c r="O3" s="216"/>
      <c r="P3" s="216"/>
      <c r="Q3" s="217"/>
      <c r="S3" s="176"/>
      <c r="T3" s="306" t="s">
        <v>24</v>
      </c>
      <c r="U3" s="306"/>
      <c r="V3" s="306"/>
      <c r="W3" s="218">
        <f>COUNTIF(V10:V40,"出")</f>
        <v>0</v>
      </c>
      <c r="X3" s="216"/>
      <c r="Y3" s="309" t="s">
        <v>35</v>
      </c>
      <c r="Z3" s="309"/>
      <c r="AA3" s="216"/>
      <c r="AB3" s="309" t="s">
        <v>36</v>
      </c>
      <c r="AC3" s="309"/>
      <c r="AD3" s="216"/>
      <c r="AE3" s="216"/>
      <c r="AF3" s="216"/>
      <c r="AG3" s="216"/>
      <c r="AH3" s="216"/>
      <c r="AI3" s="217"/>
      <c r="AK3" s="176"/>
      <c r="AL3" s="306" t="s">
        <v>24</v>
      </c>
      <c r="AM3" s="306"/>
      <c r="AN3" s="306"/>
      <c r="AO3" s="218">
        <f>COUNTIF(AN10:AN40,"出")</f>
        <v>0</v>
      </c>
      <c r="AP3" s="216"/>
      <c r="AQ3" s="309" t="s">
        <v>35</v>
      </c>
      <c r="AR3" s="309"/>
      <c r="AS3" s="216"/>
      <c r="AT3" s="309" t="s">
        <v>36</v>
      </c>
      <c r="AU3" s="309"/>
      <c r="AV3" s="216"/>
      <c r="AW3" s="216"/>
      <c r="AX3" s="216"/>
      <c r="AY3" s="216"/>
      <c r="AZ3" s="216"/>
      <c r="BA3" s="217"/>
      <c r="BC3" s="176"/>
      <c r="BD3" s="306" t="s">
        <v>24</v>
      </c>
      <c r="BE3" s="306"/>
      <c r="BF3" s="306"/>
      <c r="BG3" s="218">
        <f>COUNTIF(BF10:BF40,"出")</f>
        <v>0</v>
      </c>
      <c r="BH3" s="216"/>
      <c r="BI3" s="309" t="s">
        <v>35</v>
      </c>
      <c r="BJ3" s="309"/>
      <c r="BK3" s="216"/>
      <c r="BL3" s="309" t="s">
        <v>36</v>
      </c>
      <c r="BM3" s="309"/>
      <c r="BN3" s="216"/>
      <c r="BO3" s="216"/>
      <c r="BP3" s="216"/>
      <c r="BQ3" s="216"/>
      <c r="BR3" s="216"/>
      <c r="BS3" s="217"/>
      <c r="BU3" s="176"/>
      <c r="BV3" s="306" t="s">
        <v>24</v>
      </c>
      <c r="BW3" s="306"/>
      <c r="BX3" s="306"/>
      <c r="BY3" s="218">
        <f>COUNTIF(BX10:BX40,"出")</f>
        <v>0</v>
      </c>
      <c r="BZ3" s="216"/>
      <c r="CA3" s="309" t="s">
        <v>35</v>
      </c>
      <c r="CB3" s="309"/>
      <c r="CC3" s="216"/>
      <c r="CD3" s="309" t="s">
        <v>36</v>
      </c>
      <c r="CE3" s="309"/>
      <c r="CF3" s="216"/>
      <c r="CG3" s="216"/>
      <c r="CH3" s="216"/>
      <c r="CI3" s="216"/>
      <c r="CJ3" s="216"/>
      <c r="CK3" s="217"/>
      <c r="CM3" s="176"/>
      <c r="CN3" s="306" t="s">
        <v>24</v>
      </c>
      <c r="CO3" s="306"/>
      <c r="CP3" s="306"/>
      <c r="CQ3" s="218">
        <f>COUNTIF(CP10:CP40,"出")</f>
        <v>0</v>
      </c>
      <c r="CR3" s="216"/>
      <c r="CS3" s="309" t="s">
        <v>35</v>
      </c>
      <c r="CT3" s="309"/>
      <c r="CU3" s="216"/>
      <c r="CV3" s="309" t="s">
        <v>36</v>
      </c>
      <c r="CW3" s="309"/>
      <c r="CX3" s="216"/>
      <c r="CY3" s="216"/>
      <c r="CZ3" s="216"/>
      <c r="DA3" s="216"/>
      <c r="DB3" s="216"/>
      <c r="DC3" s="217"/>
      <c r="DE3" s="176"/>
      <c r="DF3" s="306" t="s">
        <v>24</v>
      </c>
      <c r="DG3" s="306"/>
      <c r="DH3" s="306"/>
      <c r="DI3" s="218">
        <f>COUNTIF(DH10:DH40,"出")</f>
        <v>0</v>
      </c>
      <c r="DJ3" s="216"/>
      <c r="DK3" s="309" t="s">
        <v>35</v>
      </c>
      <c r="DL3" s="309"/>
      <c r="DM3" s="216"/>
      <c r="DN3" s="309" t="s">
        <v>36</v>
      </c>
      <c r="DO3" s="309"/>
      <c r="DP3" s="216"/>
      <c r="DQ3" s="216"/>
      <c r="DR3" s="216"/>
      <c r="DS3" s="216"/>
      <c r="DT3" s="216"/>
      <c r="DU3" s="217"/>
      <c r="DW3" s="176"/>
      <c r="DX3" s="306" t="s">
        <v>24</v>
      </c>
      <c r="DY3" s="306"/>
      <c r="DZ3" s="306"/>
      <c r="EA3" s="218">
        <f>COUNTIF(DZ10:DZ40,"出")</f>
        <v>0</v>
      </c>
      <c r="EB3" s="216"/>
      <c r="EC3" s="309" t="s">
        <v>35</v>
      </c>
      <c r="ED3" s="309"/>
      <c r="EE3" s="216"/>
      <c r="EF3" s="309" t="s">
        <v>36</v>
      </c>
      <c r="EG3" s="309"/>
      <c r="EH3" s="216"/>
      <c r="EI3" s="216"/>
      <c r="EJ3" s="216"/>
      <c r="EK3" s="216"/>
      <c r="EL3" s="216"/>
      <c r="EM3" s="217"/>
      <c r="EO3" s="176"/>
      <c r="EP3" s="306" t="s">
        <v>24</v>
      </c>
      <c r="EQ3" s="306"/>
      <c r="ER3" s="306"/>
      <c r="ES3" s="218">
        <f>COUNTIF(ER10:ER40,"出")</f>
        <v>0</v>
      </c>
      <c r="ET3" s="216"/>
      <c r="EU3" s="309" t="s">
        <v>35</v>
      </c>
      <c r="EV3" s="309"/>
      <c r="EW3" s="216"/>
      <c r="EX3" s="309" t="s">
        <v>36</v>
      </c>
      <c r="EY3" s="309"/>
      <c r="EZ3" s="216"/>
      <c r="FA3" s="216"/>
      <c r="FB3" s="216"/>
      <c r="FC3" s="216"/>
      <c r="FD3" s="216"/>
      <c r="FE3" s="217"/>
      <c r="FG3" s="176"/>
      <c r="FH3" s="306" t="s">
        <v>24</v>
      </c>
      <c r="FI3" s="306"/>
      <c r="FJ3" s="306"/>
      <c r="FK3" s="218">
        <f>COUNTIF(FJ10:FJ40,"出")</f>
        <v>0</v>
      </c>
      <c r="FL3" s="216"/>
      <c r="FM3" s="309" t="s">
        <v>35</v>
      </c>
      <c r="FN3" s="309"/>
      <c r="FO3" s="216"/>
      <c r="FP3" s="309" t="s">
        <v>36</v>
      </c>
      <c r="FQ3" s="309"/>
      <c r="FR3" s="216"/>
      <c r="FS3" s="216"/>
      <c r="FT3" s="216"/>
      <c r="FU3" s="216"/>
      <c r="FV3" s="216"/>
      <c r="FW3" s="217"/>
      <c r="FY3" s="176"/>
      <c r="FZ3" s="306" t="s">
        <v>24</v>
      </c>
      <c r="GA3" s="306"/>
      <c r="GB3" s="306"/>
      <c r="GC3" s="218">
        <f>COUNTIF(GB10:GB40,"出")</f>
        <v>0</v>
      </c>
      <c r="GD3" s="216"/>
      <c r="GE3" s="309" t="s">
        <v>35</v>
      </c>
      <c r="GF3" s="309"/>
      <c r="GG3" s="216"/>
      <c r="GH3" s="309" t="s">
        <v>36</v>
      </c>
      <c r="GI3" s="309"/>
      <c r="GJ3" s="216"/>
      <c r="GK3" s="216"/>
      <c r="GL3" s="216"/>
      <c r="GM3" s="216"/>
      <c r="GN3" s="216"/>
      <c r="GO3" s="217"/>
      <c r="GQ3" s="176"/>
      <c r="GR3" s="306" t="s">
        <v>24</v>
      </c>
      <c r="GS3" s="306"/>
      <c r="GT3" s="306"/>
      <c r="GU3" s="218">
        <f>COUNTIF(GT10:GT40,"出")</f>
        <v>0</v>
      </c>
      <c r="GV3" s="216"/>
      <c r="GW3" s="309" t="s">
        <v>35</v>
      </c>
      <c r="GX3" s="309"/>
      <c r="GY3" s="216"/>
      <c r="GZ3" s="309" t="s">
        <v>36</v>
      </c>
      <c r="HA3" s="309"/>
      <c r="HB3" s="216"/>
      <c r="HC3" s="216"/>
      <c r="HD3" s="216"/>
      <c r="HE3" s="216"/>
      <c r="HF3" s="216"/>
      <c r="HG3" s="217"/>
    </row>
    <row r="4" spans="1:215" outlineLevel="1" x14ac:dyDescent="0.45">
      <c r="A4" s="176"/>
      <c r="B4" s="307" t="s">
        <v>23</v>
      </c>
      <c r="C4" s="307"/>
      <c r="D4" s="307"/>
      <c r="E4" s="219">
        <f>COUNTIF(D10:D40,"リ")</f>
        <v>19</v>
      </c>
      <c r="F4" s="216"/>
      <c r="G4" s="220" t="s">
        <v>3</v>
      </c>
      <c r="H4" s="220" t="s">
        <v>27</v>
      </c>
      <c r="I4" s="216"/>
      <c r="J4" s="220" t="s">
        <v>3</v>
      </c>
      <c r="K4" s="220" t="s">
        <v>27</v>
      </c>
      <c r="L4" s="216"/>
      <c r="M4" s="216"/>
      <c r="N4" s="216"/>
      <c r="O4" s="216"/>
      <c r="P4" s="216"/>
      <c r="Q4" s="217"/>
      <c r="S4" s="176"/>
      <c r="T4" s="307" t="s">
        <v>23</v>
      </c>
      <c r="U4" s="307"/>
      <c r="V4" s="307"/>
      <c r="W4" s="219">
        <f>COUNTIF(V10:V40,"リ")</f>
        <v>18</v>
      </c>
      <c r="X4" s="216"/>
      <c r="Y4" s="220" t="s">
        <v>3</v>
      </c>
      <c r="Z4" s="220" t="s">
        <v>27</v>
      </c>
      <c r="AA4" s="216"/>
      <c r="AB4" s="220" t="s">
        <v>3</v>
      </c>
      <c r="AC4" s="220" t="s">
        <v>27</v>
      </c>
      <c r="AD4" s="216"/>
      <c r="AE4" s="216"/>
      <c r="AF4" s="216"/>
      <c r="AG4" s="216"/>
      <c r="AH4" s="216"/>
      <c r="AI4" s="217"/>
      <c r="AK4" s="176"/>
      <c r="AL4" s="307" t="s">
        <v>23</v>
      </c>
      <c r="AM4" s="307"/>
      <c r="AN4" s="307"/>
      <c r="AO4" s="219">
        <f>COUNTIF(AN10:AN40,"リ")</f>
        <v>21</v>
      </c>
      <c r="AP4" s="216"/>
      <c r="AQ4" s="220" t="s">
        <v>3</v>
      </c>
      <c r="AR4" s="220" t="s">
        <v>27</v>
      </c>
      <c r="AS4" s="216"/>
      <c r="AT4" s="220" t="s">
        <v>3</v>
      </c>
      <c r="AU4" s="220" t="s">
        <v>27</v>
      </c>
      <c r="AV4" s="216"/>
      <c r="AW4" s="216"/>
      <c r="AX4" s="216"/>
      <c r="AY4" s="216"/>
      <c r="AZ4" s="216"/>
      <c r="BA4" s="217"/>
      <c r="BC4" s="176"/>
      <c r="BD4" s="307" t="s">
        <v>23</v>
      </c>
      <c r="BE4" s="307"/>
      <c r="BF4" s="307"/>
      <c r="BG4" s="219">
        <f>COUNTIF(BF10:BF40,"リ")</f>
        <v>21</v>
      </c>
      <c r="BH4" s="216"/>
      <c r="BI4" s="220" t="s">
        <v>3</v>
      </c>
      <c r="BJ4" s="220" t="s">
        <v>27</v>
      </c>
      <c r="BK4" s="216"/>
      <c r="BL4" s="220" t="s">
        <v>3</v>
      </c>
      <c r="BM4" s="220" t="s">
        <v>27</v>
      </c>
      <c r="BN4" s="216"/>
      <c r="BO4" s="216"/>
      <c r="BP4" s="216"/>
      <c r="BQ4" s="216"/>
      <c r="BR4" s="216"/>
      <c r="BS4" s="217"/>
      <c r="BU4" s="176"/>
      <c r="BV4" s="307" t="s">
        <v>23</v>
      </c>
      <c r="BW4" s="307"/>
      <c r="BX4" s="307"/>
      <c r="BY4" s="219">
        <f>COUNTIF(BX10:BX40,"リ")</f>
        <v>18</v>
      </c>
      <c r="BZ4" s="216"/>
      <c r="CA4" s="220" t="s">
        <v>3</v>
      </c>
      <c r="CB4" s="220" t="s">
        <v>27</v>
      </c>
      <c r="CC4" s="216"/>
      <c r="CD4" s="220" t="s">
        <v>3</v>
      </c>
      <c r="CE4" s="220" t="s">
        <v>27</v>
      </c>
      <c r="CF4" s="216"/>
      <c r="CG4" s="216"/>
      <c r="CH4" s="216"/>
      <c r="CI4" s="216"/>
      <c r="CJ4" s="216"/>
      <c r="CK4" s="217"/>
      <c r="CM4" s="176"/>
      <c r="CN4" s="307" t="s">
        <v>23</v>
      </c>
      <c r="CO4" s="307"/>
      <c r="CP4" s="307"/>
      <c r="CQ4" s="219">
        <f>COUNTIF(CP10:CP40,"リ")</f>
        <v>22</v>
      </c>
      <c r="CR4" s="216"/>
      <c r="CS4" s="220" t="s">
        <v>3</v>
      </c>
      <c r="CT4" s="220" t="s">
        <v>27</v>
      </c>
      <c r="CU4" s="216"/>
      <c r="CV4" s="220" t="s">
        <v>3</v>
      </c>
      <c r="CW4" s="220" t="s">
        <v>27</v>
      </c>
      <c r="CX4" s="216"/>
      <c r="CY4" s="216"/>
      <c r="CZ4" s="216"/>
      <c r="DA4" s="216"/>
      <c r="DB4" s="216"/>
      <c r="DC4" s="217"/>
      <c r="DE4" s="176"/>
      <c r="DF4" s="307" t="s">
        <v>23</v>
      </c>
      <c r="DG4" s="307"/>
      <c r="DH4" s="307"/>
      <c r="DI4" s="219">
        <f>COUNTIF(DH10:DH40,"リ")</f>
        <v>22</v>
      </c>
      <c r="DJ4" s="216"/>
      <c r="DK4" s="220" t="s">
        <v>3</v>
      </c>
      <c r="DL4" s="220" t="s">
        <v>27</v>
      </c>
      <c r="DM4" s="216"/>
      <c r="DN4" s="220" t="s">
        <v>3</v>
      </c>
      <c r="DO4" s="220" t="s">
        <v>27</v>
      </c>
      <c r="DP4" s="216"/>
      <c r="DQ4" s="216"/>
      <c r="DR4" s="216"/>
      <c r="DS4" s="216"/>
      <c r="DT4" s="216"/>
      <c r="DU4" s="217"/>
      <c r="DW4" s="176"/>
      <c r="DX4" s="307" t="s">
        <v>23</v>
      </c>
      <c r="DY4" s="307"/>
      <c r="DZ4" s="307"/>
      <c r="EA4" s="219">
        <f>COUNTIF(DZ10:DZ40,"リ")</f>
        <v>20</v>
      </c>
      <c r="EB4" s="216"/>
      <c r="EC4" s="220" t="s">
        <v>3</v>
      </c>
      <c r="ED4" s="220" t="s">
        <v>27</v>
      </c>
      <c r="EE4" s="216"/>
      <c r="EF4" s="220" t="s">
        <v>3</v>
      </c>
      <c r="EG4" s="220" t="s">
        <v>27</v>
      </c>
      <c r="EH4" s="216"/>
      <c r="EI4" s="216"/>
      <c r="EJ4" s="216"/>
      <c r="EK4" s="216"/>
      <c r="EL4" s="216"/>
      <c r="EM4" s="217"/>
      <c r="EO4" s="176"/>
      <c r="EP4" s="307" t="s">
        <v>23</v>
      </c>
      <c r="EQ4" s="307"/>
      <c r="ER4" s="307"/>
      <c r="ES4" s="219">
        <f>COUNTIF(ER10:ER40,"リ")</f>
        <v>19</v>
      </c>
      <c r="ET4" s="216"/>
      <c r="EU4" s="220" t="s">
        <v>3</v>
      </c>
      <c r="EV4" s="220" t="s">
        <v>27</v>
      </c>
      <c r="EW4" s="216"/>
      <c r="EX4" s="220" t="s">
        <v>3</v>
      </c>
      <c r="EY4" s="220" t="s">
        <v>27</v>
      </c>
      <c r="EZ4" s="216"/>
      <c r="FA4" s="216"/>
      <c r="FB4" s="216"/>
      <c r="FC4" s="216"/>
      <c r="FD4" s="216"/>
      <c r="FE4" s="217"/>
      <c r="FG4" s="176"/>
      <c r="FH4" s="307" t="s">
        <v>23</v>
      </c>
      <c r="FI4" s="307"/>
      <c r="FJ4" s="307"/>
      <c r="FK4" s="219">
        <f>COUNTIF(FJ10:FJ40,"リ")</f>
        <v>21</v>
      </c>
      <c r="FL4" s="216"/>
      <c r="FM4" s="220" t="s">
        <v>3</v>
      </c>
      <c r="FN4" s="220" t="s">
        <v>27</v>
      </c>
      <c r="FO4" s="216"/>
      <c r="FP4" s="220" t="s">
        <v>3</v>
      </c>
      <c r="FQ4" s="220" t="s">
        <v>27</v>
      </c>
      <c r="FR4" s="216"/>
      <c r="FS4" s="216"/>
      <c r="FT4" s="216"/>
      <c r="FU4" s="216"/>
      <c r="FV4" s="216"/>
      <c r="FW4" s="217"/>
      <c r="FY4" s="176"/>
      <c r="FZ4" s="307" t="s">
        <v>23</v>
      </c>
      <c r="GA4" s="307"/>
      <c r="GB4" s="307"/>
      <c r="GC4" s="219">
        <f>COUNTIF(GB10:GB40,"リ")</f>
        <v>19</v>
      </c>
      <c r="GD4" s="216"/>
      <c r="GE4" s="220" t="s">
        <v>3</v>
      </c>
      <c r="GF4" s="220" t="s">
        <v>27</v>
      </c>
      <c r="GG4" s="216"/>
      <c r="GH4" s="220" t="s">
        <v>3</v>
      </c>
      <c r="GI4" s="220" t="s">
        <v>27</v>
      </c>
      <c r="GJ4" s="216"/>
      <c r="GK4" s="216"/>
      <c r="GL4" s="216"/>
      <c r="GM4" s="216"/>
      <c r="GN4" s="216"/>
      <c r="GO4" s="217"/>
      <c r="GQ4" s="176"/>
      <c r="GR4" s="307" t="s">
        <v>23</v>
      </c>
      <c r="GS4" s="307"/>
      <c r="GT4" s="307"/>
      <c r="GU4" s="219">
        <f>COUNTIF(GT10:GT40,"リ")</f>
        <v>20</v>
      </c>
      <c r="GV4" s="216"/>
      <c r="GW4" s="220" t="s">
        <v>3</v>
      </c>
      <c r="GX4" s="220" t="s">
        <v>27</v>
      </c>
      <c r="GY4" s="216"/>
      <c r="GZ4" s="220" t="s">
        <v>3</v>
      </c>
      <c r="HA4" s="220" t="s">
        <v>27</v>
      </c>
      <c r="HB4" s="216"/>
      <c r="HC4" s="216"/>
      <c r="HD4" s="216"/>
      <c r="HE4" s="216"/>
      <c r="HF4" s="216"/>
      <c r="HG4" s="217"/>
    </row>
    <row r="5" spans="1:215" outlineLevel="1" x14ac:dyDescent="0.45">
      <c r="A5" s="176"/>
      <c r="B5" s="308" t="s">
        <v>25</v>
      </c>
      <c r="C5" s="308"/>
      <c r="D5" s="308"/>
      <c r="E5" s="221">
        <f>E3/(E3+E4)</f>
        <v>0</v>
      </c>
      <c r="F5" s="216"/>
      <c r="G5" s="222">
        <f>COUNT(F10:F40)</f>
        <v>19</v>
      </c>
      <c r="H5" s="22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16"/>
      <c r="J5" s="222">
        <f>COUNT(J10:J40)</f>
        <v>19</v>
      </c>
      <c r="K5" s="22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16"/>
      <c r="M5" s="216"/>
      <c r="N5" s="216"/>
      <c r="O5" s="216"/>
      <c r="P5" s="216"/>
      <c r="Q5" s="217"/>
      <c r="S5" s="176"/>
      <c r="T5" s="308" t="s">
        <v>25</v>
      </c>
      <c r="U5" s="308"/>
      <c r="V5" s="308"/>
      <c r="W5" s="221">
        <f>W3/(W3+W4)</f>
        <v>0</v>
      </c>
      <c r="X5" s="216"/>
      <c r="Y5" s="222">
        <f>COUNT(X10:X40)</f>
        <v>18</v>
      </c>
      <c r="Z5" s="22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16"/>
      <c r="AB5" s="222">
        <f>COUNT(AB10:AB40)</f>
        <v>18</v>
      </c>
      <c r="AC5" s="22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16"/>
      <c r="AE5" s="216"/>
      <c r="AF5" s="216"/>
      <c r="AG5" s="216"/>
      <c r="AH5" s="216"/>
      <c r="AI5" s="217"/>
      <c r="AK5" s="176"/>
      <c r="AL5" s="308" t="s">
        <v>25</v>
      </c>
      <c r="AM5" s="308"/>
      <c r="AN5" s="308"/>
      <c r="AO5" s="221">
        <f>AO3/(AO3+AO4)</f>
        <v>0</v>
      </c>
      <c r="AP5" s="216"/>
      <c r="AQ5" s="222">
        <f>COUNT(AP10:AP40)</f>
        <v>21</v>
      </c>
      <c r="AR5" s="22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16"/>
      <c r="AT5" s="222">
        <f>COUNT(AT10:AT40)</f>
        <v>21</v>
      </c>
      <c r="AU5" s="22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16"/>
      <c r="AW5" s="216"/>
      <c r="AX5" s="216"/>
      <c r="AY5" s="216"/>
      <c r="AZ5" s="216"/>
      <c r="BA5" s="217"/>
      <c r="BC5" s="176"/>
      <c r="BD5" s="308" t="s">
        <v>25</v>
      </c>
      <c r="BE5" s="308"/>
      <c r="BF5" s="308"/>
      <c r="BG5" s="221">
        <f>BG3/(BG3+BG4)</f>
        <v>0</v>
      </c>
      <c r="BH5" s="216"/>
      <c r="BI5" s="222">
        <f>COUNT(BH10:BH40)</f>
        <v>21</v>
      </c>
      <c r="BJ5" s="22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16"/>
      <c r="BL5" s="222">
        <f>COUNT(BL10:BL40)</f>
        <v>21</v>
      </c>
      <c r="BM5" s="22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16"/>
      <c r="BO5" s="216"/>
      <c r="BP5" s="216"/>
      <c r="BQ5" s="216"/>
      <c r="BR5" s="216"/>
      <c r="BS5" s="217"/>
      <c r="BU5" s="176"/>
      <c r="BV5" s="308" t="s">
        <v>25</v>
      </c>
      <c r="BW5" s="308"/>
      <c r="BX5" s="308"/>
      <c r="BY5" s="221">
        <f>BY3/(BY3+BY4)</f>
        <v>0</v>
      </c>
      <c r="BZ5" s="216"/>
      <c r="CA5" s="222">
        <f>COUNT(BZ10:BZ40)</f>
        <v>18</v>
      </c>
      <c r="CB5" s="22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16"/>
      <c r="CD5" s="222">
        <f>COUNT(CD10:CD40)</f>
        <v>18</v>
      </c>
      <c r="CE5" s="22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16"/>
      <c r="CG5" s="216"/>
      <c r="CH5" s="216"/>
      <c r="CI5" s="216"/>
      <c r="CJ5" s="216"/>
      <c r="CK5" s="217"/>
      <c r="CM5" s="176"/>
      <c r="CN5" s="308" t="s">
        <v>25</v>
      </c>
      <c r="CO5" s="308"/>
      <c r="CP5" s="308"/>
      <c r="CQ5" s="221">
        <f>CQ3/(CQ3+CQ4)</f>
        <v>0</v>
      </c>
      <c r="CR5" s="216"/>
      <c r="CS5" s="222">
        <f>COUNT(CR10:CR40)</f>
        <v>22</v>
      </c>
      <c r="CT5" s="22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16"/>
      <c r="CV5" s="222">
        <f>COUNT(CV10:CV40)</f>
        <v>22</v>
      </c>
      <c r="CW5" s="22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16"/>
      <c r="CY5" s="216"/>
      <c r="CZ5" s="216"/>
      <c r="DA5" s="216"/>
      <c r="DB5" s="216"/>
      <c r="DC5" s="217"/>
      <c r="DE5" s="176"/>
      <c r="DF5" s="308" t="s">
        <v>25</v>
      </c>
      <c r="DG5" s="308"/>
      <c r="DH5" s="308"/>
      <c r="DI5" s="221">
        <f>DI3/(DI3+DI4)</f>
        <v>0</v>
      </c>
      <c r="DJ5" s="216"/>
      <c r="DK5" s="222">
        <f>COUNT(DJ10:DJ40)</f>
        <v>22</v>
      </c>
      <c r="DL5" s="22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16"/>
      <c r="DN5" s="222">
        <f>COUNT(DN10:DN40)</f>
        <v>22</v>
      </c>
      <c r="DO5" s="22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16"/>
      <c r="DQ5" s="216"/>
      <c r="DR5" s="216"/>
      <c r="DS5" s="216"/>
      <c r="DT5" s="216"/>
      <c r="DU5" s="217"/>
      <c r="DW5" s="176"/>
      <c r="DX5" s="308" t="s">
        <v>25</v>
      </c>
      <c r="DY5" s="308"/>
      <c r="DZ5" s="308"/>
      <c r="EA5" s="221">
        <f>EA3/(EA3+EA4)</f>
        <v>0</v>
      </c>
      <c r="EB5" s="216"/>
      <c r="EC5" s="222">
        <f>COUNT(EB10:EB40)</f>
        <v>20</v>
      </c>
      <c r="ED5" s="22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16"/>
      <c r="EF5" s="222">
        <f>COUNT(EF10:EF40)</f>
        <v>20</v>
      </c>
      <c r="EG5" s="22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16"/>
      <c r="EI5" s="216"/>
      <c r="EJ5" s="216"/>
      <c r="EK5" s="216"/>
      <c r="EL5" s="216"/>
      <c r="EM5" s="217"/>
      <c r="EO5" s="176"/>
      <c r="EP5" s="308" t="s">
        <v>25</v>
      </c>
      <c r="EQ5" s="308"/>
      <c r="ER5" s="308"/>
      <c r="ES5" s="221">
        <f>ES3/(ES3+ES4)</f>
        <v>0</v>
      </c>
      <c r="ET5" s="216"/>
      <c r="EU5" s="222">
        <f>COUNT(ET10:ET40)</f>
        <v>19</v>
      </c>
      <c r="EV5" s="22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16"/>
      <c r="EX5" s="222">
        <f>COUNT(EX10:EX40)</f>
        <v>19</v>
      </c>
      <c r="EY5" s="22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16"/>
      <c r="FA5" s="216"/>
      <c r="FB5" s="216"/>
      <c r="FC5" s="216"/>
      <c r="FD5" s="216"/>
      <c r="FE5" s="217"/>
      <c r="FG5" s="176"/>
      <c r="FH5" s="308" t="s">
        <v>25</v>
      </c>
      <c r="FI5" s="308"/>
      <c r="FJ5" s="308"/>
      <c r="FK5" s="221">
        <f>FK3/(FK3+FK4)</f>
        <v>0</v>
      </c>
      <c r="FL5" s="216"/>
      <c r="FM5" s="222">
        <f>COUNT(FL10:FL40)</f>
        <v>21</v>
      </c>
      <c r="FN5" s="22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16"/>
      <c r="FP5" s="222">
        <f>COUNT(FP10:FP40)</f>
        <v>21</v>
      </c>
      <c r="FQ5" s="22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16"/>
      <c r="FS5" s="216"/>
      <c r="FT5" s="216"/>
      <c r="FU5" s="216"/>
      <c r="FV5" s="216"/>
      <c r="FW5" s="217"/>
      <c r="FY5" s="176"/>
      <c r="FZ5" s="308" t="s">
        <v>25</v>
      </c>
      <c r="GA5" s="308"/>
      <c r="GB5" s="308"/>
      <c r="GC5" s="221">
        <f>GC3/(GC3+GC4)</f>
        <v>0</v>
      </c>
      <c r="GD5" s="216"/>
      <c r="GE5" s="222">
        <f>COUNT(GD10:GD40)</f>
        <v>19</v>
      </c>
      <c r="GF5" s="22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16"/>
      <c r="GH5" s="222">
        <f>COUNT(GH10:GH40)</f>
        <v>19</v>
      </c>
      <c r="GI5" s="22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16"/>
      <c r="GK5" s="216"/>
      <c r="GL5" s="216"/>
      <c r="GM5" s="216"/>
      <c r="GN5" s="216"/>
      <c r="GO5" s="217"/>
      <c r="GQ5" s="176"/>
      <c r="GR5" s="308" t="s">
        <v>25</v>
      </c>
      <c r="GS5" s="308"/>
      <c r="GT5" s="308"/>
      <c r="GU5" s="221">
        <f>GU3/(GU3+GU4)</f>
        <v>0</v>
      </c>
      <c r="GV5" s="216"/>
      <c r="GW5" s="222">
        <f>COUNT(GV10:GV40)</f>
        <v>20</v>
      </c>
      <c r="GX5" s="22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16"/>
      <c r="GZ5" s="222">
        <f>COUNT(GZ10:GZ40)</f>
        <v>20</v>
      </c>
      <c r="HA5" s="22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16"/>
      <c r="HC5" s="216"/>
      <c r="HD5" s="216"/>
      <c r="HE5" s="216"/>
      <c r="HF5" s="216"/>
      <c r="HG5" s="217"/>
    </row>
    <row r="6" spans="1:215" ht="6" customHeight="1" outlineLevel="1" thickBot="1" x14ac:dyDescent="0.5">
      <c r="A6" s="176"/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5"/>
      <c r="S6" s="176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5"/>
      <c r="AK6" s="176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5"/>
      <c r="BC6" s="176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5"/>
      <c r="BU6" s="176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5"/>
      <c r="CM6" s="176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5"/>
      <c r="DE6" s="176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5"/>
      <c r="DW6" s="176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5"/>
      <c r="EO6" s="176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5"/>
      <c r="FG6" s="176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5"/>
      <c r="FY6" s="176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5"/>
      <c r="GQ6" s="176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5"/>
    </row>
    <row r="7" spans="1:215" ht="6" customHeight="1" outlineLevel="1" thickTop="1" x14ac:dyDescent="0.45">
      <c r="A7" s="176"/>
      <c r="S7" s="176"/>
      <c r="AK7" s="176"/>
      <c r="BC7" s="176"/>
      <c r="BU7" s="176"/>
      <c r="CM7" s="176"/>
      <c r="DE7" s="176"/>
      <c r="DW7" s="176"/>
      <c r="EO7" s="176"/>
      <c r="FG7" s="176"/>
      <c r="FY7" s="176"/>
      <c r="GQ7" s="176"/>
    </row>
    <row r="8" spans="1:215" x14ac:dyDescent="0.45">
      <c r="A8" s="297">
        <v>46023</v>
      </c>
      <c r="D8" s="29"/>
      <c r="E8" s="299" t="s">
        <v>26</v>
      </c>
      <c r="F8" s="299"/>
      <c r="G8" s="300" t="s">
        <v>32</v>
      </c>
      <c r="H8" s="300"/>
      <c r="I8" s="29"/>
      <c r="J8" s="301" t="s">
        <v>28</v>
      </c>
      <c r="K8" s="301"/>
      <c r="L8" s="301" t="s">
        <v>32</v>
      </c>
      <c r="M8" s="301"/>
      <c r="N8" s="93"/>
      <c r="O8" s="29"/>
      <c r="P8" s="29"/>
      <c r="Q8" s="29"/>
      <c r="S8" s="297">
        <v>46054</v>
      </c>
      <c r="V8" s="29"/>
      <c r="W8" s="299" t="s">
        <v>26</v>
      </c>
      <c r="X8" s="299"/>
      <c r="Y8" s="300" t="s">
        <v>32</v>
      </c>
      <c r="Z8" s="300"/>
      <c r="AA8" s="29"/>
      <c r="AB8" s="301" t="s">
        <v>28</v>
      </c>
      <c r="AC8" s="301"/>
      <c r="AD8" s="301" t="s">
        <v>32</v>
      </c>
      <c r="AE8" s="301"/>
      <c r="AF8" s="93"/>
      <c r="AG8" s="29"/>
      <c r="AH8" s="29"/>
      <c r="AI8" s="29"/>
      <c r="AK8" s="297">
        <v>46082</v>
      </c>
      <c r="AN8" s="29"/>
      <c r="AO8" s="299" t="s">
        <v>26</v>
      </c>
      <c r="AP8" s="299"/>
      <c r="AQ8" s="300" t="s">
        <v>32</v>
      </c>
      <c r="AR8" s="300"/>
      <c r="AS8" s="29"/>
      <c r="AT8" s="301" t="s">
        <v>28</v>
      </c>
      <c r="AU8" s="301"/>
      <c r="AV8" s="301" t="s">
        <v>32</v>
      </c>
      <c r="AW8" s="301"/>
      <c r="AX8" s="93"/>
      <c r="AY8" s="29"/>
      <c r="AZ8" s="29"/>
      <c r="BA8" s="29"/>
      <c r="BC8" s="297">
        <v>46113</v>
      </c>
      <c r="BF8" s="29"/>
      <c r="BG8" s="299" t="s">
        <v>26</v>
      </c>
      <c r="BH8" s="299"/>
      <c r="BI8" s="300" t="s">
        <v>32</v>
      </c>
      <c r="BJ8" s="300"/>
      <c r="BK8" s="29"/>
      <c r="BL8" s="301" t="s">
        <v>28</v>
      </c>
      <c r="BM8" s="301"/>
      <c r="BN8" s="301" t="s">
        <v>32</v>
      </c>
      <c r="BO8" s="301"/>
      <c r="BP8" s="93"/>
      <c r="BQ8" s="29"/>
      <c r="BR8" s="29"/>
      <c r="BS8" s="29"/>
      <c r="BU8" s="297">
        <v>46143</v>
      </c>
      <c r="BX8" s="29"/>
      <c r="BY8" s="299" t="s">
        <v>26</v>
      </c>
      <c r="BZ8" s="299"/>
      <c r="CA8" s="300" t="s">
        <v>32</v>
      </c>
      <c r="CB8" s="300"/>
      <c r="CC8" s="29"/>
      <c r="CD8" s="301" t="s">
        <v>28</v>
      </c>
      <c r="CE8" s="301"/>
      <c r="CF8" s="301" t="s">
        <v>32</v>
      </c>
      <c r="CG8" s="301"/>
      <c r="CH8" s="93"/>
      <c r="CI8" s="29"/>
      <c r="CJ8" s="29"/>
      <c r="CK8" s="29"/>
      <c r="CM8" s="297">
        <v>46174</v>
      </c>
      <c r="CP8" s="29"/>
      <c r="CQ8" s="299" t="s">
        <v>26</v>
      </c>
      <c r="CR8" s="299"/>
      <c r="CS8" s="300" t="s">
        <v>32</v>
      </c>
      <c r="CT8" s="300"/>
      <c r="CU8" s="29"/>
      <c r="CV8" s="301" t="s">
        <v>28</v>
      </c>
      <c r="CW8" s="301"/>
      <c r="CX8" s="301" t="s">
        <v>32</v>
      </c>
      <c r="CY8" s="301"/>
      <c r="CZ8" s="93"/>
      <c r="DA8" s="29"/>
      <c r="DB8" s="29"/>
      <c r="DC8" s="29"/>
      <c r="DE8" s="297">
        <v>46204</v>
      </c>
      <c r="DH8" s="29"/>
      <c r="DI8" s="299" t="s">
        <v>26</v>
      </c>
      <c r="DJ8" s="299"/>
      <c r="DK8" s="300" t="s">
        <v>32</v>
      </c>
      <c r="DL8" s="300"/>
      <c r="DM8" s="29"/>
      <c r="DN8" s="301" t="s">
        <v>28</v>
      </c>
      <c r="DO8" s="301"/>
      <c r="DP8" s="301" t="s">
        <v>32</v>
      </c>
      <c r="DQ8" s="301"/>
      <c r="DR8" s="93"/>
      <c r="DS8" s="29"/>
      <c r="DT8" s="29"/>
      <c r="DU8" s="29"/>
      <c r="DW8" s="297">
        <v>46235</v>
      </c>
      <c r="DZ8" s="29"/>
      <c r="EA8" s="299" t="s">
        <v>26</v>
      </c>
      <c r="EB8" s="299"/>
      <c r="EC8" s="300" t="s">
        <v>32</v>
      </c>
      <c r="ED8" s="300"/>
      <c r="EE8" s="29"/>
      <c r="EF8" s="301" t="s">
        <v>28</v>
      </c>
      <c r="EG8" s="301"/>
      <c r="EH8" s="301" t="s">
        <v>32</v>
      </c>
      <c r="EI8" s="301"/>
      <c r="EJ8" s="93"/>
      <c r="EK8" s="29"/>
      <c r="EL8" s="29"/>
      <c r="EM8" s="29"/>
      <c r="EO8" s="297">
        <v>46266</v>
      </c>
      <c r="ER8" s="29"/>
      <c r="ES8" s="299" t="s">
        <v>26</v>
      </c>
      <c r="ET8" s="299"/>
      <c r="EU8" s="300" t="s">
        <v>32</v>
      </c>
      <c r="EV8" s="300"/>
      <c r="EW8" s="29"/>
      <c r="EX8" s="301" t="s">
        <v>28</v>
      </c>
      <c r="EY8" s="301"/>
      <c r="EZ8" s="301" t="s">
        <v>32</v>
      </c>
      <c r="FA8" s="301"/>
      <c r="FB8" s="93"/>
      <c r="FC8" s="29"/>
      <c r="FD8" s="29"/>
      <c r="FE8" s="29"/>
      <c r="FG8" s="297">
        <v>46296</v>
      </c>
      <c r="FJ8" s="29"/>
      <c r="FK8" s="299" t="s">
        <v>26</v>
      </c>
      <c r="FL8" s="299"/>
      <c r="FM8" s="300" t="s">
        <v>32</v>
      </c>
      <c r="FN8" s="300"/>
      <c r="FO8" s="29"/>
      <c r="FP8" s="301" t="s">
        <v>28</v>
      </c>
      <c r="FQ8" s="301"/>
      <c r="FR8" s="301" t="s">
        <v>32</v>
      </c>
      <c r="FS8" s="301"/>
      <c r="FT8" s="93"/>
      <c r="FU8" s="29"/>
      <c r="FV8" s="29"/>
      <c r="FW8" s="29"/>
      <c r="FY8" s="297">
        <v>46327</v>
      </c>
      <c r="GB8" s="29"/>
      <c r="GC8" s="299" t="s">
        <v>26</v>
      </c>
      <c r="GD8" s="299"/>
      <c r="GE8" s="300" t="s">
        <v>32</v>
      </c>
      <c r="GF8" s="300"/>
      <c r="GG8" s="29"/>
      <c r="GH8" s="301" t="s">
        <v>28</v>
      </c>
      <c r="GI8" s="301"/>
      <c r="GJ8" s="301" t="s">
        <v>32</v>
      </c>
      <c r="GK8" s="301"/>
      <c r="GL8" s="93"/>
      <c r="GM8" s="29"/>
      <c r="GN8" s="29"/>
      <c r="GO8" s="29"/>
      <c r="GQ8" s="297">
        <v>46357</v>
      </c>
      <c r="GT8" s="29"/>
      <c r="GU8" s="299" t="s">
        <v>26</v>
      </c>
      <c r="GV8" s="299"/>
      <c r="GW8" s="300" t="s">
        <v>32</v>
      </c>
      <c r="GX8" s="300"/>
      <c r="GY8" s="29"/>
      <c r="GZ8" s="301" t="s">
        <v>28</v>
      </c>
      <c r="HA8" s="301"/>
      <c r="HB8" s="301" t="s">
        <v>32</v>
      </c>
      <c r="HC8" s="301"/>
      <c r="HD8" s="93"/>
      <c r="HE8" s="29"/>
      <c r="HF8" s="29"/>
      <c r="HG8" s="29"/>
    </row>
    <row r="9" spans="1:215" x14ac:dyDescent="0.45">
      <c r="A9" s="298"/>
      <c r="B9" s="177"/>
      <c r="C9" s="177"/>
      <c r="D9" s="178" t="s">
        <v>29</v>
      </c>
      <c r="E9" s="178" t="s">
        <v>30</v>
      </c>
      <c r="F9" s="178" t="s">
        <v>31</v>
      </c>
      <c r="G9" s="179" t="s">
        <v>30</v>
      </c>
      <c r="H9" s="179" t="s">
        <v>31</v>
      </c>
      <c r="I9" s="178" t="s">
        <v>27</v>
      </c>
      <c r="J9" s="180" t="s">
        <v>30</v>
      </c>
      <c r="K9" s="180" t="s">
        <v>31</v>
      </c>
      <c r="L9" s="180" t="s">
        <v>30</v>
      </c>
      <c r="M9" s="180" t="s">
        <v>31</v>
      </c>
      <c r="N9" s="180" t="s">
        <v>27</v>
      </c>
      <c r="O9" s="302" t="s">
        <v>33</v>
      </c>
      <c r="P9" s="302"/>
      <c r="Q9" s="302"/>
      <c r="S9" s="298"/>
      <c r="T9" s="177"/>
      <c r="U9" s="177"/>
      <c r="V9" s="178" t="s">
        <v>29</v>
      </c>
      <c r="W9" s="178" t="s">
        <v>30</v>
      </c>
      <c r="X9" s="178" t="s">
        <v>31</v>
      </c>
      <c r="Y9" s="179" t="s">
        <v>30</v>
      </c>
      <c r="Z9" s="179" t="s">
        <v>31</v>
      </c>
      <c r="AA9" s="178" t="s">
        <v>27</v>
      </c>
      <c r="AB9" s="180" t="s">
        <v>30</v>
      </c>
      <c r="AC9" s="180" t="s">
        <v>31</v>
      </c>
      <c r="AD9" s="180" t="s">
        <v>30</v>
      </c>
      <c r="AE9" s="180" t="s">
        <v>31</v>
      </c>
      <c r="AF9" s="180" t="s">
        <v>27</v>
      </c>
      <c r="AG9" s="302" t="s">
        <v>33</v>
      </c>
      <c r="AH9" s="302"/>
      <c r="AI9" s="302"/>
      <c r="AK9" s="298"/>
      <c r="AL9" s="177"/>
      <c r="AM9" s="177"/>
      <c r="AN9" s="178" t="s">
        <v>29</v>
      </c>
      <c r="AO9" s="178" t="s">
        <v>30</v>
      </c>
      <c r="AP9" s="178" t="s">
        <v>31</v>
      </c>
      <c r="AQ9" s="179" t="s">
        <v>30</v>
      </c>
      <c r="AR9" s="179" t="s">
        <v>31</v>
      </c>
      <c r="AS9" s="178" t="s">
        <v>27</v>
      </c>
      <c r="AT9" s="180" t="s">
        <v>30</v>
      </c>
      <c r="AU9" s="180" t="s">
        <v>31</v>
      </c>
      <c r="AV9" s="180" t="s">
        <v>30</v>
      </c>
      <c r="AW9" s="180" t="s">
        <v>31</v>
      </c>
      <c r="AX9" s="180" t="s">
        <v>27</v>
      </c>
      <c r="AY9" s="302" t="s">
        <v>33</v>
      </c>
      <c r="AZ9" s="302"/>
      <c r="BA9" s="302"/>
      <c r="BC9" s="298"/>
      <c r="BD9" s="177"/>
      <c r="BE9" s="177"/>
      <c r="BF9" s="178" t="s">
        <v>29</v>
      </c>
      <c r="BG9" s="178" t="s">
        <v>30</v>
      </c>
      <c r="BH9" s="178" t="s">
        <v>31</v>
      </c>
      <c r="BI9" s="179" t="s">
        <v>30</v>
      </c>
      <c r="BJ9" s="179" t="s">
        <v>31</v>
      </c>
      <c r="BK9" s="178" t="s">
        <v>27</v>
      </c>
      <c r="BL9" s="180" t="s">
        <v>30</v>
      </c>
      <c r="BM9" s="180" t="s">
        <v>31</v>
      </c>
      <c r="BN9" s="180" t="s">
        <v>30</v>
      </c>
      <c r="BO9" s="180" t="s">
        <v>31</v>
      </c>
      <c r="BP9" s="180" t="s">
        <v>27</v>
      </c>
      <c r="BQ9" s="302" t="s">
        <v>33</v>
      </c>
      <c r="BR9" s="302"/>
      <c r="BS9" s="302"/>
      <c r="BU9" s="298"/>
      <c r="BV9" s="177"/>
      <c r="BW9" s="177"/>
      <c r="BX9" s="178" t="s">
        <v>29</v>
      </c>
      <c r="BY9" s="178" t="s">
        <v>30</v>
      </c>
      <c r="BZ9" s="178" t="s">
        <v>31</v>
      </c>
      <c r="CA9" s="179" t="s">
        <v>30</v>
      </c>
      <c r="CB9" s="179" t="s">
        <v>31</v>
      </c>
      <c r="CC9" s="178" t="s">
        <v>27</v>
      </c>
      <c r="CD9" s="180" t="s">
        <v>30</v>
      </c>
      <c r="CE9" s="180" t="s">
        <v>31</v>
      </c>
      <c r="CF9" s="180" t="s">
        <v>30</v>
      </c>
      <c r="CG9" s="180" t="s">
        <v>31</v>
      </c>
      <c r="CH9" s="180" t="s">
        <v>27</v>
      </c>
      <c r="CI9" s="302" t="s">
        <v>33</v>
      </c>
      <c r="CJ9" s="302"/>
      <c r="CK9" s="302"/>
      <c r="CM9" s="298"/>
      <c r="CN9" s="177"/>
      <c r="CO9" s="177"/>
      <c r="CP9" s="178" t="s">
        <v>29</v>
      </c>
      <c r="CQ9" s="178" t="s">
        <v>30</v>
      </c>
      <c r="CR9" s="178" t="s">
        <v>31</v>
      </c>
      <c r="CS9" s="179" t="s">
        <v>30</v>
      </c>
      <c r="CT9" s="179" t="s">
        <v>31</v>
      </c>
      <c r="CU9" s="178" t="s">
        <v>27</v>
      </c>
      <c r="CV9" s="180" t="s">
        <v>30</v>
      </c>
      <c r="CW9" s="180" t="s">
        <v>31</v>
      </c>
      <c r="CX9" s="180" t="s">
        <v>30</v>
      </c>
      <c r="CY9" s="180" t="s">
        <v>31</v>
      </c>
      <c r="CZ9" s="180" t="s">
        <v>27</v>
      </c>
      <c r="DA9" s="302" t="s">
        <v>33</v>
      </c>
      <c r="DB9" s="302"/>
      <c r="DC9" s="302"/>
      <c r="DE9" s="298"/>
      <c r="DF9" s="177"/>
      <c r="DG9" s="177"/>
      <c r="DH9" s="178" t="s">
        <v>29</v>
      </c>
      <c r="DI9" s="178" t="s">
        <v>30</v>
      </c>
      <c r="DJ9" s="178" t="s">
        <v>31</v>
      </c>
      <c r="DK9" s="179" t="s">
        <v>30</v>
      </c>
      <c r="DL9" s="179" t="s">
        <v>31</v>
      </c>
      <c r="DM9" s="178" t="s">
        <v>27</v>
      </c>
      <c r="DN9" s="180" t="s">
        <v>30</v>
      </c>
      <c r="DO9" s="180" t="s">
        <v>31</v>
      </c>
      <c r="DP9" s="180" t="s">
        <v>30</v>
      </c>
      <c r="DQ9" s="180" t="s">
        <v>31</v>
      </c>
      <c r="DR9" s="180" t="s">
        <v>27</v>
      </c>
      <c r="DS9" s="302" t="s">
        <v>33</v>
      </c>
      <c r="DT9" s="302"/>
      <c r="DU9" s="302"/>
      <c r="DW9" s="298"/>
      <c r="DX9" s="177"/>
      <c r="DY9" s="177"/>
      <c r="DZ9" s="178" t="s">
        <v>29</v>
      </c>
      <c r="EA9" s="178" t="s">
        <v>30</v>
      </c>
      <c r="EB9" s="178" t="s">
        <v>31</v>
      </c>
      <c r="EC9" s="179" t="s">
        <v>30</v>
      </c>
      <c r="ED9" s="179" t="s">
        <v>31</v>
      </c>
      <c r="EE9" s="178" t="s">
        <v>27</v>
      </c>
      <c r="EF9" s="180" t="s">
        <v>30</v>
      </c>
      <c r="EG9" s="180" t="s">
        <v>31</v>
      </c>
      <c r="EH9" s="180" t="s">
        <v>30</v>
      </c>
      <c r="EI9" s="180" t="s">
        <v>31</v>
      </c>
      <c r="EJ9" s="180" t="s">
        <v>27</v>
      </c>
      <c r="EK9" s="302" t="s">
        <v>33</v>
      </c>
      <c r="EL9" s="302"/>
      <c r="EM9" s="302"/>
      <c r="EO9" s="298"/>
      <c r="EP9" s="177"/>
      <c r="EQ9" s="177"/>
      <c r="ER9" s="178" t="s">
        <v>29</v>
      </c>
      <c r="ES9" s="178" t="s">
        <v>30</v>
      </c>
      <c r="ET9" s="178" t="s">
        <v>31</v>
      </c>
      <c r="EU9" s="179" t="s">
        <v>30</v>
      </c>
      <c r="EV9" s="179" t="s">
        <v>31</v>
      </c>
      <c r="EW9" s="178" t="s">
        <v>27</v>
      </c>
      <c r="EX9" s="180" t="s">
        <v>30</v>
      </c>
      <c r="EY9" s="180" t="s">
        <v>31</v>
      </c>
      <c r="EZ9" s="180" t="s">
        <v>30</v>
      </c>
      <c r="FA9" s="180" t="s">
        <v>31</v>
      </c>
      <c r="FB9" s="180" t="s">
        <v>27</v>
      </c>
      <c r="FC9" s="302" t="s">
        <v>33</v>
      </c>
      <c r="FD9" s="302"/>
      <c r="FE9" s="302"/>
      <c r="FG9" s="298"/>
      <c r="FH9" s="177"/>
      <c r="FI9" s="177"/>
      <c r="FJ9" s="178" t="s">
        <v>29</v>
      </c>
      <c r="FK9" s="178" t="s">
        <v>30</v>
      </c>
      <c r="FL9" s="178" t="s">
        <v>31</v>
      </c>
      <c r="FM9" s="179" t="s">
        <v>30</v>
      </c>
      <c r="FN9" s="179" t="s">
        <v>31</v>
      </c>
      <c r="FO9" s="178" t="s">
        <v>27</v>
      </c>
      <c r="FP9" s="180" t="s">
        <v>30</v>
      </c>
      <c r="FQ9" s="180" t="s">
        <v>31</v>
      </c>
      <c r="FR9" s="180" t="s">
        <v>30</v>
      </c>
      <c r="FS9" s="180" t="s">
        <v>31</v>
      </c>
      <c r="FT9" s="180" t="s">
        <v>27</v>
      </c>
      <c r="FU9" s="302" t="s">
        <v>33</v>
      </c>
      <c r="FV9" s="302"/>
      <c r="FW9" s="302"/>
      <c r="FY9" s="298"/>
      <c r="FZ9" s="177"/>
      <c r="GA9" s="177"/>
      <c r="GB9" s="178" t="s">
        <v>29</v>
      </c>
      <c r="GC9" s="178" t="s">
        <v>30</v>
      </c>
      <c r="GD9" s="178" t="s">
        <v>31</v>
      </c>
      <c r="GE9" s="179" t="s">
        <v>30</v>
      </c>
      <c r="GF9" s="179" t="s">
        <v>31</v>
      </c>
      <c r="GG9" s="178" t="s">
        <v>27</v>
      </c>
      <c r="GH9" s="180" t="s">
        <v>30</v>
      </c>
      <c r="GI9" s="180" t="s">
        <v>31</v>
      </c>
      <c r="GJ9" s="180" t="s">
        <v>30</v>
      </c>
      <c r="GK9" s="180" t="s">
        <v>31</v>
      </c>
      <c r="GL9" s="180" t="s">
        <v>27</v>
      </c>
      <c r="GM9" s="302" t="s">
        <v>33</v>
      </c>
      <c r="GN9" s="302"/>
      <c r="GO9" s="302"/>
      <c r="GQ9" s="298"/>
      <c r="GR9" s="177"/>
      <c r="GS9" s="177"/>
      <c r="GT9" s="178" t="s">
        <v>29</v>
      </c>
      <c r="GU9" s="178" t="s">
        <v>30</v>
      </c>
      <c r="GV9" s="178" t="s">
        <v>31</v>
      </c>
      <c r="GW9" s="179" t="s">
        <v>30</v>
      </c>
      <c r="GX9" s="179" t="s">
        <v>31</v>
      </c>
      <c r="GY9" s="178" t="s">
        <v>27</v>
      </c>
      <c r="GZ9" s="180" t="s">
        <v>30</v>
      </c>
      <c r="HA9" s="180" t="s">
        <v>31</v>
      </c>
      <c r="HB9" s="180" t="s">
        <v>30</v>
      </c>
      <c r="HC9" s="180" t="s">
        <v>31</v>
      </c>
      <c r="HD9" s="180" t="s">
        <v>27</v>
      </c>
      <c r="HE9" s="302" t="s">
        <v>33</v>
      </c>
      <c r="HF9" s="302"/>
      <c r="HG9" s="302"/>
    </row>
    <row r="10" spans="1:215" x14ac:dyDescent="0.45">
      <c r="A10" s="312" t="s">
        <v>34</v>
      </c>
      <c r="B10" s="181">
        <f>A8</f>
        <v>46023</v>
      </c>
      <c r="C10" s="182" t="str">
        <f t="shared" ref="C10:C40" si="0">TEXT(B10,"aaa")</f>
        <v>木</v>
      </c>
      <c r="D10" s="182"/>
      <c r="E10" s="183"/>
      <c r="F10" s="183"/>
      <c r="G10" s="184"/>
      <c r="H10" s="184"/>
      <c r="I10" s="18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86"/>
      <c r="K10" s="186"/>
      <c r="L10" s="186"/>
      <c r="M10" s="186"/>
      <c r="N10" s="18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10"/>
      <c r="P10" s="310"/>
      <c r="Q10" s="310"/>
      <c r="S10" s="195"/>
      <c r="T10" s="181">
        <f>S8</f>
        <v>46054</v>
      </c>
      <c r="U10" s="182" t="str">
        <f t="shared" ref="U10:U40" si="3">TEXT(T10,"aaa")</f>
        <v>日</v>
      </c>
      <c r="V10" s="182"/>
      <c r="W10" s="183"/>
      <c r="X10" s="183"/>
      <c r="Y10" s="184"/>
      <c r="Z10" s="184"/>
      <c r="AA10" s="185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186"/>
      <c r="AC10" s="186"/>
      <c r="AD10" s="186"/>
      <c r="AE10" s="186"/>
      <c r="AF10" s="187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10"/>
      <c r="AH10" s="310"/>
      <c r="AI10" s="310"/>
      <c r="AK10" s="195"/>
      <c r="AL10" s="181">
        <f>AK8</f>
        <v>46082</v>
      </c>
      <c r="AM10" s="182" t="str">
        <f t="shared" ref="AM10:AM40" si="6">TEXT(AL10,"aaa")</f>
        <v>日</v>
      </c>
      <c r="AN10" s="182"/>
      <c r="AO10" s="183"/>
      <c r="AP10" s="183"/>
      <c r="AQ10" s="184"/>
      <c r="AR10" s="184"/>
      <c r="AS10" s="185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186"/>
      <c r="AU10" s="186"/>
      <c r="AV10" s="186"/>
      <c r="AW10" s="186"/>
      <c r="AX10" s="187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10"/>
      <c r="AZ10" s="310"/>
      <c r="BA10" s="310"/>
      <c r="BC10" s="195"/>
      <c r="BD10" s="181">
        <f>BC8</f>
        <v>46113</v>
      </c>
      <c r="BE10" s="182" t="str">
        <f t="shared" ref="BE10:BE40" si="9">TEXT(BD10,"aaa")</f>
        <v>水</v>
      </c>
      <c r="BF10" s="182" t="s">
        <v>22</v>
      </c>
      <c r="BG10" s="183">
        <v>0.375</v>
      </c>
      <c r="BH10" s="183">
        <v>0.75</v>
      </c>
      <c r="BI10" s="184">
        <v>0.5</v>
      </c>
      <c r="BJ10" s="184">
        <v>0.54166666666666663</v>
      </c>
      <c r="BK10" s="185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86">
        <v>0.375</v>
      </c>
      <c r="BM10" s="186">
        <v>0.75</v>
      </c>
      <c r="BN10" s="186">
        <v>0.5</v>
      </c>
      <c r="BO10" s="186">
        <v>0.54166666666666663</v>
      </c>
      <c r="BP10" s="187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10"/>
      <c r="BR10" s="310"/>
      <c r="BS10" s="310"/>
      <c r="BU10" s="195"/>
      <c r="BV10" s="181">
        <f>BU8</f>
        <v>46143</v>
      </c>
      <c r="BW10" s="182" t="str">
        <f t="shared" ref="BW10:BW40" si="12">TEXT(BV10,"aaa")</f>
        <v>金</v>
      </c>
      <c r="BX10" s="182" t="s">
        <v>22</v>
      </c>
      <c r="BY10" s="183">
        <v>0.375</v>
      </c>
      <c r="BZ10" s="183">
        <v>0.75</v>
      </c>
      <c r="CA10" s="184">
        <v>0.5</v>
      </c>
      <c r="CB10" s="184">
        <v>0.54166666666666663</v>
      </c>
      <c r="CC10" s="185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86">
        <v>0.375</v>
      </c>
      <c r="CE10" s="186">
        <v>0.75</v>
      </c>
      <c r="CF10" s="186">
        <v>0.5</v>
      </c>
      <c r="CG10" s="186">
        <v>0.54166666666666663</v>
      </c>
      <c r="CH10" s="187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10"/>
      <c r="CJ10" s="310"/>
      <c r="CK10" s="310"/>
      <c r="CM10" s="195"/>
      <c r="CN10" s="181">
        <f>CM8</f>
        <v>46174</v>
      </c>
      <c r="CO10" s="182" t="str">
        <f t="shared" ref="CO10:CO40" si="15">TEXT(CN10,"aaa")</f>
        <v>月</v>
      </c>
      <c r="CP10" s="182" t="s">
        <v>22</v>
      </c>
      <c r="CQ10" s="183">
        <v>0.375</v>
      </c>
      <c r="CR10" s="183">
        <v>0.75</v>
      </c>
      <c r="CS10" s="184">
        <v>0.5</v>
      </c>
      <c r="CT10" s="184">
        <v>0.54166666666666663</v>
      </c>
      <c r="CU10" s="185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86">
        <v>0.375</v>
      </c>
      <c r="CW10" s="186">
        <v>0.75</v>
      </c>
      <c r="CX10" s="186">
        <v>0.5</v>
      </c>
      <c r="CY10" s="186">
        <v>0.54166666666666663</v>
      </c>
      <c r="CZ10" s="187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10"/>
      <c r="DB10" s="310"/>
      <c r="DC10" s="310"/>
      <c r="DE10" s="195"/>
      <c r="DF10" s="181">
        <f>DE8</f>
        <v>46204</v>
      </c>
      <c r="DG10" s="182" t="str">
        <f t="shared" ref="DG10:DG40" si="18">TEXT(DF10,"aaa")</f>
        <v>水</v>
      </c>
      <c r="DH10" s="182" t="s">
        <v>22</v>
      </c>
      <c r="DI10" s="183">
        <v>0.375</v>
      </c>
      <c r="DJ10" s="183">
        <v>0.75</v>
      </c>
      <c r="DK10" s="184">
        <v>0.5</v>
      </c>
      <c r="DL10" s="184">
        <v>0.54166666666666663</v>
      </c>
      <c r="DM10" s="185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86">
        <v>0.375</v>
      </c>
      <c r="DO10" s="186">
        <v>0.75</v>
      </c>
      <c r="DP10" s="186">
        <v>0.5</v>
      </c>
      <c r="DQ10" s="186">
        <v>0.54166666666666663</v>
      </c>
      <c r="DR10" s="187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10"/>
      <c r="DT10" s="310"/>
      <c r="DU10" s="310"/>
      <c r="DW10" s="195"/>
      <c r="DX10" s="181">
        <f>DW8</f>
        <v>46235</v>
      </c>
      <c r="DY10" s="182" t="str">
        <f t="shared" ref="DY10:DY40" si="21">TEXT(DX10,"aaa")</f>
        <v>土</v>
      </c>
      <c r="DZ10" s="182"/>
      <c r="EA10" s="183"/>
      <c r="EB10" s="183"/>
      <c r="EC10" s="184"/>
      <c r="ED10" s="184"/>
      <c r="EE10" s="185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186"/>
      <c r="EG10" s="186"/>
      <c r="EH10" s="186"/>
      <c r="EI10" s="186"/>
      <c r="EJ10" s="187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10"/>
      <c r="EL10" s="310"/>
      <c r="EM10" s="310"/>
      <c r="EO10" s="195"/>
      <c r="EP10" s="181">
        <f>EO8</f>
        <v>46266</v>
      </c>
      <c r="EQ10" s="182" t="str">
        <f t="shared" ref="EQ10:EQ40" si="24">TEXT(EP10,"aaa")</f>
        <v>火</v>
      </c>
      <c r="ER10" s="182" t="s">
        <v>22</v>
      </c>
      <c r="ES10" s="183">
        <v>0.375</v>
      </c>
      <c r="ET10" s="183">
        <v>0.75</v>
      </c>
      <c r="EU10" s="184">
        <v>0.5</v>
      </c>
      <c r="EV10" s="184">
        <v>0.54166666666666663</v>
      </c>
      <c r="EW10" s="185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86">
        <v>0.375</v>
      </c>
      <c r="EY10" s="186">
        <v>0.75</v>
      </c>
      <c r="EZ10" s="186">
        <v>0.5</v>
      </c>
      <c r="FA10" s="186">
        <v>0.54166666666666663</v>
      </c>
      <c r="FB10" s="187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10"/>
      <c r="FD10" s="310"/>
      <c r="FE10" s="310"/>
      <c r="FG10" s="195"/>
      <c r="FH10" s="181">
        <f>FG8</f>
        <v>46296</v>
      </c>
      <c r="FI10" s="182" t="str">
        <f t="shared" ref="FI10:FI40" si="27">TEXT(FH10,"aaa")</f>
        <v>木</v>
      </c>
      <c r="FJ10" s="182" t="s">
        <v>22</v>
      </c>
      <c r="FK10" s="183">
        <v>0.375</v>
      </c>
      <c r="FL10" s="183">
        <v>0.75</v>
      </c>
      <c r="FM10" s="184">
        <v>0.5</v>
      </c>
      <c r="FN10" s="184">
        <v>0.54166666666666663</v>
      </c>
      <c r="FO10" s="185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86">
        <v>0.375</v>
      </c>
      <c r="FQ10" s="186">
        <v>0.75</v>
      </c>
      <c r="FR10" s="186">
        <v>0.5</v>
      </c>
      <c r="FS10" s="186">
        <v>0.54166666666666663</v>
      </c>
      <c r="FT10" s="187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10"/>
      <c r="FV10" s="310"/>
      <c r="FW10" s="310"/>
      <c r="FY10" s="195"/>
      <c r="FZ10" s="181">
        <f>FY8</f>
        <v>46327</v>
      </c>
      <c r="GA10" s="182" t="str">
        <f t="shared" ref="GA10:GA40" si="30">TEXT(FZ10,"aaa")</f>
        <v>日</v>
      </c>
      <c r="GB10" s="182"/>
      <c r="GC10" s="183"/>
      <c r="GD10" s="183"/>
      <c r="GE10" s="184"/>
      <c r="GF10" s="184"/>
      <c r="GG10" s="185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186"/>
      <c r="GI10" s="186"/>
      <c r="GJ10" s="186"/>
      <c r="GK10" s="186"/>
      <c r="GL10" s="187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10"/>
      <c r="GN10" s="310"/>
      <c r="GO10" s="310"/>
      <c r="GQ10" s="195"/>
      <c r="GR10" s="181">
        <f>GQ8</f>
        <v>46357</v>
      </c>
      <c r="GS10" s="182" t="str">
        <f t="shared" ref="GS10:GS40" si="33">TEXT(GR10,"aaa")</f>
        <v>火</v>
      </c>
      <c r="GT10" s="182" t="s">
        <v>22</v>
      </c>
      <c r="GU10" s="183">
        <v>0.375</v>
      </c>
      <c r="GV10" s="183">
        <v>0.75</v>
      </c>
      <c r="GW10" s="184">
        <v>0.5</v>
      </c>
      <c r="GX10" s="184">
        <v>0.54166666666666663</v>
      </c>
      <c r="GY10" s="185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86">
        <v>0.375</v>
      </c>
      <c r="HA10" s="186">
        <v>0.75</v>
      </c>
      <c r="HB10" s="186">
        <v>0.5</v>
      </c>
      <c r="HC10" s="186">
        <v>0.54166666666666663</v>
      </c>
      <c r="HD10" s="187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10"/>
      <c r="HF10" s="310"/>
      <c r="HG10" s="310"/>
    </row>
    <row r="11" spans="1:215" x14ac:dyDescent="0.45">
      <c r="A11" s="313"/>
      <c r="B11" s="181">
        <f t="shared" ref="B11:B40" si="36">IF(B10="","",IF(B10+1&lt;=EOMONTH($A$8,0),B10+1,""))</f>
        <v>46024</v>
      </c>
      <c r="C11" s="182" t="str">
        <f t="shared" si="0"/>
        <v>金</v>
      </c>
      <c r="D11" s="182"/>
      <c r="E11" s="183"/>
      <c r="F11" s="183"/>
      <c r="G11" s="184"/>
      <c r="H11" s="184"/>
      <c r="I11" s="185" t="str">
        <f t="shared" si="1"/>
        <v/>
      </c>
      <c r="J11" s="186"/>
      <c r="K11" s="186"/>
      <c r="L11" s="186"/>
      <c r="M11" s="186"/>
      <c r="N11" s="187" t="str">
        <f t="shared" si="2"/>
        <v/>
      </c>
      <c r="O11" s="310"/>
      <c r="P11" s="310"/>
      <c r="Q11" s="310"/>
      <c r="S11" s="176"/>
      <c r="T11" s="181">
        <f t="shared" ref="T11:T40" si="37">IF(T10="","",IF(T10+1&lt;=EOMONTH($S$8,0),T10+1,""))</f>
        <v>46055</v>
      </c>
      <c r="U11" s="182" t="str">
        <f t="shared" si="3"/>
        <v>月</v>
      </c>
      <c r="V11" s="182" t="s">
        <v>22</v>
      </c>
      <c r="W11" s="183">
        <v>0.375</v>
      </c>
      <c r="X11" s="183">
        <v>0.75</v>
      </c>
      <c r="Y11" s="184">
        <v>0.5</v>
      </c>
      <c r="Z11" s="184">
        <v>0.54166666666666663</v>
      </c>
      <c r="AA11" s="185" t="str">
        <f t="shared" si="4"/>
        <v>8h</v>
      </c>
      <c r="AB11" s="186">
        <v>0.375</v>
      </c>
      <c r="AC11" s="186">
        <v>0.75</v>
      </c>
      <c r="AD11" s="186">
        <v>0.5</v>
      </c>
      <c r="AE11" s="186">
        <v>0.54166666666666663</v>
      </c>
      <c r="AF11" s="187" t="str">
        <f t="shared" si="5"/>
        <v>8h</v>
      </c>
      <c r="AG11" s="310"/>
      <c r="AH11" s="310"/>
      <c r="AI11" s="310"/>
      <c r="AK11" s="176"/>
      <c r="AL11" s="181">
        <f t="shared" ref="AL11:AL40" si="38">IF(AL10="","",IF(AL10+1&lt;=EOMONTH($AK$8,0),AL10+1,""))</f>
        <v>46083</v>
      </c>
      <c r="AM11" s="182" t="str">
        <f t="shared" si="6"/>
        <v>月</v>
      </c>
      <c r="AN11" s="182" t="s">
        <v>22</v>
      </c>
      <c r="AO11" s="183">
        <v>0.375</v>
      </c>
      <c r="AP11" s="183">
        <v>0.75</v>
      </c>
      <c r="AQ11" s="184">
        <v>0.5</v>
      </c>
      <c r="AR11" s="184">
        <v>0.54166666666666663</v>
      </c>
      <c r="AS11" s="185" t="str">
        <f t="shared" si="7"/>
        <v>8h</v>
      </c>
      <c r="AT11" s="186">
        <v>0.375</v>
      </c>
      <c r="AU11" s="186">
        <v>0.75</v>
      </c>
      <c r="AV11" s="186">
        <v>0.5</v>
      </c>
      <c r="AW11" s="186">
        <v>0.54166666666666663</v>
      </c>
      <c r="AX11" s="187" t="str">
        <f t="shared" si="8"/>
        <v>8h</v>
      </c>
      <c r="AY11" s="310"/>
      <c r="AZ11" s="310"/>
      <c r="BA11" s="310"/>
      <c r="BC11" s="176"/>
      <c r="BD11" s="181">
        <f t="shared" ref="BD11:BD40" si="39">IF(BD10="","",IF(BD10+1&lt;=EOMONTH($BC$8,0),BD10+1,""))</f>
        <v>46114</v>
      </c>
      <c r="BE11" s="182" t="str">
        <f t="shared" si="9"/>
        <v>木</v>
      </c>
      <c r="BF11" s="182" t="s">
        <v>22</v>
      </c>
      <c r="BG11" s="183">
        <v>0.375</v>
      </c>
      <c r="BH11" s="183">
        <v>0.75</v>
      </c>
      <c r="BI11" s="184">
        <v>0.5</v>
      </c>
      <c r="BJ11" s="184">
        <v>0.54166666666666663</v>
      </c>
      <c r="BK11" s="185" t="str">
        <f t="shared" si="10"/>
        <v>8h</v>
      </c>
      <c r="BL11" s="186">
        <v>0.375</v>
      </c>
      <c r="BM11" s="186">
        <v>0.75</v>
      </c>
      <c r="BN11" s="186">
        <v>0.5</v>
      </c>
      <c r="BO11" s="186">
        <v>0.54166666666666663</v>
      </c>
      <c r="BP11" s="187" t="str">
        <f t="shared" si="11"/>
        <v>8h</v>
      </c>
      <c r="BQ11" s="310"/>
      <c r="BR11" s="310"/>
      <c r="BS11" s="310"/>
      <c r="BU11" s="176"/>
      <c r="BV11" s="181">
        <f t="shared" ref="BV11:BV40" si="40">IF(BV10="","",IF(BV10+1&lt;=EOMONTH($BU$8,0),BV10+1,""))</f>
        <v>46144</v>
      </c>
      <c r="BW11" s="182" t="str">
        <f t="shared" si="12"/>
        <v>土</v>
      </c>
      <c r="BX11" s="182"/>
      <c r="BY11" s="183"/>
      <c r="BZ11" s="183"/>
      <c r="CA11" s="184"/>
      <c r="CB11" s="184"/>
      <c r="CC11" s="185" t="str">
        <f t="shared" si="13"/>
        <v/>
      </c>
      <c r="CD11" s="186"/>
      <c r="CE11" s="186"/>
      <c r="CF11" s="186"/>
      <c r="CG11" s="186"/>
      <c r="CH11" s="187" t="str">
        <f t="shared" si="14"/>
        <v/>
      </c>
      <c r="CI11" s="310"/>
      <c r="CJ11" s="310"/>
      <c r="CK11" s="310"/>
      <c r="CM11" s="176"/>
      <c r="CN11" s="181">
        <f t="shared" ref="CN11:CN40" si="41">IF(CN10="","",IF(CN10+1&lt;=EOMONTH($CM$8,0),CN10+1,""))</f>
        <v>46175</v>
      </c>
      <c r="CO11" s="182" t="str">
        <f t="shared" si="15"/>
        <v>火</v>
      </c>
      <c r="CP11" s="182" t="s">
        <v>22</v>
      </c>
      <c r="CQ11" s="183">
        <v>0.375</v>
      </c>
      <c r="CR11" s="183">
        <v>0.75</v>
      </c>
      <c r="CS11" s="184">
        <v>0.5</v>
      </c>
      <c r="CT11" s="184">
        <v>0.54166666666666663</v>
      </c>
      <c r="CU11" s="185" t="str">
        <f t="shared" si="16"/>
        <v>8h</v>
      </c>
      <c r="CV11" s="186">
        <v>0.375</v>
      </c>
      <c r="CW11" s="186">
        <v>0.75</v>
      </c>
      <c r="CX11" s="186">
        <v>0.5</v>
      </c>
      <c r="CY11" s="186">
        <v>0.54166666666666663</v>
      </c>
      <c r="CZ11" s="187" t="str">
        <f t="shared" si="17"/>
        <v>8h</v>
      </c>
      <c r="DA11" s="310"/>
      <c r="DB11" s="310"/>
      <c r="DC11" s="310"/>
      <c r="DE11" s="176"/>
      <c r="DF11" s="181">
        <f t="shared" ref="DF11:DF40" si="42">IF(DF10="","",IF(DF10+1&lt;=EOMONTH($DE$8,0),DF10+1,""))</f>
        <v>46205</v>
      </c>
      <c r="DG11" s="182" t="str">
        <f t="shared" si="18"/>
        <v>木</v>
      </c>
      <c r="DH11" s="182" t="s">
        <v>22</v>
      </c>
      <c r="DI11" s="183">
        <v>0.375</v>
      </c>
      <c r="DJ11" s="183">
        <v>0.75</v>
      </c>
      <c r="DK11" s="184">
        <v>0.5</v>
      </c>
      <c r="DL11" s="184">
        <v>0.54166666666666663</v>
      </c>
      <c r="DM11" s="185" t="str">
        <f t="shared" si="19"/>
        <v>8h</v>
      </c>
      <c r="DN11" s="186">
        <v>0.375</v>
      </c>
      <c r="DO11" s="186">
        <v>0.75</v>
      </c>
      <c r="DP11" s="186">
        <v>0.5</v>
      </c>
      <c r="DQ11" s="186">
        <v>0.54166666666666663</v>
      </c>
      <c r="DR11" s="187" t="str">
        <f t="shared" si="20"/>
        <v>8h</v>
      </c>
      <c r="DS11" s="310"/>
      <c r="DT11" s="310"/>
      <c r="DU11" s="310"/>
      <c r="DW11" s="176"/>
      <c r="DX11" s="181">
        <f t="shared" ref="DX11:DX40" si="43">IF(DX10="","",IF(DX10+1&lt;=EOMONTH($DW$8,0),DX10+1,""))</f>
        <v>46236</v>
      </c>
      <c r="DY11" s="182" t="str">
        <f t="shared" si="21"/>
        <v>日</v>
      </c>
      <c r="DZ11" s="182"/>
      <c r="EA11" s="183"/>
      <c r="EB11" s="183"/>
      <c r="EC11" s="184"/>
      <c r="ED11" s="184"/>
      <c r="EE11" s="185" t="str">
        <f t="shared" si="22"/>
        <v/>
      </c>
      <c r="EF11" s="186"/>
      <c r="EG11" s="186"/>
      <c r="EH11" s="186"/>
      <c r="EI11" s="186"/>
      <c r="EJ11" s="187" t="str">
        <f t="shared" si="23"/>
        <v/>
      </c>
      <c r="EK11" s="310"/>
      <c r="EL11" s="310"/>
      <c r="EM11" s="310"/>
      <c r="EO11" s="176"/>
      <c r="EP11" s="181">
        <f t="shared" ref="EP11:EP40" si="44">IF(EP10="","",IF(EP10+1&lt;=EOMONTH($EO$8,0),EP10+1,""))</f>
        <v>46267</v>
      </c>
      <c r="EQ11" s="182" t="str">
        <f t="shared" si="24"/>
        <v>水</v>
      </c>
      <c r="ER11" s="182" t="s">
        <v>22</v>
      </c>
      <c r="ES11" s="183">
        <v>0.375</v>
      </c>
      <c r="ET11" s="183">
        <v>0.75</v>
      </c>
      <c r="EU11" s="184">
        <v>0.5</v>
      </c>
      <c r="EV11" s="184">
        <v>0.54166666666666663</v>
      </c>
      <c r="EW11" s="185" t="str">
        <f t="shared" si="25"/>
        <v>8h</v>
      </c>
      <c r="EX11" s="186">
        <v>0.375</v>
      </c>
      <c r="EY11" s="186">
        <v>0.75</v>
      </c>
      <c r="EZ11" s="186">
        <v>0.5</v>
      </c>
      <c r="FA11" s="186">
        <v>0.54166666666666663</v>
      </c>
      <c r="FB11" s="187" t="str">
        <f t="shared" si="26"/>
        <v>8h</v>
      </c>
      <c r="FC11" s="310"/>
      <c r="FD11" s="310"/>
      <c r="FE11" s="310"/>
      <c r="FG11" s="176"/>
      <c r="FH11" s="181">
        <f t="shared" ref="FH11:FH40" si="45">IF(FH10="","",IF(FH10+1&lt;=EOMONTH($FG$8,0),FH10+1,""))</f>
        <v>46297</v>
      </c>
      <c r="FI11" s="182" t="str">
        <f t="shared" si="27"/>
        <v>金</v>
      </c>
      <c r="FJ11" s="182" t="s">
        <v>22</v>
      </c>
      <c r="FK11" s="183">
        <v>0.375</v>
      </c>
      <c r="FL11" s="183">
        <v>0.75</v>
      </c>
      <c r="FM11" s="184">
        <v>0.5</v>
      </c>
      <c r="FN11" s="184">
        <v>0.54166666666666663</v>
      </c>
      <c r="FO11" s="185" t="str">
        <f t="shared" si="28"/>
        <v>8h</v>
      </c>
      <c r="FP11" s="186">
        <v>0.375</v>
      </c>
      <c r="FQ11" s="186">
        <v>0.75</v>
      </c>
      <c r="FR11" s="186">
        <v>0.5</v>
      </c>
      <c r="FS11" s="186">
        <v>0.54166666666666663</v>
      </c>
      <c r="FT11" s="187" t="str">
        <f t="shared" si="29"/>
        <v>8h</v>
      </c>
      <c r="FU11" s="310"/>
      <c r="FV11" s="310"/>
      <c r="FW11" s="310"/>
      <c r="FY11" s="176"/>
      <c r="FZ11" s="181">
        <f t="shared" ref="FZ11:FZ40" si="46">IF(FZ10="","",IF(FZ10+1&lt;=EOMONTH($FY$8,0),FZ10+1,""))</f>
        <v>46328</v>
      </c>
      <c r="GA11" s="182" t="str">
        <f t="shared" si="30"/>
        <v>月</v>
      </c>
      <c r="GB11" s="182" t="s">
        <v>22</v>
      </c>
      <c r="GC11" s="183">
        <v>0.375</v>
      </c>
      <c r="GD11" s="183">
        <v>0.75</v>
      </c>
      <c r="GE11" s="184">
        <v>0.5</v>
      </c>
      <c r="GF11" s="184">
        <v>0.54166666666666663</v>
      </c>
      <c r="GG11" s="185" t="str">
        <f t="shared" si="31"/>
        <v>8h</v>
      </c>
      <c r="GH11" s="186">
        <v>0.375</v>
      </c>
      <c r="GI11" s="186">
        <v>0.75</v>
      </c>
      <c r="GJ11" s="186">
        <v>0.5</v>
      </c>
      <c r="GK11" s="186">
        <v>0.54166666666666663</v>
      </c>
      <c r="GL11" s="187" t="str">
        <f t="shared" si="32"/>
        <v>8h</v>
      </c>
      <c r="GM11" s="310"/>
      <c r="GN11" s="310"/>
      <c r="GO11" s="310"/>
      <c r="GQ11" s="176"/>
      <c r="GR11" s="181">
        <f t="shared" ref="GR11:GR40" si="47">IF(GR10="","",IF(GR10+1&lt;=EOMONTH($GQ$8,0),GR10+1,""))</f>
        <v>46358</v>
      </c>
      <c r="GS11" s="182" t="str">
        <f t="shared" si="33"/>
        <v>水</v>
      </c>
      <c r="GT11" s="182" t="s">
        <v>22</v>
      </c>
      <c r="GU11" s="183">
        <v>0.375</v>
      </c>
      <c r="GV11" s="183">
        <v>0.75</v>
      </c>
      <c r="GW11" s="184">
        <v>0.5</v>
      </c>
      <c r="GX11" s="184">
        <v>0.54166666666666663</v>
      </c>
      <c r="GY11" s="185" t="str">
        <f t="shared" si="34"/>
        <v>8h</v>
      </c>
      <c r="GZ11" s="186">
        <v>0.375</v>
      </c>
      <c r="HA11" s="186">
        <v>0.75</v>
      </c>
      <c r="HB11" s="186">
        <v>0.5</v>
      </c>
      <c r="HC11" s="186">
        <v>0.54166666666666663</v>
      </c>
      <c r="HD11" s="187" t="str">
        <f t="shared" si="35"/>
        <v>8h</v>
      </c>
      <c r="HE11" s="310"/>
      <c r="HF11" s="310"/>
      <c r="HG11" s="310"/>
    </row>
    <row r="12" spans="1:215" x14ac:dyDescent="0.45">
      <c r="A12" s="313"/>
      <c r="B12" s="181">
        <f t="shared" si="36"/>
        <v>46025</v>
      </c>
      <c r="C12" s="182" t="str">
        <f t="shared" si="0"/>
        <v>土</v>
      </c>
      <c r="D12" s="182"/>
      <c r="E12" s="183"/>
      <c r="F12" s="183"/>
      <c r="G12" s="184"/>
      <c r="H12" s="184"/>
      <c r="I12" s="185" t="str">
        <f t="shared" si="1"/>
        <v/>
      </c>
      <c r="J12" s="186"/>
      <c r="K12" s="186"/>
      <c r="L12" s="186"/>
      <c r="M12" s="186"/>
      <c r="N12" s="187" t="str">
        <f t="shared" si="2"/>
        <v/>
      </c>
      <c r="O12" s="310"/>
      <c r="P12" s="310"/>
      <c r="Q12" s="310"/>
      <c r="S12" s="176"/>
      <c r="T12" s="181">
        <f t="shared" si="37"/>
        <v>46056</v>
      </c>
      <c r="U12" s="182" t="str">
        <f t="shared" si="3"/>
        <v>火</v>
      </c>
      <c r="V12" s="182" t="s">
        <v>22</v>
      </c>
      <c r="W12" s="183">
        <v>0.375</v>
      </c>
      <c r="X12" s="183">
        <v>0.75</v>
      </c>
      <c r="Y12" s="184">
        <v>0.5</v>
      </c>
      <c r="Z12" s="184">
        <v>0.54166666666666663</v>
      </c>
      <c r="AA12" s="185" t="str">
        <f t="shared" si="4"/>
        <v>8h</v>
      </c>
      <c r="AB12" s="186">
        <v>0.375</v>
      </c>
      <c r="AC12" s="186">
        <v>0.75</v>
      </c>
      <c r="AD12" s="186">
        <v>0.5</v>
      </c>
      <c r="AE12" s="186">
        <v>0.54166666666666663</v>
      </c>
      <c r="AF12" s="187" t="str">
        <f t="shared" si="5"/>
        <v>8h</v>
      </c>
      <c r="AG12" s="310"/>
      <c r="AH12" s="310"/>
      <c r="AI12" s="310"/>
      <c r="AK12" s="176"/>
      <c r="AL12" s="181">
        <f t="shared" si="38"/>
        <v>46084</v>
      </c>
      <c r="AM12" s="182" t="str">
        <f t="shared" si="6"/>
        <v>火</v>
      </c>
      <c r="AN12" s="182" t="s">
        <v>22</v>
      </c>
      <c r="AO12" s="183">
        <v>0.375</v>
      </c>
      <c r="AP12" s="183">
        <v>0.75</v>
      </c>
      <c r="AQ12" s="184">
        <v>0.5</v>
      </c>
      <c r="AR12" s="184">
        <v>0.54166666666666663</v>
      </c>
      <c r="AS12" s="185" t="str">
        <f t="shared" si="7"/>
        <v>8h</v>
      </c>
      <c r="AT12" s="186">
        <v>0.375</v>
      </c>
      <c r="AU12" s="186">
        <v>0.75</v>
      </c>
      <c r="AV12" s="186">
        <v>0.5</v>
      </c>
      <c r="AW12" s="186">
        <v>0.54166666666666663</v>
      </c>
      <c r="AX12" s="187" t="str">
        <f t="shared" si="8"/>
        <v>8h</v>
      </c>
      <c r="AY12" s="310"/>
      <c r="AZ12" s="310"/>
      <c r="BA12" s="310"/>
      <c r="BC12" s="176"/>
      <c r="BD12" s="181">
        <f t="shared" si="39"/>
        <v>46115</v>
      </c>
      <c r="BE12" s="182" t="str">
        <f t="shared" si="9"/>
        <v>金</v>
      </c>
      <c r="BF12" s="182" t="s">
        <v>22</v>
      </c>
      <c r="BG12" s="183">
        <v>0.375</v>
      </c>
      <c r="BH12" s="183">
        <v>0.75</v>
      </c>
      <c r="BI12" s="184">
        <v>0.5</v>
      </c>
      <c r="BJ12" s="184">
        <v>0.54166666666666663</v>
      </c>
      <c r="BK12" s="185" t="str">
        <f t="shared" si="10"/>
        <v>8h</v>
      </c>
      <c r="BL12" s="186">
        <v>0.375</v>
      </c>
      <c r="BM12" s="186">
        <v>0.75</v>
      </c>
      <c r="BN12" s="186">
        <v>0.5</v>
      </c>
      <c r="BO12" s="186">
        <v>0.54166666666666663</v>
      </c>
      <c r="BP12" s="187" t="str">
        <f t="shared" si="11"/>
        <v>8h</v>
      </c>
      <c r="BQ12" s="310"/>
      <c r="BR12" s="310"/>
      <c r="BS12" s="310"/>
      <c r="BU12" s="176"/>
      <c r="BV12" s="181">
        <f t="shared" si="40"/>
        <v>46145</v>
      </c>
      <c r="BW12" s="182" t="str">
        <f t="shared" si="12"/>
        <v>日</v>
      </c>
      <c r="BX12" s="182"/>
      <c r="BY12" s="183"/>
      <c r="BZ12" s="183"/>
      <c r="CA12" s="184"/>
      <c r="CB12" s="184"/>
      <c r="CC12" s="185" t="str">
        <f t="shared" si="13"/>
        <v/>
      </c>
      <c r="CD12" s="186"/>
      <c r="CE12" s="186"/>
      <c r="CF12" s="186"/>
      <c r="CG12" s="186"/>
      <c r="CH12" s="187" t="str">
        <f t="shared" si="14"/>
        <v/>
      </c>
      <c r="CI12" s="310"/>
      <c r="CJ12" s="310"/>
      <c r="CK12" s="310"/>
      <c r="CM12" s="176"/>
      <c r="CN12" s="181">
        <f t="shared" si="41"/>
        <v>46176</v>
      </c>
      <c r="CO12" s="182" t="str">
        <f t="shared" si="15"/>
        <v>水</v>
      </c>
      <c r="CP12" s="182" t="s">
        <v>22</v>
      </c>
      <c r="CQ12" s="183">
        <v>0.375</v>
      </c>
      <c r="CR12" s="183">
        <v>0.75</v>
      </c>
      <c r="CS12" s="184">
        <v>0.5</v>
      </c>
      <c r="CT12" s="184">
        <v>0.54166666666666663</v>
      </c>
      <c r="CU12" s="185" t="str">
        <f t="shared" si="16"/>
        <v>8h</v>
      </c>
      <c r="CV12" s="186">
        <v>0.375</v>
      </c>
      <c r="CW12" s="186">
        <v>0.75</v>
      </c>
      <c r="CX12" s="186">
        <v>0.5</v>
      </c>
      <c r="CY12" s="186">
        <v>0.54166666666666663</v>
      </c>
      <c r="CZ12" s="187" t="str">
        <f t="shared" si="17"/>
        <v>8h</v>
      </c>
      <c r="DA12" s="310"/>
      <c r="DB12" s="310"/>
      <c r="DC12" s="310"/>
      <c r="DE12" s="176"/>
      <c r="DF12" s="181">
        <f t="shared" si="42"/>
        <v>46206</v>
      </c>
      <c r="DG12" s="182" t="str">
        <f t="shared" si="18"/>
        <v>金</v>
      </c>
      <c r="DH12" s="182" t="s">
        <v>22</v>
      </c>
      <c r="DI12" s="183">
        <v>0.375</v>
      </c>
      <c r="DJ12" s="183">
        <v>0.75</v>
      </c>
      <c r="DK12" s="184">
        <v>0.5</v>
      </c>
      <c r="DL12" s="184">
        <v>0.54166666666666663</v>
      </c>
      <c r="DM12" s="185" t="str">
        <f t="shared" si="19"/>
        <v>8h</v>
      </c>
      <c r="DN12" s="186">
        <v>0.375</v>
      </c>
      <c r="DO12" s="186">
        <v>0.75</v>
      </c>
      <c r="DP12" s="186">
        <v>0.5</v>
      </c>
      <c r="DQ12" s="186">
        <v>0.54166666666666663</v>
      </c>
      <c r="DR12" s="187" t="str">
        <f t="shared" si="20"/>
        <v>8h</v>
      </c>
      <c r="DS12" s="310"/>
      <c r="DT12" s="310"/>
      <c r="DU12" s="310"/>
      <c r="DW12" s="176"/>
      <c r="DX12" s="181">
        <f t="shared" si="43"/>
        <v>46237</v>
      </c>
      <c r="DY12" s="182" t="str">
        <f t="shared" si="21"/>
        <v>月</v>
      </c>
      <c r="DZ12" s="182" t="s">
        <v>22</v>
      </c>
      <c r="EA12" s="183">
        <v>0.375</v>
      </c>
      <c r="EB12" s="183">
        <v>0.75</v>
      </c>
      <c r="EC12" s="184">
        <v>0.5</v>
      </c>
      <c r="ED12" s="184">
        <v>0.54166666666666663</v>
      </c>
      <c r="EE12" s="185" t="str">
        <f t="shared" si="22"/>
        <v>8h</v>
      </c>
      <c r="EF12" s="186">
        <v>0.375</v>
      </c>
      <c r="EG12" s="186">
        <v>0.75</v>
      </c>
      <c r="EH12" s="186">
        <v>0.5</v>
      </c>
      <c r="EI12" s="186">
        <v>0.54166666666666663</v>
      </c>
      <c r="EJ12" s="187" t="str">
        <f t="shared" si="23"/>
        <v>8h</v>
      </c>
      <c r="EK12" s="310"/>
      <c r="EL12" s="310"/>
      <c r="EM12" s="310"/>
      <c r="EO12" s="176"/>
      <c r="EP12" s="181">
        <f t="shared" si="44"/>
        <v>46268</v>
      </c>
      <c r="EQ12" s="182" t="str">
        <f t="shared" si="24"/>
        <v>木</v>
      </c>
      <c r="ER12" s="182" t="s">
        <v>22</v>
      </c>
      <c r="ES12" s="183">
        <v>0.375</v>
      </c>
      <c r="ET12" s="183">
        <v>0.75</v>
      </c>
      <c r="EU12" s="184">
        <v>0.5</v>
      </c>
      <c r="EV12" s="184">
        <v>0.54166666666666663</v>
      </c>
      <c r="EW12" s="185" t="str">
        <f t="shared" si="25"/>
        <v>8h</v>
      </c>
      <c r="EX12" s="186">
        <v>0.375</v>
      </c>
      <c r="EY12" s="186">
        <v>0.75</v>
      </c>
      <c r="EZ12" s="186">
        <v>0.5</v>
      </c>
      <c r="FA12" s="186">
        <v>0.54166666666666663</v>
      </c>
      <c r="FB12" s="187" t="str">
        <f t="shared" si="26"/>
        <v>8h</v>
      </c>
      <c r="FC12" s="310"/>
      <c r="FD12" s="310"/>
      <c r="FE12" s="310"/>
      <c r="FG12" s="176"/>
      <c r="FH12" s="181">
        <f t="shared" si="45"/>
        <v>46298</v>
      </c>
      <c r="FI12" s="182" t="str">
        <f t="shared" si="27"/>
        <v>土</v>
      </c>
      <c r="FJ12" s="182"/>
      <c r="FK12" s="183"/>
      <c r="FL12" s="183"/>
      <c r="FM12" s="184"/>
      <c r="FN12" s="184"/>
      <c r="FO12" s="185" t="str">
        <f t="shared" si="28"/>
        <v/>
      </c>
      <c r="FP12" s="186"/>
      <c r="FQ12" s="186"/>
      <c r="FR12" s="186"/>
      <c r="FS12" s="186"/>
      <c r="FT12" s="187" t="str">
        <f t="shared" si="29"/>
        <v/>
      </c>
      <c r="FU12" s="310"/>
      <c r="FV12" s="310"/>
      <c r="FW12" s="310"/>
      <c r="FY12" s="176"/>
      <c r="FZ12" s="181">
        <f t="shared" si="46"/>
        <v>46329</v>
      </c>
      <c r="GA12" s="182" t="str">
        <f t="shared" si="30"/>
        <v>火</v>
      </c>
      <c r="GB12" s="182"/>
      <c r="GC12" s="183"/>
      <c r="GD12" s="183"/>
      <c r="GE12" s="184"/>
      <c r="GF12" s="184"/>
      <c r="GG12" s="185" t="str">
        <f t="shared" si="31"/>
        <v/>
      </c>
      <c r="GH12" s="186"/>
      <c r="GI12" s="186"/>
      <c r="GJ12" s="186"/>
      <c r="GK12" s="186"/>
      <c r="GL12" s="187" t="str">
        <f t="shared" si="32"/>
        <v/>
      </c>
      <c r="GM12" s="310"/>
      <c r="GN12" s="310"/>
      <c r="GO12" s="310"/>
      <c r="GQ12" s="176"/>
      <c r="GR12" s="181">
        <f t="shared" si="47"/>
        <v>46359</v>
      </c>
      <c r="GS12" s="182" t="str">
        <f t="shared" si="33"/>
        <v>木</v>
      </c>
      <c r="GT12" s="182" t="s">
        <v>22</v>
      </c>
      <c r="GU12" s="183">
        <v>0.375</v>
      </c>
      <c r="GV12" s="183">
        <v>0.75</v>
      </c>
      <c r="GW12" s="184">
        <v>0.5</v>
      </c>
      <c r="GX12" s="184">
        <v>0.54166666666666663</v>
      </c>
      <c r="GY12" s="185" t="str">
        <f t="shared" si="34"/>
        <v>8h</v>
      </c>
      <c r="GZ12" s="186">
        <v>0.375</v>
      </c>
      <c r="HA12" s="186">
        <v>0.75</v>
      </c>
      <c r="HB12" s="186">
        <v>0.5</v>
      </c>
      <c r="HC12" s="186">
        <v>0.54166666666666663</v>
      </c>
      <c r="HD12" s="187" t="str">
        <f t="shared" si="35"/>
        <v>8h</v>
      </c>
      <c r="HE12" s="310"/>
      <c r="HF12" s="310"/>
      <c r="HG12" s="310"/>
    </row>
    <row r="13" spans="1:215" x14ac:dyDescent="0.45">
      <c r="A13" s="313"/>
      <c r="B13" s="181">
        <f t="shared" si="36"/>
        <v>46026</v>
      </c>
      <c r="C13" s="182" t="str">
        <f t="shared" si="0"/>
        <v>日</v>
      </c>
      <c r="D13" s="182"/>
      <c r="E13" s="183"/>
      <c r="F13" s="183"/>
      <c r="G13" s="184"/>
      <c r="H13" s="184"/>
      <c r="I13" s="185" t="str">
        <f t="shared" si="1"/>
        <v/>
      </c>
      <c r="J13" s="186"/>
      <c r="K13" s="186"/>
      <c r="L13" s="186"/>
      <c r="M13" s="186"/>
      <c r="N13" s="187" t="str">
        <f t="shared" si="2"/>
        <v/>
      </c>
      <c r="O13" s="310"/>
      <c r="P13" s="310"/>
      <c r="Q13" s="310"/>
      <c r="S13" s="176"/>
      <c r="T13" s="181">
        <f t="shared" si="37"/>
        <v>46057</v>
      </c>
      <c r="U13" s="182" t="str">
        <f t="shared" si="3"/>
        <v>水</v>
      </c>
      <c r="V13" s="182" t="s">
        <v>22</v>
      </c>
      <c r="W13" s="183">
        <v>0.375</v>
      </c>
      <c r="X13" s="183">
        <v>0.75</v>
      </c>
      <c r="Y13" s="184">
        <v>0.5</v>
      </c>
      <c r="Z13" s="184">
        <v>0.54166666666666663</v>
      </c>
      <c r="AA13" s="185" t="str">
        <f t="shared" si="4"/>
        <v>8h</v>
      </c>
      <c r="AB13" s="186">
        <v>0.375</v>
      </c>
      <c r="AC13" s="186">
        <v>0.75</v>
      </c>
      <c r="AD13" s="186">
        <v>0.5</v>
      </c>
      <c r="AE13" s="186">
        <v>0.54166666666666663</v>
      </c>
      <c r="AF13" s="187" t="str">
        <f t="shared" si="5"/>
        <v>8h</v>
      </c>
      <c r="AG13" s="310"/>
      <c r="AH13" s="310"/>
      <c r="AI13" s="310"/>
      <c r="AK13" s="176"/>
      <c r="AL13" s="181">
        <f t="shared" si="38"/>
        <v>46085</v>
      </c>
      <c r="AM13" s="182" t="str">
        <f t="shared" si="6"/>
        <v>水</v>
      </c>
      <c r="AN13" s="182" t="s">
        <v>22</v>
      </c>
      <c r="AO13" s="183">
        <v>0.375</v>
      </c>
      <c r="AP13" s="183">
        <v>0.75</v>
      </c>
      <c r="AQ13" s="184">
        <v>0.5</v>
      </c>
      <c r="AR13" s="184">
        <v>0.54166666666666663</v>
      </c>
      <c r="AS13" s="185" t="str">
        <f t="shared" si="7"/>
        <v>8h</v>
      </c>
      <c r="AT13" s="186">
        <v>0.375</v>
      </c>
      <c r="AU13" s="186">
        <v>0.75</v>
      </c>
      <c r="AV13" s="186">
        <v>0.5</v>
      </c>
      <c r="AW13" s="186">
        <v>0.54166666666666663</v>
      </c>
      <c r="AX13" s="187" t="str">
        <f t="shared" si="8"/>
        <v>8h</v>
      </c>
      <c r="AY13" s="310"/>
      <c r="AZ13" s="310"/>
      <c r="BA13" s="310"/>
      <c r="BC13" s="176"/>
      <c r="BD13" s="181">
        <f t="shared" si="39"/>
        <v>46116</v>
      </c>
      <c r="BE13" s="182" t="str">
        <f t="shared" si="9"/>
        <v>土</v>
      </c>
      <c r="BF13" s="182"/>
      <c r="BG13" s="183"/>
      <c r="BH13" s="183"/>
      <c r="BI13" s="184"/>
      <c r="BJ13" s="184"/>
      <c r="BK13" s="185" t="str">
        <f t="shared" si="10"/>
        <v/>
      </c>
      <c r="BL13" s="186"/>
      <c r="BM13" s="186"/>
      <c r="BN13" s="186"/>
      <c r="BO13" s="186"/>
      <c r="BP13" s="187" t="str">
        <f t="shared" si="11"/>
        <v/>
      </c>
      <c r="BQ13" s="310"/>
      <c r="BR13" s="310"/>
      <c r="BS13" s="310"/>
      <c r="BU13" s="176"/>
      <c r="BV13" s="181">
        <f t="shared" si="40"/>
        <v>46146</v>
      </c>
      <c r="BW13" s="182" t="str">
        <f t="shared" si="12"/>
        <v>月</v>
      </c>
      <c r="BX13" s="182"/>
      <c r="BY13" s="183"/>
      <c r="BZ13" s="183"/>
      <c r="CA13" s="184"/>
      <c r="CB13" s="184"/>
      <c r="CC13" s="185" t="str">
        <f t="shared" si="13"/>
        <v/>
      </c>
      <c r="CD13" s="186"/>
      <c r="CE13" s="186"/>
      <c r="CF13" s="186"/>
      <c r="CG13" s="186"/>
      <c r="CH13" s="187" t="str">
        <f t="shared" si="14"/>
        <v/>
      </c>
      <c r="CI13" s="310"/>
      <c r="CJ13" s="310"/>
      <c r="CK13" s="310"/>
      <c r="CM13" s="176"/>
      <c r="CN13" s="181">
        <f t="shared" si="41"/>
        <v>46177</v>
      </c>
      <c r="CO13" s="182" t="str">
        <f t="shared" si="15"/>
        <v>木</v>
      </c>
      <c r="CP13" s="182" t="s">
        <v>22</v>
      </c>
      <c r="CQ13" s="183">
        <v>0.375</v>
      </c>
      <c r="CR13" s="183">
        <v>0.75</v>
      </c>
      <c r="CS13" s="184">
        <v>0.5</v>
      </c>
      <c r="CT13" s="184">
        <v>0.54166666666666663</v>
      </c>
      <c r="CU13" s="185" t="str">
        <f t="shared" si="16"/>
        <v>8h</v>
      </c>
      <c r="CV13" s="186">
        <v>0.375</v>
      </c>
      <c r="CW13" s="186">
        <v>0.75</v>
      </c>
      <c r="CX13" s="186">
        <v>0.5</v>
      </c>
      <c r="CY13" s="186">
        <v>0.54166666666666663</v>
      </c>
      <c r="CZ13" s="187" t="str">
        <f t="shared" si="17"/>
        <v>8h</v>
      </c>
      <c r="DA13" s="310"/>
      <c r="DB13" s="310"/>
      <c r="DC13" s="310"/>
      <c r="DE13" s="176"/>
      <c r="DF13" s="181">
        <f t="shared" si="42"/>
        <v>46207</v>
      </c>
      <c r="DG13" s="182" t="str">
        <f t="shared" si="18"/>
        <v>土</v>
      </c>
      <c r="DH13" s="182"/>
      <c r="DI13" s="183"/>
      <c r="DJ13" s="183"/>
      <c r="DK13" s="184"/>
      <c r="DL13" s="184"/>
      <c r="DM13" s="185" t="str">
        <f t="shared" si="19"/>
        <v/>
      </c>
      <c r="DN13" s="186"/>
      <c r="DO13" s="186"/>
      <c r="DP13" s="186"/>
      <c r="DQ13" s="186"/>
      <c r="DR13" s="187" t="str">
        <f t="shared" si="20"/>
        <v/>
      </c>
      <c r="DS13" s="310"/>
      <c r="DT13" s="310"/>
      <c r="DU13" s="310"/>
      <c r="DW13" s="176"/>
      <c r="DX13" s="181">
        <f t="shared" si="43"/>
        <v>46238</v>
      </c>
      <c r="DY13" s="182" t="str">
        <f t="shared" si="21"/>
        <v>火</v>
      </c>
      <c r="DZ13" s="182" t="s">
        <v>22</v>
      </c>
      <c r="EA13" s="183">
        <v>0.375</v>
      </c>
      <c r="EB13" s="183">
        <v>0.75</v>
      </c>
      <c r="EC13" s="184">
        <v>0.5</v>
      </c>
      <c r="ED13" s="184">
        <v>0.54166666666666663</v>
      </c>
      <c r="EE13" s="185" t="str">
        <f t="shared" si="22"/>
        <v>8h</v>
      </c>
      <c r="EF13" s="186">
        <v>0.375</v>
      </c>
      <c r="EG13" s="186">
        <v>0.75</v>
      </c>
      <c r="EH13" s="186">
        <v>0.5</v>
      </c>
      <c r="EI13" s="186">
        <v>0.54166666666666663</v>
      </c>
      <c r="EJ13" s="187" t="str">
        <f t="shared" si="23"/>
        <v>8h</v>
      </c>
      <c r="EK13" s="310"/>
      <c r="EL13" s="310"/>
      <c r="EM13" s="310"/>
      <c r="EO13" s="176"/>
      <c r="EP13" s="181">
        <f t="shared" si="44"/>
        <v>46269</v>
      </c>
      <c r="EQ13" s="182" t="str">
        <f t="shared" si="24"/>
        <v>金</v>
      </c>
      <c r="ER13" s="182" t="s">
        <v>22</v>
      </c>
      <c r="ES13" s="183">
        <v>0.375</v>
      </c>
      <c r="ET13" s="183">
        <v>0.75</v>
      </c>
      <c r="EU13" s="184">
        <v>0.5</v>
      </c>
      <c r="EV13" s="184">
        <v>0.54166666666666663</v>
      </c>
      <c r="EW13" s="185" t="str">
        <f t="shared" si="25"/>
        <v>8h</v>
      </c>
      <c r="EX13" s="186">
        <v>0.375</v>
      </c>
      <c r="EY13" s="186">
        <v>0.75</v>
      </c>
      <c r="EZ13" s="186">
        <v>0.5</v>
      </c>
      <c r="FA13" s="186">
        <v>0.54166666666666663</v>
      </c>
      <c r="FB13" s="187" t="str">
        <f t="shared" si="26"/>
        <v>8h</v>
      </c>
      <c r="FC13" s="310"/>
      <c r="FD13" s="310"/>
      <c r="FE13" s="310"/>
      <c r="FG13" s="176"/>
      <c r="FH13" s="181">
        <f t="shared" si="45"/>
        <v>46299</v>
      </c>
      <c r="FI13" s="182" t="str">
        <f t="shared" si="27"/>
        <v>日</v>
      </c>
      <c r="FJ13" s="182"/>
      <c r="FK13" s="183"/>
      <c r="FL13" s="183"/>
      <c r="FM13" s="184"/>
      <c r="FN13" s="184"/>
      <c r="FO13" s="185" t="str">
        <f t="shared" si="28"/>
        <v/>
      </c>
      <c r="FP13" s="186"/>
      <c r="FQ13" s="186"/>
      <c r="FR13" s="186"/>
      <c r="FS13" s="186"/>
      <c r="FT13" s="187" t="str">
        <f t="shared" si="29"/>
        <v/>
      </c>
      <c r="FU13" s="310"/>
      <c r="FV13" s="310"/>
      <c r="FW13" s="310"/>
      <c r="FY13" s="176"/>
      <c r="FZ13" s="181">
        <f t="shared" si="46"/>
        <v>46330</v>
      </c>
      <c r="GA13" s="182" t="str">
        <f t="shared" si="30"/>
        <v>水</v>
      </c>
      <c r="GB13" s="182" t="s">
        <v>22</v>
      </c>
      <c r="GC13" s="183">
        <v>0.375</v>
      </c>
      <c r="GD13" s="183">
        <v>0.75</v>
      </c>
      <c r="GE13" s="184">
        <v>0.5</v>
      </c>
      <c r="GF13" s="184">
        <v>0.54166666666666663</v>
      </c>
      <c r="GG13" s="185" t="str">
        <f t="shared" si="31"/>
        <v>8h</v>
      </c>
      <c r="GH13" s="186">
        <v>0.375</v>
      </c>
      <c r="GI13" s="186">
        <v>0.75</v>
      </c>
      <c r="GJ13" s="186">
        <v>0.5</v>
      </c>
      <c r="GK13" s="186">
        <v>0.54166666666666663</v>
      </c>
      <c r="GL13" s="187" t="str">
        <f t="shared" si="32"/>
        <v>8h</v>
      </c>
      <c r="GM13" s="310"/>
      <c r="GN13" s="310"/>
      <c r="GO13" s="310"/>
      <c r="GQ13" s="176"/>
      <c r="GR13" s="181">
        <f t="shared" si="47"/>
        <v>46360</v>
      </c>
      <c r="GS13" s="182" t="str">
        <f t="shared" si="33"/>
        <v>金</v>
      </c>
      <c r="GT13" s="182" t="s">
        <v>22</v>
      </c>
      <c r="GU13" s="183">
        <v>0.375</v>
      </c>
      <c r="GV13" s="183">
        <v>0.75</v>
      </c>
      <c r="GW13" s="184">
        <v>0.5</v>
      </c>
      <c r="GX13" s="184">
        <v>0.54166666666666663</v>
      </c>
      <c r="GY13" s="185" t="str">
        <f t="shared" si="34"/>
        <v>8h</v>
      </c>
      <c r="GZ13" s="186">
        <v>0.375</v>
      </c>
      <c r="HA13" s="186">
        <v>0.75</v>
      </c>
      <c r="HB13" s="186">
        <v>0.5</v>
      </c>
      <c r="HC13" s="186">
        <v>0.54166666666666663</v>
      </c>
      <c r="HD13" s="187" t="str">
        <f t="shared" si="35"/>
        <v>8h</v>
      </c>
      <c r="HE13" s="310"/>
      <c r="HF13" s="310"/>
      <c r="HG13" s="310"/>
    </row>
    <row r="14" spans="1:215" x14ac:dyDescent="0.45">
      <c r="A14" s="313"/>
      <c r="B14" s="181">
        <f t="shared" si="36"/>
        <v>46027</v>
      </c>
      <c r="C14" s="182" t="str">
        <f t="shared" si="0"/>
        <v>月</v>
      </c>
      <c r="D14" s="182" t="s">
        <v>22</v>
      </c>
      <c r="E14" s="183">
        <v>0.375</v>
      </c>
      <c r="F14" s="183">
        <v>0.75</v>
      </c>
      <c r="G14" s="184">
        <v>0.5</v>
      </c>
      <c r="H14" s="184">
        <v>0.54166666666666663</v>
      </c>
      <c r="I14" s="185" t="str">
        <f t="shared" si="1"/>
        <v>8h</v>
      </c>
      <c r="J14" s="186">
        <v>0.375</v>
      </c>
      <c r="K14" s="186">
        <v>0.75</v>
      </c>
      <c r="L14" s="186">
        <v>0.5</v>
      </c>
      <c r="M14" s="186">
        <v>0.54166666666666663</v>
      </c>
      <c r="N14" s="187" t="str">
        <f t="shared" si="2"/>
        <v>8h</v>
      </c>
      <c r="O14" s="310"/>
      <c r="P14" s="310"/>
      <c r="Q14" s="310"/>
      <c r="S14" s="176"/>
      <c r="T14" s="181">
        <f t="shared" si="37"/>
        <v>46058</v>
      </c>
      <c r="U14" s="182" t="str">
        <f t="shared" si="3"/>
        <v>木</v>
      </c>
      <c r="V14" s="182" t="s">
        <v>22</v>
      </c>
      <c r="W14" s="183">
        <v>0.375</v>
      </c>
      <c r="X14" s="183">
        <v>0.75</v>
      </c>
      <c r="Y14" s="184">
        <v>0.5</v>
      </c>
      <c r="Z14" s="184">
        <v>0.54166666666666663</v>
      </c>
      <c r="AA14" s="185" t="str">
        <f t="shared" si="4"/>
        <v>8h</v>
      </c>
      <c r="AB14" s="186">
        <v>0.375</v>
      </c>
      <c r="AC14" s="186">
        <v>0.75</v>
      </c>
      <c r="AD14" s="186">
        <v>0.5</v>
      </c>
      <c r="AE14" s="186">
        <v>0.54166666666666663</v>
      </c>
      <c r="AF14" s="187" t="str">
        <f t="shared" si="5"/>
        <v>8h</v>
      </c>
      <c r="AG14" s="310"/>
      <c r="AH14" s="310"/>
      <c r="AI14" s="310"/>
      <c r="AK14" s="176"/>
      <c r="AL14" s="181">
        <f t="shared" si="38"/>
        <v>46086</v>
      </c>
      <c r="AM14" s="182" t="str">
        <f t="shared" si="6"/>
        <v>木</v>
      </c>
      <c r="AN14" s="182" t="s">
        <v>22</v>
      </c>
      <c r="AO14" s="183">
        <v>0.375</v>
      </c>
      <c r="AP14" s="183">
        <v>0.75</v>
      </c>
      <c r="AQ14" s="184">
        <v>0.5</v>
      </c>
      <c r="AR14" s="184">
        <v>0.54166666666666663</v>
      </c>
      <c r="AS14" s="185" t="str">
        <f t="shared" si="7"/>
        <v>8h</v>
      </c>
      <c r="AT14" s="186">
        <v>0.375</v>
      </c>
      <c r="AU14" s="186">
        <v>0.75</v>
      </c>
      <c r="AV14" s="186">
        <v>0.5</v>
      </c>
      <c r="AW14" s="186">
        <v>0.54166666666666663</v>
      </c>
      <c r="AX14" s="187" t="str">
        <f t="shared" si="8"/>
        <v>8h</v>
      </c>
      <c r="AY14" s="310"/>
      <c r="AZ14" s="310"/>
      <c r="BA14" s="310"/>
      <c r="BC14" s="176"/>
      <c r="BD14" s="181">
        <f t="shared" si="39"/>
        <v>46117</v>
      </c>
      <c r="BE14" s="182" t="str">
        <f t="shared" si="9"/>
        <v>日</v>
      </c>
      <c r="BF14" s="182"/>
      <c r="BG14" s="183"/>
      <c r="BH14" s="183"/>
      <c r="BI14" s="184"/>
      <c r="BJ14" s="184"/>
      <c r="BK14" s="185" t="str">
        <f t="shared" si="10"/>
        <v/>
      </c>
      <c r="BL14" s="186"/>
      <c r="BM14" s="186"/>
      <c r="BN14" s="186"/>
      <c r="BO14" s="186"/>
      <c r="BP14" s="187" t="str">
        <f t="shared" si="11"/>
        <v/>
      </c>
      <c r="BQ14" s="310"/>
      <c r="BR14" s="310"/>
      <c r="BS14" s="310"/>
      <c r="BU14" s="176"/>
      <c r="BV14" s="181">
        <f t="shared" si="40"/>
        <v>46147</v>
      </c>
      <c r="BW14" s="182" t="str">
        <f t="shared" si="12"/>
        <v>火</v>
      </c>
      <c r="BX14" s="182"/>
      <c r="BY14" s="183"/>
      <c r="BZ14" s="183"/>
      <c r="CA14" s="184"/>
      <c r="CB14" s="184"/>
      <c r="CC14" s="185" t="str">
        <f t="shared" si="13"/>
        <v/>
      </c>
      <c r="CD14" s="186"/>
      <c r="CE14" s="186"/>
      <c r="CF14" s="186"/>
      <c r="CG14" s="186"/>
      <c r="CH14" s="187" t="str">
        <f t="shared" si="14"/>
        <v/>
      </c>
      <c r="CI14" s="310"/>
      <c r="CJ14" s="310"/>
      <c r="CK14" s="310"/>
      <c r="CM14" s="176"/>
      <c r="CN14" s="181">
        <f t="shared" si="41"/>
        <v>46178</v>
      </c>
      <c r="CO14" s="182" t="str">
        <f t="shared" si="15"/>
        <v>金</v>
      </c>
      <c r="CP14" s="182" t="s">
        <v>22</v>
      </c>
      <c r="CQ14" s="183">
        <v>0.375</v>
      </c>
      <c r="CR14" s="183">
        <v>0.75</v>
      </c>
      <c r="CS14" s="184">
        <v>0.5</v>
      </c>
      <c r="CT14" s="184">
        <v>0.54166666666666663</v>
      </c>
      <c r="CU14" s="185" t="str">
        <f t="shared" si="16"/>
        <v>8h</v>
      </c>
      <c r="CV14" s="186">
        <v>0.375</v>
      </c>
      <c r="CW14" s="186">
        <v>0.75</v>
      </c>
      <c r="CX14" s="186">
        <v>0.5</v>
      </c>
      <c r="CY14" s="186">
        <v>0.54166666666666663</v>
      </c>
      <c r="CZ14" s="187" t="str">
        <f t="shared" si="17"/>
        <v>8h</v>
      </c>
      <c r="DA14" s="310"/>
      <c r="DB14" s="310"/>
      <c r="DC14" s="310"/>
      <c r="DE14" s="176"/>
      <c r="DF14" s="181">
        <f t="shared" si="42"/>
        <v>46208</v>
      </c>
      <c r="DG14" s="182" t="str">
        <f t="shared" si="18"/>
        <v>日</v>
      </c>
      <c r="DH14" s="182"/>
      <c r="DI14" s="183"/>
      <c r="DJ14" s="183"/>
      <c r="DK14" s="184"/>
      <c r="DL14" s="184"/>
      <c r="DM14" s="185" t="str">
        <f t="shared" si="19"/>
        <v/>
      </c>
      <c r="DN14" s="186"/>
      <c r="DO14" s="186"/>
      <c r="DP14" s="186"/>
      <c r="DQ14" s="186"/>
      <c r="DR14" s="187" t="str">
        <f t="shared" si="20"/>
        <v/>
      </c>
      <c r="DS14" s="310"/>
      <c r="DT14" s="310"/>
      <c r="DU14" s="310"/>
      <c r="DW14" s="176"/>
      <c r="DX14" s="181">
        <f t="shared" si="43"/>
        <v>46239</v>
      </c>
      <c r="DY14" s="182" t="str">
        <f t="shared" si="21"/>
        <v>水</v>
      </c>
      <c r="DZ14" s="182" t="s">
        <v>22</v>
      </c>
      <c r="EA14" s="183">
        <v>0.375</v>
      </c>
      <c r="EB14" s="183">
        <v>0.75</v>
      </c>
      <c r="EC14" s="184">
        <v>0.5</v>
      </c>
      <c r="ED14" s="184">
        <v>0.54166666666666663</v>
      </c>
      <c r="EE14" s="185" t="str">
        <f t="shared" si="22"/>
        <v>8h</v>
      </c>
      <c r="EF14" s="186">
        <v>0.375</v>
      </c>
      <c r="EG14" s="186">
        <v>0.75</v>
      </c>
      <c r="EH14" s="186">
        <v>0.5</v>
      </c>
      <c r="EI14" s="186">
        <v>0.54166666666666663</v>
      </c>
      <c r="EJ14" s="187" t="str">
        <f t="shared" si="23"/>
        <v>8h</v>
      </c>
      <c r="EK14" s="310"/>
      <c r="EL14" s="310"/>
      <c r="EM14" s="310"/>
      <c r="EO14" s="176"/>
      <c r="EP14" s="181">
        <f t="shared" si="44"/>
        <v>46270</v>
      </c>
      <c r="EQ14" s="182" t="str">
        <f t="shared" si="24"/>
        <v>土</v>
      </c>
      <c r="ER14" s="182"/>
      <c r="ES14" s="183"/>
      <c r="ET14" s="183"/>
      <c r="EU14" s="184"/>
      <c r="EV14" s="184"/>
      <c r="EW14" s="185" t="str">
        <f t="shared" si="25"/>
        <v/>
      </c>
      <c r="EX14" s="186"/>
      <c r="EY14" s="186"/>
      <c r="EZ14" s="186"/>
      <c r="FA14" s="186"/>
      <c r="FB14" s="187" t="str">
        <f t="shared" si="26"/>
        <v/>
      </c>
      <c r="FC14" s="310"/>
      <c r="FD14" s="310"/>
      <c r="FE14" s="310"/>
      <c r="FG14" s="176"/>
      <c r="FH14" s="181">
        <f t="shared" si="45"/>
        <v>46300</v>
      </c>
      <c r="FI14" s="182" t="str">
        <f t="shared" si="27"/>
        <v>月</v>
      </c>
      <c r="FJ14" s="182" t="s">
        <v>22</v>
      </c>
      <c r="FK14" s="183">
        <v>0.375</v>
      </c>
      <c r="FL14" s="183">
        <v>0.75</v>
      </c>
      <c r="FM14" s="184">
        <v>0.5</v>
      </c>
      <c r="FN14" s="184">
        <v>0.54166666666666663</v>
      </c>
      <c r="FO14" s="185" t="str">
        <f t="shared" si="28"/>
        <v>8h</v>
      </c>
      <c r="FP14" s="186">
        <v>0.375</v>
      </c>
      <c r="FQ14" s="186">
        <v>0.75</v>
      </c>
      <c r="FR14" s="186">
        <v>0.5</v>
      </c>
      <c r="FS14" s="186">
        <v>0.54166666666666663</v>
      </c>
      <c r="FT14" s="187" t="str">
        <f t="shared" si="29"/>
        <v>8h</v>
      </c>
      <c r="FU14" s="310"/>
      <c r="FV14" s="310"/>
      <c r="FW14" s="310"/>
      <c r="FY14" s="176"/>
      <c r="FZ14" s="181">
        <f t="shared" si="46"/>
        <v>46331</v>
      </c>
      <c r="GA14" s="182" t="str">
        <f t="shared" si="30"/>
        <v>木</v>
      </c>
      <c r="GB14" s="182" t="s">
        <v>22</v>
      </c>
      <c r="GC14" s="183">
        <v>0.375</v>
      </c>
      <c r="GD14" s="183">
        <v>0.75</v>
      </c>
      <c r="GE14" s="184">
        <v>0.5</v>
      </c>
      <c r="GF14" s="184">
        <v>0.54166666666666663</v>
      </c>
      <c r="GG14" s="185" t="str">
        <f t="shared" si="31"/>
        <v>8h</v>
      </c>
      <c r="GH14" s="186">
        <v>0.375</v>
      </c>
      <c r="GI14" s="186">
        <v>0.75</v>
      </c>
      <c r="GJ14" s="186">
        <v>0.5</v>
      </c>
      <c r="GK14" s="186">
        <v>0.54166666666666663</v>
      </c>
      <c r="GL14" s="187" t="str">
        <f t="shared" si="32"/>
        <v>8h</v>
      </c>
      <c r="GM14" s="310"/>
      <c r="GN14" s="310"/>
      <c r="GO14" s="310"/>
      <c r="GQ14" s="176"/>
      <c r="GR14" s="181">
        <f t="shared" si="47"/>
        <v>46361</v>
      </c>
      <c r="GS14" s="182" t="str">
        <f t="shared" si="33"/>
        <v>土</v>
      </c>
      <c r="GT14" s="182"/>
      <c r="GU14" s="183"/>
      <c r="GV14" s="183"/>
      <c r="GW14" s="184"/>
      <c r="GX14" s="184"/>
      <c r="GY14" s="185" t="str">
        <f t="shared" si="34"/>
        <v/>
      </c>
      <c r="GZ14" s="186"/>
      <c r="HA14" s="186"/>
      <c r="HB14" s="186"/>
      <c r="HC14" s="186"/>
      <c r="HD14" s="187" t="str">
        <f t="shared" si="35"/>
        <v/>
      </c>
      <c r="HE14" s="310"/>
      <c r="HF14" s="310"/>
      <c r="HG14" s="310"/>
    </row>
    <row r="15" spans="1:215" x14ac:dyDescent="0.45">
      <c r="A15" s="313"/>
      <c r="B15" s="181">
        <f t="shared" si="36"/>
        <v>46028</v>
      </c>
      <c r="C15" s="182" t="str">
        <f t="shared" si="0"/>
        <v>火</v>
      </c>
      <c r="D15" s="182" t="s">
        <v>22</v>
      </c>
      <c r="E15" s="183">
        <v>0.375</v>
      </c>
      <c r="F15" s="183">
        <v>0.75</v>
      </c>
      <c r="G15" s="184">
        <v>0.5</v>
      </c>
      <c r="H15" s="184">
        <v>0.54166666666666663</v>
      </c>
      <c r="I15" s="185" t="str">
        <f t="shared" si="1"/>
        <v>8h</v>
      </c>
      <c r="J15" s="186">
        <v>0.375</v>
      </c>
      <c r="K15" s="186">
        <v>0.75</v>
      </c>
      <c r="L15" s="186">
        <v>0.5</v>
      </c>
      <c r="M15" s="186">
        <v>0.54166666666666663</v>
      </c>
      <c r="N15" s="187" t="str">
        <f t="shared" si="2"/>
        <v>8h</v>
      </c>
      <c r="O15" s="310"/>
      <c r="P15" s="310"/>
      <c r="Q15" s="310"/>
      <c r="S15" s="176"/>
      <c r="T15" s="181">
        <f t="shared" si="37"/>
        <v>46059</v>
      </c>
      <c r="U15" s="182" t="str">
        <f t="shared" si="3"/>
        <v>金</v>
      </c>
      <c r="V15" s="182" t="s">
        <v>22</v>
      </c>
      <c r="W15" s="183">
        <v>0.375</v>
      </c>
      <c r="X15" s="183">
        <v>0.75</v>
      </c>
      <c r="Y15" s="184">
        <v>0.5</v>
      </c>
      <c r="Z15" s="184">
        <v>0.54166666666666663</v>
      </c>
      <c r="AA15" s="185" t="str">
        <f t="shared" si="4"/>
        <v>8h</v>
      </c>
      <c r="AB15" s="186">
        <v>0.375</v>
      </c>
      <c r="AC15" s="186">
        <v>0.75</v>
      </c>
      <c r="AD15" s="186">
        <v>0.5</v>
      </c>
      <c r="AE15" s="186">
        <v>0.54166666666666663</v>
      </c>
      <c r="AF15" s="187" t="str">
        <f t="shared" si="5"/>
        <v>8h</v>
      </c>
      <c r="AG15" s="310"/>
      <c r="AH15" s="310"/>
      <c r="AI15" s="310"/>
      <c r="AK15" s="176"/>
      <c r="AL15" s="181">
        <f t="shared" si="38"/>
        <v>46087</v>
      </c>
      <c r="AM15" s="182" t="str">
        <f t="shared" si="6"/>
        <v>金</v>
      </c>
      <c r="AN15" s="182" t="s">
        <v>22</v>
      </c>
      <c r="AO15" s="183">
        <v>0.375</v>
      </c>
      <c r="AP15" s="183">
        <v>0.75</v>
      </c>
      <c r="AQ15" s="184">
        <v>0.5</v>
      </c>
      <c r="AR15" s="184">
        <v>0.54166666666666663</v>
      </c>
      <c r="AS15" s="185" t="str">
        <f t="shared" si="7"/>
        <v>8h</v>
      </c>
      <c r="AT15" s="186">
        <v>0.375</v>
      </c>
      <c r="AU15" s="186">
        <v>0.75</v>
      </c>
      <c r="AV15" s="186">
        <v>0.5</v>
      </c>
      <c r="AW15" s="186">
        <v>0.54166666666666663</v>
      </c>
      <c r="AX15" s="187" t="str">
        <f t="shared" si="8"/>
        <v>8h</v>
      </c>
      <c r="AY15" s="310"/>
      <c r="AZ15" s="310"/>
      <c r="BA15" s="310"/>
      <c r="BC15" s="176"/>
      <c r="BD15" s="181">
        <f t="shared" si="39"/>
        <v>46118</v>
      </c>
      <c r="BE15" s="182" t="str">
        <f t="shared" si="9"/>
        <v>月</v>
      </c>
      <c r="BF15" s="182" t="s">
        <v>22</v>
      </c>
      <c r="BG15" s="183">
        <v>0.375</v>
      </c>
      <c r="BH15" s="183">
        <v>0.75</v>
      </c>
      <c r="BI15" s="184">
        <v>0.5</v>
      </c>
      <c r="BJ15" s="184">
        <v>0.54166666666666663</v>
      </c>
      <c r="BK15" s="185" t="str">
        <f t="shared" si="10"/>
        <v>8h</v>
      </c>
      <c r="BL15" s="186">
        <v>0.375</v>
      </c>
      <c r="BM15" s="186">
        <v>0.75</v>
      </c>
      <c r="BN15" s="186">
        <v>0.5</v>
      </c>
      <c r="BO15" s="186">
        <v>0.54166666666666663</v>
      </c>
      <c r="BP15" s="187" t="str">
        <f t="shared" si="11"/>
        <v>8h</v>
      </c>
      <c r="BQ15" s="310"/>
      <c r="BR15" s="310"/>
      <c r="BS15" s="310"/>
      <c r="BU15" s="176"/>
      <c r="BV15" s="181">
        <f t="shared" si="40"/>
        <v>46148</v>
      </c>
      <c r="BW15" s="182" t="str">
        <f t="shared" si="12"/>
        <v>水</v>
      </c>
      <c r="BX15" s="182"/>
      <c r="BY15" s="183"/>
      <c r="BZ15" s="183"/>
      <c r="CA15" s="184"/>
      <c r="CB15" s="184"/>
      <c r="CC15" s="185" t="str">
        <f t="shared" si="13"/>
        <v/>
      </c>
      <c r="CD15" s="186"/>
      <c r="CE15" s="186"/>
      <c r="CF15" s="186"/>
      <c r="CG15" s="186"/>
      <c r="CH15" s="187" t="str">
        <f t="shared" si="14"/>
        <v/>
      </c>
      <c r="CI15" s="310"/>
      <c r="CJ15" s="310"/>
      <c r="CK15" s="310"/>
      <c r="CM15" s="176"/>
      <c r="CN15" s="181">
        <f t="shared" si="41"/>
        <v>46179</v>
      </c>
      <c r="CO15" s="182" t="str">
        <f t="shared" si="15"/>
        <v>土</v>
      </c>
      <c r="CP15" s="182"/>
      <c r="CQ15" s="183"/>
      <c r="CR15" s="183"/>
      <c r="CS15" s="184"/>
      <c r="CT15" s="184"/>
      <c r="CU15" s="185" t="str">
        <f t="shared" si="16"/>
        <v/>
      </c>
      <c r="CV15" s="186"/>
      <c r="CW15" s="186"/>
      <c r="CX15" s="186"/>
      <c r="CY15" s="186"/>
      <c r="CZ15" s="187" t="str">
        <f t="shared" si="17"/>
        <v/>
      </c>
      <c r="DA15" s="310"/>
      <c r="DB15" s="310"/>
      <c r="DC15" s="310"/>
      <c r="DE15" s="176"/>
      <c r="DF15" s="181">
        <f t="shared" si="42"/>
        <v>46209</v>
      </c>
      <c r="DG15" s="182" t="str">
        <f t="shared" si="18"/>
        <v>月</v>
      </c>
      <c r="DH15" s="182" t="s">
        <v>22</v>
      </c>
      <c r="DI15" s="183">
        <v>0.375</v>
      </c>
      <c r="DJ15" s="183">
        <v>0.75</v>
      </c>
      <c r="DK15" s="184">
        <v>0.5</v>
      </c>
      <c r="DL15" s="184">
        <v>0.54166666666666663</v>
      </c>
      <c r="DM15" s="185" t="str">
        <f t="shared" si="19"/>
        <v>8h</v>
      </c>
      <c r="DN15" s="186">
        <v>0.375</v>
      </c>
      <c r="DO15" s="186">
        <v>0.75</v>
      </c>
      <c r="DP15" s="186">
        <v>0.5</v>
      </c>
      <c r="DQ15" s="186">
        <v>0.54166666666666663</v>
      </c>
      <c r="DR15" s="187" t="str">
        <f t="shared" si="20"/>
        <v>8h</v>
      </c>
      <c r="DS15" s="310"/>
      <c r="DT15" s="310"/>
      <c r="DU15" s="310"/>
      <c r="DW15" s="176"/>
      <c r="DX15" s="181">
        <f t="shared" si="43"/>
        <v>46240</v>
      </c>
      <c r="DY15" s="182" t="str">
        <f t="shared" si="21"/>
        <v>木</v>
      </c>
      <c r="DZ15" s="182" t="s">
        <v>22</v>
      </c>
      <c r="EA15" s="183">
        <v>0.375</v>
      </c>
      <c r="EB15" s="183">
        <v>0.75</v>
      </c>
      <c r="EC15" s="184">
        <v>0.5</v>
      </c>
      <c r="ED15" s="184">
        <v>0.54166666666666663</v>
      </c>
      <c r="EE15" s="185" t="str">
        <f t="shared" si="22"/>
        <v>8h</v>
      </c>
      <c r="EF15" s="186">
        <v>0.375</v>
      </c>
      <c r="EG15" s="186">
        <v>0.75</v>
      </c>
      <c r="EH15" s="186">
        <v>0.5</v>
      </c>
      <c r="EI15" s="186">
        <v>0.54166666666666663</v>
      </c>
      <c r="EJ15" s="187" t="str">
        <f t="shared" si="23"/>
        <v>8h</v>
      </c>
      <c r="EK15" s="310"/>
      <c r="EL15" s="310"/>
      <c r="EM15" s="310"/>
      <c r="EO15" s="176"/>
      <c r="EP15" s="181">
        <f t="shared" si="44"/>
        <v>46271</v>
      </c>
      <c r="EQ15" s="182" t="str">
        <f t="shared" si="24"/>
        <v>日</v>
      </c>
      <c r="ER15" s="182"/>
      <c r="ES15" s="183"/>
      <c r="ET15" s="183"/>
      <c r="EU15" s="184"/>
      <c r="EV15" s="184"/>
      <c r="EW15" s="185" t="str">
        <f t="shared" si="25"/>
        <v/>
      </c>
      <c r="EX15" s="186"/>
      <c r="EY15" s="186"/>
      <c r="EZ15" s="186"/>
      <c r="FA15" s="186"/>
      <c r="FB15" s="187" t="str">
        <f t="shared" si="26"/>
        <v/>
      </c>
      <c r="FC15" s="310"/>
      <c r="FD15" s="310"/>
      <c r="FE15" s="310"/>
      <c r="FG15" s="176"/>
      <c r="FH15" s="181">
        <f t="shared" si="45"/>
        <v>46301</v>
      </c>
      <c r="FI15" s="182" t="str">
        <f t="shared" si="27"/>
        <v>火</v>
      </c>
      <c r="FJ15" s="182" t="s">
        <v>22</v>
      </c>
      <c r="FK15" s="183">
        <v>0.375</v>
      </c>
      <c r="FL15" s="183">
        <v>0.75</v>
      </c>
      <c r="FM15" s="184">
        <v>0.5</v>
      </c>
      <c r="FN15" s="184">
        <v>0.54166666666666663</v>
      </c>
      <c r="FO15" s="185" t="str">
        <f t="shared" si="28"/>
        <v>8h</v>
      </c>
      <c r="FP15" s="186">
        <v>0.375</v>
      </c>
      <c r="FQ15" s="186">
        <v>0.75</v>
      </c>
      <c r="FR15" s="186">
        <v>0.5</v>
      </c>
      <c r="FS15" s="186">
        <v>0.54166666666666663</v>
      </c>
      <c r="FT15" s="187" t="str">
        <f t="shared" si="29"/>
        <v>8h</v>
      </c>
      <c r="FU15" s="310"/>
      <c r="FV15" s="310"/>
      <c r="FW15" s="310"/>
      <c r="FY15" s="176"/>
      <c r="FZ15" s="181">
        <f t="shared" si="46"/>
        <v>46332</v>
      </c>
      <c r="GA15" s="182" t="str">
        <f t="shared" si="30"/>
        <v>金</v>
      </c>
      <c r="GB15" s="182" t="s">
        <v>22</v>
      </c>
      <c r="GC15" s="183">
        <v>0.375</v>
      </c>
      <c r="GD15" s="183">
        <v>0.75</v>
      </c>
      <c r="GE15" s="184">
        <v>0.5</v>
      </c>
      <c r="GF15" s="184">
        <v>0.54166666666666663</v>
      </c>
      <c r="GG15" s="185" t="str">
        <f t="shared" si="31"/>
        <v>8h</v>
      </c>
      <c r="GH15" s="186">
        <v>0.375</v>
      </c>
      <c r="GI15" s="186">
        <v>0.75</v>
      </c>
      <c r="GJ15" s="186">
        <v>0.5</v>
      </c>
      <c r="GK15" s="186">
        <v>0.54166666666666663</v>
      </c>
      <c r="GL15" s="187" t="str">
        <f t="shared" si="32"/>
        <v>8h</v>
      </c>
      <c r="GM15" s="310"/>
      <c r="GN15" s="310"/>
      <c r="GO15" s="310"/>
      <c r="GQ15" s="176"/>
      <c r="GR15" s="181">
        <f t="shared" si="47"/>
        <v>46362</v>
      </c>
      <c r="GS15" s="182" t="str">
        <f t="shared" si="33"/>
        <v>日</v>
      </c>
      <c r="GT15" s="182"/>
      <c r="GU15" s="183"/>
      <c r="GV15" s="183"/>
      <c r="GW15" s="184"/>
      <c r="GX15" s="184"/>
      <c r="GY15" s="185" t="str">
        <f t="shared" si="34"/>
        <v/>
      </c>
      <c r="GZ15" s="186"/>
      <c r="HA15" s="186"/>
      <c r="HB15" s="186"/>
      <c r="HC15" s="186"/>
      <c r="HD15" s="187" t="str">
        <f t="shared" si="35"/>
        <v/>
      </c>
      <c r="HE15" s="310"/>
      <c r="HF15" s="310"/>
      <c r="HG15" s="310"/>
    </row>
    <row r="16" spans="1:215" x14ac:dyDescent="0.45">
      <c r="A16" s="176"/>
      <c r="B16" s="181">
        <f t="shared" si="36"/>
        <v>46029</v>
      </c>
      <c r="C16" s="182" t="str">
        <f t="shared" si="0"/>
        <v>水</v>
      </c>
      <c r="D16" s="182" t="s">
        <v>22</v>
      </c>
      <c r="E16" s="183">
        <v>0.375</v>
      </c>
      <c r="F16" s="183">
        <v>0.75</v>
      </c>
      <c r="G16" s="184">
        <v>0.5</v>
      </c>
      <c r="H16" s="184">
        <v>0.54166666666666663</v>
      </c>
      <c r="I16" s="185" t="str">
        <f t="shared" si="1"/>
        <v>8h</v>
      </c>
      <c r="J16" s="186">
        <v>0.375</v>
      </c>
      <c r="K16" s="186">
        <v>0.75</v>
      </c>
      <c r="L16" s="186">
        <v>0.5</v>
      </c>
      <c r="M16" s="186">
        <v>0.54166666666666663</v>
      </c>
      <c r="N16" s="187" t="str">
        <f t="shared" si="2"/>
        <v>8h</v>
      </c>
      <c r="O16" s="310"/>
      <c r="P16" s="310"/>
      <c r="Q16" s="310"/>
      <c r="S16" s="176"/>
      <c r="T16" s="181">
        <f t="shared" si="37"/>
        <v>46060</v>
      </c>
      <c r="U16" s="182" t="str">
        <f t="shared" si="3"/>
        <v>土</v>
      </c>
      <c r="V16" s="182"/>
      <c r="W16" s="183"/>
      <c r="X16" s="183"/>
      <c r="Y16" s="184"/>
      <c r="Z16" s="184"/>
      <c r="AA16" s="185" t="str">
        <f t="shared" si="4"/>
        <v/>
      </c>
      <c r="AB16" s="186"/>
      <c r="AC16" s="186"/>
      <c r="AD16" s="186"/>
      <c r="AE16" s="186"/>
      <c r="AF16" s="187" t="str">
        <f t="shared" si="5"/>
        <v/>
      </c>
      <c r="AG16" s="310"/>
      <c r="AH16" s="310"/>
      <c r="AI16" s="310"/>
      <c r="AK16" s="176"/>
      <c r="AL16" s="181">
        <f t="shared" si="38"/>
        <v>46088</v>
      </c>
      <c r="AM16" s="182" t="str">
        <f t="shared" si="6"/>
        <v>土</v>
      </c>
      <c r="AN16" s="182"/>
      <c r="AO16" s="183"/>
      <c r="AP16" s="183"/>
      <c r="AQ16" s="184"/>
      <c r="AR16" s="184"/>
      <c r="AS16" s="185" t="str">
        <f t="shared" si="7"/>
        <v/>
      </c>
      <c r="AT16" s="186"/>
      <c r="AU16" s="186"/>
      <c r="AV16" s="186"/>
      <c r="AW16" s="186"/>
      <c r="AX16" s="187" t="str">
        <f t="shared" si="8"/>
        <v/>
      </c>
      <c r="AY16" s="310"/>
      <c r="AZ16" s="310"/>
      <c r="BA16" s="310"/>
      <c r="BC16" s="176"/>
      <c r="BD16" s="181">
        <f t="shared" si="39"/>
        <v>46119</v>
      </c>
      <c r="BE16" s="182" t="str">
        <f t="shared" si="9"/>
        <v>火</v>
      </c>
      <c r="BF16" s="182" t="s">
        <v>22</v>
      </c>
      <c r="BG16" s="183">
        <v>0.375</v>
      </c>
      <c r="BH16" s="183">
        <v>0.75</v>
      </c>
      <c r="BI16" s="184">
        <v>0.5</v>
      </c>
      <c r="BJ16" s="184">
        <v>0.54166666666666663</v>
      </c>
      <c r="BK16" s="185" t="str">
        <f t="shared" si="10"/>
        <v>8h</v>
      </c>
      <c r="BL16" s="186">
        <v>0.375</v>
      </c>
      <c r="BM16" s="186">
        <v>0.75</v>
      </c>
      <c r="BN16" s="186">
        <v>0.5</v>
      </c>
      <c r="BO16" s="186">
        <v>0.54166666666666663</v>
      </c>
      <c r="BP16" s="187" t="str">
        <f t="shared" si="11"/>
        <v>8h</v>
      </c>
      <c r="BQ16" s="310"/>
      <c r="BR16" s="310"/>
      <c r="BS16" s="310"/>
      <c r="BU16" s="176"/>
      <c r="BV16" s="181">
        <f t="shared" si="40"/>
        <v>46149</v>
      </c>
      <c r="BW16" s="182" t="str">
        <f t="shared" si="12"/>
        <v>木</v>
      </c>
      <c r="BX16" s="182" t="s">
        <v>22</v>
      </c>
      <c r="BY16" s="183">
        <v>0.375</v>
      </c>
      <c r="BZ16" s="183">
        <v>0.75</v>
      </c>
      <c r="CA16" s="184">
        <v>0.5</v>
      </c>
      <c r="CB16" s="184">
        <v>0.54166666666666663</v>
      </c>
      <c r="CC16" s="185" t="str">
        <f t="shared" si="13"/>
        <v>8h</v>
      </c>
      <c r="CD16" s="186">
        <v>0.375</v>
      </c>
      <c r="CE16" s="186">
        <v>0.75</v>
      </c>
      <c r="CF16" s="186">
        <v>0.5</v>
      </c>
      <c r="CG16" s="186">
        <v>0.54166666666666663</v>
      </c>
      <c r="CH16" s="187" t="str">
        <f t="shared" si="14"/>
        <v>8h</v>
      </c>
      <c r="CI16" s="310"/>
      <c r="CJ16" s="310"/>
      <c r="CK16" s="310"/>
      <c r="CM16" s="176"/>
      <c r="CN16" s="181">
        <f t="shared" si="41"/>
        <v>46180</v>
      </c>
      <c r="CO16" s="182" t="str">
        <f t="shared" si="15"/>
        <v>日</v>
      </c>
      <c r="CP16" s="182"/>
      <c r="CQ16" s="183"/>
      <c r="CR16" s="183"/>
      <c r="CS16" s="184"/>
      <c r="CT16" s="184"/>
      <c r="CU16" s="185" t="str">
        <f t="shared" si="16"/>
        <v/>
      </c>
      <c r="CV16" s="186"/>
      <c r="CW16" s="186"/>
      <c r="CX16" s="186"/>
      <c r="CY16" s="186"/>
      <c r="CZ16" s="187" t="str">
        <f t="shared" si="17"/>
        <v/>
      </c>
      <c r="DA16" s="310"/>
      <c r="DB16" s="310"/>
      <c r="DC16" s="310"/>
      <c r="DE16" s="176"/>
      <c r="DF16" s="181">
        <f t="shared" si="42"/>
        <v>46210</v>
      </c>
      <c r="DG16" s="182" t="str">
        <f t="shared" si="18"/>
        <v>火</v>
      </c>
      <c r="DH16" s="182" t="s">
        <v>22</v>
      </c>
      <c r="DI16" s="183">
        <v>0.375</v>
      </c>
      <c r="DJ16" s="183">
        <v>0.75</v>
      </c>
      <c r="DK16" s="184">
        <v>0.5</v>
      </c>
      <c r="DL16" s="184">
        <v>0.54166666666666663</v>
      </c>
      <c r="DM16" s="185" t="str">
        <f t="shared" si="19"/>
        <v>8h</v>
      </c>
      <c r="DN16" s="186">
        <v>0.375</v>
      </c>
      <c r="DO16" s="186">
        <v>0.75</v>
      </c>
      <c r="DP16" s="186">
        <v>0.5</v>
      </c>
      <c r="DQ16" s="186">
        <v>0.54166666666666663</v>
      </c>
      <c r="DR16" s="187" t="str">
        <f t="shared" si="20"/>
        <v>8h</v>
      </c>
      <c r="DS16" s="310"/>
      <c r="DT16" s="310"/>
      <c r="DU16" s="310"/>
      <c r="DW16" s="176"/>
      <c r="DX16" s="181">
        <f t="shared" si="43"/>
        <v>46241</v>
      </c>
      <c r="DY16" s="182" t="str">
        <f t="shared" si="21"/>
        <v>金</v>
      </c>
      <c r="DZ16" s="182" t="s">
        <v>22</v>
      </c>
      <c r="EA16" s="183">
        <v>0.375</v>
      </c>
      <c r="EB16" s="183">
        <v>0.75</v>
      </c>
      <c r="EC16" s="184">
        <v>0.5</v>
      </c>
      <c r="ED16" s="184">
        <v>0.54166666666666663</v>
      </c>
      <c r="EE16" s="185" t="str">
        <f t="shared" si="22"/>
        <v>8h</v>
      </c>
      <c r="EF16" s="186">
        <v>0.375</v>
      </c>
      <c r="EG16" s="186">
        <v>0.75</v>
      </c>
      <c r="EH16" s="186">
        <v>0.5</v>
      </c>
      <c r="EI16" s="186">
        <v>0.54166666666666663</v>
      </c>
      <c r="EJ16" s="187" t="str">
        <f t="shared" si="23"/>
        <v>8h</v>
      </c>
      <c r="EK16" s="310"/>
      <c r="EL16" s="310"/>
      <c r="EM16" s="310"/>
      <c r="EO16" s="176"/>
      <c r="EP16" s="181">
        <f t="shared" si="44"/>
        <v>46272</v>
      </c>
      <c r="EQ16" s="182" t="str">
        <f t="shared" si="24"/>
        <v>月</v>
      </c>
      <c r="ER16" s="182" t="s">
        <v>22</v>
      </c>
      <c r="ES16" s="183">
        <v>0.375</v>
      </c>
      <c r="ET16" s="183">
        <v>0.75</v>
      </c>
      <c r="EU16" s="184">
        <v>0.5</v>
      </c>
      <c r="EV16" s="184">
        <v>0.54166666666666663</v>
      </c>
      <c r="EW16" s="185" t="str">
        <f t="shared" si="25"/>
        <v>8h</v>
      </c>
      <c r="EX16" s="186">
        <v>0.375</v>
      </c>
      <c r="EY16" s="186">
        <v>0.75</v>
      </c>
      <c r="EZ16" s="186">
        <v>0.5</v>
      </c>
      <c r="FA16" s="186">
        <v>0.54166666666666663</v>
      </c>
      <c r="FB16" s="187" t="str">
        <f t="shared" si="26"/>
        <v>8h</v>
      </c>
      <c r="FC16" s="310"/>
      <c r="FD16" s="310"/>
      <c r="FE16" s="310"/>
      <c r="FG16" s="176"/>
      <c r="FH16" s="181">
        <f t="shared" si="45"/>
        <v>46302</v>
      </c>
      <c r="FI16" s="182" t="str">
        <f t="shared" si="27"/>
        <v>水</v>
      </c>
      <c r="FJ16" s="182" t="s">
        <v>22</v>
      </c>
      <c r="FK16" s="183">
        <v>0.375</v>
      </c>
      <c r="FL16" s="183">
        <v>0.75</v>
      </c>
      <c r="FM16" s="184">
        <v>0.5</v>
      </c>
      <c r="FN16" s="184">
        <v>0.54166666666666663</v>
      </c>
      <c r="FO16" s="185" t="str">
        <f t="shared" si="28"/>
        <v>8h</v>
      </c>
      <c r="FP16" s="186">
        <v>0.375</v>
      </c>
      <c r="FQ16" s="186">
        <v>0.75</v>
      </c>
      <c r="FR16" s="186">
        <v>0.5</v>
      </c>
      <c r="FS16" s="186">
        <v>0.54166666666666663</v>
      </c>
      <c r="FT16" s="187" t="str">
        <f t="shared" si="29"/>
        <v>8h</v>
      </c>
      <c r="FU16" s="310"/>
      <c r="FV16" s="310"/>
      <c r="FW16" s="310"/>
      <c r="FY16" s="176"/>
      <c r="FZ16" s="181">
        <f t="shared" si="46"/>
        <v>46333</v>
      </c>
      <c r="GA16" s="182" t="str">
        <f t="shared" si="30"/>
        <v>土</v>
      </c>
      <c r="GB16" s="182"/>
      <c r="GC16" s="183"/>
      <c r="GD16" s="183"/>
      <c r="GE16" s="184"/>
      <c r="GF16" s="184"/>
      <c r="GG16" s="185" t="str">
        <f t="shared" si="31"/>
        <v/>
      </c>
      <c r="GH16" s="186"/>
      <c r="GI16" s="186"/>
      <c r="GJ16" s="186"/>
      <c r="GK16" s="186"/>
      <c r="GL16" s="187" t="str">
        <f t="shared" si="32"/>
        <v/>
      </c>
      <c r="GM16" s="310"/>
      <c r="GN16" s="310"/>
      <c r="GO16" s="310"/>
      <c r="GQ16" s="176"/>
      <c r="GR16" s="181">
        <f t="shared" si="47"/>
        <v>46363</v>
      </c>
      <c r="GS16" s="182" t="str">
        <f t="shared" si="33"/>
        <v>月</v>
      </c>
      <c r="GT16" s="182" t="s">
        <v>22</v>
      </c>
      <c r="GU16" s="183">
        <v>0.375</v>
      </c>
      <c r="GV16" s="183">
        <v>0.75</v>
      </c>
      <c r="GW16" s="184">
        <v>0.5</v>
      </c>
      <c r="GX16" s="184">
        <v>0.54166666666666663</v>
      </c>
      <c r="GY16" s="185" t="str">
        <f t="shared" si="34"/>
        <v>8h</v>
      </c>
      <c r="GZ16" s="186">
        <v>0.375</v>
      </c>
      <c r="HA16" s="186">
        <v>0.75</v>
      </c>
      <c r="HB16" s="186">
        <v>0.5</v>
      </c>
      <c r="HC16" s="186">
        <v>0.54166666666666663</v>
      </c>
      <c r="HD16" s="187" t="str">
        <f t="shared" si="35"/>
        <v>8h</v>
      </c>
      <c r="HE16" s="310"/>
      <c r="HF16" s="310"/>
      <c r="HG16" s="310"/>
    </row>
    <row r="17" spans="1:215" x14ac:dyDescent="0.45">
      <c r="A17" s="176"/>
      <c r="B17" s="181">
        <f t="shared" si="36"/>
        <v>46030</v>
      </c>
      <c r="C17" s="182" t="str">
        <f t="shared" si="0"/>
        <v>木</v>
      </c>
      <c r="D17" s="182" t="s">
        <v>22</v>
      </c>
      <c r="E17" s="183">
        <v>0.375</v>
      </c>
      <c r="F17" s="183">
        <v>0.75</v>
      </c>
      <c r="G17" s="184">
        <v>0.5</v>
      </c>
      <c r="H17" s="184">
        <v>0.54166666666666663</v>
      </c>
      <c r="I17" s="185" t="str">
        <f t="shared" si="1"/>
        <v>8h</v>
      </c>
      <c r="J17" s="186">
        <v>0.375</v>
      </c>
      <c r="K17" s="186">
        <v>0.75</v>
      </c>
      <c r="L17" s="186">
        <v>0.5</v>
      </c>
      <c r="M17" s="186">
        <v>0.54166666666666663</v>
      </c>
      <c r="N17" s="187" t="str">
        <f t="shared" si="2"/>
        <v>8h</v>
      </c>
      <c r="O17" s="310"/>
      <c r="P17" s="310"/>
      <c r="Q17" s="310"/>
      <c r="S17" s="176"/>
      <c r="T17" s="181">
        <f t="shared" si="37"/>
        <v>46061</v>
      </c>
      <c r="U17" s="182" t="str">
        <f t="shared" si="3"/>
        <v>日</v>
      </c>
      <c r="V17" s="182"/>
      <c r="W17" s="183"/>
      <c r="X17" s="183"/>
      <c r="Y17" s="184"/>
      <c r="Z17" s="184"/>
      <c r="AA17" s="185" t="str">
        <f t="shared" si="4"/>
        <v/>
      </c>
      <c r="AB17" s="186"/>
      <c r="AC17" s="186"/>
      <c r="AD17" s="186"/>
      <c r="AE17" s="186"/>
      <c r="AF17" s="187" t="str">
        <f t="shared" si="5"/>
        <v/>
      </c>
      <c r="AG17" s="310"/>
      <c r="AH17" s="310"/>
      <c r="AI17" s="310"/>
      <c r="AK17" s="176"/>
      <c r="AL17" s="181">
        <f t="shared" si="38"/>
        <v>46089</v>
      </c>
      <c r="AM17" s="182" t="str">
        <f t="shared" si="6"/>
        <v>日</v>
      </c>
      <c r="AN17" s="182"/>
      <c r="AO17" s="183"/>
      <c r="AP17" s="183"/>
      <c r="AQ17" s="184"/>
      <c r="AR17" s="184"/>
      <c r="AS17" s="185" t="str">
        <f t="shared" si="7"/>
        <v/>
      </c>
      <c r="AT17" s="186"/>
      <c r="AU17" s="186"/>
      <c r="AV17" s="186"/>
      <c r="AW17" s="186"/>
      <c r="AX17" s="187" t="str">
        <f t="shared" si="8"/>
        <v/>
      </c>
      <c r="AY17" s="310"/>
      <c r="AZ17" s="310"/>
      <c r="BA17" s="310"/>
      <c r="BC17" s="176"/>
      <c r="BD17" s="181">
        <f t="shared" si="39"/>
        <v>46120</v>
      </c>
      <c r="BE17" s="182" t="str">
        <f t="shared" si="9"/>
        <v>水</v>
      </c>
      <c r="BF17" s="182" t="s">
        <v>22</v>
      </c>
      <c r="BG17" s="183">
        <v>0.375</v>
      </c>
      <c r="BH17" s="183">
        <v>0.75</v>
      </c>
      <c r="BI17" s="184">
        <v>0.5</v>
      </c>
      <c r="BJ17" s="184">
        <v>0.54166666666666663</v>
      </c>
      <c r="BK17" s="185" t="str">
        <f t="shared" si="10"/>
        <v>8h</v>
      </c>
      <c r="BL17" s="186">
        <v>0.375</v>
      </c>
      <c r="BM17" s="186">
        <v>0.75</v>
      </c>
      <c r="BN17" s="186">
        <v>0.5</v>
      </c>
      <c r="BO17" s="186">
        <v>0.54166666666666663</v>
      </c>
      <c r="BP17" s="187" t="str">
        <f t="shared" si="11"/>
        <v>8h</v>
      </c>
      <c r="BQ17" s="310"/>
      <c r="BR17" s="310"/>
      <c r="BS17" s="310"/>
      <c r="BU17" s="176"/>
      <c r="BV17" s="181">
        <f t="shared" si="40"/>
        <v>46150</v>
      </c>
      <c r="BW17" s="182" t="str">
        <f t="shared" si="12"/>
        <v>金</v>
      </c>
      <c r="BX17" s="182" t="s">
        <v>22</v>
      </c>
      <c r="BY17" s="183">
        <v>0.375</v>
      </c>
      <c r="BZ17" s="183">
        <v>0.75</v>
      </c>
      <c r="CA17" s="184">
        <v>0.5</v>
      </c>
      <c r="CB17" s="184">
        <v>0.54166666666666663</v>
      </c>
      <c r="CC17" s="185" t="str">
        <f t="shared" si="13"/>
        <v>8h</v>
      </c>
      <c r="CD17" s="186">
        <v>0.375</v>
      </c>
      <c r="CE17" s="186">
        <v>0.75</v>
      </c>
      <c r="CF17" s="186">
        <v>0.5</v>
      </c>
      <c r="CG17" s="186">
        <v>0.54166666666666663</v>
      </c>
      <c r="CH17" s="187" t="str">
        <f t="shared" si="14"/>
        <v>8h</v>
      </c>
      <c r="CI17" s="310"/>
      <c r="CJ17" s="310"/>
      <c r="CK17" s="310"/>
      <c r="CM17" s="176"/>
      <c r="CN17" s="181">
        <f t="shared" si="41"/>
        <v>46181</v>
      </c>
      <c r="CO17" s="182" t="str">
        <f t="shared" si="15"/>
        <v>月</v>
      </c>
      <c r="CP17" s="182" t="s">
        <v>22</v>
      </c>
      <c r="CQ17" s="183">
        <v>0.375</v>
      </c>
      <c r="CR17" s="183">
        <v>0.75</v>
      </c>
      <c r="CS17" s="184">
        <v>0.5</v>
      </c>
      <c r="CT17" s="184">
        <v>0.54166666666666663</v>
      </c>
      <c r="CU17" s="185" t="str">
        <f t="shared" si="16"/>
        <v>8h</v>
      </c>
      <c r="CV17" s="186">
        <v>0.375</v>
      </c>
      <c r="CW17" s="186">
        <v>0.75</v>
      </c>
      <c r="CX17" s="186">
        <v>0.5</v>
      </c>
      <c r="CY17" s="186">
        <v>0.54166666666666663</v>
      </c>
      <c r="CZ17" s="187" t="str">
        <f t="shared" si="17"/>
        <v>8h</v>
      </c>
      <c r="DA17" s="310"/>
      <c r="DB17" s="310"/>
      <c r="DC17" s="310"/>
      <c r="DE17" s="176"/>
      <c r="DF17" s="181">
        <f t="shared" si="42"/>
        <v>46211</v>
      </c>
      <c r="DG17" s="182" t="str">
        <f t="shared" si="18"/>
        <v>水</v>
      </c>
      <c r="DH17" s="182" t="s">
        <v>22</v>
      </c>
      <c r="DI17" s="183">
        <v>0.375</v>
      </c>
      <c r="DJ17" s="183">
        <v>0.75</v>
      </c>
      <c r="DK17" s="184">
        <v>0.5</v>
      </c>
      <c r="DL17" s="184">
        <v>0.54166666666666663</v>
      </c>
      <c r="DM17" s="185" t="str">
        <f t="shared" si="19"/>
        <v>8h</v>
      </c>
      <c r="DN17" s="186">
        <v>0.375</v>
      </c>
      <c r="DO17" s="186">
        <v>0.75</v>
      </c>
      <c r="DP17" s="186">
        <v>0.5</v>
      </c>
      <c r="DQ17" s="186">
        <v>0.54166666666666663</v>
      </c>
      <c r="DR17" s="187" t="str">
        <f t="shared" si="20"/>
        <v>8h</v>
      </c>
      <c r="DS17" s="310"/>
      <c r="DT17" s="310"/>
      <c r="DU17" s="310"/>
      <c r="DW17" s="176"/>
      <c r="DX17" s="181">
        <f t="shared" si="43"/>
        <v>46242</v>
      </c>
      <c r="DY17" s="182" t="str">
        <f t="shared" si="21"/>
        <v>土</v>
      </c>
      <c r="DZ17" s="182"/>
      <c r="EA17" s="183"/>
      <c r="EB17" s="183"/>
      <c r="EC17" s="184"/>
      <c r="ED17" s="184"/>
      <c r="EE17" s="185" t="str">
        <f t="shared" si="22"/>
        <v/>
      </c>
      <c r="EF17" s="186"/>
      <c r="EG17" s="186"/>
      <c r="EH17" s="186"/>
      <c r="EI17" s="186"/>
      <c r="EJ17" s="187" t="str">
        <f t="shared" si="23"/>
        <v/>
      </c>
      <c r="EK17" s="310"/>
      <c r="EL17" s="310"/>
      <c r="EM17" s="310"/>
      <c r="EO17" s="176"/>
      <c r="EP17" s="181">
        <f t="shared" si="44"/>
        <v>46273</v>
      </c>
      <c r="EQ17" s="182" t="str">
        <f t="shared" si="24"/>
        <v>火</v>
      </c>
      <c r="ER17" s="182" t="s">
        <v>22</v>
      </c>
      <c r="ES17" s="183">
        <v>0.375</v>
      </c>
      <c r="ET17" s="183">
        <v>0.75</v>
      </c>
      <c r="EU17" s="184">
        <v>0.5</v>
      </c>
      <c r="EV17" s="184">
        <v>0.54166666666666663</v>
      </c>
      <c r="EW17" s="185" t="str">
        <f t="shared" si="25"/>
        <v>8h</v>
      </c>
      <c r="EX17" s="186">
        <v>0.375</v>
      </c>
      <c r="EY17" s="186">
        <v>0.75</v>
      </c>
      <c r="EZ17" s="186">
        <v>0.5</v>
      </c>
      <c r="FA17" s="186">
        <v>0.54166666666666663</v>
      </c>
      <c r="FB17" s="187" t="str">
        <f t="shared" si="26"/>
        <v>8h</v>
      </c>
      <c r="FC17" s="310"/>
      <c r="FD17" s="310"/>
      <c r="FE17" s="310"/>
      <c r="FG17" s="176"/>
      <c r="FH17" s="181">
        <f t="shared" si="45"/>
        <v>46303</v>
      </c>
      <c r="FI17" s="182" t="str">
        <f t="shared" si="27"/>
        <v>木</v>
      </c>
      <c r="FJ17" s="182" t="s">
        <v>22</v>
      </c>
      <c r="FK17" s="183">
        <v>0.375</v>
      </c>
      <c r="FL17" s="183">
        <v>0.75</v>
      </c>
      <c r="FM17" s="184">
        <v>0.5</v>
      </c>
      <c r="FN17" s="184">
        <v>0.54166666666666663</v>
      </c>
      <c r="FO17" s="185" t="str">
        <f t="shared" si="28"/>
        <v>8h</v>
      </c>
      <c r="FP17" s="186">
        <v>0.375</v>
      </c>
      <c r="FQ17" s="186">
        <v>0.75</v>
      </c>
      <c r="FR17" s="186">
        <v>0.5</v>
      </c>
      <c r="FS17" s="186">
        <v>0.54166666666666663</v>
      </c>
      <c r="FT17" s="187" t="str">
        <f t="shared" si="29"/>
        <v>8h</v>
      </c>
      <c r="FU17" s="310"/>
      <c r="FV17" s="310"/>
      <c r="FW17" s="310"/>
      <c r="FY17" s="176"/>
      <c r="FZ17" s="181">
        <f t="shared" si="46"/>
        <v>46334</v>
      </c>
      <c r="GA17" s="182" t="str">
        <f t="shared" si="30"/>
        <v>日</v>
      </c>
      <c r="GB17" s="182"/>
      <c r="GC17" s="183"/>
      <c r="GD17" s="183"/>
      <c r="GE17" s="184"/>
      <c r="GF17" s="184"/>
      <c r="GG17" s="185" t="str">
        <f t="shared" si="31"/>
        <v/>
      </c>
      <c r="GH17" s="186"/>
      <c r="GI17" s="186"/>
      <c r="GJ17" s="186"/>
      <c r="GK17" s="186"/>
      <c r="GL17" s="187" t="str">
        <f t="shared" si="32"/>
        <v/>
      </c>
      <c r="GM17" s="310"/>
      <c r="GN17" s="310"/>
      <c r="GO17" s="310"/>
      <c r="GQ17" s="176"/>
      <c r="GR17" s="181">
        <f t="shared" si="47"/>
        <v>46364</v>
      </c>
      <c r="GS17" s="182" t="str">
        <f t="shared" si="33"/>
        <v>火</v>
      </c>
      <c r="GT17" s="182" t="s">
        <v>22</v>
      </c>
      <c r="GU17" s="183">
        <v>0.375</v>
      </c>
      <c r="GV17" s="183">
        <v>0.75</v>
      </c>
      <c r="GW17" s="184">
        <v>0.5</v>
      </c>
      <c r="GX17" s="184">
        <v>0.54166666666666663</v>
      </c>
      <c r="GY17" s="185" t="str">
        <f t="shared" si="34"/>
        <v>8h</v>
      </c>
      <c r="GZ17" s="186">
        <v>0.375</v>
      </c>
      <c r="HA17" s="186">
        <v>0.75</v>
      </c>
      <c r="HB17" s="186">
        <v>0.5</v>
      </c>
      <c r="HC17" s="186">
        <v>0.54166666666666663</v>
      </c>
      <c r="HD17" s="187" t="str">
        <f t="shared" si="35"/>
        <v>8h</v>
      </c>
      <c r="HE17" s="310"/>
      <c r="HF17" s="310"/>
      <c r="HG17" s="310"/>
    </row>
    <row r="18" spans="1:215" x14ac:dyDescent="0.45">
      <c r="A18" s="176"/>
      <c r="B18" s="181">
        <f t="shared" si="36"/>
        <v>46031</v>
      </c>
      <c r="C18" s="182" t="str">
        <f t="shared" si="0"/>
        <v>金</v>
      </c>
      <c r="D18" s="182" t="s">
        <v>22</v>
      </c>
      <c r="E18" s="183">
        <v>0.375</v>
      </c>
      <c r="F18" s="183">
        <v>0.75</v>
      </c>
      <c r="G18" s="184">
        <v>0.5</v>
      </c>
      <c r="H18" s="184">
        <v>0.54166666666666663</v>
      </c>
      <c r="I18" s="185" t="str">
        <f t="shared" si="1"/>
        <v>8h</v>
      </c>
      <c r="J18" s="186">
        <v>0.375</v>
      </c>
      <c r="K18" s="186">
        <v>0.75</v>
      </c>
      <c r="L18" s="186">
        <v>0.5</v>
      </c>
      <c r="M18" s="186">
        <v>0.54166666666666663</v>
      </c>
      <c r="N18" s="187" t="str">
        <f t="shared" si="2"/>
        <v>8h</v>
      </c>
      <c r="O18" s="310"/>
      <c r="P18" s="310"/>
      <c r="Q18" s="310"/>
      <c r="S18" s="176"/>
      <c r="T18" s="181">
        <f t="shared" si="37"/>
        <v>46062</v>
      </c>
      <c r="U18" s="182" t="str">
        <f t="shared" si="3"/>
        <v>月</v>
      </c>
      <c r="V18" s="182" t="s">
        <v>22</v>
      </c>
      <c r="W18" s="183">
        <v>0.375</v>
      </c>
      <c r="X18" s="183">
        <v>0.75</v>
      </c>
      <c r="Y18" s="184">
        <v>0.5</v>
      </c>
      <c r="Z18" s="184">
        <v>0.54166666666666663</v>
      </c>
      <c r="AA18" s="185" t="str">
        <f t="shared" si="4"/>
        <v>8h</v>
      </c>
      <c r="AB18" s="186">
        <v>0.375</v>
      </c>
      <c r="AC18" s="186">
        <v>0.75</v>
      </c>
      <c r="AD18" s="186">
        <v>0.5</v>
      </c>
      <c r="AE18" s="186">
        <v>0.54166666666666663</v>
      </c>
      <c r="AF18" s="187" t="str">
        <f t="shared" si="5"/>
        <v>8h</v>
      </c>
      <c r="AG18" s="310"/>
      <c r="AH18" s="310"/>
      <c r="AI18" s="310"/>
      <c r="AK18" s="176"/>
      <c r="AL18" s="181">
        <f t="shared" si="38"/>
        <v>46090</v>
      </c>
      <c r="AM18" s="182" t="str">
        <f t="shared" si="6"/>
        <v>月</v>
      </c>
      <c r="AN18" s="182" t="s">
        <v>22</v>
      </c>
      <c r="AO18" s="183">
        <v>0.375</v>
      </c>
      <c r="AP18" s="183">
        <v>0.75</v>
      </c>
      <c r="AQ18" s="184">
        <v>0.5</v>
      </c>
      <c r="AR18" s="184">
        <v>0.54166666666666663</v>
      </c>
      <c r="AS18" s="185" t="str">
        <f t="shared" si="7"/>
        <v>8h</v>
      </c>
      <c r="AT18" s="186">
        <v>0.375</v>
      </c>
      <c r="AU18" s="186">
        <v>0.75</v>
      </c>
      <c r="AV18" s="186">
        <v>0.5</v>
      </c>
      <c r="AW18" s="186">
        <v>0.54166666666666663</v>
      </c>
      <c r="AX18" s="187" t="str">
        <f t="shared" si="8"/>
        <v>8h</v>
      </c>
      <c r="AY18" s="310"/>
      <c r="AZ18" s="310"/>
      <c r="BA18" s="310"/>
      <c r="BC18" s="176"/>
      <c r="BD18" s="181">
        <f t="shared" si="39"/>
        <v>46121</v>
      </c>
      <c r="BE18" s="182" t="str">
        <f t="shared" si="9"/>
        <v>木</v>
      </c>
      <c r="BF18" s="182" t="s">
        <v>22</v>
      </c>
      <c r="BG18" s="183">
        <v>0.375</v>
      </c>
      <c r="BH18" s="183">
        <v>0.75</v>
      </c>
      <c r="BI18" s="184">
        <v>0.5</v>
      </c>
      <c r="BJ18" s="184">
        <v>0.54166666666666663</v>
      </c>
      <c r="BK18" s="185" t="str">
        <f t="shared" si="10"/>
        <v>8h</v>
      </c>
      <c r="BL18" s="186">
        <v>0.375</v>
      </c>
      <c r="BM18" s="186">
        <v>0.75</v>
      </c>
      <c r="BN18" s="186">
        <v>0.5</v>
      </c>
      <c r="BO18" s="186">
        <v>0.54166666666666663</v>
      </c>
      <c r="BP18" s="187" t="str">
        <f t="shared" si="11"/>
        <v>8h</v>
      </c>
      <c r="BQ18" s="310"/>
      <c r="BR18" s="310"/>
      <c r="BS18" s="310"/>
      <c r="BU18" s="176"/>
      <c r="BV18" s="181">
        <f t="shared" si="40"/>
        <v>46151</v>
      </c>
      <c r="BW18" s="182" t="str">
        <f t="shared" si="12"/>
        <v>土</v>
      </c>
      <c r="BX18" s="182"/>
      <c r="BY18" s="183"/>
      <c r="BZ18" s="183"/>
      <c r="CA18" s="184"/>
      <c r="CB18" s="184"/>
      <c r="CC18" s="185" t="str">
        <f t="shared" si="13"/>
        <v/>
      </c>
      <c r="CD18" s="186"/>
      <c r="CE18" s="186"/>
      <c r="CF18" s="186"/>
      <c r="CG18" s="186"/>
      <c r="CH18" s="187" t="str">
        <f t="shared" si="14"/>
        <v/>
      </c>
      <c r="CI18" s="310"/>
      <c r="CJ18" s="310"/>
      <c r="CK18" s="310"/>
      <c r="CM18" s="176"/>
      <c r="CN18" s="181">
        <f t="shared" si="41"/>
        <v>46182</v>
      </c>
      <c r="CO18" s="182" t="str">
        <f t="shared" si="15"/>
        <v>火</v>
      </c>
      <c r="CP18" s="182" t="s">
        <v>22</v>
      </c>
      <c r="CQ18" s="183">
        <v>0.375</v>
      </c>
      <c r="CR18" s="183">
        <v>0.75</v>
      </c>
      <c r="CS18" s="184">
        <v>0.5</v>
      </c>
      <c r="CT18" s="184">
        <v>0.54166666666666663</v>
      </c>
      <c r="CU18" s="185" t="str">
        <f t="shared" si="16"/>
        <v>8h</v>
      </c>
      <c r="CV18" s="186">
        <v>0.375</v>
      </c>
      <c r="CW18" s="186">
        <v>0.75</v>
      </c>
      <c r="CX18" s="186">
        <v>0.5</v>
      </c>
      <c r="CY18" s="186">
        <v>0.54166666666666663</v>
      </c>
      <c r="CZ18" s="187" t="str">
        <f t="shared" si="17"/>
        <v>8h</v>
      </c>
      <c r="DA18" s="310"/>
      <c r="DB18" s="310"/>
      <c r="DC18" s="310"/>
      <c r="DE18" s="176"/>
      <c r="DF18" s="181">
        <f t="shared" si="42"/>
        <v>46212</v>
      </c>
      <c r="DG18" s="182" t="str">
        <f t="shared" si="18"/>
        <v>木</v>
      </c>
      <c r="DH18" s="182" t="s">
        <v>22</v>
      </c>
      <c r="DI18" s="183">
        <v>0.375</v>
      </c>
      <c r="DJ18" s="183">
        <v>0.75</v>
      </c>
      <c r="DK18" s="184">
        <v>0.5</v>
      </c>
      <c r="DL18" s="184">
        <v>0.54166666666666663</v>
      </c>
      <c r="DM18" s="185" t="str">
        <f t="shared" si="19"/>
        <v>8h</v>
      </c>
      <c r="DN18" s="186">
        <v>0.375</v>
      </c>
      <c r="DO18" s="186">
        <v>0.75</v>
      </c>
      <c r="DP18" s="186">
        <v>0.5</v>
      </c>
      <c r="DQ18" s="186">
        <v>0.54166666666666663</v>
      </c>
      <c r="DR18" s="187" t="str">
        <f t="shared" si="20"/>
        <v>8h</v>
      </c>
      <c r="DS18" s="310"/>
      <c r="DT18" s="310"/>
      <c r="DU18" s="310"/>
      <c r="DW18" s="176"/>
      <c r="DX18" s="181">
        <f t="shared" si="43"/>
        <v>46243</v>
      </c>
      <c r="DY18" s="182" t="str">
        <f t="shared" si="21"/>
        <v>日</v>
      </c>
      <c r="DZ18" s="182"/>
      <c r="EA18" s="183"/>
      <c r="EB18" s="183"/>
      <c r="EC18" s="184"/>
      <c r="ED18" s="184"/>
      <c r="EE18" s="185" t="str">
        <f t="shared" si="22"/>
        <v/>
      </c>
      <c r="EF18" s="186"/>
      <c r="EG18" s="186"/>
      <c r="EH18" s="186"/>
      <c r="EI18" s="186"/>
      <c r="EJ18" s="187" t="str">
        <f t="shared" si="23"/>
        <v/>
      </c>
      <c r="EK18" s="310"/>
      <c r="EL18" s="310"/>
      <c r="EM18" s="310"/>
      <c r="EO18" s="176"/>
      <c r="EP18" s="181">
        <f t="shared" si="44"/>
        <v>46274</v>
      </c>
      <c r="EQ18" s="182" t="str">
        <f t="shared" si="24"/>
        <v>水</v>
      </c>
      <c r="ER18" s="182" t="s">
        <v>22</v>
      </c>
      <c r="ES18" s="183">
        <v>0.375</v>
      </c>
      <c r="ET18" s="183">
        <v>0.75</v>
      </c>
      <c r="EU18" s="184">
        <v>0.5</v>
      </c>
      <c r="EV18" s="184">
        <v>0.54166666666666663</v>
      </c>
      <c r="EW18" s="185" t="str">
        <f t="shared" si="25"/>
        <v>8h</v>
      </c>
      <c r="EX18" s="186">
        <v>0.375</v>
      </c>
      <c r="EY18" s="186">
        <v>0.75</v>
      </c>
      <c r="EZ18" s="186">
        <v>0.5</v>
      </c>
      <c r="FA18" s="186">
        <v>0.54166666666666663</v>
      </c>
      <c r="FB18" s="187" t="str">
        <f t="shared" si="26"/>
        <v>8h</v>
      </c>
      <c r="FC18" s="310"/>
      <c r="FD18" s="310"/>
      <c r="FE18" s="310"/>
      <c r="FG18" s="176"/>
      <c r="FH18" s="181">
        <f t="shared" si="45"/>
        <v>46304</v>
      </c>
      <c r="FI18" s="182" t="str">
        <f t="shared" si="27"/>
        <v>金</v>
      </c>
      <c r="FJ18" s="182" t="s">
        <v>22</v>
      </c>
      <c r="FK18" s="183">
        <v>0.375</v>
      </c>
      <c r="FL18" s="183">
        <v>0.75</v>
      </c>
      <c r="FM18" s="184">
        <v>0.5</v>
      </c>
      <c r="FN18" s="184">
        <v>0.54166666666666663</v>
      </c>
      <c r="FO18" s="185" t="str">
        <f t="shared" si="28"/>
        <v>8h</v>
      </c>
      <c r="FP18" s="186">
        <v>0.375</v>
      </c>
      <c r="FQ18" s="186">
        <v>0.75</v>
      </c>
      <c r="FR18" s="186">
        <v>0.5</v>
      </c>
      <c r="FS18" s="186">
        <v>0.54166666666666663</v>
      </c>
      <c r="FT18" s="187" t="str">
        <f t="shared" si="29"/>
        <v>8h</v>
      </c>
      <c r="FU18" s="310"/>
      <c r="FV18" s="310"/>
      <c r="FW18" s="310"/>
      <c r="FY18" s="176"/>
      <c r="FZ18" s="181">
        <f t="shared" si="46"/>
        <v>46335</v>
      </c>
      <c r="GA18" s="182" t="str">
        <f t="shared" si="30"/>
        <v>月</v>
      </c>
      <c r="GB18" s="182" t="s">
        <v>22</v>
      </c>
      <c r="GC18" s="183">
        <v>0.375</v>
      </c>
      <c r="GD18" s="183">
        <v>0.75</v>
      </c>
      <c r="GE18" s="184">
        <v>0.5</v>
      </c>
      <c r="GF18" s="184">
        <v>0.54166666666666663</v>
      </c>
      <c r="GG18" s="185" t="str">
        <f t="shared" si="31"/>
        <v>8h</v>
      </c>
      <c r="GH18" s="186">
        <v>0.375</v>
      </c>
      <c r="GI18" s="186">
        <v>0.75</v>
      </c>
      <c r="GJ18" s="186">
        <v>0.5</v>
      </c>
      <c r="GK18" s="186">
        <v>0.54166666666666663</v>
      </c>
      <c r="GL18" s="187" t="str">
        <f t="shared" si="32"/>
        <v>8h</v>
      </c>
      <c r="GM18" s="310"/>
      <c r="GN18" s="310"/>
      <c r="GO18" s="310"/>
      <c r="GQ18" s="176"/>
      <c r="GR18" s="181">
        <f t="shared" si="47"/>
        <v>46365</v>
      </c>
      <c r="GS18" s="182" t="str">
        <f t="shared" si="33"/>
        <v>水</v>
      </c>
      <c r="GT18" s="182" t="s">
        <v>22</v>
      </c>
      <c r="GU18" s="183">
        <v>0.375</v>
      </c>
      <c r="GV18" s="183">
        <v>0.75</v>
      </c>
      <c r="GW18" s="184">
        <v>0.5</v>
      </c>
      <c r="GX18" s="184">
        <v>0.54166666666666663</v>
      </c>
      <c r="GY18" s="185" t="str">
        <f t="shared" si="34"/>
        <v>8h</v>
      </c>
      <c r="GZ18" s="186">
        <v>0.375</v>
      </c>
      <c r="HA18" s="186">
        <v>0.75</v>
      </c>
      <c r="HB18" s="186">
        <v>0.5</v>
      </c>
      <c r="HC18" s="186">
        <v>0.54166666666666663</v>
      </c>
      <c r="HD18" s="187" t="str">
        <f t="shared" si="35"/>
        <v>8h</v>
      </c>
      <c r="HE18" s="310"/>
      <c r="HF18" s="310"/>
      <c r="HG18" s="310"/>
    </row>
    <row r="19" spans="1:215" x14ac:dyDescent="0.45">
      <c r="A19" s="176"/>
      <c r="B19" s="181">
        <f t="shared" si="36"/>
        <v>46032</v>
      </c>
      <c r="C19" s="182" t="str">
        <f t="shared" si="0"/>
        <v>土</v>
      </c>
      <c r="D19" s="182"/>
      <c r="E19" s="183"/>
      <c r="F19" s="183"/>
      <c r="G19" s="184"/>
      <c r="H19" s="184"/>
      <c r="I19" s="185" t="str">
        <f t="shared" si="1"/>
        <v/>
      </c>
      <c r="J19" s="186"/>
      <c r="K19" s="186"/>
      <c r="L19" s="186"/>
      <c r="M19" s="186"/>
      <c r="N19" s="187" t="str">
        <f t="shared" si="2"/>
        <v/>
      </c>
      <c r="O19" s="310"/>
      <c r="P19" s="310"/>
      <c r="Q19" s="310"/>
      <c r="S19" s="176"/>
      <c r="T19" s="181">
        <f t="shared" si="37"/>
        <v>46063</v>
      </c>
      <c r="U19" s="182" t="str">
        <f t="shared" si="3"/>
        <v>火</v>
      </c>
      <c r="V19" s="182" t="s">
        <v>22</v>
      </c>
      <c r="W19" s="183">
        <v>0.375</v>
      </c>
      <c r="X19" s="183">
        <v>0.75</v>
      </c>
      <c r="Y19" s="184">
        <v>0.5</v>
      </c>
      <c r="Z19" s="184">
        <v>0.54166666666666663</v>
      </c>
      <c r="AA19" s="185" t="str">
        <f t="shared" si="4"/>
        <v>8h</v>
      </c>
      <c r="AB19" s="186">
        <v>0.375</v>
      </c>
      <c r="AC19" s="186">
        <v>0.75</v>
      </c>
      <c r="AD19" s="186">
        <v>0.5</v>
      </c>
      <c r="AE19" s="186">
        <v>0.54166666666666663</v>
      </c>
      <c r="AF19" s="187" t="str">
        <f t="shared" si="5"/>
        <v>8h</v>
      </c>
      <c r="AG19" s="310"/>
      <c r="AH19" s="310"/>
      <c r="AI19" s="310"/>
      <c r="AK19" s="176"/>
      <c r="AL19" s="181">
        <f t="shared" si="38"/>
        <v>46091</v>
      </c>
      <c r="AM19" s="182" t="str">
        <f t="shared" si="6"/>
        <v>火</v>
      </c>
      <c r="AN19" s="182" t="s">
        <v>22</v>
      </c>
      <c r="AO19" s="183">
        <v>0.375</v>
      </c>
      <c r="AP19" s="183">
        <v>0.75</v>
      </c>
      <c r="AQ19" s="184">
        <v>0.5</v>
      </c>
      <c r="AR19" s="184">
        <v>0.54166666666666663</v>
      </c>
      <c r="AS19" s="185" t="str">
        <f t="shared" si="7"/>
        <v>8h</v>
      </c>
      <c r="AT19" s="186">
        <v>0.375</v>
      </c>
      <c r="AU19" s="186">
        <v>0.75</v>
      </c>
      <c r="AV19" s="186">
        <v>0.5</v>
      </c>
      <c r="AW19" s="186">
        <v>0.54166666666666663</v>
      </c>
      <c r="AX19" s="187" t="str">
        <f t="shared" si="8"/>
        <v>8h</v>
      </c>
      <c r="AY19" s="310"/>
      <c r="AZ19" s="310"/>
      <c r="BA19" s="310"/>
      <c r="BC19" s="176"/>
      <c r="BD19" s="181">
        <f t="shared" si="39"/>
        <v>46122</v>
      </c>
      <c r="BE19" s="182" t="str">
        <f t="shared" si="9"/>
        <v>金</v>
      </c>
      <c r="BF19" s="182" t="s">
        <v>22</v>
      </c>
      <c r="BG19" s="183">
        <v>0.375</v>
      </c>
      <c r="BH19" s="183">
        <v>0.75</v>
      </c>
      <c r="BI19" s="184">
        <v>0.5</v>
      </c>
      <c r="BJ19" s="184">
        <v>0.54166666666666663</v>
      </c>
      <c r="BK19" s="185" t="str">
        <f t="shared" si="10"/>
        <v>8h</v>
      </c>
      <c r="BL19" s="186">
        <v>0.375</v>
      </c>
      <c r="BM19" s="186">
        <v>0.75</v>
      </c>
      <c r="BN19" s="186">
        <v>0.5</v>
      </c>
      <c r="BO19" s="186">
        <v>0.54166666666666663</v>
      </c>
      <c r="BP19" s="187" t="str">
        <f t="shared" si="11"/>
        <v>8h</v>
      </c>
      <c r="BQ19" s="310"/>
      <c r="BR19" s="310"/>
      <c r="BS19" s="310"/>
      <c r="BU19" s="176"/>
      <c r="BV19" s="181">
        <f t="shared" si="40"/>
        <v>46152</v>
      </c>
      <c r="BW19" s="182" t="str">
        <f t="shared" si="12"/>
        <v>日</v>
      </c>
      <c r="BX19" s="182"/>
      <c r="BY19" s="183"/>
      <c r="BZ19" s="183"/>
      <c r="CA19" s="184"/>
      <c r="CB19" s="184"/>
      <c r="CC19" s="185" t="str">
        <f t="shared" si="13"/>
        <v/>
      </c>
      <c r="CD19" s="186"/>
      <c r="CE19" s="186"/>
      <c r="CF19" s="186"/>
      <c r="CG19" s="186"/>
      <c r="CH19" s="187" t="str">
        <f t="shared" si="14"/>
        <v/>
      </c>
      <c r="CI19" s="310"/>
      <c r="CJ19" s="310"/>
      <c r="CK19" s="310"/>
      <c r="CM19" s="176"/>
      <c r="CN19" s="181">
        <f t="shared" si="41"/>
        <v>46183</v>
      </c>
      <c r="CO19" s="182" t="str">
        <f t="shared" si="15"/>
        <v>水</v>
      </c>
      <c r="CP19" s="182" t="s">
        <v>22</v>
      </c>
      <c r="CQ19" s="183">
        <v>0.375</v>
      </c>
      <c r="CR19" s="183">
        <v>0.75</v>
      </c>
      <c r="CS19" s="184">
        <v>0.5</v>
      </c>
      <c r="CT19" s="184">
        <v>0.54166666666666663</v>
      </c>
      <c r="CU19" s="185" t="str">
        <f t="shared" si="16"/>
        <v>8h</v>
      </c>
      <c r="CV19" s="186">
        <v>0.375</v>
      </c>
      <c r="CW19" s="186">
        <v>0.75</v>
      </c>
      <c r="CX19" s="186">
        <v>0.5</v>
      </c>
      <c r="CY19" s="186">
        <v>0.54166666666666663</v>
      </c>
      <c r="CZ19" s="187" t="str">
        <f t="shared" si="17"/>
        <v>8h</v>
      </c>
      <c r="DA19" s="310"/>
      <c r="DB19" s="310"/>
      <c r="DC19" s="310"/>
      <c r="DE19" s="176"/>
      <c r="DF19" s="181">
        <f t="shared" si="42"/>
        <v>46213</v>
      </c>
      <c r="DG19" s="182" t="str">
        <f t="shared" si="18"/>
        <v>金</v>
      </c>
      <c r="DH19" s="182" t="s">
        <v>22</v>
      </c>
      <c r="DI19" s="183">
        <v>0.375</v>
      </c>
      <c r="DJ19" s="183">
        <v>0.75</v>
      </c>
      <c r="DK19" s="184">
        <v>0.5</v>
      </c>
      <c r="DL19" s="184">
        <v>0.54166666666666663</v>
      </c>
      <c r="DM19" s="185" t="str">
        <f t="shared" si="19"/>
        <v>8h</v>
      </c>
      <c r="DN19" s="186">
        <v>0.375</v>
      </c>
      <c r="DO19" s="186">
        <v>0.75</v>
      </c>
      <c r="DP19" s="186">
        <v>0.5</v>
      </c>
      <c r="DQ19" s="186">
        <v>0.54166666666666663</v>
      </c>
      <c r="DR19" s="187" t="str">
        <f t="shared" si="20"/>
        <v>8h</v>
      </c>
      <c r="DS19" s="310"/>
      <c r="DT19" s="310"/>
      <c r="DU19" s="310"/>
      <c r="DW19" s="176"/>
      <c r="DX19" s="181">
        <f t="shared" si="43"/>
        <v>46244</v>
      </c>
      <c r="DY19" s="182" t="str">
        <f t="shared" si="21"/>
        <v>月</v>
      </c>
      <c r="DZ19" s="182" t="s">
        <v>22</v>
      </c>
      <c r="EA19" s="183">
        <v>0.375</v>
      </c>
      <c r="EB19" s="183">
        <v>0.75</v>
      </c>
      <c r="EC19" s="184">
        <v>0.5</v>
      </c>
      <c r="ED19" s="184">
        <v>0.54166666666666663</v>
      </c>
      <c r="EE19" s="185" t="str">
        <f t="shared" si="22"/>
        <v>8h</v>
      </c>
      <c r="EF19" s="186">
        <v>0.375</v>
      </c>
      <c r="EG19" s="186">
        <v>0.75</v>
      </c>
      <c r="EH19" s="186">
        <v>0.5</v>
      </c>
      <c r="EI19" s="186">
        <v>0.54166666666666663</v>
      </c>
      <c r="EJ19" s="187" t="str">
        <f t="shared" si="23"/>
        <v>8h</v>
      </c>
      <c r="EK19" s="310"/>
      <c r="EL19" s="310"/>
      <c r="EM19" s="310"/>
      <c r="EO19" s="176"/>
      <c r="EP19" s="181">
        <f t="shared" si="44"/>
        <v>46275</v>
      </c>
      <c r="EQ19" s="182" t="str">
        <f t="shared" si="24"/>
        <v>木</v>
      </c>
      <c r="ER19" s="182" t="s">
        <v>22</v>
      </c>
      <c r="ES19" s="183">
        <v>0.375</v>
      </c>
      <c r="ET19" s="183">
        <v>0.75</v>
      </c>
      <c r="EU19" s="184">
        <v>0.5</v>
      </c>
      <c r="EV19" s="184">
        <v>0.54166666666666663</v>
      </c>
      <c r="EW19" s="185" t="str">
        <f t="shared" si="25"/>
        <v>8h</v>
      </c>
      <c r="EX19" s="186">
        <v>0.375</v>
      </c>
      <c r="EY19" s="186">
        <v>0.75</v>
      </c>
      <c r="EZ19" s="186">
        <v>0.5</v>
      </c>
      <c r="FA19" s="186">
        <v>0.54166666666666663</v>
      </c>
      <c r="FB19" s="187" t="str">
        <f t="shared" si="26"/>
        <v>8h</v>
      </c>
      <c r="FC19" s="310"/>
      <c r="FD19" s="310"/>
      <c r="FE19" s="310"/>
      <c r="FG19" s="176"/>
      <c r="FH19" s="181">
        <f t="shared" si="45"/>
        <v>46305</v>
      </c>
      <c r="FI19" s="182" t="str">
        <f t="shared" si="27"/>
        <v>土</v>
      </c>
      <c r="FJ19" s="182"/>
      <c r="FK19" s="183"/>
      <c r="FL19" s="183"/>
      <c r="FM19" s="184"/>
      <c r="FN19" s="184"/>
      <c r="FO19" s="185" t="str">
        <f t="shared" si="28"/>
        <v/>
      </c>
      <c r="FP19" s="186"/>
      <c r="FQ19" s="186"/>
      <c r="FR19" s="186"/>
      <c r="FS19" s="186"/>
      <c r="FT19" s="187" t="str">
        <f t="shared" si="29"/>
        <v/>
      </c>
      <c r="FU19" s="310"/>
      <c r="FV19" s="310"/>
      <c r="FW19" s="310"/>
      <c r="FY19" s="176"/>
      <c r="FZ19" s="181">
        <f t="shared" si="46"/>
        <v>46336</v>
      </c>
      <c r="GA19" s="182" t="str">
        <f t="shared" si="30"/>
        <v>火</v>
      </c>
      <c r="GB19" s="182" t="s">
        <v>22</v>
      </c>
      <c r="GC19" s="183">
        <v>0.375</v>
      </c>
      <c r="GD19" s="183">
        <v>0.75</v>
      </c>
      <c r="GE19" s="184">
        <v>0.5</v>
      </c>
      <c r="GF19" s="184">
        <v>0.54166666666666663</v>
      </c>
      <c r="GG19" s="185" t="str">
        <f t="shared" si="31"/>
        <v>8h</v>
      </c>
      <c r="GH19" s="186">
        <v>0.375</v>
      </c>
      <c r="GI19" s="186">
        <v>0.75</v>
      </c>
      <c r="GJ19" s="186">
        <v>0.5</v>
      </c>
      <c r="GK19" s="186">
        <v>0.54166666666666663</v>
      </c>
      <c r="GL19" s="187" t="str">
        <f t="shared" si="32"/>
        <v>8h</v>
      </c>
      <c r="GM19" s="310"/>
      <c r="GN19" s="310"/>
      <c r="GO19" s="310"/>
      <c r="GQ19" s="176"/>
      <c r="GR19" s="181">
        <f t="shared" si="47"/>
        <v>46366</v>
      </c>
      <c r="GS19" s="182" t="str">
        <f t="shared" si="33"/>
        <v>木</v>
      </c>
      <c r="GT19" s="182" t="s">
        <v>22</v>
      </c>
      <c r="GU19" s="183">
        <v>0.375</v>
      </c>
      <c r="GV19" s="183">
        <v>0.75</v>
      </c>
      <c r="GW19" s="184">
        <v>0.5</v>
      </c>
      <c r="GX19" s="184">
        <v>0.54166666666666663</v>
      </c>
      <c r="GY19" s="185" t="str">
        <f t="shared" si="34"/>
        <v>8h</v>
      </c>
      <c r="GZ19" s="186">
        <v>0.375</v>
      </c>
      <c r="HA19" s="186">
        <v>0.75</v>
      </c>
      <c r="HB19" s="186">
        <v>0.5</v>
      </c>
      <c r="HC19" s="186">
        <v>0.54166666666666663</v>
      </c>
      <c r="HD19" s="187" t="str">
        <f t="shared" si="35"/>
        <v>8h</v>
      </c>
      <c r="HE19" s="310"/>
      <c r="HF19" s="310"/>
      <c r="HG19" s="310"/>
    </row>
    <row r="20" spans="1:215" x14ac:dyDescent="0.45">
      <c r="A20" s="176"/>
      <c r="B20" s="181">
        <f t="shared" si="36"/>
        <v>46033</v>
      </c>
      <c r="C20" s="182" t="str">
        <f t="shared" si="0"/>
        <v>日</v>
      </c>
      <c r="D20" s="182"/>
      <c r="E20" s="183"/>
      <c r="F20" s="183"/>
      <c r="G20" s="184"/>
      <c r="H20" s="184"/>
      <c r="I20" s="185" t="str">
        <f t="shared" si="1"/>
        <v/>
      </c>
      <c r="J20" s="186"/>
      <c r="K20" s="186"/>
      <c r="L20" s="186"/>
      <c r="M20" s="186"/>
      <c r="N20" s="187" t="str">
        <f t="shared" si="2"/>
        <v/>
      </c>
      <c r="O20" s="310"/>
      <c r="P20" s="310"/>
      <c r="Q20" s="310"/>
      <c r="S20" s="176"/>
      <c r="T20" s="181">
        <f t="shared" si="37"/>
        <v>46064</v>
      </c>
      <c r="U20" s="182" t="str">
        <f t="shared" si="3"/>
        <v>水</v>
      </c>
      <c r="V20" s="182"/>
      <c r="W20" s="183"/>
      <c r="X20" s="183"/>
      <c r="Y20" s="184"/>
      <c r="Z20" s="184"/>
      <c r="AA20" s="185" t="str">
        <f t="shared" si="4"/>
        <v/>
      </c>
      <c r="AB20" s="186"/>
      <c r="AC20" s="186"/>
      <c r="AD20" s="186"/>
      <c r="AE20" s="186"/>
      <c r="AF20" s="187" t="str">
        <f t="shared" si="5"/>
        <v/>
      </c>
      <c r="AG20" s="310"/>
      <c r="AH20" s="310"/>
      <c r="AI20" s="310"/>
      <c r="AK20" s="176"/>
      <c r="AL20" s="181">
        <f t="shared" si="38"/>
        <v>46092</v>
      </c>
      <c r="AM20" s="182" t="str">
        <f t="shared" si="6"/>
        <v>水</v>
      </c>
      <c r="AN20" s="182" t="s">
        <v>22</v>
      </c>
      <c r="AO20" s="183">
        <v>0.375</v>
      </c>
      <c r="AP20" s="183">
        <v>0.75</v>
      </c>
      <c r="AQ20" s="184">
        <v>0.5</v>
      </c>
      <c r="AR20" s="184">
        <v>0.54166666666666663</v>
      </c>
      <c r="AS20" s="185" t="str">
        <f t="shared" si="7"/>
        <v>8h</v>
      </c>
      <c r="AT20" s="186">
        <v>0.375</v>
      </c>
      <c r="AU20" s="186">
        <v>0.75</v>
      </c>
      <c r="AV20" s="186">
        <v>0.5</v>
      </c>
      <c r="AW20" s="186">
        <v>0.54166666666666663</v>
      </c>
      <c r="AX20" s="187" t="str">
        <f t="shared" si="8"/>
        <v>8h</v>
      </c>
      <c r="AY20" s="310"/>
      <c r="AZ20" s="310"/>
      <c r="BA20" s="310"/>
      <c r="BC20" s="176"/>
      <c r="BD20" s="181">
        <f t="shared" si="39"/>
        <v>46123</v>
      </c>
      <c r="BE20" s="182" t="str">
        <f t="shared" si="9"/>
        <v>土</v>
      </c>
      <c r="BF20" s="182"/>
      <c r="BG20" s="183"/>
      <c r="BH20" s="183"/>
      <c r="BI20" s="184"/>
      <c r="BJ20" s="184"/>
      <c r="BK20" s="185" t="str">
        <f t="shared" si="10"/>
        <v/>
      </c>
      <c r="BL20" s="186"/>
      <c r="BM20" s="186"/>
      <c r="BN20" s="186"/>
      <c r="BO20" s="186"/>
      <c r="BP20" s="187" t="str">
        <f t="shared" si="11"/>
        <v/>
      </c>
      <c r="BQ20" s="310"/>
      <c r="BR20" s="310"/>
      <c r="BS20" s="310"/>
      <c r="BU20" s="176"/>
      <c r="BV20" s="181">
        <f t="shared" si="40"/>
        <v>46153</v>
      </c>
      <c r="BW20" s="182" t="str">
        <f t="shared" si="12"/>
        <v>月</v>
      </c>
      <c r="BX20" s="182" t="s">
        <v>22</v>
      </c>
      <c r="BY20" s="183">
        <v>0.375</v>
      </c>
      <c r="BZ20" s="183">
        <v>0.75</v>
      </c>
      <c r="CA20" s="184">
        <v>0.5</v>
      </c>
      <c r="CB20" s="184">
        <v>0.54166666666666663</v>
      </c>
      <c r="CC20" s="185" t="str">
        <f t="shared" si="13"/>
        <v>8h</v>
      </c>
      <c r="CD20" s="186">
        <v>0.375</v>
      </c>
      <c r="CE20" s="186">
        <v>0.75</v>
      </c>
      <c r="CF20" s="186">
        <v>0.5</v>
      </c>
      <c r="CG20" s="186">
        <v>0.54166666666666663</v>
      </c>
      <c r="CH20" s="187" t="str">
        <f t="shared" si="14"/>
        <v>8h</v>
      </c>
      <c r="CI20" s="310"/>
      <c r="CJ20" s="310"/>
      <c r="CK20" s="310"/>
      <c r="CM20" s="176"/>
      <c r="CN20" s="181">
        <f t="shared" si="41"/>
        <v>46184</v>
      </c>
      <c r="CO20" s="182" t="str">
        <f t="shared" si="15"/>
        <v>木</v>
      </c>
      <c r="CP20" s="182" t="s">
        <v>22</v>
      </c>
      <c r="CQ20" s="183">
        <v>0.375</v>
      </c>
      <c r="CR20" s="183">
        <v>0.75</v>
      </c>
      <c r="CS20" s="184">
        <v>0.5</v>
      </c>
      <c r="CT20" s="184">
        <v>0.54166666666666663</v>
      </c>
      <c r="CU20" s="185" t="str">
        <f t="shared" si="16"/>
        <v>8h</v>
      </c>
      <c r="CV20" s="186">
        <v>0.375</v>
      </c>
      <c r="CW20" s="186">
        <v>0.75</v>
      </c>
      <c r="CX20" s="186">
        <v>0.5</v>
      </c>
      <c r="CY20" s="186">
        <v>0.54166666666666663</v>
      </c>
      <c r="CZ20" s="187" t="str">
        <f t="shared" si="17"/>
        <v>8h</v>
      </c>
      <c r="DA20" s="310"/>
      <c r="DB20" s="310"/>
      <c r="DC20" s="310"/>
      <c r="DE20" s="176"/>
      <c r="DF20" s="181">
        <f t="shared" si="42"/>
        <v>46214</v>
      </c>
      <c r="DG20" s="182" t="str">
        <f t="shared" si="18"/>
        <v>土</v>
      </c>
      <c r="DH20" s="182"/>
      <c r="DI20" s="183"/>
      <c r="DJ20" s="183"/>
      <c r="DK20" s="184"/>
      <c r="DL20" s="184"/>
      <c r="DM20" s="185" t="str">
        <f t="shared" si="19"/>
        <v/>
      </c>
      <c r="DN20" s="186"/>
      <c r="DO20" s="186"/>
      <c r="DP20" s="186"/>
      <c r="DQ20" s="186"/>
      <c r="DR20" s="187" t="str">
        <f t="shared" si="20"/>
        <v/>
      </c>
      <c r="DS20" s="310"/>
      <c r="DT20" s="310"/>
      <c r="DU20" s="310"/>
      <c r="DW20" s="176"/>
      <c r="DX20" s="181">
        <f t="shared" si="43"/>
        <v>46245</v>
      </c>
      <c r="DY20" s="182" t="str">
        <f t="shared" si="21"/>
        <v>火</v>
      </c>
      <c r="DZ20" s="182"/>
      <c r="EA20" s="183"/>
      <c r="EB20" s="183"/>
      <c r="EC20" s="184"/>
      <c r="ED20" s="184"/>
      <c r="EE20" s="185" t="str">
        <f t="shared" si="22"/>
        <v/>
      </c>
      <c r="EF20" s="186"/>
      <c r="EG20" s="186"/>
      <c r="EH20" s="186"/>
      <c r="EI20" s="186"/>
      <c r="EJ20" s="187" t="str">
        <f t="shared" si="23"/>
        <v/>
      </c>
      <c r="EK20" s="310"/>
      <c r="EL20" s="310"/>
      <c r="EM20" s="310"/>
      <c r="EO20" s="176"/>
      <c r="EP20" s="181">
        <f t="shared" si="44"/>
        <v>46276</v>
      </c>
      <c r="EQ20" s="182" t="str">
        <f t="shared" si="24"/>
        <v>金</v>
      </c>
      <c r="ER20" s="182" t="s">
        <v>22</v>
      </c>
      <c r="ES20" s="183">
        <v>0.375</v>
      </c>
      <c r="ET20" s="183">
        <v>0.75</v>
      </c>
      <c r="EU20" s="184">
        <v>0.5</v>
      </c>
      <c r="EV20" s="184">
        <v>0.54166666666666663</v>
      </c>
      <c r="EW20" s="185" t="str">
        <f t="shared" si="25"/>
        <v>8h</v>
      </c>
      <c r="EX20" s="186">
        <v>0.375</v>
      </c>
      <c r="EY20" s="186">
        <v>0.75</v>
      </c>
      <c r="EZ20" s="186">
        <v>0.5</v>
      </c>
      <c r="FA20" s="186">
        <v>0.54166666666666663</v>
      </c>
      <c r="FB20" s="187" t="str">
        <f t="shared" si="26"/>
        <v>8h</v>
      </c>
      <c r="FC20" s="310"/>
      <c r="FD20" s="310"/>
      <c r="FE20" s="310"/>
      <c r="FG20" s="176"/>
      <c r="FH20" s="181">
        <f t="shared" si="45"/>
        <v>46306</v>
      </c>
      <c r="FI20" s="182" t="str">
        <f t="shared" si="27"/>
        <v>日</v>
      </c>
      <c r="FJ20" s="182"/>
      <c r="FK20" s="183"/>
      <c r="FL20" s="183"/>
      <c r="FM20" s="184"/>
      <c r="FN20" s="184"/>
      <c r="FO20" s="185" t="str">
        <f t="shared" si="28"/>
        <v/>
      </c>
      <c r="FP20" s="186"/>
      <c r="FQ20" s="186"/>
      <c r="FR20" s="186"/>
      <c r="FS20" s="186"/>
      <c r="FT20" s="187" t="str">
        <f t="shared" si="29"/>
        <v/>
      </c>
      <c r="FU20" s="310"/>
      <c r="FV20" s="310"/>
      <c r="FW20" s="310"/>
      <c r="FY20" s="176"/>
      <c r="FZ20" s="181">
        <f t="shared" si="46"/>
        <v>46337</v>
      </c>
      <c r="GA20" s="182" t="str">
        <f t="shared" si="30"/>
        <v>水</v>
      </c>
      <c r="GB20" s="182" t="s">
        <v>22</v>
      </c>
      <c r="GC20" s="183">
        <v>0.375</v>
      </c>
      <c r="GD20" s="183">
        <v>0.75</v>
      </c>
      <c r="GE20" s="184">
        <v>0.5</v>
      </c>
      <c r="GF20" s="184">
        <v>0.54166666666666663</v>
      </c>
      <c r="GG20" s="185" t="str">
        <f t="shared" si="31"/>
        <v>8h</v>
      </c>
      <c r="GH20" s="186">
        <v>0.375</v>
      </c>
      <c r="GI20" s="186">
        <v>0.75</v>
      </c>
      <c r="GJ20" s="186">
        <v>0.5</v>
      </c>
      <c r="GK20" s="186">
        <v>0.54166666666666663</v>
      </c>
      <c r="GL20" s="187" t="str">
        <f t="shared" si="32"/>
        <v>8h</v>
      </c>
      <c r="GM20" s="310"/>
      <c r="GN20" s="310"/>
      <c r="GO20" s="310"/>
      <c r="GQ20" s="176"/>
      <c r="GR20" s="181">
        <f t="shared" si="47"/>
        <v>46367</v>
      </c>
      <c r="GS20" s="182" t="str">
        <f t="shared" si="33"/>
        <v>金</v>
      </c>
      <c r="GT20" s="182" t="s">
        <v>22</v>
      </c>
      <c r="GU20" s="183">
        <v>0.375</v>
      </c>
      <c r="GV20" s="183">
        <v>0.75</v>
      </c>
      <c r="GW20" s="184">
        <v>0.5</v>
      </c>
      <c r="GX20" s="184">
        <v>0.54166666666666663</v>
      </c>
      <c r="GY20" s="185" t="str">
        <f t="shared" si="34"/>
        <v>8h</v>
      </c>
      <c r="GZ20" s="186">
        <v>0.375</v>
      </c>
      <c r="HA20" s="186">
        <v>0.75</v>
      </c>
      <c r="HB20" s="186">
        <v>0.5</v>
      </c>
      <c r="HC20" s="186">
        <v>0.54166666666666663</v>
      </c>
      <c r="HD20" s="187" t="str">
        <f t="shared" si="35"/>
        <v>8h</v>
      </c>
      <c r="HE20" s="310"/>
      <c r="HF20" s="310"/>
      <c r="HG20" s="310"/>
    </row>
    <row r="21" spans="1:215" x14ac:dyDescent="0.45">
      <c r="A21" s="176"/>
      <c r="B21" s="181">
        <f t="shared" si="36"/>
        <v>46034</v>
      </c>
      <c r="C21" s="182" t="str">
        <f t="shared" si="0"/>
        <v>月</v>
      </c>
      <c r="D21" s="182"/>
      <c r="E21" s="183"/>
      <c r="F21" s="183"/>
      <c r="G21" s="184"/>
      <c r="H21" s="184"/>
      <c r="I21" s="185" t="str">
        <f t="shared" si="1"/>
        <v/>
      </c>
      <c r="J21" s="186"/>
      <c r="K21" s="186"/>
      <c r="L21" s="186"/>
      <c r="M21" s="186"/>
      <c r="N21" s="187" t="str">
        <f t="shared" si="2"/>
        <v/>
      </c>
      <c r="O21" s="310"/>
      <c r="P21" s="310"/>
      <c r="Q21" s="310"/>
      <c r="S21" s="176"/>
      <c r="T21" s="181">
        <f t="shared" si="37"/>
        <v>46065</v>
      </c>
      <c r="U21" s="182" t="str">
        <f t="shared" si="3"/>
        <v>木</v>
      </c>
      <c r="V21" s="182" t="s">
        <v>22</v>
      </c>
      <c r="W21" s="183">
        <v>0.375</v>
      </c>
      <c r="X21" s="183">
        <v>0.75</v>
      </c>
      <c r="Y21" s="184">
        <v>0.5</v>
      </c>
      <c r="Z21" s="184">
        <v>0.54166666666666663</v>
      </c>
      <c r="AA21" s="185" t="str">
        <f t="shared" si="4"/>
        <v>8h</v>
      </c>
      <c r="AB21" s="186">
        <v>0.375</v>
      </c>
      <c r="AC21" s="186">
        <v>0.75</v>
      </c>
      <c r="AD21" s="186">
        <v>0.5</v>
      </c>
      <c r="AE21" s="186">
        <v>0.54166666666666663</v>
      </c>
      <c r="AF21" s="187" t="str">
        <f t="shared" si="5"/>
        <v>8h</v>
      </c>
      <c r="AG21" s="310"/>
      <c r="AH21" s="310"/>
      <c r="AI21" s="310"/>
      <c r="AK21" s="176"/>
      <c r="AL21" s="181">
        <f t="shared" si="38"/>
        <v>46093</v>
      </c>
      <c r="AM21" s="182" t="str">
        <f t="shared" si="6"/>
        <v>木</v>
      </c>
      <c r="AN21" s="182" t="s">
        <v>22</v>
      </c>
      <c r="AO21" s="183">
        <v>0.375</v>
      </c>
      <c r="AP21" s="183">
        <v>0.75</v>
      </c>
      <c r="AQ21" s="184">
        <v>0.5</v>
      </c>
      <c r="AR21" s="184">
        <v>0.54166666666666663</v>
      </c>
      <c r="AS21" s="185" t="str">
        <f t="shared" si="7"/>
        <v>8h</v>
      </c>
      <c r="AT21" s="186">
        <v>0.375</v>
      </c>
      <c r="AU21" s="186">
        <v>0.75</v>
      </c>
      <c r="AV21" s="186">
        <v>0.5</v>
      </c>
      <c r="AW21" s="186">
        <v>0.54166666666666663</v>
      </c>
      <c r="AX21" s="187" t="str">
        <f t="shared" si="8"/>
        <v>8h</v>
      </c>
      <c r="AY21" s="310"/>
      <c r="AZ21" s="310"/>
      <c r="BA21" s="310"/>
      <c r="BC21" s="176"/>
      <c r="BD21" s="181">
        <f t="shared" si="39"/>
        <v>46124</v>
      </c>
      <c r="BE21" s="182" t="str">
        <f t="shared" si="9"/>
        <v>日</v>
      </c>
      <c r="BF21" s="182"/>
      <c r="BG21" s="183"/>
      <c r="BH21" s="183"/>
      <c r="BI21" s="184"/>
      <c r="BJ21" s="184"/>
      <c r="BK21" s="185" t="str">
        <f t="shared" si="10"/>
        <v/>
      </c>
      <c r="BL21" s="186"/>
      <c r="BM21" s="186"/>
      <c r="BN21" s="186"/>
      <c r="BO21" s="186"/>
      <c r="BP21" s="187" t="str">
        <f t="shared" si="11"/>
        <v/>
      </c>
      <c r="BQ21" s="310"/>
      <c r="BR21" s="310"/>
      <c r="BS21" s="310"/>
      <c r="BU21" s="176"/>
      <c r="BV21" s="181">
        <f t="shared" si="40"/>
        <v>46154</v>
      </c>
      <c r="BW21" s="182" t="str">
        <f t="shared" si="12"/>
        <v>火</v>
      </c>
      <c r="BX21" s="182" t="s">
        <v>22</v>
      </c>
      <c r="BY21" s="183">
        <v>0.375</v>
      </c>
      <c r="BZ21" s="183">
        <v>0.75</v>
      </c>
      <c r="CA21" s="184">
        <v>0.5</v>
      </c>
      <c r="CB21" s="184">
        <v>0.54166666666666663</v>
      </c>
      <c r="CC21" s="185" t="str">
        <f t="shared" si="13"/>
        <v>8h</v>
      </c>
      <c r="CD21" s="186">
        <v>0.375</v>
      </c>
      <c r="CE21" s="186">
        <v>0.75</v>
      </c>
      <c r="CF21" s="186">
        <v>0.5</v>
      </c>
      <c r="CG21" s="186">
        <v>0.54166666666666663</v>
      </c>
      <c r="CH21" s="187" t="str">
        <f t="shared" si="14"/>
        <v>8h</v>
      </c>
      <c r="CI21" s="310"/>
      <c r="CJ21" s="310"/>
      <c r="CK21" s="310"/>
      <c r="CM21" s="176"/>
      <c r="CN21" s="181">
        <f t="shared" si="41"/>
        <v>46185</v>
      </c>
      <c r="CO21" s="182" t="str">
        <f t="shared" si="15"/>
        <v>金</v>
      </c>
      <c r="CP21" s="182" t="s">
        <v>22</v>
      </c>
      <c r="CQ21" s="183">
        <v>0.375</v>
      </c>
      <c r="CR21" s="183">
        <v>0.75</v>
      </c>
      <c r="CS21" s="184">
        <v>0.5</v>
      </c>
      <c r="CT21" s="184">
        <v>0.54166666666666663</v>
      </c>
      <c r="CU21" s="185" t="str">
        <f t="shared" si="16"/>
        <v>8h</v>
      </c>
      <c r="CV21" s="186">
        <v>0.375</v>
      </c>
      <c r="CW21" s="186">
        <v>0.75</v>
      </c>
      <c r="CX21" s="186">
        <v>0.5</v>
      </c>
      <c r="CY21" s="186">
        <v>0.54166666666666663</v>
      </c>
      <c r="CZ21" s="187" t="str">
        <f t="shared" si="17"/>
        <v>8h</v>
      </c>
      <c r="DA21" s="310"/>
      <c r="DB21" s="310"/>
      <c r="DC21" s="310"/>
      <c r="DE21" s="176"/>
      <c r="DF21" s="181">
        <f t="shared" si="42"/>
        <v>46215</v>
      </c>
      <c r="DG21" s="182" t="str">
        <f t="shared" si="18"/>
        <v>日</v>
      </c>
      <c r="DH21" s="182"/>
      <c r="DI21" s="183"/>
      <c r="DJ21" s="183"/>
      <c r="DK21" s="184"/>
      <c r="DL21" s="184"/>
      <c r="DM21" s="185" t="str">
        <f t="shared" si="19"/>
        <v/>
      </c>
      <c r="DN21" s="186"/>
      <c r="DO21" s="186"/>
      <c r="DP21" s="186"/>
      <c r="DQ21" s="186"/>
      <c r="DR21" s="187" t="str">
        <f t="shared" si="20"/>
        <v/>
      </c>
      <c r="DS21" s="310"/>
      <c r="DT21" s="310"/>
      <c r="DU21" s="310"/>
      <c r="DW21" s="176"/>
      <c r="DX21" s="181">
        <f t="shared" si="43"/>
        <v>46246</v>
      </c>
      <c r="DY21" s="182" t="str">
        <f t="shared" si="21"/>
        <v>水</v>
      </c>
      <c r="DZ21" s="182" t="s">
        <v>22</v>
      </c>
      <c r="EA21" s="183">
        <v>0.375</v>
      </c>
      <c r="EB21" s="183">
        <v>0.75</v>
      </c>
      <c r="EC21" s="184">
        <v>0.5</v>
      </c>
      <c r="ED21" s="184">
        <v>0.54166666666666663</v>
      </c>
      <c r="EE21" s="185" t="str">
        <f t="shared" si="22"/>
        <v>8h</v>
      </c>
      <c r="EF21" s="186">
        <v>0.375</v>
      </c>
      <c r="EG21" s="186">
        <v>0.75</v>
      </c>
      <c r="EH21" s="186">
        <v>0.5</v>
      </c>
      <c r="EI21" s="186">
        <v>0.54166666666666663</v>
      </c>
      <c r="EJ21" s="187" t="str">
        <f t="shared" si="23"/>
        <v>8h</v>
      </c>
      <c r="EK21" s="310"/>
      <c r="EL21" s="310"/>
      <c r="EM21" s="310"/>
      <c r="EO21" s="176"/>
      <c r="EP21" s="181">
        <f t="shared" si="44"/>
        <v>46277</v>
      </c>
      <c r="EQ21" s="182" t="str">
        <f t="shared" si="24"/>
        <v>土</v>
      </c>
      <c r="ER21" s="182"/>
      <c r="ES21" s="183"/>
      <c r="ET21" s="183"/>
      <c r="EU21" s="184"/>
      <c r="EV21" s="184"/>
      <c r="EW21" s="185" t="str">
        <f t="shared" si="25"/>
        <v/>
      </c>
      <c r="EX21" s="186"/>
      <c r="EY21" s="186"/>
      <c r="EZ21" s="186"/>
      <c r="FA21" s="186"/>
      <c r="FB21" s="187" t="str">
        <f t="shared" si="26"/>
        <v/>
      </c>
      <c r="FC21" s="310"/>
      <c r="FD21" s="310"/>
      <c r="FE21" s="310"/>
      <c r="FG21" s="176"/>
      <c r="FH21" s="181">
        <f t="shared" si="45"/>
        <v>46307</v>
      </c>
      <c r="FI21" s="182" t="str">
        <f t="shared" si="27"/>
        <v>月</v>
      </c>
      <c r="FJ21" s="182"/>
      <c r="FK21" s="183"/>
      <c r="FL21" s="183"/>
      <c r="FM21" s="184"/>
      <c r="FN21" s="184"/>
      <c r="FO21" s="185" t="str">
        <f t="shared" si="28"/>
        <v/>
      </c>
      <c r="FP21" s="186"/>
      <c r="FQ21" s="186"/>
      <c r="FR21" s="186"/>
      <c r="FS21" s="186"/>
      <c r="FT21" s="187" t="str">
        <f t="shared" si="29"/>
        <v/>
      </c>
      <c r="FU21" s="310"/>
      <c r="FV21" s="310"/>
      <c r="FW21" s="310"/>
      <c r="FY21" s="176"/>
      <c r="FZ21" s="181">
        <f t="shared" si="46"/>
        <v>46338</v>
      </c>
      <c r="GA21" s="182" t="str">
        <f t="shared" si="30"/>
        <v>木</v>
      </c>
      <c r="GB21" s="182" t="s">
        <v>22</v>
      </c>
      <c r="GC21" s="183">
        <v>0.375</v>
      </c>
      <c r="GD21" s="183">
        <v>0.75</v>
      </c>
      <c r="GE21" s="184">
        <v>0.5</v>
      </c>
      <c r="GF21" s="184">
        <v>0.54166666666666663</v>
      </c>
      <c r="GG21" s="185" t="str">
        <f t="shared" si="31"/>
        <v>8h</v>
      </c>
      <c r="GH21" s="186">
        <v>0.375</v>
      </c>
      <c r="GI21" s="186">
        <v>0.75</v>
      </c>
      <c r="GJ21" s="186">
        <v>0.5</v>
      </c>
      <c r="GK21" s="186">
        <v>0.54166666666666663</v>
      </c>
      <c r="GL21" s="187" t="str">
        <f t="shared" si="32"/>
        <v>8h</v>
      </c>
      <c r="GM21" s="310"/>
      <c r="GN21" s="310"/>
      <c r="GO21" s="310"/>
      <c r="GQ21" s="176"/>
      <c r="GR21" s="181">
        <f t="shared" si="47"/>
        <v>46368</v>
      </c>
      <c r="GS21" s="182" t="str">
        <f t="shared" si="33"/>
        <v>土</v>
      </c>
      <c r="GT21" s="182"/>
      <c r="GU21" s="183"/>
      <c r="GV21" s="183"/>
      <c r="GW21" s="184"/>
      <c r="GX21" s="184"/>
      <c r="GY21" s="185" t="str">
        <f t="shared" si="34"/>
        <v/>
      </c>
      <c r="GZ21" s="186"/>
      <c r="HA21" s="186"/>
      <c r="HB21" s="186"/>
      <c r="HC21" s="186"/>
      <c r="HD21" s="187" t="str">
        <f t="shared" si="35"/>
        <v/>
      </c>
      <c r="HE21" s="310"/>
      <c r="HF21" s="310"/>
      <c r="HG21" s="310"/>
    </row>
    <row r="22" spans="1:215" x14ac:dyDescent="0.45">
      <c r="A22" s="176"/>
      <c r="B22" s="181">
        <f t="shared" si="36"/>
        <v>46035</v>
      </c>
      <c r="C22" s="182" t="str">
        <f t="shared" si="0"/>
        <v>火</v>
      </c>
      <c r="D22" s="182" t="s">
        <v>22</v>
      </c>
      <c r="E22" s="183">
        <v>0.375</v>
      </c>
      <c r="F22" s="183">
        <v>0.75</v>
      </c>
      <c r="G22" s="184">
        <v>0.5</v>
      </c>
      <c r="H22" s="184">
        <v>0.54166666666666663</v>
      </c>
      <c r="I22" s="185" t="str">
        <f t="shared" si="1"/>
        <v>8h</v>
      </c>
      <c r="J22" s="186">
        <v>0.375</v>
      </c>
      <c r="K22" s="186">
        <v>0.75</v>
      </c>
      <c r="L22" s="186">
        <v>0.5</v>
      </c>
      <c r="M22" s="186">
        <v>0.54166666666666663</v>
      </c>
      <c r="N22" s="187" t="str">
        <f t="shared" si="2"/>
        <v>8h</v>
      </c>
      <c r="O22" s="310"/>
      <c r="P22" s="310"/>
      <c r="Q22" s="310"/>
      <c r="S22" s="176"/>
      <c r="T22" s="181">
        <f t="shared" si="37"/>
        <v>46066</v>
      </c>
      <c r="U22" s="182" t="str">
        <f t="shared" si="3"/>
        <v>金</v>
      </c>
      <c r="V22" s="182" t="s">
        <v>22</v>
      </c>
      <c r="W22" s="183">
        <v>0.375</v>
      </c>
      <c r="X22" s="183">
        <v>0.75</v>
      </c>
      <c r="Y22" s="184">
        <v>0.5</v>
      </c>
      <c r="Z22" s="184">
        <v>0.54166666666666663</v>
      </c>
      <c r="AA22" s="185" t="str">
        <f t="shared" si="4"/>
        <v>8h</v>
      </c>
      <c r="AB22" s="186">
        <v>0.375</v>
      </c>
      <c r="AC22" s="186">
        <v>0.75</v>
      </c>
      <c r="AD22" s="186">
        <v>0.5</v>
      </c>
      <c r="AE22" s="186">
        <v>0.54166666666666663</v>
      </c>
      <c r="AF22" s="187" t="str">
        <f t="shared" si="5"/>
        <v>8h</v>
      </c>
      <c r="AG22" s="310"/>
      <c r="AH22" s="310"/>
      <c r="AI22" s="310"/>
      <c r="AK22" s="176"/>
      <c r="AL22" s="181">
        <f t="shared" si="38"/>
        <v>46094</v>
      </c>
      <c r="AM22" s="182" t="str">
        <f t="shared" si="6"/>
        <v>金</v>
      </c>
      <c r="AN22" s="182" t="s">
        <v>22</v>
      </c>
      <c r="AO22" s="183">
        <v>0.375</v>
      </c>
      <c r="AP22" s="183">
        <v>0.75</v>
      </c>
      <c r="AQ22" s="184">
        <v>0.5</v>
      </c>
      <c r="AR22" s="184">
        <v>0.54166666666666663</v>
      </c>
      <c r="AS22" s="185" t="str">
        <f t="shared" si="7"/>
        <v>8h</v>
      </c>
      <c r="AT22" s="186">
        <v>0.375</v>
      </c>
      <c r="AU22" s="186">
        <v>0.75</v>
      </c>
      <c r="AV22" s="186">
        <v>0.5</v>
      </c>
      <c r="AW22" s="186">
        <v>0.54166666666666663</v>
      </c>
      <c r="AX22" s="187" t="str">
        <f t="shared" si="8"/>
        <v>8h</v>
      </c>
      <c r="AY22" s="310"/>
      <c r="AZ22" s="310"/>
      <c r="BA22" s="310"/>
      <c r="BC22" s="176"/>
      <c r="BD22" s="181">
        <f t="shared" si="39"/>
        <v>46125</v>
      </c>
      <c r="BE22" s="182" t="str">
        <f t="shared" si="9"/>
        <v>月</v>
      </c>
      <c r="BF22" s="182" t="s">
        <v>22</v>
      </c>
      <c r="BG22" s="183">
        <v>0.375</v>
      </c>
      <c r="BH22" s="183">
        <v>0.75</v>
      </c>
      <c r="BI22" s="184">
        <v>0.5</v>
      </c>
      <c r="BJ22" s="184">
        <v>0.54166666666666663</v>
      </c>
      <c r="BK22" s="185" t="str">
        <f t="shared" si="10"/>
        <v>8h</v>
      </c>
      <c r="BL22" s="186">
        <v>0.375</v>
      </c>
      <c r="BM22" s="186">
        <v>0.75</v>
      </c>
      <c r="BN22" s="186">
        <v>0.5</v>
      </c>
      <c r="BO22" s="186">
        <v>0.54166666666666663</v>
      </c>
      <c r="BP22" s="187" t="str">
        <f t="shared" si="11"/>
        <v>8h</v>
      </c>
      <c r="BQ22" s="310"/>
      <c r="BR22" s="310"/>
      <c r="BS22" s="310"/>
      <c r="BU22" s="176"/>
      <c r="BV22" s="181">
        <f t="shared" si="40"/>
        <v>46155</v>
      </c>
      <c r="BW22" s="182" t="str">
        <f t="shared" si="12"/>
        <v>水</v>
      </c>
      <c r="BX22" s="182" t="s">
        <v>22</v>
      </c>
      <c r="BY22" s="183">
        <v>0.375</v>
      </c>
      <c r="BZ22" s="183">
        <v>0.75</v>
      </c>
      <c r="CA22" s="184">
        <v>0.5</v>
      </c>
      <c r="CB22" s="184">
        <v>0.54166666666666663</v>
      </c>
      <c r="CC22" s="185" t="str">
        <f t="shared" si="13"/>
        <v>8h</v>
      </c>
      <c r="CD22" s="186">
        <v>0.375</v>
      </c>
      <c r="CE22" s="186">
        <v>0.75</v>
      </c>
      <c r="CF22" s="186">
        <v>0.5</v>
      </c>
      <c r="CG22" s="186">
        <v>0.54166666666666663</v>
      </c>
      <c r="CH22" s="187" t="str">
        <f t="shared" si="14"/>
        <v>8h</v>
      </c>
      <c r="CI22" s="310"/>
      <c r="CJ22" s="310"/>
      <c r="CK22" s="310"/>
      <c r="CM22" s="176"/>
      <c r="CN22" s="181">
        <f t="shared" si="41"/>
        <v>46186</v>
      </c>
      <c r="CO22" s="182" t="str">
        <f t="shared" si="15"/>
        <v>土</v>
      </c>
      <c r="CP22" s="182"/>
      <c r="CQ22" s="183"/>
      <c r="CR22" s="183"/>
      <c r="CS22" s="184"/>
      <c r="CT22" s="184"/>
      <c r="CU22" s="185" t="str">
        <f t="shared" si="16"/>
        <v/>
      </c>
      <c r="CV22" s="186"/>
      <c r="CW22" s="186"/>
      <c r="CX22" s="186"/>
      <c r="CY22" s="186"/>
      <c r="CZ22" s="187" t="str">
        <f t="shared" si="17"/>
        <v/>
      </c>
      <c r="DA22" s="310"/>
      <c r="DB22" s="310"/>
      <c r="DC22" s="310"/>
      <c r="DE22" s="176"/>
      <c r="DF22" s="181">
        <f t="shared" si="42"/>
        <v>46216</v>
      </c>
      <c r="DG22" s="182" t="str">
        <f t="shared" si="18"/>
        <v>月</v>
      </c>
      <c r="DH22" s="182" t="s">
        <v>22</v>
      </c>
      <c r="DI22" s="183">
        <v>0.375</v>
      </c>
      <c r="DJ22" s="183">
        <v>0.75</v>
      </c>
      <c r="DK22" s="184">
        <v>0.5</v>
      </c>
      <c r="DL22" s="184">
        <v>0.54166666666666663</v>
      </c>
      <c r="DM22" s="185" t="str">
        <f t="shared" si="19"/>
        <v>8h</v>
      </c>
      <c r="DN22" s="186">
        <v>0.375</v>
      </c>
      <c r="DO22" s="186">
        <v>0.75</v>
      </c>
      <c r="DP22" s="186">
        <v>0.5</v>
      </c>
      <c r="DQ22" s="186">
        <v>0.54166666666666663</v>
      </c>
      <c r="DR22" s="187" t="str">
        <f t="shared" si="20"/>
        <v>8h</v>
      </c>
      <c r="DS22" s="310"/>
      <c r="DT22" s="310"/>
      <c r="DU22" s="310"/>
      <c r="DW22" s="176"/>
      <c r="DX22" s="181">
        <f t="shared" si="43"/>
        <v>46247</v>
      </c>
      <c r="DY22" s="182" t="str">
        <f t="shared" si="21"/>
        <v>木</v>
      </c>
      <c r="DZ22" s="182" t="s">
        <v>22</v>
      </c>
      <c r="EA22" s="183">
        <v>0.375</v>
      </c>
      <c r="EB22" s="183">
        <v>0.75</v>
      </c>
      <c r="EC22" s="184">
        <v>0.5</v>
      </c>
      <c r="ED22" s="184">
        <v>0.54166666666666663</v>
      </c>
      <c r="EE22" s="185" t="str">
        <f t="shared" si="22"/>
        <v>8h</v>
      </c>
      <c r="EF22" s="186">
        <v>0.375</v>
      </c>
      <c r="EG22" s="186">
        <v>0.75</v>
      </c>
      <c r="EH22" s="186">
        <v>0.5</v>
      </c>
      <c r="EI22" s="186">
        <v>0.54166666666666663</v>
      </c>
      <c r="EJ22" s="187" t="str">
        <f t="shared" si="23"/>
        <v>8h</v>
      </c>
      <c r="EK22" s="310"/>
      <c r="EL22" s="310"/>
      <c r="EM22" s="310"/>
      <c r="EO22" s="176"/>
      <c r="EP22" s="181">
        <f t="shared" si="44"/>
        <v>46278</v>
      </c>
      <c r="EQ22" s="182" t="str">
        <f t="shared" si="24"/>
        <v>日</v>
      </c>
      <c r="ER22" s="182"/>
      <c r="ES22" s="183"/>
      <c r="ET22" s="183"/>
      <c r="EU22" s="184"/>
      <c r="EV22" s="184"/>
      <c r="EW22" s="185" t="str">
        <f t="shared" si="25"/>
        <v/>
      </c>
      <c r="EX22" s="186"/>
      <c r="EY22" s="186"/>
      <c r="EZ22" s="186"/>
      <c r="FA22" s="186"/>
      <c r="FB22" s="187" t="str">
        <f t="shared" si="26"/>
        <v/>
      </c>
      <c r="FC22" s="310"/>
      <c r="FD22" s="310"/>
      <c r="FE22" s="310"/>
      <c r="FG22" s="176"/>
      <c r="FH22" s="181">
        <f t="shared" si="45"/>
        <v>46308</v>
      </c>
      <c r="FI22" s="182" t="str">
        <f t="shared" si="27"/>
        <v>火</v>
      </c>
      <c r="FJ22" s="182" t="s">
        <v>22</v>
      </c>
      <c r="FK22" s="183">
        <v>0.375</v>
      </c>
      <c r="FL22" s="183">
        <v>0.75</v>
      </c>
      <c r="FM22" s="184">
        <v>0.5</v>
      </c>
      <c r="FN22" s="184">
        <v>0.54166666666666663</v>
      </c>
      <c r="FO22" s="185" t="str">
        <f t="shared" si="28"/>
        <v>8h</v>
      </c>
      <c r="FP22" s="186">
        <v>0.375</v>
      </c>
      <c r="FQ22" s="186">
        <v>0.75</v>
      </c>
      <c r="FR22" s="186">
        <v>0.5</v>
      </c>
      <c r="FS22" s="186">
        <v>0.54166666666666663</v>
      </c>
      <c r="FT22" s="187" t="str">
        <f t="shared" si="29"/>
        <v>8h</v>
      </c>
      <c r="FU22" s="310"/>
      <c r="FV22" s="310"/>
      <c r="FW22" s="310"/>
      <c r="FY22" s="176"/>
      <c r="FZ22" s="181">
        <f t="shared" si="46"/>
        <v>46339</v>
      </c>
      <c r="GA22" s="182" t="str">
        <f t="shared" si="30"/>
        <v>金</v>
      </c>
      <c r="GB22" s="182" t="s">
        <v>22</v>
      </c>
      <c r="GC22" s="183">
        <v>0.375</v>
      </c>
      <c r="GD22" s="183">
        <v>0.75</v>
      </c>
      <c r="GE22" s="184">
        <v>0.5</v>
      </c>
      <c r="GF22" s="184">
        <v>0.54166666666666663</v>
      </c>
      <c r="GG22" s="185" t="str">
        <f t="shared" si="31"/>
        <v>8h</v>
      </c>
      <c r="GH22" s="186">
        <v>0.375</v>
      </c>
      <c r="GI22" s="186">
        <v>0.75</v>
      </c>
      <c r="GJ22" s="186">
        <v>0.5</v>
      </c>
      <c r="GK22" s="186">
        <v>0.54166666666666663</v>
      </c>
      <c r="GL22" s="187" t="str">
        <f t="shared" si="32"/>
        <v>8h</v>
      </c>
      <c r="GM22" s="310"/>
      <c r="GN22" s="310"/>
      <c r="GO22" s="310"/>
      <c r="GQ22" s="176"/>
      <c r="GR22" s="181">
        <f t="shared" si="47"/>
        <v>46369</v>
      </c>
      <c r="GS22" s="182" t="str">
        <f t="shared" si="33"/>
        <v>日</v>
      </c>
      <c r="GT22" s="182"/>
      <c r="GU22" s="183"/>
      <c r="GV22" s="183"/>
      <c r="GW22" s="184"/>
      <c r="GX22" s="184"/>
      <c r="GY22" s="185" t="str">
        <f t="shared" si="34"/>
        <v/>
      </c>
      <c r="GZ22" s="186"/>
      <c r="HA22" s="186"/>
      <c r="HB22" s="186"/>
      <c r="HC22" s="186"/>
      <c r="HD22" s="187" t="str">
        <f t="shared" si="35"/>
        <v/>
      </c>
      <c r="HE22" s="310"/>
      <c r="HF22" s="310"/>
      <c r="HG22" s="310"/>
    </row>
    <row r="23" spans="1:215" x14ac:dyDescent="0.45">
      <c r="A23" s="176"/>
      <c r="B23" s="181">
        <f t="shared" si="36"/>
        <v>46036</v>
      </c>
      <c r="C23" s="182" t="str">
        <f t="shared" si="0"/>
        <v>水</v>
      </c>
      <c r="D23" s="182" t="s">
        <v>22</v>
      </c>
      <c r="E23" s="183">
        <v>0.375</v>
      </c>
      <c r="F23" s="183">
        <v>0.75</v>
      </c>
      <c r="G23" s="184">
        <v>0.5</v>
      </c>
      <c r="H23" s="184">
        <v>0.54166666666666663</v>
      </c>
      <c r="I23" s="185" t="str">
        <f t="shared" si="1"/>
        <v>8h</v>
      </c>
      <c r="J23" s="186">
        <v>0.375</v>
      </c>
      <c r="K23" s="186">
        <v>0.75</v>
      </c>
      <c r="L23" s="186">
        <v>0.5</v>
      </c>
      <c r="M23" s="186">
        <v>0.54166666666666663</v>
      </c>
      <c r="N23" s="187" t="str">
        <f t="shared" si="2"/>
        <v>8h</v>
      </c>
      <c r="O23" s="310"/>
      <c r="P23" s="310"/>
      <c r="Q23" s="310"/>
      <c r="S23" s="176"/>
      <c r="T23" s="181">
        <f t="shared" si="37"/>
        <v>46067</v>
      </c>
      <c r="U23" s="182" t="str">
        <f t="shared" si="3"/>
        <v>土</v>
      </c>
      <c r="V23" s="182"/>
      <c r="W23" s="183"/>
      <c r="X23" s="183"/>
      <c r="Y23" s="184"/>
      <c r="Z23" s="184"/>
      <c r="AA23" s="185" t="str">
        <f t="shared" si="4"/>
        <v/>
      </c>
      <c r="AB23" s="186"/>
      <c r="AC23" s="186"/>
      <c r="AD23" s="186"/>
      <c r="AE23" s="186"/>
      <c r="AF23" s="187" t="str">
        <f t="shared" si="5"/>
        <v/>
      </c>
      <c r="AG23" s="310"/>
      <c r="AH23" s="310"/>
      <c r="AI23" s="310"/>
      <c r="AK23" s="176"/>
      <c r="AL23" s="181">
        <f t="shared" si="38"/>
        <v>46095</v>
      </c>
      <c r="AM23" s="182" t="str">
        <f t="shared" si="6"/>
        <v>土</v>
      </c>
      <c r="AN23" s="182"/>
      <c r="AO23" s="183"/>
      <c r="AP23" s="183"/>
      <c r="AQ23" s="184"/>
      <c r="AR23" s="184"/>
      <c r="AS23" s="185" t="str">
        <f t="shared" si="7"/>
        <v/>
      </c>
      <c r="AT23" s="186"/>
      <c r="AU23" s="186"/>
      <c r="AV23" s="186"/>
      <c r="AW23" s="186"/>
      <c r="AX23" s="187" t="str">
        <f t="shared" si="8"/>
        <v/>
      </c>
      <c r="AY23" s="310"/>
      <c r="AZ23" s="310"/>
      <c r="BA23" s="310"/>
      <c r="BC23" s="176"/>
      <c r="BD23" s="181">
        <f t="shared" si="39"/>
        <v>46126</v>
      </c>
      <c r="BE23" s="182" t="str">
        <f t="shared" si="9"/>
        <v>火</v>
      </c>
      <c r="BF23" s="182" t="s">
        <v>22</v>
      </c>
      <c r="BG23" s="183">
        <v>0.375</v>
      </c>
      <c r="BH23" s="183">
        <v>0.75</v>
      </c>
      <c r="BI23" s="184">
        <v>0.5</v>
      </c>
      <c r="BJ23" s="184">
        <v>0.54166666666666663</v>
      </c>
      <c r="BK23" s="185" t="str">
        <f t="shared" si="10"/>
        <v>8h</v>
      </c>
      <c r="BL23" s="186">
        <v>0.375</v>
      </c>
      <c r="BM23" s="186">
        <v>0.75</v>
      </c>
      <c r="BN23" s="186">
        <v>0.5</v>
      </c>
      <c r="BO23" s="186">
        <v>0.54166666666666663</v>
      </c>
      <c r="BP23" s="187" t="str">
        <f t="shared" si="11"/>
        <v>8h</v>
      </c>
      <c r="BQ23" s="310"/>
      <c r="BR23" s="310"/>
      <c r="BS23" s="310"/>
      <c r="BU23" s="176"/>
      <c r="BV23" s="181">
        <f t="shared" si="40"/>
        <v>46156</v>
      </c>
      <c r="BW23" s="182" t="str">
        <f t="shared" si="12"/>
        <v>木</v>
      </c>
      <c r="BX23" s="182" t="s">
        <v>22</v>
      </c>
      <c r="BY23" s="183">
        <v>0.375</v>
      </c>
      <c r="BZ23" s="183">
        <v>0.75</v>
      </c>
      <c r="CA23" s="184">
        <v>0.5</v>
      </c>
      <c r="CB23" s="184">
        <v>0.54166666666666663</v>
      </c>
      <c r="CC23" s="185" t="str">
        <f t="shared" si="13"/>
        <v>8h</v>
      </c>
      <c r="CD23" s="186">
        <v>0.375</v>
      </c>
      <c r="CE23" s="186">
        <v>0.75</v>
      </c>
      <c r="CF23" s="186">
        <v>0.5</v>
      </c>
      <c r="CG23" s="186">
        <v>0.54166666666666663</v>
      </c>
      <c r="CH23" s="187" t="str">
        <f t="shared" si="14"/>
        <v>8h</v>
      </c>
      <c r="CI23" s="310"/>
      <c r="CJ23" s="310"/>
      <c r="CK23" s="310"/>
      <c r="CM23" s="176"/>
      <c r="CN23" s="181">
        <f t="shared" si="41"/>
        <v>46187</v>
      </c>
      <c r="CO23" s="182" t="str">
        <f t="shared" si="15"/>
        <v>日</v>
      </c>
      <c r="CP23" s="182"/>
      <c r="CQ23" s="183"/>
      <c r="CR23" s="183"/>
      <c r="CS23" s="184"/>
      <c r="CT23" s="184"/>
      <c r="CU23" s="185" t="str">
        <f t="shared" si="16"/>
        <v/>
      </c>
      <c r="CV23" s="186"/>
      <c r="CW23" s="186"/>
      <c r="CX23" s="186"/>
      <c r="CY23" s="186"/>
      <c r="CZ23" s="187" t="str">
        <f t="shared" si="17"/>
        <v/>
      </c>
      <c r="DA23" s="310"/>
      <c r="DB23" s="310"/>
      <c r="DC23" s="310"/>
      <c r="DE23" s="176"/>
      <c r="DF23" s="181">
        <f t="shared" si="42"/>
        <v>46217</v>
      </c>
      <c r="DG23" s="182" t="str">
        <f t="shared" si="18"/>
        <v>火</v>
      </c>
      <c r="DH23" s="182" t="s">
        <v>22</v>
      </c>
      <c r="DI23" s="183">
        <v>0.375</v>
      </c>
      <c r="DJ23" s="183">
        <v>0.75</v>
      </c>
      <c r="DK23" s="184">
        <v>0.5</v>
      </c>
      <c r="DL23" s="184">
        <v>0.54166666666666663</v>
      </c>
      <c r="DM23" s="185" t="str">
        <f t="shared" si="19"/>
        <v>8h</v>
      </c>
      <c r="DN23" s="186">
        <v>0.375</v>
      </c>
      <c r="DO23" s="186">
        <v>0.75</v>
      </c>
      <c r="DP23" s="186">
        <v>0.5</v>
      </c>
      <c r="DQ23" s="186">
        <v>0.54166666666666663</v>
      </c>
      <c r="DR23" s="187" t="str">
        <f t="shared" si="20"/>
        <v>8h</v>
      </c>
      <c r="DS23" s="310"/>
      <c r="DT23" s="310"/>
      <c r="DU23" s="310"/>
      <c r="DW23" s="176"/>
      <c r="DX23" s="181">
        <f t="shared" si="43"/>
        <v>46248</v>
      </c>
      <c r="DY23" s="182" t="str">
        <f t="shared" si="21"/>
        <v>金</v>
      </c>
      <c r="DZ23" s="182" t="s">
        <v>22</v>
      </c>
      <c r="EA23" s="183">
        <v>0.375</v>
      </c>
      <c r="EB23" s="183">
        <v>0.75</v>
      </c>
      <c r="EC23" s="184">
        <v>0.5</v>
      </c>
      <c r="ED23" s="184">
        <v>0.54166666666666663</v>
      </c>
      <c r="EE23" s="185" t="str">
        <f t="shared" si="22"/>
        <v>8h</v>
      </c>
      <c r="EF23" s="186">
        <v>0.375</v>
      </c>
      <c r="EG23" s="186">
        <v>0.75</v>
      </c>
      <c r="EH23" s="186">
        <v>0.5</v>
      </c>
      <c r="EI23" s="186">
        <v>0.54166666666666663</v>
      </c>
      <c r="EJ23" s="187" t="str">
        <f t="shared" si="23"/>
        <v>8h</v>
      </c>
      <c r="EK23" s="310"/>
      <c r="EL23" s="310"/>
      <c r="EM23" s="310"/>
      <c r="EO23" s="176"/>
      <c r="EP23" s="181">
        <f t="shared" si="44"/>
        <v>46279</v>
      </c>
      <c r="EQ23" s="182" t="str">
        <f t="shared" si="24"/>
        <v>月</v>
      </c>
      <c r="ER23" s="182" t="s">
        <v>22</v>
      </c>
      <c r="ES23" s="183">
        <v>0.375</v>
      </c>
      <c r="ET23" s="183">
        <v>0.75</v>
      </c>
      <c r="EU23" s="184">
        <v>0.5</v>
      </c>
      <c r="EV23" s="184">
        <v>0.54166666666666663</v>
      </c>
      <c r="EW23" s="185" t="str">
        <f t="shared" si="25"/>
        <v>8h</v>
      </c>
      <c r="EX23" s="186">
        <v>0.375</v>
      </c>
      <c r="EY23" s="186">
        <v>0.75</v>
      </c>
      <c r="EZ23" s="186">
        <v>0.5</v>
      </c>
      <c r="FA23" s="186">
        <v>0.54166666666666663</v>
      </c>
      <c r="FB23" s="187" t="str">
        <f t="shared" si="26"/>
        <v>8h</v>
      </c>
      <c r="FC23" s="310"/>
      <c r="FD23" s="310"/>
      <c r="FE23" s="310"/>
      <c r="FG23" s="176"/>
      <c r="FH23" s="181">
        <f t="shared" si="45"/>
        <v>46309</v>
      </c>
      <c r="FI23" s="182" t="str">
        <f t="shared" si="27"/>
        <v>水</v>
      </c>
      <c r="FJ23" s="182" t="s">
        <v>22</v>
      </c>
      <c r="FK23" s="183">
        <v>0.375</v>
      </c>
      <c r="FL23" s="183">
        <v>0.75</v>
      </c>
      <c r="FM23" s="184">
        <v>0.5</v>
      </c>
      <c r="FN23" s="184">
        <v>0.54166666666666663</v>
      </c>
      <c r="FO23" s="185" t="str">
        <f t="shared" si="28"/>
        <v>8h</v>
      </c>
      <c r="FP23" s="186">
        <v>0.375</v>
      </c>
      <c r="FQ23" s="186">
        <v>0.75</v>
      </c>
      <c r="FR23" s="186">
        <v>0.5</v>
      </c>
      <c r="FS23" s="186">
        <v>0.54166666666666663</v>
      </c>
      <c r="FT23" s="187" t="str">
        <f t="shared" si="29"/>
        <v>8h</v>
      </c>
      <c r="FU23" s="310"/>
      <c r="FV23" s="310"/>
      <c r="FW23" s="310"/>
      <c r="FY23" s="176"/>
      <c r="FZ23" s="181">
        <f t="shared" si="46"/>
        <v>46340</v>
      </c>
      <c r="GA23" s="182" t="str">
        <f t="shared" si="30"/>
        <v>土</v>
      </c>
      <c r="GB23" s="182"/>
      <c r="GC23" s="183"/>
      <c r="GD23" s="183"/>
      <c r="GE23" s="184"/>
      <c r="GF23" s="184"/>
      <c r="GG23" s="185" t="str">
        <f t="shared" si="31"/>
        <v/>
      </c>
      <c r="GH23" s="186"/>
      <c r="GI23" s="186"/>
      <c r="GJ23" s="186"/>
      <c r="GK23" s="186"/>
      <c r="GL23" s="187" t="str">
        <f t="shared" si="32"/>
        <v/>
      </c>
      <c r="GM23" s="310"/>
      <c r="GN23" s="310"/>
      <c r="GO23" s="310"/>
      <c r="GQ23" s="176"/>
      <c r="GR23" s="181">
        <f t="shared" si="47"/>
        <v>46370</v>
      </c>
      <c r="GS23" s="182" t="str">
        <f t="shared" si="33"/>
        <v>月</v>
      </c>
      <c r="GT23" s="182" t="s">
        <v>22</v>
      </c>
      <c r="GU23" s="183">
        <v>0.375</v>
      </c>
      <c r="GV23" s="183">
        <v>0.75</v>
      </c>
      <c r="GW23" s="184">
        <v>0.5</v>
      </c>
      <c r="GX23" s="184">
        <v>0.54166666666666663</v>
      </c>
      <c r="GY23" s="185" t="str">
        <f t="shared" si="34"/>
        <v>8h</v>
      </c>
      <c r="GZ23" s="186">
        <v>0.375</v>
      </c>
      <c r="HA23" s="186">
        <v>0.75</v>
      </c>
      <c r="HB23" s="186">
        <v>0.5</v>
      </c>
      <c r="HC23" s="186">
        <v>0.54166666666666663</v>
      </c>
      <c r="HD23" s="187" t="str">
        <f t="shared" si="35"/>
        <v>8h</v>
      </c>
      <c r="HE23" s="310"/>
      <c r="HF23" s="310"/>
      <c r="HG23" s="310"/>
    </row>
    <row r="24" spans="1:215" x14ac:dyDescent="0.45">
      <c r="A24" s="176"/>
      <c r="B24" s="181">
        <f t="shared" si="36"/>
        <v>46037</v>
      </c>
      <c r="C24" s="182" t="str">
        <f t="shared" si="0"/>
        <v>木</v>
      </c>
      <c r="D24" s="182" t="s">
        <v>22</v>
      </c>
      <c r="E24" s="183">
        <v>0.375</v>
      </c>
      <c r="F24" s="183">
        <v>0.75</v>
      </c>
      <c r="G24" s="184">
        <v>0.5</v>
      </c>
      <c r="H24" s="184">
        <v>0.54166666666666663</v>
      </c>
      <c r="I24" s="185" t="str">
        <f t="shared" si="1"/>
        <v>8h</v>
      </c>
      <c r="J24" s="186">
        <v>0.375</v>
      </c>
      <c r="K24" s="186">
        <v>0.75</v>
      </c>
      <c r="L24" s="186">
        <v>0.5</v>
      </c>
      <c r="M24" s="186">
        <v>0.54166666666666663</v>
      </c>
      <c r="N24" s="187" t="str">
        <f t="shared" si="2"/>
        <v>8h</v>
      </c>
      <c r="O24" s="310"/>
      <c r="P24" s="310"/>
      <c r="Q24" s="310"/>
      <c r="S24" s="176"/>
      <c r="T24" s="181">
        <f t="shared" si="37"/>
        <v>46068</v>
      </c>
      <c r="U24" s="182" t="str">
        <f t="shared" si="3"/>
        <v>日</v>
      </c>
      <c r="V24" s="182"/>
      <c r="W24" s="183"/>
      <c r="X24" s="183"/>
      <c r="Y24" s="184"/>
      <c r="Z24" s="184"/>
      <c r="AA24" s="185" t="str">
        <f t="shared" si="4"/>
        <v/>
      </c>
      <c r="AB24" s="186"/>
      <c r="AC24" s="186"/>
      <c r="AD24" s="186"/>
      <c r="AE24" s="186"/>
      <c r="AF24" s="187" t="str">
        <f t="shared" si="5"/>
        <v/>
      </c>
      <c r="AG24" s="310"/>
      <c r="AH24" s="310"/>
      <c r="AI24" s="310"/>
      <c r="AK24" s="176"/>
      <c r="AL24" s="181">
        <f t="shared" si="38"/>
        <v>46096</v>
      </c>
      <c r="AM24" s="182" t="str">
        <f t="shared" si="6"/>
        <v>日</v>
      </c>
      <c r="AN24" s="182"/>
      <c r="AO24" s="183"/>
      <c r="AP24" s="183"/>
      <c r="AQ24" s="184"/>
      <c r="AR24" s="184"/>
      <c r="AS24" s="185" t="str">
        <f t="shared" si="7"/>
        <v/>
      </c>
      <c r="AT24" s="186"/>
      <c r="AU24" s="186"/>
      <c r="AV24" s="186"/>
      <c r="AW24" s="186"/>
      <c r="AX24" s="187" t="str">
        <f t="shared" si="8"/>
        <v/>
      </c>
      <c r="AY24" s="310"/>
      <c r="AZ24" s="310"/>
      <c r="BA24" s="310"/>
      <c r="BC24" s="176"/>
      <c r="BD24" s="181">
        <f t="shared" si="39"/>
        <v>46127</v>
      </c>
      <c r="BE24" s="182" t="str">
        <f t="shared" si="9"/>
        <v>水</v>
      </c>
      <c r="BF24" s="182" t="s">
        <v>22</v>
      </c>
      <c r="BG24" s="183">
        <v>0.375</v>
      </c>
      <c r="BH24" s="183">
        <v>0.75</v>
      </c>
      <c r="BI24" s="184">
        <v>0.5</v>
      </c>
      <c r="BJ24" s="184">
        <v>0.54166666666666663</v>
      </c>
      <c r="BK24" s="185" t="str">
        <f t="shared" si="10"/>
        <v>8h</v>
      </c>
      <c r="BL24" s="186">
        <v>0.375</v>
      </c>
      <c r="BM24" s="186">
        <v>0.75</v>
      </c>
      <c r="BN24" s="186">
        <v>0.5</v>
      </c>
      <c r="BO24" s="186">
        <v>0.54166666666666663</v>
      </c>
      <c r="BP24" s="187" t="str">
        <f t="shared" si="11"/>
        <v>8h</v>
      </c>
      <c r="BQ24" s="310"/>
      <c r="BR24" s="310"/>
      <c r="BS24" s="310"/>
      <c r="BU24" s="176"/>
      <c r="BV24" s="181">
        <f t="shared" si="40"/>
        <v>46157</v>
      </c>
      <c r="BW24" s="182" t="str">
        <f t="shared" si="12"/>
        <v>金</v>
      </c>
      <c r="BX24" s="182" t="s">
        <v>22</v>
      </c>
      <c r="BY24" s="183">
        <v>0.375</v>
      </c>
      <c r="BZ24" s="183">
        <v>0.75</v>
      </c>
      <c r="CA24" s="184">
        <v>0.5</v>
      </c>
      <c r="CB24" s="184">
        <v>0.54166666666666663</v>
      </c>
      <c r="CC24" s="185" t="str">
        <f t="shared" si="13"/>
        <v>8h</v>
      </c>
      <c r="CD24" s="186">
        <v>0.375</v>
      </c>
      <c r="CE24" s="186">
        <v>0.75</v>
      </c>
      <c r="CF24" s="186">
        <v>0.5</v>
      </c>
      <c r="CG24" s="186">
        <v>0.54166666666666663</v>
      </c>
      <c r="CH24" s="187" t="str">
        <f t="shared" si="14"/>
        <v>8h</v>
      </c>
      <c r="CI24" s="310"/>
      <c r="CJ24" s="310"/>
      <c r="CK24" s="310"/>
      <c r="CM24" s="176"/>
      <c r="CN24" s="181">
        <f t="shared" si="41"/>
        <v>46188</v>
      </c>
      <c r="CO24" s="182" t="str">
        <f t="shared" si="15"/>
        <v>月</v>
      </c>
      <c r="CP24" s="182" t="s">
        <v>22</v>
      </c>
      <c r="CQ24" s="183">
        <v>0.375</v>
      </c>
      <c r="CR24" s="183">
        <v>0.75</v>
      </c>
      <c r="CS24" s="184">
        <v>0.5</v>
      </c>
      <c r="CT24" s="184">
        <v>0.54166666666666663</v>
      </c>
      <c r="CU24" s="185" t="str">
        <f t="shared" si="16"/>
        <v>8h</v>
      </c>
      <c r="CV24" s="186">
        <v>0.375</v>
      </c>
      <c r="CW24" s="186">
        <v>0.75</v>
      </c>
      <c r="CX24" s="186">
        <v>0.5</v>
      </c>
      <c r="CY24" s="186">
        <v>0.54166666666666663</v>
      </c>
      <c r="CZ24" s="187" t="str">
        <f t="shared" si="17"/>
        <v>8h</v>
      </c>
      <c r="DA24" s="310"/>
      <c r="DB24" s="310"/>
      <c r="DC24" s="310"/>
      <c r="DE24" s="176"/>
      <c r="DF24" s="181">
        <f t="shared" si="42"/>
        <v>46218</v>
      </c>
      <c r="DG24" s="182" t="str">
        <f t="shared" si="18"/>
        <v>水</v>
      </c>
      <c r="DH24" s="182" t="s">
        <v>22</v>
      </c>
      <c r="DI24" s="183">
        <v>0.375</v>
      </c>
      <c r="DJ24" s="183">
        <v>0.75</v>
      </c>
      <c r="DK24" s="184">
        <v>0.5</v>
      </c>
      <c r="DL24" s="184">
        <v>0.54166666666666663</v>
      </c>
      <c r="DM24" s="185" t="str">
        <f t="shared" si="19"/>
        <v>8h</v>
      </c>
      <c r="DN24" s="186">
        <v>0.375</v>
      </c>
      <c r="DO24" s="186">
        <v>0.75</v>
      </c>
      <c r="DP24" s="186">
        <v>0.5</v>
      </c>
      <c r="DQ24" s="186">
        <v>0.54166666666666663</v>
      </c>
      <c r="DR24" s="187" t="str">
        <f t="shared" si="20"/>
        <v>8h</v>
      </c>
      <c r="DS24" s="310"/>
      <c r="DT24" s="310"/>
      <c r="DU24" s="310"/>
      <c r="DW24" s="176"/>
      <c r="DX24" s="181">
        <f t="shared" si="43"/>
        <v>46249</v>
      </c>
      <c r="DY24" s="182" t="str">
        <f t="shared" si="21"/>
        <v>土</v>
      </c>
      <c r="DZ24" s="182"/>
      <c r="EA24" s="183"/>
      <c r="EB24" s="183"/>
      <c r="EC24" s="184"/>
      <c r="ED24" s="184"/>
      <c r="EE24" s="185" t="str">
        <f t="shared" si="22"/>
        <v/>
      </c>
      <c r="EF24" s="186"/>
      <c r="EG24" s="186"/>
      <c r="EH24" s="186"/>
      <c r="EI24" s="186"/>
      <c r="EJ24" s="187" t="str">
        <f t="shared" si="23"/>
        <v/>
      </c>
      <c r="EK24" s="310"/>
      <c r="EL24" s="310"/>
      <c r="EM24" s="310"/>
      <c r="EO24" s="176"/>
      <c r="EP24" s="181">
        <f t="shared" si="44"/>
        <v>46280</v>
      </c>
      <c r="EQ24" s="182" t="str">
        <f t="shared" si="24"/>
        <v>火</v>
      </c>
      <c r="ER24" s="182" t="s">
        <v>22</v>
      </c>
      <c r="ES24" s="183">
        <v>0.375</v>
      </c>
      <c r="ET24" s="183">
        <v>0.75</v>
      </c>
      <c r="EU24" s="184">
        <v>0.5</v>
      </c>
      <c r="EV24" s="184">
        <v>0.54166666666666663</v>
      </c>
      <c r="EW24" s="185" t="str">
        <f t="shared" si="25"/>
        <v>8h</v>
      </c>
      <c r="EX24" s="186">
        <v>0.375</v>
      </c>
      <c r="EY24" s="186">
        <v>0.75</v>
      </c>
      <c r="EZ24" s="186">
        <v>0.5</v>
      </c>
      <c r="FA24" s="186">
        <v>0.54166666666666663</v>
      </c>
      <c r="FB24" s="187" t="str">
        <f t="shared" si="26"/>
        <v>8h</v>
      </c>
      <c r="FC24" s="310"/>
      <c r="FD24" s="310"/>
      <c r="FE24" s="310"/>
      <c r="FG24" s="176"/>
      <c r="FH24" s="181">
        <f t="shared" si="45"/>
        <v>46310</v>
      </c>
      <c r="FI24" s="182" t="str">
        <f t="shared" si="27"/>
        <v>木</v>
      </c>
      <c r="FJ24" s="182" t="s">
        <v>22</v>
      </c>
      <c r="FK24" s="183">
        <v>0.375</v>
      </c>
      <c r="FL24" s="183">
        <v>0.75</v>
      </c>
      <c r="FM24" s="184">
        <v>0.5</v>
      </c>
      <c r="FN24" s="184">
        <v>0.54166666666666663</v>
      </c>
      <c r="FO24" s="185" t="str">
        <f t="shared" si="28"/>
        <v>8h</v>
      </c>
      <c r="FP24" s="186">
        <v>0.375</v>
      </c>
      <c r="FQ24" s="186">
        <v>0.75</v>
      </c>
      <c r="FR24" s="186">
        <v>0.5</v>
      </c>
      <c r="FS24" s="186">
        <v>0.54166666666666663</v>
      </c>
      <c r="FT24" s="187" t="str">
        <f t="shared" si="29"/>
        <v>8h</v>
      </c>
      <c r="FU24" s="310"/>
      <c r="FV24" s="310"/>
      <c r="FW24" s="310"/>
      <c r="FY24" s="176"/>
      <c r="FZ24" s="181">
        <f t="shared" si="46"/>
        <v>46341</v>
      </c>
      <c r="GA24" s="182" t="str">
        <f t="shared" si="30"/>
        <v>日</v>
      </c>
      <c r="GB24" s="182"/>
      <c r="GC24" s="183"/>
      <c r="GD24" s="183"/>
      <c r="GE24" s="184"/>
      <c r="GF24" s="184"/>
      <c r="GG24" s="185" t="str">
        <f t="shared" si="31"/>
        <v/>
      </c>
      <c r="GH24" s="186"/>
      <c r="GI24" s="186"/>
      <c r="GJ24" s="186"/>
      <c r="GK24" s="186"/>
      <c r="GL24" s="187" t="str">
        <f t="shared" si="32"/>
        <v/>
      </c>
      <c r="GM24" s="310"/>
      <c r="GN24" s="310"/>
      <c r="GO24" s="310"/>
      <c r="GQ24" s="176"/>
      <c r="GR24" s="181">
        <f t="shared" si="47"/>
        <v>46371</v>
      </c>
      <c r="GS24" s="182" t="str">
        <f t="shared" si="33"/>
        <v>火</v>
      </c>
      <c r="GT24" s="182" t="s">
        <v>22</v>
      </c>
      <c r="GU24" s="183">
        <v>0.375</v>
      </c>
      <c r="GV24" s="183">
        <v>0.75</v>
      </c>
      <c r="GW24" s="184">
        <v>0.5</v>
      </c>
      <c r="GX24" s="184">
        <v>0.54166666666666663</v>
      </c>
      <c r="GY24" s="185" t="str">
        <f t="shared" si="34"/>
        <v>8h</v>
      </c>
      <c r="GZ24" s="186">
        <v>0.375</v>
      </c>
      <c r="HA24" s="186">
        <v>0.75</v>
      </c>
      <c r="HB24" s="186">
        <v>0.5</v>
      </c>
      <c r="HC24" s="186">
        <v>0.54166666666666663</v>
      </c>
      <c r="HD24" s="187" t="str">
        <f t="shared" si="35"/>
        <v>8h</v>
      </c>
      <c r="HE24" s="310"/>
      <c r="HF24" s="310"/>
      <c r="HG24" s="310"/>
    </row>
    <row r="25" spans="1:215" x14ac:dyDescent="0.45">
      <c r="A25" s="176"/>
      <c r="B25" s="181">
        <f t="shared" si="36"/>
        <v>46038</v>
      </c>
      <c r="C25" s="182" t="str">
        <f t="shared" si="0"/>
        <v>金</v>
      </c>
      <c r="D25" s="182" t="s">
        <v>22</v>
      </c>
      <c r="E25" s="183">
        <v>0.375</v>
      </c>
      <c r="F25" s="183">
        <v>0.75</v>
      </c>
      <c r="G25" s="184">
        <v>0.5</v>
      </c>
      <c r="H25" s="184">
        <v>0.54166666666666663</v>
      </c>
      <c r="I25" s="185" t="str">
        <f t="shared" si="1"/>
        <v>8h</v>
      </c>
      <c r="J25" s="186">
        <v>0.375</v>
      </c>
      <c r="K25" s="186">
        <v>0.75</v>
      </c>
      <c r="L25" s="186">
        <v>0.5</v>
      </c>
      <c r="M25" s="186">
        <v>0.54166666666666663</v>
      </c>
      <c r="N25" s="187" t="str">
        <f t="shared" si="2"/>
        <v>8h</v>
      </c>
      <c r="O25" s="310"/>
      <c r="P25" s="310"/>
      <c r="Q25" s="310"/>
      <c r="S25" s="176"/>
      <c r="T25" s="181">
        <f t="shared" si="37"/>
        <v>46069</v>
      </c>
      <c r="U25" s="182" t="str">
        <f t="shared" si="3"/>
        <v>月</v>
      </c>
      <c r="V25" s="182" t="s">
        <v>22</v>
      </c>
      <c r="W25" s="183">
        <v>0.375</v>
      </c>
      <c r="X25" s="183">
        <v>0.75</v>
      </c>
      <c r="Y25" s="184">
        <v>0.5</v>
      </c>
      <c r="Z25" s="184">
        <v>0.54166666666666663</v>
      </c>
      <c r="AA25" s="185" t="str">
        <f t="shared" si="4"/>
        <v>8h</v>
      </c>
      <c r="AB25" s="186">
        <v>0.375</v>
      </c>
      <c r="AC25" s="186">
        <v>0.75</v>
      </c>
      <c r="AD25" s="186">
        <v>0.5</v>
      </c>
      <c r="AE25" s="186">
        <v>0.54166666666666663</v>
      </c>
      <c r="AF25" s="187" t="str">
        <f t="shared" si="5"/>
        <v>8h</v>
      </c>
      <c r="AG25" s="310"/>
      <c r="AH25" s="310"/>
      <c r="AI25" s="310"/>
      <c r="AK25" s="176"/>
      <c r="AL25" s="181">
        <f t="shared" si="38"/>
        <v>46097</v>
      </c>
      <c r="AM25" s="182" t="str">
        <f t="shared" si="6"/>
        <v>月</v>
      </c>
      <c r="AN25" s="182" t="s">
        <v>22</v>
      </c>
      <c r="AO25" s="183">
        <v>0.375</v>
      </c>
      <c r="AP25" s="183">
        <v>0.75</v>
      </c>
      <c r="AQ25" s="184">
        <v>0.5</v>
      </c>
      <c r="AR25" s="184">
        <v>0.54166666666666663</v>
      </c>
      <c r="AS25" s="185" t="str">
        <f t="shared" si="7"/>
        <v>8h</v>
      </c>
      <c r="AT25" s="186">
        <v>0.375</v>
      </c>
      <c r="AU25" s="186">
        <v>0.75</v>
      </c>
      <c r="AV25" s="186">
        <v>0.5</v>
      </c>
      <c r="AW25" s="186">
        <v>0.54166666666666663</v>
      </c>
      <c r="AX25" s="187" t="str">
        <f t="shared" si="8"/>
        <v>8h</v>
      </c>
      <c r="AY25" s="310"/>
      <c r="AZ25" s="310"/>
      <c r="BA25" s="310"/>
      <c r="BC25" s="176"/>
      <c r="BD25" s="181">
        <f t="shared" si="39"/>
        <v>46128</v>
      </c>
      <c r="BE25" s="182" t="str">
        <f t="shared" si="9"/>
        <v>木</v>
      </c>
      <c r="BF25" s="182" t="s">
        <v>22</v>
      </c>
      <c r="BG25" s="183">
        <v>0.375</v>
      </c>
      <c r="BH25" s="183">
        <v>0.75</v>
      </c>
      <c r="BI25" s="184">
        <v>0.5</v>
      </c>
      <c r="BJ25" s="184">
        <v>0.54166666666666663</v>
      </c>
      <c r="BK25" s="185" t="str">
        <f t="shared" si="10"/>
        <v>8h</v>
      </c>
      <c r="BL25" s="186">
        <v>0.375</v>
      </c>
      <c r="BM25" s="186">
        <v>0.75</v>
      </c>
      <c r="BN25" s="186">
        <v>0.5</v>
      </c>
      <c r="BO25" s="186">
        <v>0.54166666666666663</v>
      </c>
      <c r="BP25" s="187" t="str">
        <f t="shared" si="11"/>
        <v>8h</v>
      </c>
      <c r="BQ25" s="310"/>
      <c r="BR25" s="310"/>
      <c r="BS25" s="310"/>
      <c r="BU25" s="176"/>
      <c r="BV25" s="181">
        <f t="shared" si="40"/>
        <v>46158</v>
      </c>
      <c r="BW25" s="182" t="str">
        <f t="shared" si="12"/>
        <v>土</v>
      </c>
      <c r="BX25" s="182"/>
      <c r="BY25" s="183"/>
      <c r="BZ25" s="183"/>
      <c r="CA25" s="184"/>
      <c r="CB25" s="184"/>
      <c r="CC25" s="185" t="str">
        <f t="shared" si="13"/>
        <v/>
      </c>
      <c r="CD25" s="186"/>
      <c r="CE25" s="186"/>
      <c r="CF25" s="186"/>
      <c r="CG25" s="186"/>
      <c r="CH25" s="187" t="str">
        <f t="shared" si="14"/>
        <v/>
      </c>
      <c r="CI25" s="310"/>
      <c r="CJ25" s="310"/>
      <c r="CK25" s="310"/>
      <c r="CM25" s="176"/>
      <c r="CN25" s="181">
        <f t="shared" si="41"/>
        <v>46189</v>
      </c>
      <c r="CO25" s="182" t="str">
        <f t="shared" si="15"/>
        <v>火</v>
      </c>
      <c r="CP25" s="182" t="s">
        <v>22</v>
      </c>
      <c r="CQ25" s="183">
        <v>0.375</v>
      </c>
      <c r="CR25" s="183">
        <v>0.75</v>
      </c>
      <c r="CS25" s="184">
        <v>0.5</v>
      </c>
      <c r="CT25" s="184">
        <v>0.54166666666666663</v>
      </c>
      <c r="CU25" s="185" t="str">
        <f t="shared" si="16"/>
        <v>8h</v>
      </c>
      <c r="CV25" s="186">
        <v>0.375</v>
      </c>
      <c r="CW25" s="186">
        <v>0.75</v>
      </c>
      <c r="CX25" s="186">
        <v>0.5</v>
      </c>
      <c r="CY25" s="186">
        <v>0.54166666666666663</v>
      </c>
      <c r="CZ25" s="187" t="str">
        <f t="shared" si="17"/>
        <v>8h</v>
      </c>
      <c r="DA25" s="310"/>
      <c r="DB25" s="310"/>
      <c r="DC25" s="310"/>
      <c r="DE25" s="176"/>
      <c r="DF25" s="181">
        <f t="shared" si="42"/>
        <v>46219</v>
      </c>
      <c r="DG25" s="182" t="str">
        <f t="shared" si="18"/>
        <v>木</v>
      </c>
      <c r="DH25" s="182" t="s">
        <v>22</v>
      </c>
      <c r="DI25" s="183">
        <v>0.375</v>
      </c>
      <c r="DJ25" s="183">
        <v>0.75</v>
      </c>
      <c r="DK25" s="184">
        <v>0.5</v>
      </c>
      <c r="DL25" s="184">
        <v>0.54166666666666663</v>
      </c>
      <c r="DM25" s="185" t="str">
        <f t="shared" si="19"/>
        <v>8h</v>
      </c>
      <c r="DN25" s="186">
        <v>0.375</v>
      </c>
      <c r="DO25" s="186">
        <v>0.75</v>
      </c>
      <c r="DP25" s="186">
        <v>0.5</v>
      </c>
      <c r="DQ25" s="186">
        <v>0.54166666666666663</v>
      </c>
      <c r="DR25" s="187" t="str">
        <f t="shared" si="20"/>
        <v>8h</v>
      </c>
      <c r="DS25" s="310"/>
      <c r="DT25" s="310"/>
      <c r="DU25" s="310"/>
      <c r="DW25" s="176"/>
      <c r="DX25" s="181">
        <f t="shared" si="43"/>
        <v>46250</v>
      </c>
      <c r="DY25" s="182" t="str">
        <f t="shared" si="21"/>
        <v>日</v>
      </c>
      <c r="DZ25" s="182"/>
      <c r="EA25" s="183"/>
      <c r="EB25" s="183"/>
      <c r="EC25" s="184"/>
      <c r="ED25" s="184"/>
      <c r="EE25" s="185" t="str">
        <f t="shared" si="22"/>
        <v/>
      </c>
      <c r="EF25" s="186"/>
      <c r="EG25" s="186"/>
      <c r="EH25" s="186"/>
      <c r="EI25" s="186"/>
      <c r="EJ25" s="187" t="str">
        <f t="shared" si="23"/>
        <v/>
      </c>
      <c r="EK25" s="310"/>
      <c r="EL25" s="310"/>
      <c r="EM25" s="310"/>
      <c r="EO25" s="176"/>
      <c r="EP25" s="181">
        <f t="shared" si="44"/>
        <v>46281</v>
      </c>
      <c r="EQ25" s="182" t="str">
        <f t="shared" si="24"/>
        <v>水</v>
      </c>
      <c r="ER25" s="182" t="s">
        <v>22</v>
      </c>
      <c r="ES25" s="183">
        <v>0.375</v>
      </c>
      <c r="ET25" s="183">
        <v>0.75</v>
      </c>
      <c r="EU25" s="184">
        <v>0.5</v>
      </c>
      <c r="EV25" s="184">
        <v>0.54166666666666663</v>
      </c>
      <c r="EW25" s="185" t="str">
        <f t="shared" si="25"/>
        <v>8h</v>
      </c>
      <c r="EX25" s="186">
        <v>0.375</v>
      </c>
      <c r="EY25" s="186">
        <v>0.75</v>
      </c>
      <c r="EZ25" s="186">
        <v>0.5</v>
      </c>
      <c r="FA25" s="186">
        <v>0.54166666666666663</v>
      </c>
      <c r="FB25" s="187" t="str">
        <f t="shared" si="26"/>
        <v>8h</v>
      </c>
      <c r="FC25" s="310"/>
      <c r="FD25" s="310"/>
      <c r="FE25" s="310"/>
      <c r="FG25" s="176"/>
      <c r="FH25" s="181">
        <f t="shared" si="45"/>
        <v>46311</v>
      </c>
      <c r="FI25" s="182" t="str">
        <f t="shared" si="27"/>
        <v>金</v>
      </c>
      <c r="FJ25" s="182" t="s">
        <v>22</v>
      </c>
      <c r="FK25" s="183">
        <v>0.375</v>
      </c>
      <c r="FL25" s="183">
        <v>0.75</v>
      </c>
      <c r="FM25" s="184">
        <v>0.5</v>
      </c>
      <c r="FN25" s="184">
        <v>0.54166666666666663</v>
      </c>
      <c r="FO25" s="185" t="str">
        <f t="shared" si="28"/>
        <v>8h</v>
      </c>
      <c r="FP25" s="186">
        <v>0.375</v>
      </c>
      <c r="FQ25" s="186">
        <v>0.75</v>
      </c>
      <c r="FR25" s="186">
        <v>0.5</v>
      </c>
      <c r="FS25" s="186">
        <v>0.54166666666666663</v>
      </c>
      <c r="FT25" s="187" t="str">
        <f t="shared" si="29"/>
        <v>8h</v>
      </c>
      <c r="FU25" s="310"/>
      <c r="FV25" s="310"/>
      <c r="FW25" s="310"/>
      <c r="FY25" s="176"/>
      <c r="FZ25" s="181">
        <f t="shared" si="46"/>
        <v>46342</v>
      </c>
      <c r="GA25" s="182" t="str">
        <f t="shared" si="30"/>
        <v>月</v>
      </c>
      <c r="GB25" s="182" t="s">
        <v>22</v>
      </c>
      <c r="GC25" s="183">
        <v>0.375</v>
      </c>
      <c r="GD25" s="183">
        <v>0.75</v>
      </c>
      <c r="GE25" s="184">
        <v>0.5</v>
      </c>
      <c r="GF25" s="184">
        <v>0.54166666666666663</v>
      </c>
      <c r="GG25" s="185" t="str">
        <f t="shared" si="31"/>
        <v>8h</v>
      </c>
      <c r="GH25" s="186">
        <v>0.375</v>
      </c>
      <c r="GI25" s="186">
        <v>0.75</v>
      </c>
      <c r="GJ25" s="186">
        <v>0.5</v>
      </c>
      <c r="GK25" s="186">
        <v>0.54166666666666663</v>
      </c>
      <c r="GL25" s="187" t="str">
        <f t="shared" si="32"/>
        <v>8h</v>
      </c>
      <c r="GM25" s="310"/>
      <c r="GN25" s="310"/>
      <c r="GO25" s="310"/>
      <c r="GQ25" s="176"/>
      <c r="GR25" s="181">
        <f t="shared" si="47"/>
        <v>46372</v>
      </c>
      <c r="GS25" s="182" t="str">
        <f t="shared" si="33"/>
        <v>水</v>
      </c>
      <c r="GT25" s="182" t="s">
        <v>22</v>
      </c>
      <c r="GU25" s="183">
        <v>0.375</v>
      </c>
      <c r="GV25" s="183">
        <v>0.75</v>
      </c>
      <c r="GW25" s="184">
        <v>0.5</v>
      </c>
      <c r="GX25" s="184">
        <v>0.54166666666666663</v>
      </c>
      <c r="GY25" s="185" t="str">
        <f t="shared" si="34"/>
        <v>8h</v>
      </c>
      <c r="GZ25" s="186">
        <v>0.375</v>
      </c>
      <c r="HA25" s="186">
        <v>0.75</v>
      </c>
      <c r="HB25" s="186">
        <v>0.5</v>
      </c>
      <c r="HC25" s="186">
        <v>0.54166666666666663</v>
      </c>
      <c r="HD25" s="187" t="str">
        <f t="shared" si="35"/>
        <v>8h</v>
      </c>
      <c r="HE25" s="310"/>
      <c r="HF25" s="310"/>
      <c r="HG25" s="310"/>
    </row>
    <row r="26" spans="1:215" x14ac:dyDescent="0.45">
      <c r="A26" s="176"/>
      <c r="B26" s="181">
        <f t="shared" si="36"/>
        <v>46039</v>
      </c>
      <c r="C26" s="182" t="str">
        <f t="shared" si="0"/>
        <v>土</v>
      </c>
      <c r="D26" s="182"/>
      <c r="E26" s="183"/>
      <c r="F26" s="183"/>
      <c r="G26" s="184"/>
      <c r="H26" s="184"/>
      <c r="I26" s="185" t="str">
        <f t="shared" si="1"/>
        <v/>
      </c>
      <c r="J26" s="186"/>
      <c r="K26" s="186"/>
      <c r="L26" s="186"/>
      <c r="M26" s="186"/>
      <c r="N26" s="187" t="str">
        <f t="shared" si="2"/>
        <v/>
      </c>
      <c r="O26" s="310"/>
      <c r="P26" s="310"/>
      <c r="Q26" s="310"/>
      <c r="S26" s="176"/>
      <c r="T26" s="181">
        <f t="shared" si="37"/>
        <v>46070</v>
      </c>
      <c r="U26" s="182" t="str">
        <f t="shared" si="3"/>
        <v>火</v>
      </c>
      <c r="V26" s="182" t="s">
        <v>22</v>
      </c>
      <c r="W26" s="183">
        <v>0.375</v>
      </c>
      <c r="X26" s="183">
        <v>0.75</v>
      </c>
      <c r="Y26" s="184">
        <v>0.5</v>
      </c>
      <c r="Z26" s="184">
        <v>0.54166666666666663</v>
      </c>
      <c r="AA26" s="185" t="str">
        <f t="shared" si="4"/>
        <v>8h</v>
      </c>
      <c r="AB26" s="186">
        <v>0.375</v>
      </c>
      <c r="AC26" s="186">
        <v>0.75</v>
      </c>
      <c r="AD26" s="186">
        <v>0.5</v>
      </c>
      <c r="AE26" s="186">
        <v>0.54166666666666663</v>
      </c>
      <c r="AF26" s="187" t="str">
        <f t="shared" si="5"/>
        <v>8h</v>
      </c>
      <c r="AG26" s="310"/>
      <c r="AH26" s="310"/>
      <c r="AI26" s="310"/>
      <c r="AK26" s="176"/>
      <c r="AL26" s="181">
        <f t="shared" si="38"/>
        <v>46098</v>
      </c>
      <c r="AM26" s="182" t="str">
        <f t="shared" si="6"/>
        <v>火</v>
      </c>
      <c r="AN26" s="182" t="s">
        <v>22</v>
      </c>
      <c r="AO26" s="183">
        <v>0.375</v>
      </c>
      <c r="AP26" s="183">
        <v>0.75</v>
      </c>
      <c r="AQ26" s="184">
        <v>0.5</v>
      </c>
      <c r="AR26" s="184">
        <v>0.54166666666666663</v>
      </c>
      <c r="AS26" s="185" t="str">
        <f t="shared" si="7"/>
        <v>8h</v>
      </c>
      <c r="AT26" s="186">
        <v>0.375</v>
      </c>
      <c r="AU26" s="186">
        <v>0.75</v>
      </c>
      <c r="AV26" s="186">
        <v>0.5</v>
      </c>
      <c r="AW26" s="186">
        <v>0.54166666666666663</v>
      </c>
      <c r="AX26" s="187" t="str">
        <f t="shared" si="8"/>
        <v>8h</v>
      </c>
      <c r="AY26" s="310"/>
      <c r="AZ26" s="310"/>
      <c r="BA26" s="310"/>
      <c r="BC26" s="176"/>
      <c r="BD26" s="181">
        <f t="shared" si="39"/>
        <v>46129</v>
      </c>
      <c r="BE26" s="182" t="str">
        <f t="shared" si="9"/>
        <v>金</v>
      </c>
      <c r="BF26" s="182" t="s">
        <v>22</v>
      </c>
      <c r="BG26" s="183">
        <v>0.375</v>
      </c>
      <c r="BH26" s="183">
        <v>0.75</v>
      </c>
      <c r="BI26" s="184">
        <v>0.5</v>
      </c>
      <c r="BJ26" s="184">
        <v>0.54166666666666663</v>
      </c>
      <c r="BK26" s="185" t="str">
        <f t="shared" si="10"/>
        <v>8h</v>
      </c>
      <c r="BL26" s="186">
        <v>0.375</v>
      </c>
      <c r="BM26" s="186">
        <v>0.75</v>
      </c>
      <c r="BN26" s="186">
        <v>0.5</v>
      </c>
      <c r="BO26" s="186">
        <v>0.54166666666666663</v>
      </c>
      <c r="BP26" s="187" t="str">
        <f t="shared" si="11"/>
        <v>8h</v>
      </c>
      <c r="BQ26" s="310"/>
      <c r="BR26" s="310"/>
      <c r="BS26" s="310"/>
      <c r="BU26" s="176"/>
      <c r="BV26" s="181">
        <f t="shared" si="40"/>
        <v>46159</v>
      </c>
      <c r="BW26" s="182" t="str">
        <f t="shared" si="12"/>
        <v>日</v>
      </c>
      <c r="BX26" s="182"/>
      <c r="BY26" s="183"/>
      <c r="BZ26" s="183"/>
      <c r="CA26" s="184"/>
      <c r="CB26" s="184"/>
      <c r="CC26" s="185" t="str">
        <f t="shared" si="13"/>
        <v/>
      </c>
      <c r="CD26" s="186"/>
      <c r="CE26" s="186"/>
      <c r="CF26" s="186"/>
      <c r="CG26" s="186"/>
      <c r="CH26" s="187" t="str">
        <f t="shared" si="14"/>
        <v/>
      </c>
      <c r="CI26" s="310"/>
      <c r="CJ26" s="310"/>
      <c r="CK26" s="310"/>
      <c r="CM26" s="176"/>
      <c r="CN26" s="181">
        <f t="shared" si="41"/>
        <v>46190</v>
      </c>
      <c r="CO26" s="182" t="str">
        <f t="shared" si="15"/>
        <v>水</v>
      </c>
      <c r="CP26" s="182" t="s">
        <v>22</v>
      </c>
      <c r="CQ26" s="183">
        <v>0.375</v>
      </c>
      <c r="CR26" s="183">
        <v>0.75</v>
      </c>
      <c r="CS26" s="184">
        <v>0.5</v>
      </c>
      <c r="CT26" s="184">
        <v>0.54166666666666663</v>
      </c>
      <c r="CU26" s="185" t="str">
        <f t="shared" si="16"/>
        <v>8h</v>
      </c>
      <c r="CV26" s="186">
        <v>0.375</v>
      </c>
      <c r="CW26" s="186">
        <v>0.75</v>
      </c>
      <c r="CX26" s="186">
        <v>0.5</v>
      </c>
      <c r="CY26" s="186">
        <v>0.54166666666666663</v>
      </c>
      <c r="CZ26" s="187" t="str">
        <f t="shared" si="17"/>
        <v>8h</v>
      </c>
      <c r="DA26" s="310"/>
      <c r="DB26" s="310"/>
      <c r="DC26" s="310"/>
      <c r="DE26" s="176"/>
      <c r="DF26" s="181">
        <f t="shared" si="42"/>
        <v>46220</v>
      </c>
      <c r="DG26" s="182" t="str">
        <f t="shared" si="18"/>
        <v>金</v>
      </c>
      <c r="DH26" s="182" t="s">
        <v>22</v>
      </c>
      <c r="DI26" s="183">
        <v>0.375</v>
      </c>
      <c r="DJ26" s="183">
        <v>0.75</v>
      </c>
      <c r="DK26" s="184">
        <v>0.5</v>
      </c>
      <c r="DL26" s="184">
        <v>0.54166666666666663</v>
      </c>
      <c r="DM26" s="185" t="str">
        <f t="shared" si="19"/>
        <v>8h</v>
      </c>
      <c r="DN26" s="186">
        <v>0.375</v>
      </c>
      <c r="DO26" s="186">
        <v>0.75</v>
      </c>
      <c r="DP26" s="186">
        <v>0.5</v>
      </c>
      <c r="DQ26" s="186">
        <v>0.54166666666666663</v>
      </c>
      <c r="DR26" s="187" t="str">
        <f t="shared" si="20"/>
        <v>8h</v>
      </c>
      <c r="DS26" s="310"/>
      <c r="DT26" s="310"/>
      <c r="DU26" s="310"/>
      <c r="DW26" s="176"/>
      <c r="DX26" s="181">
        <f t="shared" si="43"/>
        <v>46251</v>
      </c>
      <c r="DY26" s="182" t="str">
        <f t="shared" si="21"/>
        <v>月</v>
      </c>
      <c r="DZ26" s="182" t="s">
        <v>22</v>
      </c>
      <c r="EA26" s="183">
        <v>0.375</v>
      </c>
      <c r="EB26" s="183">
        <v>0.75</v>
      </c>
      <c r="EC26" s="184">
        <v>0.5</v>
      </c>
      <c r="ED26" s="184">
        <v>0.54166666666666663</v>
      </c>
      <c r="EE26" s="185" t="str">
        <f t="shared" si="22"/>
        <v>8h</v>
      </c>
      <c r="EF26" s="186">
        <v>0.375</v>
      </c>
      <c r="EG26" s="186">
        <v>0.75</v>
      </c>
      <c r="EH26" s="186">
        <v>0.5</v>
      </c>
      <c r="EI26" s="186">
        <v>0.54166666666666663</v>
      </c>
      <c r="EJ26" s="187" t="str">
        <f t="shared" si="23"/>
        <v>8h</v>
      </c>
      <c r="EK26" s="310"/>
      <c r="EL26" s="310"/>
      <c r="EM26" s="310"/>
      <c r="EO26" s="176"/>
      <c r="EP26" s="181">
        <f t="shared" si="44"/>
        <v>46282</v>
      </c>
      <c r="EQ26" s="182" t="str">
        <f t="shared" si="24"/>
        <v>木</v>
      </c>
      <c r="ER26" s="182" t="s">
        <v>22</v>
      </c>
      <c r="ES26" s="183">
        <v>0.375</v>
      </c>
      <c r="ET26" s="183">
        <v>0.75</v>
      </c>
      <c r="EU26" s="184">
        <v>0.5</v>
      </c>
      <c r="EV26" s="184">
        <v>0.54166666666666663</v>
      </c>
      <c r="EW26" s="185" t="str">
        <f t="shared" si="25"/>
        <v>8h</v>
      </c>
      <c r="EX26" s="186">
        <v>0.375</v>
      </c>
      <c r="EY26" s="186">
        <v>0.75</v>
      </c>
      <c r="EZ26" s="186">
        <v>0.5</v>
      </c>
      <c r="FA26" s="186">
        <v>0.54166666666666663</v>
      </c>
      <c r="FB26" s="187" t="str">
        <f t="shared" si="26"/>
        <v>8h</v>
      </c>
      <c r="FC26" s="310"/>
      <c r="FD26" s="310"/>
      <c r="FE26" s="310"/>
      <c r="FG26" s="176"/>
      <c r="FH26" s="181">
        <f t="shared" si="45"/>
        <v>46312</v>
      </c>
      <c r="FI26" s="182" t="str">
        <f t="shared" si="27"/>
        <v>土</v>
      </c>
      <c r="FJ26" s="182"/>
      <c r="FK26" s="183"/>
      <c r="FL26" s="183"/>
      <c r="FM26" s="184"/>
      <c r="FN26" s="184"/>
      <c r="FO26" s="185" t="str">
        <f t="shared" si="28"/>
        <v/>
      </c>
      <c r="FP26" s="186"/>
      <c r="FQ26" s="186"/>
      <c r="FR26" s="186"/>
      <c r="FS26" s="186"/>
      <c r="FT26" s="187" t="str">
        <f t="shared" si="29"/>
        <v/>
      </c>
      <c r="FU26" s="310"/>
      <c r="FV26" s="310"/>
      <c r="FW26" s="310"/>
      <c r="FY26" s="176"/>
      <c r="FZ26" s="181">
        <f t="shared" si="46"/>
        <v>46343</v>
      </c>
      <c r="GA26" s="182" t="str">
        <f t="shared" si="30"/>
        <v>火</v>
      </c>
      <c r="GB26" s="182" t="s">
        <v>22</v>
      </c>
      <c r="GC26" s="183">
        <v>0.375</v>
      </c>
      <c r="GD26" s="183">
        <v>0.75</v>
      </c>
      <c r="GE26" s="184">
        <v>0.5</v>
      </c>
      <c r="GF26" s="184">
        <v>0.54166666666666663</v>
      </c>
      <c r="GG26" s="185" t="str">
        <f t="shared" si="31"/>
        <v>8h</v>
      </c>
      <c r="GH26" s="186">
        <v>0.375</v>
      </c>
      <c r="GI26" s="186">
        <v>0.75</v>
      </c>
      <c r="GJ26" s="186">
        <v>0.5</v>
      </c>
      <c r="GK26" s="186">
        <v>0.54166666666666663</v>
      </c>
      <c r="GL26" s="187" t="str">
        <f t="shared" si="32"/>
        <v>8h</v>
      </c>
      <c r="GM26" s="310"/>
      <c r="GN26" s="310"/>
      <c r="GO26" s="310"/>
      <c r="GQ26" s="176"/>
      <c r="GR26" s="181">
        <f t="shared" si="47"/>
        <v>46373</v>
      </c>
      <c r="GS26" s="182" t="str">
        <f t="shared" si="33"/>
        <v>木</v>
      </c>
      <c r="GT26" s="182" t="s">
        <v>22</v>
      </c>
      <c r="GU26" s="183">
        <v>0.375</v>
      </c>
      <c r="GV26" s="183">
        <v>0.75</v>
      </c>
      <c r="GW26" s="184">
        <v>0.5</v>
      </c>
      <c r="GX26" s="184">
        <v>0.54166666666666663</v>
      </c>
      <c r="GY26" s="185" t="str">
        <f t="shared" si="34"/>
        <v>8h</v>
      </c>
      <c r="GZ26" s="186">
        <v>0.375</v>
      </c>
      <c r="HA26" s="186">
        <v>0.75</v>
      </c>
      <c r="HB26" s="186">
        <v>0.5</v>
      </c>
      <c r="HC26" s="186">
        <v>0.54166666666666663</v>
      </c>
      <c r="HD26" s="187" t="str">
        <f t="shared" si="35"/>
        <v>8h</v>
      </c>
      <c r="HE26" s="310"/>
      <c r="HF26" s="310"/>
      <c r="HG26" s="310"/>
    </row>
    <row r="27" spans="1:215" x14ac:dyDescent="0.45">
      <c r="A27" s="176"/>
      <c r="B27" s="181">
        <f t="shared" si="36"/>
        <v>46040</v>
      </c>
      <c r="C27" s="182" t="str">
        <f t="shared" si="0"/>
        <v>日</v>
      </c>
      <c r="D27" s="182"/>
      <c r="E27" s="183"/>
      <c r="F27" s="183"/>
      <c r="G27" s="184"/>
      <c r="H27" s="184"/>
      <c r="I27" s="185" t="str">
        <f t="shared" si="1"/>
        <v/>
      </c>
      <c r="J27" s="186"/>
      <c r="K27" s="186"/>
      <c r="L27" s="186"/>
      <c r="M27" s="186"/>
      <c r="N27" s="187" t="str">
        <f t="shared" si="2"/>
        <v/>
      </c>
      <c r="O27" s="310"/>
      <c r="P27" s="310"/>
      <c r="Q27" s="310"/>
      <c r="S27" s="176"/>
      <c r="T27" s="181">
        <f t="shared" si="37"/>
        <v>46071</v>
      </c>
      <c r="U27" s="182" t="str">
        <f t="shared" si="3"/>
        <v>水</v>
      </c>
      <c r="V27" s="182" t="s">
        <v>22</v>
      </c>
      <c r="W27" s="183">
        <v>0.375</v>
      </c>
      <c r="X27" s="183">
        <v>0.75</v>
      </c>
      <c r="Y27" s="184">
        <v>0.5</v>
      </c>
      <c r="Z27" s="184">
        <v>0.54166666666666663</v>
      </c>
      <c r="AA27" s="185" t="str">
        <f t="shared" si="4"/>
        <v>8h</v>
      </c>
      <c r="AB27" s="186">
        <v>0.375</v>
      </c>
      <c r="AC27" s="186">
        <v>0.75</v>
      </c>
      <c r="AD27" s="186">
        <v>0.5</v>
      </c>
      <c r="AE27" s="186">
        <v>0.54166666666666663</v>
      </c>
      <c r="AF27" s="187" t="str">
        <f t="shared" si="5"/>
        <v>8h</v>
      </c>
      <c r="AG27" s="310"/>
      <c r="AH27" s="310"/>
      <c r="AI27" s="310"/>
      <c r="AK27" s="176"/>
      <c r="AL27" s="181">
        <f t="shared" si="38"/>
        <v>46099</v>
      </c>
      <c r="AM27" s="182" t="str">
        <f t="shared" si="6"/>
        <v>水</v>
      </c>
      <c r="AN27" s="182" t="s">
        <v>22</v>
      </c>
      <c r="AO27" s="183">
        <v>0.375</v>
      </c>
      <c r="AP27" s="183">
        <v>0.75</v>
      </c>
      <c r="AQ27" s="184">
        <v>0.5</v>
      </c>
      <c r="AR27" s="184">
        <v>0.54166666666666663</v>
      </c>
      <c r="AS27" s="185" t="str">
        <f t="shared" si="7"/>
        <v>8h</v>
      </c>
      <c r="AT27" s="186">
        <v>0.375</v>
      </c>
      <c r="AU27" s="186">
        <v>0.75</v>
      </c>
      <c r="AV27" s="186">
        <v>0.5</v>
      </c>
      <c r="AW27" s="186">
        <v>0.54166666666666663</v>
      </c>
      <c r="AX27" s="187" t="str">
        <f t="shared" si="8"/>
        <v>8h</v>
      </c>
      <c r="AY27" s="310"/>
      <c r="AZ27" s="310"/>
      <c r="BA27" s="310"/>
      <c r="BC27" s="176"/>
      <c r="BD27" s="181">
        <f t="shared" si="39"/>
        <v>46130</v>
      </c>
      <c r="BE27" s="182" t="str">
        <f t="shared" si="9"/>
        <v>土</v>
      </c>
      <c r="BF27" s="182"/>
      <c r="BG27" s="183"/>
      <c r="BH27" s="183"/>
      <c r="BI27" s="184"/>
      <c r="BJ27" s="184"/>
      <c r="BK27" s="185" t="str">
        <f t="shared" si="10"/>
        <v/>
      </c>
      <c r="BL27" s="186"/>
      <c r="BM27" s="186"/>
      <c r="BN27" s="186"/>
      <c r="BO27" s="186"/>
      <c r="BP27" s="187" t="str">
        <f t="shared" si="11"/>
        <v/>
      </c>
      <c r="BQ27" s="310"/>
      <c r="BR27" s="310"/>
      <c r="BS27" s="310"/>
      <c r="BU27" s="176"/>
      <c r="BV27" s="181">
        <f t="shared" si="40"/>
        <v>46160</v>
      </c>
      <c r="BW27" s="182" t="str">
        <f t="shared" si="12"/>
        <v>月</v>
      </c>
      <c r="BX27" s="182" t="s">
        <v>22</v>
      </c>
      <c r="BY27" s="183">
        <v>0.375</v>
      </c>
      <c r="BZ27" s="183">
        <v>0.75</v>
      </c>
      <c r="CA27" s="184">
        <v>0.5</v>
      </c>
      <c r="CB27" s="184">
        <v>0.54166666666666663</v>
      </c>
      <c r="CC27" s="185" t="str">
        <f t="shared" si="13"/>
        <v>8h</v>
      </c>
      <c r="CD27" s="186">
        <v>0.375</v>
      </c>
      <c r="CE27" s="186">
        <v>0.75</v>
      </c>
      <c r="CF27" s="186">
        <v>0.5</v>
      </c>
      <c r="CG27" s="186">
        <v>0.54166666666666663</v>
      </c>
      <c r="CH27" s="187" t="str">
        <f t="shared" si="14"/>
        <v>8h</v>
      </c>
      <c r="CI27" s="310"/>
      <c r="CJ27" s="310"/>
      <c r="CK27" s="310"/>
      <c r="CM27" s="176"/>
      <c r="CN27" s="181">
        <f t="shared" si="41"/>
        <v>46191</v>
      </c>
      <c r="CO27" s="182" t="str">
        <f t="shared" si="15"/>
        <v>木</v>
      </c>
      <c r="CP27" s="182" t="s">
        <v>22</v>
      </c>
      <c r="CQ27" s="183">
        <v>0.375</v>
      </c>
      <c r="CR27" s="183">
        <v>0.75</v>
      </c>
      <c r="CS27" s="184">
        <v>0.5</v>
      </c>
      <c r="CT27" s="184">
        <v>0.54166666666666663</v>
      </c>
      <c r="CU27" s="185" t="str">
        <f t="shared" si="16"/>
        <v>8h</v>
      </c>
      <c r="CV27" s="186">
        <v>0.375</v>
      </c>
      <c r="CW27" s="186">
        <v>0.75</v>
      </c>
      <c r="CX27" s="186">
        <v>0.5</v>
      </c>
      <c r="CY27" s="186">
        <v>0.54166666666666663</v>
      </c>
      <c r="CZ27" s="187" t="str">
        <f t="shared" si="17"/>
        <v>8h</v>
      </c>
      <c r="DA27" s="310"/>
      <c r="DB27" s="310"/>
      <c r="DC27" s="310"/>
      <c r="DE27" s="176"/>
      <c r="DF27" s="181">
        <f t="shared" si="42"/>
        <v>46221</v>
      </c>
      <c r="DG27" s="182" t="str">
        <f t="shared" si="18"/>
        <v>土</v>
      </c>
      <c r="DH27" s="182"/>
      <c r="DI27" s="183"/>
      <c r="DJ27" s="183"/>
      <c r="DK27" s="184"/>
      <c r="DL27" s="184"/>
      <c r="DM27" s="185" t="str">
        <f t="shared" si="19"/>
        <v/>
      </c>
      <c r="DN27" s="186"/>
      <c r="DO27" s="186"/>
      <c r="DP27" s="186"/>
      <c r="DQ27" s="186"/>
      <c r="DR27" s="187" t="str">
        <f t="shared" si="20"/>
        <v/>
      </c>
      <c r="DS27" s="310"/>
      <c r="DT27" s="310"/>
      <c r="DU27" s="310"/>
      <c r="DW27" s="176"/>
      <c r="DX27" s="181">
        <f t="shared" si="43"/>
        <v>46252</v>
      </c>
      <c r="DY27" s="182" t="str">
        <f t="shared" si="21"/>
        <v>火</v>
      </c>
      <c r="DZ27" s="182" t="s">
        <v>22</v>
      </c>
      <c r="EA27" s="183">
        <v>0.375</v>
      </c>
      <c r="EB27" s="183">
        <v>0.75</v>
      </c>
      <c r="EC27" s="184">
        <v>0.5</v>
      </c>
      <c r="ED27" s="184">
        <v>0.54166666666666663</v>
      </c>
      <c r="EE27" s="185" t="str">
        <f t="shared" si="22"/>
        <v>8h</v>
      </c>
      <c r="EF27" s="186">
        <v>0.375</v>
      </c>
      <c r="EG27" s="186">
        <v>0.75</v>
      </c>
      <c r="EH27" s="186">
        <v>0.5</v>
      </c>
      <c r="EI27" s="186">
        <v>0.54166666666666663</v>
      </c>
      <c r="EJ27" s="187" t="str">
        <f t="shared" si="23"/>
        <v>8h</v>
      </c>
      <c r="EK27" s="310"/>
      <c r="EL27" s="310"/>
      <c r="EM27" s="310"/>
      <c r="EO27" s="176"/>
      <c r="EP27" s="181">
        <f t="shared" si="44"/>
        <v>46283</v>
      </c>
      <c r="EQ27" s="182" t="str">
        <f t="shared" si="24"/>
        <v>金</v>
      </c>
      <c r="ER27" s="182" t="s">
        <v>22</v>
      </c>
      <c r="ES27" s="183">
        <v>0.375</v>
      </c>
      <c r="ET27" s="183">
        <v>0.75</v>
      </c>
      <c r="EU27" s="184">
        <v>0.5</v>
      </c>
      <c r="EV27" s="184">
        <v>0.54166666666666663</v>
      </c>
      <c r="EW27" s="185" t="str">
        <f t="shared" si="25"/>
        <v>8h</v>
      </c>
      <c r="EX27" s="186">
        <v>0.375</v>
      </c>
      <c r="EY27" s="186">
        <v>0.75</v>
      </c>
      <c r="EZ27" s="186">
        <v>0.5</v>
      </c>
      <c r="FA27" s="186">
        <v>0.54166666666666663</v>
      </c>
      <c r="FB27" s="187" t="str">
        <f t="shared" si="26"/>
        <v>8h</v>
      </c>
      <c r="FC27" s="310"/>
      <c r="FD27" s="310"/>
      <c r="FE27" s="310"/>
      <c r="FG27" s="176"/>
      <c r="FH27" s="181">
        <f t="shared" si="45"/>
        <v>46313</v>
      </c>
      <c r="FI27" s="182" t="str">
        <f t="shared" si="27"/>
        <v>日</v>
      </c>
      <c r="FJ27" s="182"/>
      <c r="FK27" s="183"/>
      <c r="FL27" s="183"/>
      <c r="FM27" s="184"/>
      <c r="FN27" s="184"/>
      <c r="FO27" s="185" t="str">
        <f t="shared" si="28"/>
        <v/>
      </c>
      <c r="FP27" s="186"/>
      <c r="FQ27" s="186"/>
      <c r="FR27" s="186"/>
      <c r="FS27" s="186"/>
      <c r="FT27" s="187" t="str">
        <f t="shared" si="29"/>
        <v/>
      </c>
      <c r="FU27" s="310"/>
      <c r="FV27" s="310"/>
      <c r="FW27" s="310"/>
      <c r="FY27" s="176"/>
      <c r="FZ27" s="181">
        <f t="shared" si="46"/>
        <v>46344</v>
      </c>
      <c r="GA27" s="182" t="str">
        <f t="shared" si="30"/>
        <v>水</v>
      </c>
      <c r="GB27" s="182" t="s">
        <v>22</v>
      </c>
      <c r="GC27" s="183">
        <v>0.375</v>
      </c>
      <c r="GD27" s="183">
        <v>0.75</v>
      </c>
      <c r="GE27" s="184">
        <v>0.5</v>
      </c>
      <c r="GF27" s="184">
        <v>0.54166666666666663</v>
      </c>
      <c r="GG27" s="185" t="str">
        <f t="shared" si="31"/>
        <v>8h</v>
      </c>
      <c r="GH27" s="186">
        <v>0.375</v>
      </c>
      <c r="GI27" s="186">
        <v>0.75</v>
      </c>
      <c r="GJ27" s="186">
        <v>0.5</v>
      </c>
      <c r="GK27" s="186">
        <v>0.54166666666666663</v>
      </c>
      <c r="GL27" s="187" t="str">
        <f t="shared" si="32"/>
        <v>8h</v>
      </c>
      <c r="GM27" s="310"/>
      <c r="GN27" s="310"/>
      <c r="GO27" s="310"/>
      <c r="GQ27" s="176"/>
      <c r="GR27" s="181">
        <f t="shared" si="47"/>
        <v>46374</v>
      </c>
      <c r="GS27" s="182" t="str">
        <f t="shared" si="33"/>
        <v>金</v>
      </c>
      <c r="GT27" s="182" t="s">
        <v>22</v>
      </c>
      <c r="GU27" s="183">
        <v>0.375</v>
      </c>
      <c r="GV27" s="183">
        <v>0.75</v>
      </c>
      <c r="GW27" s="184">
        <v>0.5</v>
      </c>
      <c r="GX27" s="184">
        <v>0.54166666666666663</v>
      </c>
      <c r="GY27" s="185" t="str">
        <f t="shared" si="34"/>
        <v>8h</v>
      </c>
      <c r="GZ27" s="186">
        <v>0.375</v>
      </c>
      <c r="HA27" s="186">
        <v>0.75</v>
      </c>
      <c r="HB27" s="186">
        <v>0.5</v>
      </c>
      <c r="HC27" s="186">
        <v>0.54166666666666663</v>
      </c>
      <c r="HD27" s="187" t="str">
        <f t="shared" si="35"/>
        <v>8h</v>
      </c>
      <c r="HE27" s="310"/>
      <c r="HF27" s="310"/>
      <c r="HG27" s="310"/>
    </row>
    <row r="28" spans="1:215" x14ac:dyDescent="0.45">
      <c r="A28" s="176"/>
      <c r="B28" s="181">
        <f t="shared" si="36"/>
        <v>46041</v>
      </c>
      <c r="C28" s="182" t="str">
        <f t="shared" si="0"/>
        <v>月</v>
      </c>
      <c r="D28" s="182" t="s">
        <v>22</v>
      </c>
      <c r="E28" s="183">
        <v>0.375</v>
      </c>
      <c r="F28" s="183">
        <v>0.75</v>
      </c>
      <c r="G28" s="184">
        <v>0.5</v>
      </c>
      <c r="H28" s="184">
        <v>0.54166666666666663</v>
      </c>
      <c r="I28" s="185" t="str">
        <f t="shared" si="1"/>
        <v>8h</v>
      </c>
      <c r="J28" s="186">
        <v>0.375</v>
      </c>
      <c r="K28" s="186">
        <v>0.75</v>
      </c>
      <c r="L28" s="186">
        <v>0.5</v>
      </c>
      <c r="M28" s="186">
        <v>0.54166666666666663</v>
      </c>
      <c r="N28" s="187" t="str">
        <f t="shared" si="2"/>
        <v>8h</v>
      </c>
      <c r="O28" s="310"/>
      <c r="P28" s="310"/>
      <c r="Q28" s="310"/>
      <c r="S28" s="176"/>
      <c r="T28" s="181">
        <f t="shared" si="37"/>
        <v>46072</v>
      </c>
      <c r="U28" s="182" t="str">
        <f t="shared" si="3"/>
        <v>木</v>
      </c>
      <c r="V28" s="182" t="s">
        <v>22</v>
      </c>
      <c r="W28" s="183">
        <v>0.375</v>
      </c>
      <c r="X28" s="183">
        <v>0.75</v>
      </c>
      <c r="Y28" s="184">
        <v>0.5</v>
      </c>
      <c r="Z28" s="184">
        <v>0.54166666666666663</v>
      </c>
      <c r="AA28" s="185" t="str">
        <f t="shared" si="4"/>
        <v>8h</v>
      </c>
      <c r="AB28" s="186">
        <v>0.375</v>
      </c>
      <c r="AC28" s="186">
        <v>0.75</v>
      </c>
      <c r="AD28" s="186">
        <v>0.5</v>
      </c>
      <c r="AE28" s="186">
        <v>0.54166666666666663</v>
      </c>
      <c r="AF28" s="187" t="str">
        <f t="shared" si="5"/>
        <v>8h</v>
      </c>
      <c r="AG28" s="310"/>
      <c r="AH28" s="310"/>
      <c r="AI28" s="310"/>
      <c r="AK28" s="176"/>
      <c r="AL28" s="181">
        <f t="shared" si="38"/>
        <v>46100</v>
      </c>
      <c r="AM28" s="182" t="str">
        <f t="shared" si="6"/>
        <v>木</v>
      </c>
      <c r="AN28" s="182" t="s">
        <v>22</v>
      </c>
      <c r="AO28" s="183">
        <v>0.375</v>
      </c>
      <c r="AP28" s="183">
        <v>0.75</v>
      </c>
      <c r="AQ28" s="184">
        <v>0.5</v>
      </c>
      <c r="AR28" s="184">
        <v>0.54166666666666663</v>
      </c>
      <c r="AS28" s="185" t="str">
        <f t="shared" si="7"/>
        <v>8h</v>
      </c>
      <c r="AT28" s="186">
        <v>0.375</v>
      </c>
      <c r="AU28" s="186">
        <v>0.75</v>
      </c>
      <c r="AV28" s="186">
        <v>0.5</v>
      </c>
      <c r="AW28" s="186">
        <v>0.54166666666666663</v>
      </c>
      <c r="AX28" s="187" t="str">
        <f t="shared" si="8"/>
        <v>8h</v>
      </c>
      <c r="AY28" s="310"/>
      <c r="AZ28" s="310"/>
      <c r="BA28" s="310"/>
      <c r="BC28" s="176"/>
      <c r="BD28" s="181">
        <f t="shared" si="39"/>
        <v>46131</v>
      </c>
      <c r="BE28" s="182" t="str">
        <f t="shared" si="9"/>
        <v>日</v>
      </c>
      <c r="BF28" s="182"/>
      <c r="BG28" s="183"/>
      <c r="BH28" s="183"/>
      <c r="BI28" s="184"/>
      <c r="BJ28" s="184"/>
      <c r="BK28" s="185" t="str">
        <f t="shared" si="10"/>
        <v/>
      </c>
      <c r="BL28" s="186"/>
      <c r="BM28" s="186"/>
      <c r="BN28" s="186"/>
      <c r="BO28" s="186"/>
      <c r="BP28" s="187" t="str">
        <f t="shared" si="11"/>
        <v/>
      </c>
      <c r="BQ28" s="310"/>
      <c r="BR28" s="310"/>
      <c r="BS28" s="310"/>
      <c r="BU28" s="176"/>
      <c r="BV28" s="181">
        <f t="shared" si="40"/>
        <v>46161</v>
      </c>
      <c r="BW28" s="182" t="str">
        <f t="shared" si="12"/>
        <v>火</v>
      </c>
      <c r="BX28" s="182" t="s">
        <v>22</v>
      </c>
      <c r="BY28" s="183">
        <v>0.375</v>
      </c>
      <c r="BZ28" s="183">
        <v>0.75</v>
      </c>
      <c r="CA28" s="184">
        <v>0.5</v>
      </c>
      <c r="CB28" s="184">
        <v>0.54166666666666663</v>
      </c>
      <c r="CC28" s="185" t="str">
        <f t="shared" si="13"/>
        <v>8h</v>
      </c>
      <c r="CD28" s="186">
        <v>0.375</v>
      </c>
      <c r="CE28" s="186">
        <v>0.75</v>
      </c>
      <c r="CF28" s="186">
        <v>0.5</v>
      </c>
      <c r="CG28" s="186">
        <v>0.54166666666666663</v>
      </c>
      <c r="CH28" s="187" t="str">
        <f t="shared" si="14"/>
        <v>8h</v>
      </c>
      <c r="CI28" s="310"/>
      <c r="CJ28" s="310"/>
      <c r="CK28" s="310"/>
      <c r="CM28" s="176"/>
      <c r="CN28" s="181">
        <f t="shared" si="41"/>
        <v>46192</v>
      </c>
      <c r="CO28" s="182" t="str">
        <f t="shared" si="15"/>
        <v>金</v>
      </c>
      <c r="CP28" s="182" t="s">
        <v>22</v>
      </c>
      <c r="CQ28" s="183">
        <v>0.375</v>
      </c>
      <c r="CR28" s="183">
        <v>0.75</v>
      </c>
      <c r="CS28" s="184">
        <v>0.5</v>
      </c>
      <c r="CT28" s="184">
        <v>0.54166666666666663</v>
      </c>
      <c r="CU28" s="185" t="str">
        <f t="shared" si="16"/>
        <v>8h</v>
      </c>
      <c r="CV28" s="186">
        <v>0.375</v>
      </c>
      <c r="CW28" s="186">
        <v>0.75</v>
      </c>
      <c r="CX28" s="186">
        <v>0.5</v>
      </c>
      <c r="CY28" s="186">
        <v>0.54166666666666663</v>
      </c>
      <c r="CZ28" s="187" t="str">
        <f t="shared" si="17"/>
        <v>8h</v>
      </c>
      <c r="DA28" s="310"/>
      <c r="DB28" s="310"/>
      <c r="DC28" s="310"/>
      <c r="DE28" s="176"/>
      <c r="DF28" s="181">
        <f t="shared" si="42"/>
        <v>46222</v>
      </c>
      <c r="DG28" s="182" t="str">
        <f t="shared" si="18"/>
        <v>日</v>
      </c>
      <c r="DH28" s="182"/>
      <c r="DI28" s="183"/>
      <c r="DJ28" s="183"/>
      <c r="DK28" s="184"/>
      <c r="DL28" s="184"/>
      <c r="DM28" s="185" t="str">
        <f t="shared" si="19"/>
        <v/>
      </c>
      <c r="DN28" s="186"/>
      <c r="DO28" s="186"/>
      <c r="DP28" s="186"/>
      <c r="DQ28" s="186"/>
      <c r="DR28" s="187" t="str">
        <f t="shared" si="20"/>
        <v/>
      </c>
      <c r="DS28" s="310"/>
      <c r="DT28" s="310"/>
      <c r="DU28" s="310"/>
      <c r="DW28" s="176"/>
      <c r="DX28" s="181">
        <f t="shared" si="43"/>
        <v>46253</v>
      </c>
      <c r="DY28" s="182" t="str">
        <f t="shared" si="21"/>
        <v>水</v>
      </c>
      <c r="DZ28" s="182" t="s">
        <v>22</v>
      </c>
      <c r="EA28" s="183">
        <v>0.375</v>
      </c>
      <c r="EB28" s="183">
        <v>0.75</v>
      </c>
      <c r="EC28" s="184">
        <v>0.5</v>
      </c>
      <c r="ED28" s="184">
        <v>0.54166666666666663</v>
      </c>
      <c r="EE28" s="185" t="str">
        <f t="shared" si="22"/>
        <v>8h</v>
      </c>
      <c r="EF28" s="186">
        <v>0.375</v>
      </c>
      <c r="EG28" s="186">
        <v>0.75</v>
      </c>
      <c r="EH28" s="186">
        <v>0.5</v>
      </c>
      <c r="EI28" s="186">
        <v>0.54166666666666663</v>
      </c>
      <c r="EJ28" s="187" t="str">
        <f t="shared" si="23"/>
        <v>8h</v>
      </c>
      <c r="EK28" s="310"/>
      <c r="EL28" s="310"/>
      <c r="EM28" s="310"/>
      <c r="EO28" s="176"/>
      <c r="EP28" s="181">
        <f t="shared" si="44"/>
        <v>46284</v>
      </c>
      <c r="EQ28" s="182" t="str">
        <f t="shared" si="24"/>
        <v>土</v>
      </c>
      <c r="ER28" s="182"/>
      <c r="ES28" s="183"/>
      <c r="ET28" s="183"/>
      <c r="EU28" s="184"/>
      <c r="EV28" s="184"/>
      <c r="EW28" s="185" t="str">
        <f t="shared" si="25"/>
        <v/>
      </c>
      <c r="EX28" s="186"/>
      <c r="EY28" s="186"/>
      <c r="EZ28" s="186"/>
      <c r="FA28" s="186"/>
      <c r="FB28" s="187" t="str">
        <f t="shared" si="26"/>
        <v/>
      </c>
      <c r="FC28" s="310"/>
      <c r="FD28" s="310"/>
      <c r="FE28" s="310"/>
      <c r="FG28" s="176"/>
      <c r="FH28" s="181">
        <f t="shared" si="45"/>
        <v>46314</v>
      </c>
      <c r="FI28" s="182" t="str">
        <f t="shared" si="27"/>
        <v>月</v>
      </c>
      <c r="FJ28" s="182" t="s">
        <v>22</v>
      </c>
      <c r="FK28" s="183">
        <v>0.375</v>
      </c>
      <c r="FL28" s="183">
        <v>0.75</v>
      </c>
      <c r="FM28" s="184">
        <v>0.5</v>
      </c>
      <c r="FN28" s="184">
        <v>0.54166666666666663</v>
      </c>
      <c r="FO28" s="185" t="str">
        <f t="shared" si="28"/>
        <v>8h</v>
      </c>
      <c r="FP28" s="186">
        <v>0.375</v>
      </c>
      <c r="FQ28" s="186">
        <v>0.75</v>
      </c>
      <c r="FR28" s="186">
        <v>0.5</v>
      </c>
      <c r="FS28" s="186">
        <v>0.54166666666666663</v>
      </c>
      <c r="FT28" s="187" t="str">
        <f t="shared" si="29"/>
        <v>8h</v>
      </c>
      <c r="FU28" s="310"/>
      <c r="FV28" s="310"/>
      <c r="FW28" s="310"/>
      <c r="FY28" s="176"/>
      <c r="FZ28" s="181">
        <f t="shared" si="46"/>
        <v>46345</v>
      </c>
      <c r="GA28" s="182" t="str">
        <f t="shared" si="30"/>
        <v>木</v>
      </c>
      <c r="GB28" s="182" t="s">
        <v>22</v>
      </c>
      <c r="GC28" s="183">
        <v>0.375</v>
      </c>
      <c r="GD28" s="183">
        <v>0.75</v>
      </c>
      <c r="GE28" s="184">
        <v>0.5</v>
      </c>
      <c r="GF28" s="184">
        <v>0.54166666666666663</v>
      </c>
      <c r="GG28" s="185" t="str">
        <f t="shared" si="31"/>
        <v>8h</v>
      </c>
      <c r="GH28" s="186">
        <v>0.375</v>
      </c>
      <c r="GI28" s="186">
        <v>0.75</v>
      </c>
      <c r="GJ28" s="186">
        <v>0.5</v>
      </c>
      <c r="GK28" s="186">
        <v>0.54166666666666663</v>
      </c>
      <c r="GL28" s="187" t="str">
        <f t="shared" si="32"/>
        <v>8h</v>
      </c>
      <c r="GM28" s="310"/>
      <c r="GN28" s="310"/>
      <c r="GO28" s="310"/>
      <c r="GQ28" s="176"/>
      <c r="GR28" s="181">
        <f t="shared" si="47"/>
        <v>46375</v>
      </c>
      <c r="GS28" s="182" t="str">
        <f t="shared" si="33"/>
        <v>土</v>
      </c>
      <c r="GT28" s="182"/>
      <c r="GU28" s="183"/>
      <c r="GV28" s="183"/>
      <c r="GW28" s="184"/>
      <c r="GX28" s="184"/>
      <c r="GY28" s="185" t="str">
        <f t="shared" si="34"/>
        <v/>
      </c>
      <c r="GZ28" s="186"/>
      <c r="HA28" s="186"/>
      <c r="HB28" s="186"/>
      <c r="HC28" s="186"/>
      <c r="HD28" s="187" t="str">
        <f t="shared" si="35"/>
        <v/>
      </c>
      <c r="HE28" s="310"/>
      <c r="HF28" s="310"/>
      <c r="HG28" s="310"/>
    </row>
    <row r="29" spans="1:215" x14ac:dyDescent="0.45">
      <c r="A29" s="176"/>
      <c r="B29" s="181">
        <f t="shared" si="36"/>
        <v>46042</v>
      </c>
      <c r="C29" s="182" t="str">
        <f t="shared" si="0"/>
        <v>火</v>
      </c>
      <c r="D29" s="182" t="s">
        <v>22</v>
      </c>
      <c r="E29" s="183">
        <v>0.375</v>
      </c>
      <c r="F29" s="183">
        <v>0.75</v>
      </c>
      <c r="G29" s="184">
        <v>0.5</v>
      </c>
      <c r="H29" s="184">
        <v>0.54166666666666663</v>
      </c>
      <c r="I29" s="185" t="str">
        <f t="shared" si="1"/>
        <v>8h</v>
      </c>
      <c r="J29" s="186">
        <v>0.375</v>
      </c>
      <c r="K29" s="186">
        <v>0.75</v>
      </c>
      <c r="L29" s="186">
        <v>0.5</v>
      </c>
      <c r="M29" s="186">
        <v>0.54166666666666663</v>
      </c>
      <c r="N29" s="187" t="str">
        <f t="shared" si="2"/>
        <v>8h</v>
      </c>
      <c r="O29" s="310"/>
      <c r="P29" s="310"/>
      <c r="Q29" s="310"/>
      <c r="S29" s="176"/>
      <c r="T29" s="181">
        <f t="shared" si="37"/>
        <v>46073</v>
      </c>
      <c r="U29" s="182" t="str">
        <f t="shared" si="3"/>
        <v>金</v>
      </c>
      <c r="V29" s="182" t="s">
        <v>22</v>
      </c>
      <c r="W29" s="183">
        <v>0.375</v>
      </c>
      <c r="X29" s="183">
        <v>0.75</v>
      </c>
      <c r="Y29" s="184">
        <v>0.5</v>
      </c>
      <c r="Z29" s="184">
        <v>0.54166666666666663</v>
      </c>
      <c r="AA29" s="185" t="str">
        <f t="shared" si="4"/>
        <v>8h</v>
      </c>
      <c r="AB29" s="186">
        <v>0.375</v>
      </c>
      <c r="AC29" s="186">
        <v>0.75</v>
      </c>
      <c r="AD29" s="186">
        <v>0.5</v>
      </c>
      <c r="AE29" s="186">
        <v>0.54166666666666663</v>
      </c>
      <c r="AF29" s="187" t="str">
        <f t="shared" si="5"/>
        <v>8h</v>
      </c>
      <c r="AG29" s="310"/>
      <c r="AH29" s="310"/>
      <c r="AI29" s="310"/>
      <c r="AK29" s="176"/>
      <c r="AL29" s="181">
        <f t="shared" si="38"/>
        <v>46101</v>
      </c>
      <c r="AM29" s="182" t="str">
        <f t="shared" si="6"/>
        <v>金</v>
      </c>
      <c r="AN29" s="182"/>
      <c r="AO29" s="183"/>
      <c r="AP29" s="183"/>
      <c r="AQ29" s="184"/>
      <c r="AR29" s="184"/>
      <c r="AS29" s="185" t="str">
        <f t="shared" si="7"/>
        <v/>
      </c>
      <c r="AT29" s="186"/>
      <c r="AU29" s="186"/>
      <c r="AV29" s="186"/>
      <c r="AW29" s="186"/>
      <c r="AX29" s="187" t="str">
        <f t="shared" si="8"/>
        <v/>
      </c>
      <c r="AY29" s="310"/>
      <c r="AZ29" s="310"/>
      <c r="BA29" s="310"/>
      <c r="BC29" s="176"/>
      <c r="BD29" s="181">
        <f t="shared" si="39"/>
        <v>46132</v>
      </c>
      <c r="BE29" s="182" t="str">
        <f t="shared" si="9"/>
        <v>月</v>
      </c>
      <c r="BF29" s="182" t="s">
        <v>22</v>
      </c>
      <c r="BG29" s="183">
        <v>0.375</v>
      </c>
      <c r="BH29" s="183">
        <v>0.75</v>
      </c>
      <c r="BI29" s="184">
        <v>0.5</v>
      </c>
      <c r="BJ29" s="184">
        <v>0.54166666666666663</v>
      </c>
      <c r="BK29" s="185" t="str">
        <f t="shared" si="10"/>
        <v>8h</v>
      </c>
      <c r="BL29" s="186">
        <v>0.375</v>
      </c>
      <c r="BM29" s="186">
        <v>0.75</v>
      </c>
      <c r="BN29" s="186">
        <v>0.5</v>
      </c>
      <c r="BO29" s="186">
        <v>0.54166666666666663</v>
      </c>
      <c r="BP29" s="187" t="str">
        <f t="shared" si="11"/>
        <v>8h</v>
      </c>
      <c r="BQ29" s="310"/>
      <c r="BR29" s="310"/>
      <c r="BS29" s="310"/>
      <c r="BU29" s="176"/>
      <c r="BV29" s="181">
        <f t="shared" si="40"/>
        <v>46162</v>
      </c>
      <c r="BW29" s="182" t="str">
        <f t="shared" si="12"/>
        <v>水</v>
      </c>
      <c r="BX29" s="182" t="s">
        <v>22</v>
      </c>
      <c r="BY29" s="183">
        <v>0.375</v>
      </c>
      <c r="BZ29" s="183">
        <v>0.75</v>
      </c>
      <c r="CA29" s="184">
        <v>0.5</v>
      </c>
      <c r="CB29" s="184">
        <v>0.54166666666666663</v>
      </c>
      <c r="CC29" s="185" t="str">
        <f t="shared" si="13"/>
        <v>8h</v>
      </c>
      <c r="CD29" s="186">
        <v>0.375</v>
      </c>
      <c r="CE29" s="186">
        <v>0.75</v>
      </c>
      <c r="CF29" s="186">
        <v>0.5</v>
      </c>
      <c r="CG29" s="186">
        <v>0.54166666666666663</v>
      </c>
      <c r="CH29" s="187" t="str">
        <f t="shared" si="14"/>
        <v>8h</v>
      </c>
      <c r="CI29" s="310"/>
      <c r="CJ29" s="310"/>
      <c r="CK29" s="310"/>
      <c r="CM29" s="176"/>
      <c r="CN29" s="181">
        <f t="shared" si="41"/>
        <v>46193</v>
      </c>
      <c r="CO29" s="182" t="str">
        <f t="shared" si="15"/>
        <v>土</v>
      </c>
      <c r="CP29" s="182"/>
      <c r="CQ29" s="183"/>
      <c r="CR29" s="183"/>
      <c r="CS29" s="184"/>
      <c r="CT29" s="184"/>
      <c r="CU29" s="185" t="str">
        <f t="shared" si="16"/>
        <v/>
      </c>
      <c r="CV29" s="186"/>
      <c r="CW29" s="186"/>
      <c r="CX29" s="186"/>
      <c r="CY29" s="186"/>
      <c r="CZ29" s="187" t="str">
        <f t="shared" si="17"/>
        <v/>
      </c>
      <c r="DA29" s="310"/>
      <c r="DB29" s="310"/>
      <c r="DC29" s="310"/>
      <c r="DE29" s="176"/>
      <c r="DF29" s="181">
        <f t="shared" si="42"/>
        <v>46223</v>
      </c>
      <c r="DG29" s="182" t="str">
        <f t="shared" si="18"/>
        <v>月</v>
      </c>
      <c r="DH29" s="182"/>
      <c r="DI29" s="183"/>
      <c r="DJ29" s="183"/>
      <c r="DK29" s="184"/>
      <c r="DL29" s="184"/>
      <c r="DM29" s="185" t="str">
        <f t="shared" si="19"/>
        <v/>
      </c>
      <c r="DN29" s="186"/>
      <c r="DO29" s="186"/>
      <c r="DP29" s="186"/>
      <c r="DQ29" s="186"/>
      <c r="DR29" s="187" t="str">
        <f t="shared" si="20"/>
        <v/>
      </c>
      <c r="DS29" s="310"/>
      <c r="DT29" s="310"/>
      <c r="DU29" s="310"/>
      <c r="DW29" s="176"/>
      <c r="DX29" s="181">
        <f t="shared" si="43"/>
        <v>46254</v>
      </c>
      <c r="DY29" s="182" t="str">
        <f t="shared" si="21"/>
        <v>木</v>
      </c>
      <c r="DZ29" s="182" t="s">
        <v>22</v>
      </c>
      <c r="EA29" s="183">
        <v>0.375</v>
      </c>
      <c r="EB29" s="183">
        <v>0.75</v>
      </c>
      <c r="EC29" s="184">
        <v>0.5</v>
      </c>
      <c r="ED29" s="184">
        <v>0.54166666666666663</v>
      </c>
      <c r="EE29" s="185" t="str">
        <f t="shared" si="22"/>
        <v>8h</v>
      </c>
      <c r="EF29" s="186">
        <v>0.375</v>
      </c>
      <c r="EG29" s="186">
        <v>0.75</v>
      </c>
      <c r="EH29" s="186">
        <v>0.5</v>
      </c>
      <c r="EI29" s="186">
        <v>0.54166666666666663</v>
      </c>
      <c r="EJ29" s="187" t="str">
        <f t="shared" si="23"/>
        <v>8h</v>
      </c>
      <c r="EK29" s="310"/>
      <c r="EL29" s="310"/>
      <c r="EM29" s="310"/>
      <c r="EO29" s="176"/>
      <c r="EP29" s="181">
        <f t="shared" si="44"/>
        <v>46285</v>
      </c>
      <c r="EQ29" s="182" t="str">
        <f t="shared" si="24"/>
        <v>日</v>
      </c>
      <c r="ER29" s="182"/>
      <c r="ES29" s="183"/>
      <c r="ET29" s="183"/>
      <c r="EU29" s="184"/>
      <c r="EV29" s="184"/>
      <c r="EW29" s="185" t="str">
        <f t="shared" si="25"/>
        <v/>
      </c>
      <c r="EX29" s="186"/>
      <c r="EY29" s="186"/>
      <c r="EZ29" s="186"/>
      <c r="FA29" s="186"/>
      <c r="FB29" s="187" t="str">
        <f t="shared" si="26"/>
        <v/>
      </c>
      <c r="FC29" s="310"/>
      <c r="FD29" s="310"/>
      <c r="FE29" s="310"/>
      <c r="FG29" s="176"/>
      <c r="FH29" s="181">
        <f t="shared" si="45"/>
        <v>46315</v>
      </c>
      <c r="FI29" s="182" t="str">
        <f t="shared" si="27"/>
        <v>火</v>
      </c>
      <c r="FJ29" s="182" t="s">
        <v>22</v>
      </c>
      <c r="FK29" s="183">
        <v>0.375</v>
      </c>
      <c r="FL29" s="183">
        <v>0.75</v>
      </c>
      <c r="FM29" s="184">
        <v>0.5</v>
      </c>
      <c r="FN29" s="184">
        <v>0.54166666666666663</v>
      </c>
      <c r="FO29" s="185" t="str">
        <f t="shared" si="28"/>
        <v>8h</v>
      </c>
      <c r="FP29" s="186">
        <v>0.375</v>
      </c>
      <c r="FQ29" s="186">
        <v>0.75</v>
      </c>
      <c r="FR29" s="186">
        <v>0.5</v>
      </c>
      <c r="FS29" s="186">
        <v>0.54166666666666663</v>
      </c>
      <c r="FT29" s="187" t="str">
        <f t="shared" si="29"/>
        <v>8h</v>
      </c>
      <c r="FU29" s="310"/>
      <c r="FV29" s="310"/>
      <c r="FW29" s="310"/>
      <c r="FY29" s="176"/>
      <c r="FZ29" s="181">
        <f t="shared" si="46"/>
        <v>46346</v>
      </c>
      <c r="GA29" s="182" t="str">
        <f t="shared" si="30"/>
        <v>金</v>
      </c>
      <c r="GB29" s="182" t="s">
        <v>22</v>
      </c>
      <c r="GC29" s="183">
        <v>0.375</v>
      </c>
      <c r="GD29" s="183">
        <v>0.75</v>
      </c>
      <c r="GE29" s="184">
        <v>0.5</v>
      </c>
      <c r="GF29" s="184">
        <v>0.54166666666666663</v>
      </c>
      <c r="GG29" s="185" t="str">
        <f t="shared" si="31"/>
        <v>8h</v>
      </c>
      <c r="GH29" s="186">
        <v>0.375</v>
      </c>
      <c r="GI29" s="186">
        <v>0.75</v>
      </c>
      <c r="GJ29" s="186">
        <v>0.5</v>
      </c>
      <c r="GK29" s="186">
        <v>0.54166666666666663</v>
      </c>
      <c r="GL29" s="187" t="str">
        <f t="shared" si="32"/>
        <v>8h</v>
      </c>
      <c r="GM29" s="310"/>
      <c r="GN29" s="310"/>
      <c r="GO29" s="310"/>
      <c r="GQ29" s="176"/>
      <c r="GR29" s="181">
        <f t="shared" si="47"/>
        <v>46376</v>
      </c>
      <c r="GS29" s="182" t="str">
        <f t="shared" si="33"/>
        <v>日</v>
      </c>
      <c r="GT29" s="182"/>
      <c r="GU29" s="183"/>
      <c r="GV29" s="183"/>
      <c r="GW29" s="184"/>
      <c r="GX29" s="184"/>
      <c r="GY29" s="185" t="str">
        <f t="shared" si="34"/>
        <v/>
      </c>
      <c r="GZ29" s="186"/>
      <c r="HA29" s="186"/>
      <c r="HB29" s="186"/>
      <c r="HC29" s="186"/>
      <c r="HD29" s="187" t="str">
        <f t="shared" si="35"/>
        <v/>
      </c>
      <c r="HE29" s="310"/>
      <c r="HF29" s="310"/>
      <c r="HG29" s="310"/>
    </row>
    <row r="30" spans="1:215" x14ac:dyDescent="0.45">
      <c r="A30" s="176"/>
      <c r="B30" s="181">
        <f t="shared" si="36"/>
        <v>46043</v>
      </c>
      <c r="C30" s="182" t="str">
        <f t="shared" si="0"/>
        <v>水</v>
      </c>
      <c r="D30" s="182" t="s">
        <v>22</v>
      </c>
      <c r="E30" s="183">
        <v>0.375</v>
      </c>
      <c r="F30" s="183">
        <v>0.75</v>
      </c>
      <c r="G30" s="184">
        <v>0.5</v>
      </c>
      <c r="H30" s="184">
        <v>0.54166666666666663</v>
      </c>
      <c r="I30" s="185" t="str">
        <f t="shared" si="1"/>
        <v>8h</v>
      </c>
      <c r="J30" s="186">
        <v>0.375</v>
      </c>
      <c r="K30" s="186">
        <v>0.75</v>
      </c>
      <c r="L30" s="186">
        <v>0.5</v>
      </c>
      <c r="M30" s="186">
        <v>0.54166666666666663</v>
      </c>
      <c r="N30" s="187" t="str">
        <f t="shared" si="2"/>
        <v>8h</v>
      </c>
      <c r="O30" s="310"/>
      <c r="P30" s="310"/>
      <c r="Q30" s="310"/>
      <c r="S30" s="176"/>
      <c r="T30" s="181">
        <f t="shared" si="37"/>
        <v>46074</v>
      </c>
      <c r="U30" s="182" t="str">
        <f t="shared" si="3"/>
        <v>土</v>
      </c>
      <c r="V30" s="182"/>
      <c r="W30" s="183"/>
      <c r="X30" s="183"/>
      <c r="Y30" s="184"/>
      <c r="Z30" s="184"/>
      <c r="AA30" s="185" t="str">
        <f t="shared" si="4"/>
        <v/>
      </c>
      <c r="AB30" s="186"/>
      <c r="AC30" s="186"/>
      <c r="AD30" s="186"/>
      <c r="AE30" s="186"/>
      <c r="AF30" s="187" t="str">
        <f t="shared" si="5"/>
        <v/>
      </c>
      <c r="AG30" s="310"/>
      <c r="AH30" s="310"/>
      <c r="AI30" s="310"/>
      <c r="AK30" s="176"/>
      <c r="AL30" s="181">
        <f t="shared" si="38"/>
        <v>46102</v>
      </c>
      <c r="AM30" s="182" t="str">
        <f t="shared" si="6"/>
        <v>土</v>
      </c>
      <c r="AN30" s="182"/>
      <c r="AO30" s="183"/>
      <c r="AP30" s="183"/>
      <c r="AQ30" s="184"/>
      <c r="AR30" s="184"/>
      <c r="AS30" s="185" t="str">
        <f t="shared" si="7"/>
        <v/>
      </c>
      <c r="AT30" s="186"/>
      <c r="AU30" s="186"/>
      <c r="AV30" s="186"/>
      <c r="AW30" s="186"/>
      <c r="AX30" s="187" t="str">
        <f t="shared" si="8"/>
        <v/>
      </c>
      <c r="AY30" s="310"/>
      <c r="AZ30" s="310"/>
      <c r="BA30" s="310"/>
      <c r="BC30" s="176"/>
      <c r="BD30" s="181">
        <f t="shared" si="39"/>
        <v>46133</v>
      </c>
      <c r="BE30" s="182" t="str">
        <f t="shared" si="9"/>
        <v>火</v>
      </c>
      <c r="BF30" s="182" t="s">
        <v>22</v>
      </c>
      <c r="BG30" s="183">
        <v>0.375</v>
      </c>
      <c r="BH30" s="183">
        <v>0.75</v>
      </c>
      <c r="BI30" s="184">
        <v>0.5</v>
      </c>
      <c r="BJ30" s="184">
        <v>0.54166666666666663</v>
      </c>
      <c r="BK30" s="185" t="str">
        <f t="shared" si="10"/>
        <v>8h</v>
      </c>
      <c r="BL30" s="186">
        <v>0.375</v>
      </c>
      <c r="BM30" s="186">
        <v>0.75</v>
      </c>
      <c r="BN30" s="186">
        <v>0.5</v>
      </c>
      <c r="BO30" s="186">
        <v>0.54166666666666663</v>
      </c>
      <c r="BP30" s="187" t="str">
        <f t="shared" si="11"/>
        <v>8h</v>
      </c>
      <c r="BQ30" s="310"/>
      <c r="BR30" s="310"/>
      <c r="BS30" s="310"/>
      <c r="BU30" s="176"/>
      <c r="BV30" s="181">
        <f t="shared" si="40"/>
        <v>46163</v>
      </c>
      <c r="BW30" s="182" t="str">
        <f t="shared" si="12"/>
        <v>木</v>
      </c>
      <c r="BX30" s="182" t="s">
        <v>22</v>
      </c>
      <c r="BY30" s="183">
        <v>0.375</v>
      </c>
      <c r="BZ30" s="183">
        <v>0.75</v>
      </c>
      <c r="CA30" s="184">
        <v>0.5</v>
      </c>
      <c r="CB30" s="184">
        <v>0.54166666666666663</v>
      </c>
      <c r="CC30" s="185" t="str">
        <f t="shared" si="13"/>
        <v>8h</v>
      </c>
      <c r="CD30" s="186">
        <v>0.375</v>
      </c>
      <c r="CE30" s="186">
        <v>0.75</v>
      </c>
      <c r="CF30" s="186">
        <v>0.5</v>
      </c>
      <c r="CG30" s="186">
        <v>0.54166666666666663</v>
      </c>
      <c r="CH30" s="187" t="str">
        <f t="shared" si="14"/>
        <v>8h</v>
      </c>
      <c r="CI30" s="310"/>
      <c r="CJ30" s="310"/>
      <c r="CK30" s="310"/>
      <c r="CM30" s="176"/>
      <c r="CN30" s="181">
        <f t="shared" si="41"/>
        <v>46194</v>
      </c>
      <c r="CO30" s="182" t="str">
        <f t="shared" si="15"/>
        <v>日</v>
      </c>
      <c r="CP30" s="182"/>
      <c r="CQ30" s="183"/>
      <c r="CR30" s="183"/>
      <c r="CS30" s="184"/>
      <c r="CT30" s="184"/>
      <c r="CU30" s="185" t="str">
        <f t="shared" si="16"/>
        <v/>
      </c>
      <c r="CV30" s="186"/>
      <c r="CW30" s="186"/>
      <c r="CX30" s="186"/>
      <c r="CY30" s="186"/>
      <c r="CZ30" s="187" t="str">
        <f t="shared" si="17"/>
        <v/>
      </c>
      <c r="DA30" s="310"/>
      <c r="DB30" s="310"/>
      <c r="DC30" s="310"/>
      <c r="DE30" s="176"/>
      <c r="DF30" s="181">
        <f t="shared" si="42"/>
        <v>46224</v>
      </c>
      <c r="DG30" s="182" t="str">
        <f t="shared" si="18"/>
        <v>火</v>
      </c>
      <c r="DH30" s="182" t="s">
        <v>22</v>
      </c>
      <c r="DI30" s="183">
        <v>0.375</v>
      </c>
      <c r="DJ30" s="183">
        <v>0.75</v>
      </c>
      <c r="DK30" s="184">
        <v>0.5</v>
      </c>
      <c r="DL30" s="184">
        <v>0.54166666666666663</v>
      </c>
      <c r="DM30" s="185" t="str">
        <f t="shared" si="19"/>
        <v>8h</v>
      </c>
      <c r="DN30" s="186">
        <v>0.375</v>
      </c>
      <c r="DO30" s="186">
        <v>0.75</v>
      </c>
      <c r="DP30" s="186">
        <v>0.5</v>
      </c>
      <c r="DQ30" s="186">
        <v>0.54166666666666663</v>
      </c>
      <c r="DR30" s="187" t="str">
        <f t="shared" si="20"/>
        <v>8h</v>
      </c>
      <c r="DS30" s="310"/>
      <c r="DT30" s="310"/>
      <c r="DU30" s="310"/>
      <c r="DW30" s="176"/>
      <c r="DX30" s="181">
        <f t="shared" si="43"/>
        <v>46255</v>
      </c>
      <c r="DY30" s="182" t="str">
        <f t="shared" si="21"/>
        <v>金</v>
      </c>
      <c r="DZ30" s="182" t="s">
        <v>22</v>
      </c>
      <c r="EA30" s="183">
        <v>0.375</v>
      </c>
      <c r="EB30" s="183">
        <v>0.75</v>
      </c>
      <c r="EC30" s="184">
        <v>0.5</v>
      </c>
      <c r="ED30" s="184">
        <v>0.54166666666666663</v>
      </c>
      <c r="EE30" s="185" t="str">
        <f t="shared" si="22"/>
        <v>8h</v>
      </c>
      <c r="EF30" s="186">
        <v>0.375</v>
      </c>
      <c r="EG30" s="186">
        <v>0.75</v>
      </c>
      <c r="EH30" s="186">
        <v>0.5</v>
      </c>
      <c r="EI30" s="186">
        <v>0.54166666666666663</v>
      </c>
      <c r="EJ30" s="187" t="str">
        <f t="shared" si="23"/>
        <v>8h</v>
      </c>
      <c r="EK30" s="310"/>
      <c r="EL30" s="310"/>
      <c r="EM30" s="310"/>
      <c r="EO30" s="176"/>
      <c r="EP30" s="181">
        <f t="shared" si="44"/>
        <v>46286</v>
      </c>
      <c r="EQ30" s="182" t="str">
        <f t="shared" si="24"/>
        <v>月</v>
      </c>
      <c r="ER30" s="182"/>
      <c r="ES30" s="183"/>
      <c r="ET30" s="183"/>
      <c r="EU30" s="184"/>
      <c r="EV30" s="184"/>
      <c r="EW30" s="185" t="str">
        <f t="shared" si="25"/>
        <v/>
      </c>
      <c r="EX30" s="186"/>
      <c r="EY30" s="186"/>
      <c r="EZ30" s="186"/>
      <c r="FA30" s="186"/>
      <c r="FB30" s="187" t="str">
        <f t="shared" si="26"/>
        <v/>
      </c>
      <c r="FC30" s="310"/>
      <c r="FD30" s="310"/>
      <c r="FE30" s="310"/>
      <c r="FG30" s="176"/>
      <c r="FH30" s="181">
        <f t="shared" si="45"/>
        <v>46316</v>
      </c>
      <c r="FI30" s="182" t="str">
        <f t="shared" si="27"/>
        <v>水</v>
      </c>
      <c r="FJ30" s="182" t="s">
        <v>22</v>
      </c>
      <c r="FK30" s="183">
        <v>0.375</v>
      </c>
      <c r="FL30" s="183">
        <v>0.75</v>
      </c>
      <c r="FM30" s="184">
        <v>0.5</v>
      </c>
      <c r="FN30" s="184">
        <v>0.54166666666666663</v>
      </c>
      <c r="FO30" s="185" t="str">
        <f t="shared" si="28"/>
        <v>8h</v>
      </c>
      <c r="FP30" s="186">
        <v>0.375</v>
      </c>
      <c r="FQ30" s="186">
        <v>0.75</v>
      </c>
      <c r="FR30" s="186">
        <v>0.5</v>
      </c>
      <c r="FS30" s="186">
        <v>0.54166666666666663</v>
      </c>
      <c r="FT30" s="187" t="str">
        <f t="shared" si="29"/>
        <v>8h</v>
      </c>
      <c r="FU30" s="310"/>
      <c r="FV30" s="310"/>
      <c r="FW30" s="310"/>
      <c r="FY30" s="176"/>
      <c r="FZ30" s="181">
        <f t="shared" si="46"/>
        <v>46347</v>
      </c>
      <c r="GA30" s="182" t="str">
        <f t="shared" si="30"/>
        <v>土</v>
      </c>
      <c r="GB30" s="182"/>
      <c r="GC30" s="183"/>
      <c r="GD30" s="183"/>
      <c r="GE30" s="184"/>
      <c r="GF30" s="184"/>
      <c r="GG30" s="185" t="str">
        <f t="shared" si="31"/>
        <v/>
      </c>
      <c r="GH30" s="186"/>
      <c r="GI30" s="186"/>
      <c r="GJ30" s="186"/>
      <c r="GK30" s="186"/>
      <c r="GL30" s="187" t="str">
        <f t="shared" si="32"/>
        <v/>
      </c>
      <c r="GM30" s="310"/>
      <c r="GN30" s="310"/>
      <c r="GO30" s="310"/>
      <c r="GQ30" s="176"/>
      <c r="GR30" s="181">
        <f t="shared" si="47"/>
        <v>46377</v>
      </c>
      <c r="GS30" s="182" t="str">
        <f t="shared" si="33"/>
        <v>月</v>
      </c>
      <c r="GT30" s="182" t="s">
        <v>22</v>
      </c>
      <c r="GU30" s="183">
        <v>0.375</v>
      </c>
      <c r="GV30" s="183">
        <v>0.75</v>
      </c>
      <c r="GW30" s="184">
        <v>0.5</v>
      </c>
      <c r="GX30" s="184">
        <v>0.54166666666666663</v>
      </c>
      <c r="GY30" s="185" t="str">
        <f t="shared" si="34"/>
        <v>8h</v>
      </c>
      <c r="GZ30" s="186">
        <v>0.375</v>
      </c>
      <c r="HA30" s="186">
        <v>0.75</v>
      </c>
      <c r="HB30" s="186">
        <v>0.5</v>
      </c>
      <c r="HC30" s="186">
        <v>0.54166666666666663</v>
      </c>
      <c r="HD30" s="187" t="str">
        <f t="shared" si="35"/>
        <v>8h</v>
      </c>
      <c r="HE30" s="310"/>
      <c r="HF30" s="310"/>
      <c r="HG30" s="310"/>
    </row>
    <row r="31" spans="1:215" x14ac:dyDescent="0.45">
      <c r="A31" s="176"/>
      <c r="B31" s="181">
        <f t="shared" si="36"/>
        <v>46044</v>
      </c>
      <c r="C31" s="182" t="str">
        <f t="shared" si="0"/>
        <v>木</v>
      </c>
      <c r="D31" s="182" t="s">
        <v>22</v>
      </c>
      <c r="E31" s="183">
        <v>0.375</v>
      </c>
      <c r="F31" s="183">
        <v>0.75</v>
      </c>
      <c r="G31" s="184">
        <v>0.5</v>
      </c>
      <c r="H31" s="184">
        <v>0.54166666666666663</v>
      </c>
      <c r="I31" s="185" t="str">
        <f t="shared" si="1"/>
        <v>8h</v>
      </c>
      <c r="J31" s="186">
        <v>0.375</v>
      </c>
      <c r="K31" s="186">
        <v>0.75</v>
      </c>
      <c r="L31" s="186">
        <v>0.5</v>
      </c>
      <c r="M31" s="186">
        <v>0.54166666666666663</v>
      </c>
      <c r="N31" s="187" t="str">
        <f t="shared" si="2"/>
        <v>8h</v>
      </c>
      <c r="O31" s="310"/>
      <c r="P31" s="310"/>
      <c r="Q31" s="310"/>
      <c r="S31" s="176"/>
      <c r="T31" s="181">
        <f t="shared" si="37"/>
        <v>46075</v>
      </c>
      <c r="U31" s="182" t="str">
        <f t="shared" si="3"/>
        <v>日</v>
      </c>
      <c r="V31" s="182"/>
      <c r="W31" s="183"/>
      <c r="X31" s="183"/>
      <c r="Y31" s="184"/>
      <c r="Z31" s="184"/>
      <c r="AA31" s="185" t="str">
        <f t="shared" si="4"/>
        <v/>
      </c>
      <c r="AB31" s="186"/>
      <c r="AC31" s="186"/>
      <c r="AD31" s="186"/>
      <c r="AE31" s="186"/>
      <c r="AF31" s="187" t="str">
        <f t="shared" si="5"/>
        <v/>
      </c>
      <c r="AG31" s="310"/>
      <c r="AH31" s="310"/>
      <c r="AI31" s="310"/>
      <c r="AK31" s="176"/>
      <c r="AL31" s="181">
        <f t="shared" si="38"/>
        <v>46103</v>
      </c>
      <c r="AM31" s="182" t="str">
        <f t="shared" si="6"/>
        <v>日</v>
      </c>
      <c r="AN31" s="182"/>
      <c r="AO31" s="183"/>
      <c r="AP31" s="183"/>
      <c r="AQ31" s="184"/>
      <c r="AR31" s="184"/>
      <c r="AS31" s="185" t="str">
        <f t="shared" si="7"/>
        <v/>
      </c>
      <c r="AT31" s="186"/>
      <c r="AU31" s="186"/>
      <c r="AV31" s="186"/>
      <c r="AW31" s="186"/>
      <c r="AX31" s="187" t="str">
        <f t="shared" si="8"/>
        <v/>
      </c>
      <c r="AY31" s="310"/>
      <c r="AZ31" s="310"/>
      <c r="BA31" s="310"/>
      <c r="BC31" s="176"/>
      <c r="BD31" s="181">
        <f t="shared" si="39"/>
        <v>46134</v>
      </c>
      <c r="BE31" s="182" t="str">
        <f t="shared" si="9"/>
        <v>水</v>
      </c>
      <c r="BF31" s="182" t="s">
        <v>22</v>
      </c>
      <c r="BG31" s="183">
        <v>0.375</v>
      </c>
      <c r="BH31" s="183">
        <v>0.75</v>
      </c>
      <c r="BI31" s="184">
        <v>0.5</v>
      </c>
      <c r="BJ31" s="184">
        <v>0.54166666666666663</v>
      </c>
      <c r="BK31" s="185" t="str">
        <f t="shared" si="10"/>
        <v>8h</v>
      </c>
      <c r="BL31" s="186">
        <v>0.375</v>
      </c>
      <c r="BM31" s="186">
        <v>0.75</v>
      </c>
      <c r="BN31" s="186">
        <v>0.5</v>
      </c>
      <c r="BO31" s="186">
        <v>0.54166666666666663</v>
      </c>
      <c r="BP31" s="187" t="str">
        <f t="shared" si="11"/>
        <v>8h</v>
      </c>
      <c r="BQ31" s="310"/>
      <c r="BR31" s="310"/>
      <c r="BS31" s="310"/>
      <c r="BU31" s="176"/>
      <c r="BV31" s="181">
        <f t="shared" si="40"/>
        <v>46164</v>
      </c>
      <c r="BW31" s="182" t="str">
        <f t="shared" si="12"/>
        <v>金</v>
      </c>
      <c r="BX31" s="182" t="s">
        <v>22</v>
      </c>
      <c r="BY31" s="183">
        <v>0.375</v>
      </c>
      <c r="BZ31" s="183">
        <v>0.75</v>
      </c>
      <c r="CA31" s="184">
        <v>0.5</v>
      </c>
      <c r="CB31" s="184">
        <v>0.54166666666666663</v>
      </c>
      <c r="CC31" s="185" t="str">
        <f t="shared" si="13"/>
        <v>8h</v>
      </c>
      <c r="CD31" s="186">
        <v>0.375</v>
      </c>
      <c r="CE31" s="186">
        <v>0.75</v>
      </c>
      <c r="CF31" s="186">
        <v>0.5</v>
      </c>
      <c r="CG31" s="186">
        <v>0.54166666666666663</v>
      </c>
      <c r="CH31" s="187" t="str">
        <f t="shared" si="14"/>
        <v>8h</v>
      </c>
      <c r="CI31" s="310"/>
      <c r="CJ31" s="310"/>
      <c r="CK31" s="310"/>
      <c r="CM31" s="176"/>
      <c r="CN31" s="181">
        <f t="shared" si="41"/>
        <v>46195</v>
      </c>
      <c r="CO31" s="182" t="str">
        <f t="shared" si="15"/>
        <v>月</v>
      </c>
      <c r="CP31" s="182" t="s">
        <v>22</v>
      </c>
      <c r="CQ31" s="183">
        <v>0.375</v>
      </c>
      <c r="CR31" s="183">
        <v>0.75</v>
      </c>
      <c r="CS31" s="184">
        <v>0.5</v>
      </c>
      <c r="CT31" s="184">
        <v>0.54166666666666663</v>
      </c>
      <c r="CU31" s="185" t="str">
        <f t="shared" si="16"/>
        <v>8h</v>
      </c>
      <c r="CV31" s="186">
        <v>0.375</v>
      </c>
      <c r="CW31" s="186">
        <v>0.75</v>
      </c>
      <c r="CX31" s="186">
        <v>0.5</v>
      </c>
      <c r="CY31" s="186">
        <v>0.54166666666666663</v>
      </c>
      <c r="CZ31" s="187" t="str">
        <f t="shared" si="17"/>
        <v>8h</v>
      </c>
      <c r="DA31" s="310"/>
      <c r="DB31" s="310"/>
      <c r="DC31" s="310"/>
      <c r="DE31" s="176"/>
      <c r="DF31" s="181">
        <f t="shared" si="42"/>
        <v>46225</v>
      </c>
      <c r="DG31" s="182" t="str">
        <f t="shared" si="18"/>
        <v>水</v>
      </c>
      <c r="DH31" s="182" t="s">
        <v>22</v>
      </c>
      <c r="DI31" s="183">
        <v>0.375</v>
      </c>
      <c r="DJ31" s="183">
        <v>0.75</v>
      </c>
      <c r="DK31" s="184">
        <v>0.5</v>
      </c>
      <c r="DL31" s="184">
        <v>0.54166666666666663</v>
      </c>
      <c r="DM31" s="185" t="str">
        <f t="shared" si="19"/>
        <v>8h</v>
      </c>
      <c r="DN31" s="186">
        <v>0.375</v>
      </c>
      <c r="DO31" s="186">
        <v>0.75</v>
      </c>
      <c r="DP31" s="186">
        <v>0.5</v>
      </c>
      <c r="DQ31" s="186">
        <v>0.54166666666666663</v>
      </c>
      <c r="DR31" s="187" t="str">
        <f t="shared" si="20"/>
        <v>8h</v>
      </c>
      <c r="DS31" s="310"/>
      <c r="DT31" s="310"/>
      <c r="DU31" s="310"/>
      <c r="DW31" s="176"/>
      <c r="DX31" s="181">
        <f t="shared" si="43"/>
        <v>46256</v>
      </c>
      <c r="DY31" s="182" t="str">
        <f t="shared" si="21"/>
        <v>土</v>
      </c>
      <c r="DZ31" s="182"/>
      <c r="EA31" s="183"/>
      <c r="EB31" s="183"/>
      <c r="EC31" s="184"/>
      <c r="ED31" s="184"/>
      <c r="EE31" s="185" t="str">
        <f t="shared" si="22"/>
        <v/>
      </c>
      <c r="EF31" s="186"/>
      <c r="EG31" s="186"/>
      <c r="EH31" s="186"/>
      <c r="EI31" s="186"/>
      <c r="EJ31" s="187" t="str">
        <f t="shared" si="23"/>
        <v/>
      </c>
      <c r="EK31" s="310"/>
      <c r="EL31" s="310"/>
      <c r="EM31" s="310"/>
      <c r="EO31" s="176"/>
      <c r="EP31" s="181">
        <f t="shared" si="44"/>
        <v>46287</v>
      </c>
      <c r="EQ31" s="182" t="str">
        <f t="shared" si="24"/>
        <v>火</v>
      </c>
      <c r="ER31" s="182"/>
      <c r="ES31" s="183"/>
      <c r="ET31" s="183"/>
      <c r="EU31" s="184"/>
      <c r="EV31" s="184"/>
      <c r="EW31" s="185" t="str">
        <f t="shared" si="25"/>
        <v/>
      </c>
      <c r="EX31" s="186"/>
      <c r="EY31" s="186"/>
      <c r="EZ31" s="186"/>
      <c r="FA31" s="186"/>
      <c r="FB31" s="187" t="str">
        <f t="shared" si="26"/>
        <v/>
      </c>
      <c r="FC31" s="310"/>
      <c r="FD31" s="310"/>
      <c r="FE31" s="310"/>
      <c r="FG31" s="176"/>
      <c r="FH31" s="181">
        <f t="shared" si="45"/>
        <v>46317</v>
      </c>
      <c r="FI31" s="182" t="str">
        <f t="shared" si="27"/>
        <v>木</v>
      </c>
      <c r="FJ31" s="182" t="s">
        <v>22</v>
      </c>
      <c r="FK31" s="183">
        <v>0.375</v>
      </c>
      <c r="FL31" s="183">
        <v>0.75</v>
      </c>
      <c r="FM31" s="184">
        <v>0.5</v>
      </c>
      <c r="FN31" s="184">
        <v>0.54166666666666663</v>
      </c>
      <c r="FO31" s="185" t="str">
        <f t="shared" si="28"/>
        <v>8h</v>
      </c>
      <c r="FP31" s="186">
        <v>0.375</v>
      </c>
      <c r="FQ31" s="186">
        <v>0.75</v>
      </c>
      <c r="FR31" s="186">
        <v>0.5</v>
      </c>
      <c r="FS31" s="186">
        <v>0.54166666666666663</v>
      </c>
      <c r="FT31" s="187" t="str">
        <f t="shared" si="29"/>
        <v>8h</v>
      </c>
      <c r="FU31" s="310"/>
      <c r="FV31" s="310"/>
      <c r="FW31" s="310"/>
      <c r="FY31" s="176"/>
      <c r="FZ31" s="181">
        <f t="shared" si="46"/>
        <v>46348</v>
      </c>
      <c r="GA31" s="182" t="str">
        <f t="shared" si="30"/>
        <v>日</v>
      </c>
      <c r="GB31" s="182"/>
      <c r="GC31" s="183"/>
      <c r="GD31" s="183"/>
      <c r="GE31" s="184"/>
      <c r="GF31" s="184"/>
      <c r="GG31" s="185" t="str">
        <f t="shared" si="31"/>
        <v/>
      </c>
      <c r="GH31" s="186"/>
      <c r="GI31" s="186"/>
      <c r="GJ31" s="186"/>
      <c r="GK31" s="186"/>
      <c r="GL31" s="187" t="str">
        <f t="shared" si="32"/>
        <v/>
      </c>
      <c r="GM31" s="310"/>
      <c r="GN31" s="310"/>
      <c r="GO31" s="310"/>
      <c r="GQ31" s="176"/>
      <c r="GR31" s="181">
        <f t="shared" si="47"/>
        <v>46378</v>
      </c>
      <c r="GS31" s="182" t="str">
        <f t="shared" si="33"/>
        <v>火</v>
      </c>
      <c r="GT31" s="182" t="s">
        <v>22</v>
      </c>
      <c r="GU31" s="183">
        <v>0.375</v>
      </c>
      <c r="GV31" s="183">
        <v>0.75</v>
      </c>
      <c r="GW31" s="184">
        <v>0.5</v>
      </c>
      <c r="GX31" s="184">
        <v>0.54166666666666663</v>
      </c>
      <c r="GY31" s="185" t="str">
        <f t="shared" si="34"/>
        <v>8h</v>
      </c>
      <c r="GZ31" s="186">
        <v>0.375</v>
      </c>
      <c r="HA31" s="186">
        <v>0.75</v>
      </c>
      <c r="HB31" s="186">
        <v>0.5</v>
      </c>
      <c r="HC31" s="186">
        <v>0.54166666666666663</v>
      </c>
      <c r="HD31" s="187" t="str">
        <f t="shared" si="35"/>
        <v>8h</v>
      </c>
      <c r="HE31" s="310"/>
      <c r="HF31" s="310"/>
      <c r="HG31" s="310"/>
    </row>
    <row r="32" spans="1:215" x14ac:dyDescent="0.45">
      <c r="A32" s="176"/>
      <c r="B32" s="181">
        <f t="shared" si="36"/>
        <v>46045</v>
      </c>
      <c r="C32" s="182" t="str">
        <f t="shared" si="0"/>
        <v>金</v>
      </c>
      <c r="D32" s="182" t="s">
        <v>22</v>
      </c>
      <c r="E32" s="183">
        <v>0.375</v>
      </c>
      <c r="F32" s="183">
        <v>0.75</v>
      </c>
      <c r="G32" s="184">
        <v>0.5</v>
      </c>
      <c r="H32" s="184">
        <v>0.54166666666666663</v>
      </c>
      <c r="I32" s="185" t="str">
        <f t="shared" si="1"/>
        <v>8h</v>
      </c>
      <c r="J32" s="186">
        <v>0.375</v>
      </c>
      <c r="K32" s="186">
        <v>0.75</v>
      </c>
      <c r="L32" s="186">
        <v>0.5</v>
      </c>
      <c r="M32" s="186">
        <v>0.54166666666666663</v>
      </c>
      <c r="N32" s="187" t="str">
        <f t="shared" si="2"/>
        <v>8h</v>
      </c>
      <c r="O32" s="310"/>
      <c r="P32" s="310"/>
      <c r="Q32" s="310"/>
      <c r="S32" s="176"/>
      <c r="T32" s="181">
        <f t="shared" si="37"/>
        <v>46076</v>
      </c>
      <c r="U32" s="182" t="str">
        <f t="shared" si="3"/>
        <v>月</v>
      </c>
      <c r="V32" s="182"/>
      <c r="W32" s="183"/>
      <c r="X32" s="183"/>
      <c r="Y32" s="184"/>
      <c r="Z32" s="184"/>
      <c r="AA32" s="185" t="str">
        <f t="shared" si="4"/>
        <v/>
      </c>
      <c r="AB32" s="186"/>
      <c r="AC32" s="186"/>
      <c r="AD32" s="186"/>
      <c r="AE32" s="186"/>
      <c r="AF32" s="187" t="str">
        <f t="shared" si="5"/>
        <v/>
      </c>
      <c r="AG32" s="310"/>
      <c r="AH32" s="310"/>
      <c r="AI32" s="310"/>
      <c r="AK32" s="176"/>
      <c r="AL32" s="181">
        <f t="shared" si="38"/>
        <v>46104</v>
      </c>
      <c r="AM32" s="182" t="str">
        <f t="shared" si="6"/>
        <v>月</v>
      </c>
      <c r="AN32" s="182" t="s">
        <v>22</v>
      </c>
      <c r="AO32" s="183">
        <v>0.375</v>
      </c>
      <c r="AP32" s="183">
        <v>0.75</v>
      </c>
      <c r="AQ32" s="184">
        <v>0.5</v>
      </c>
      <c r="AR32" s="184">
        <v>0.54166666666666663</v>
      </c>
      <c r="AS32" s="185" t="str">
        <f t="shared" si="7"/>
        <v>8h</v>
      </c>
      <c r="AT32" s="186">
        <v>0.375</v>
      </c>
      <c r="AU32" s="186">
        <v>0.75</v>
      </c>
      <c r="AV32" s="186">
        <v>0.5</v>
      </c>
      <c r="AW32" s="186">
        <v>0.54166666666666663</v>
      </c>
      <c r="AX32" s="187" t="str">
        <f t="shared" si="8"/>
        <v>8h</v>
      </c>
      <c r="AY32" s="310"/>
      <c r="AZ32" s="310"/>
      <c r="BA32" s="310"/>
      <c r="BC32" s="176"/>
      <c r="BD32" s="181">
        <f t="shared" si="39"/>
        <v>46135</v>
      </c>
      <c r="BE32" s="182" t="str">
        <f t="shared" si="9"/>
        <v>木</v>
      </c>
      <c r="BF32" s="182" t="s">
        <v>22</v>
      </c>
      <c r="BG32" s="183">
        <v>0.375</v>
      </c>
      <c r="BH32" s="183">
        <v>0.75</v>
      </c>
      <c r="BI32" s="184">
        <v>0.5</v>
      </c>
      <c r="BJ32" s="184">
        <v>0.54166666666666663</v>
      </c>
      <c r="BK32" s="185" t="str">
        <f t="shared" si="10"/>
        <v>8h</v>
      </c>
      <c r="BL32" s="186">
        <v>0.375</v>
      </c>
      <c r="BM32" s="186">
        <v>0.75</v>
      </c>
      <c r="BN32" s="186">
        <v>0.5</v>
      </c>
      <c r="BO32" s="186">
        <v>0.54166666666666663</v>
      </c>
      <c r="BP32" s="187" t="str">
        <f t="shared" si="11"/>
        <v>8h</v>
      </c>
      <c r="BQ32" s="310"/>
      <c r="BR32" s="310"/>
      <c r="BS32" s="310"/>
      <c r="BU32" s="176"/>
      <c r="BV32" s="181">
        <f t="shared" si="40"/>
        <v>46165</v>
      </c>
      <c r="BW32" s="182" t="str">
        <f t="shared" si="12"/>
        <v>土</v>
      </c>
      <c r="BX32" s="182"/>
      <c r="BY32" s="183"/>
      <c r="BZ32" s="183"/>
      <c r="CA32" s="184"/>
      <c r="CB32" s="184"/>
      <c r="CC32" s="185" t="str">
        <f t="shared" si="13"/>
        <v/>
      </c>
      <c r="CD32" s="186"/>
      <c r="CE32" s="186"/>
      <c r="CF32" s="186"/>
      <c r="CG32" s="186"/>
      <c r="CH32" s="187" t="str">
        <f t="shared" si="14"/>
        <v/>
      </c>
      <c r="CI32" s="310"/>
      <c r="CJ32" s="310"/>
      <c r="CK32" s="310"/>
      <c r="CM32" s="176"/>
      <c r="CN32" s="181">
        <f t="shared" si="41"/>
        <v>46196</v>
      </c>
      <c r="CO32" s="182" t="str">
        <f t="shared" si="15"/>
        <v>火</v>
      </c>
      <c r="CP32" s="182" t="s">
        <v>22</v>
      </c>
      <c r="CQ32" s="183">
        <v>0.375</v>
      </c>
      <c r="CR32" s="183">
        <v>0.75</v>
      </c>
      <c r="CS32" s="184">
        <v>0.5</v>
      </c>
      <c r="CT32" s="184">
        <v>0.54166666666666663</v>
      </c>
      <c r="CU32" s="185" t="str">
        <f t="shared" si="16"/>
        <v>8h</v>
      </c>
      <c r="CV32" s="186">
        <v>0.375</v>
      </c>
      <c r="CW32" s="186">
        <v>0.75</v>
      </c>
      <c r="CX32" s="186">
        <v>0.5</v>
      </c>
      <c r="CY32" s="186">
        <v>0.54166666666666663</v>
      </c>
      <c r="CZ32" s="187" t="str">
        <f t="shared" si="17"/>
        <v>8h</v>
      </c>
      <c r="DA32" s="310"/>
      <c r="DB32" s="310"/>
      <c r="DC32" s="310"/>
      <c r="DE32" s="176"/>
      <c r="DF32" s="181">
        <f t="shared" si="42"/>
        <v>46226</v>
      </c>
      <c r="DG32" s="182" t="str">
        <f t="shared" si="18"/>
        <v>木</v>
      </c>
      <c r="DH32" s="182" t="s">
        <v>22</v>
      </c>
      <c r="DI32" s="183">
        <v>0.375</v>
      </c>
      <c r="DJ32" s="183">
        <v>0.75</v>
      </c>
      <c r="DK32" s="184">
        <v>0.5</v>
      </c>
      <c r="DL32" s="184">
        <v>0.54166666666666663</v>
      </c>
      <c r="DM32" s="185" t="str">
        <f t="shared" si="19"/>
        <v>8h</v>
      </c>
      <c r="DN32" s="186">
        <v>0.375</v>
      </c>
      <c r="DO32" s="186">
        <v>0.75</v>
      </c>
      <c r="DP32" s="186">
        <v>0.5</v>
      </c>
      <c r="DQ32" s="186">
        <v>0.54166666666666663</v>
      </c>
      <c r="DR32" s="187" t="str">
        <f t="shared" si="20"/>
        <v>8h</v>
      </c>
      <c r="DS32" s="310"/>
      <c r="DT32" s="310"/>
      <c r="DU32" s="310"/>
      <c r="DW32" s="176"/>
      <c r="DX32" s="181">
        <f t="shared" si="43"/>
        <v>46257</v>
      </c>
      <c r="DY32" s="182" t="str">
        <f t="shared" si="21"/>
        <v>日</v>
      </c>
      <c r="DZ32" s="182"/>
      <c r="EA32" s="183"/>
      <c r="EB32" s="183"/>
      <c r="EC32" s="184"/>
      <c r="ED32" s="184"/>
      <c r="EE32" s="185" t="str">
        <f t="shared" si="22"/>
        <v/>
      </c>
      <c r="EF32" s="186"/>
      <c r="EG32" s="186"/>
      <c r="EH32" s="186"/>
      <c r="EI32" s="186"/>
      <c r="EJ32" s="187" t="str">
        <f t="shared" si="23"/>
        <v/>
      </c>
      <c r="EK32" s="310"/>
      <c r="EL32" s="310"/>
      <c r="EM32" s="310"/>
      <c r="EO32" s="176"/>
      <c r="EP32" s="181">
        <f t="shared" si="44"/>
        <v>46288</v>
      </c>
      <c r="EQ32" s="182" t="str">
        <f t="shared" si="24"/>
        <v>水</v>
      </c>
      <c r="ER32" s="182"/>
      <c r="ES32" s="183"/>
      <c r="ET32" s="183"/>
      <c r="EU32" s="184"/>
      <c r="EV32" s="184"/>
      <c r="EW32" s="185" t="str">
        <f t="shared" si="25"/>
        <v/>
      </c>
      <c r="EX32" s="186"/>
      <c r="EY32" s="186"/>
      <c r="EZ32" s="186"/>
      <c r="FA32" s="186"/>
      <c r="FB32" s="187" t="str">
        <f t="shared" si="26"/>
        <v/>
      </c>
      <c r="FC32" s="310"/>
      <c r="FD32" s="310"/>
      <c r="FE32" s="310"/>
      <c r="FG32" s="176"/>
      <c r="FH32" s="181">
        <f t="shared" si="45"/>
        <v>46318</v>
      </c>
      <c r="FI32" s="182" t="str">
        <f t="shared" si="27"/>
        <v>金</v>
      </c>
      <c r="FJ32" s="182" t="s">
        <v>22</v>
      </c>
      <c r="FK32" s="183">
        <v>0.375</v>
      </c>
      <c r="FL32" s="183">
        <v>0.75</v>
      </c>
      <c r="FM32" s="184">
        <v>0.5</v>
      </c>
      <c r="FN32" s="184">
        <v>0.54166666666666663</v>
      </c>
      <c r="FO32" s="185" t="str">
        <f t="shared" si="28"/>
        <v>8h</v>
      </c>
      <c r="FP32" s="186">
        <v>0.375</v>
      </c>
      <c r="FQ32" s="186">
        <v>0.75</v>
      </c>
      <c r="FR32" s="186">
        <v>0.5</v>
      </c>
      <c r="FS32" s="186">
        <v>0.54166666666666663</v>
      </c>
      <c r="FT32" s="187" t="str">
        <f t="shared" si="29"/>
        <v>8h</v>
      </c>
      <c r="FU32" s="310"/>
      <c r="FV32" s="310"/>
      <c r="FW32" s="310"/>
      <c r="FY32" s="176"/>
      <c r="FZ32" s="181">
        <f t="shared" si="46"/>
        <v>46349</v>
      </c>
      <c r="GA32" s="182" t="str">
        <f t="shared" si="30"/>
        <v>月</v>
      </c>
      <c r="GB32" s="182"/>
      <c r="GC32" s="183"/>
      <c r="GD32" s="183"/>
      <c r="GE32" s="184"/>
      <c r="GF32" s="184"/>
      <c r="GG32" s="185" t="str">
        <f t="shared" si="31"/>
        <v/>
      </c>
      <c r="GH32" s="186"/>
      <c r="GI32" s="186"/>
      <c r="GJ32" s="186"/>
      <c r="GK32" s="186"/>
      <c r="GL32" s="187" t="str">
        <f t="shared" si="32"/>
        <v/>
      </c>
      <c r="GM32" s="310"/>
      <c r="GN32" s="310"/>
      <c r="GO32" s="310"/>
      <c r="GQ32" s="176"/>
      <c r="GR32" s="181">
        <f t="shared" si="47"/>
        <v>46379</v>
      </c>
      <c r="GS32" s="182" t="str">
        <f t="shared" si="33"/>
        <v>水</v>
      </c>
      <c r="GT32" s="182" t="s">
        <v>22</v>
      </c>
      <c r="GU32" s="183">
        <v>0.375</v>
      </c>
      <c r="GV32" s="183">
        <v>0.75</v>
      </c>
      <c r="GW32" s="184">
        <v>0.5</v>
      </c>
      <c r="GX32" s="184">
        <v>0.54166666666666663</v>
      </c>
      <c r="GY32" s="185" t="str">
        <f t="shared" si="34"/>
        <v>8h</v>
      </c>
      <c r="GZ32" s="186">
        <v>0.375</v>
      </c>
      <c r="HA32" s="186">
        <v>0.75</v>
      </c>
      <c r="HB32" s="186">
        <v>0.5</v>
      </c>
      <c r="HC32" s="186">
        <v>0.54166666666666663</v>
      </c>
      <c r="HD32" s="187" t="str">
        <f t="shared" si="35"/>
        <v>8h</v>
      </c>
      <c r="HE32" s="310"/>
      <c r="HF32" s="310"/>
      <c r="HG32" s="310"/>
    </row>
    <row r="33" spans="1:215" x14ac:dyDescent="0.45">
      <c r="A33" s="176"/>
      <c r="B33" s="181">
        <f t="shared" si="36"/>
        <v>46046</v>
      </c>
      <c r="C33" s="182" t="str">
        <f t="shared" si="0"/>
        <v>土</v>
      </c>
      <c r="D33" s="182"/>
      <c r="E33" s="183"/>
      <c r="F33" s="183"/>
      <c r="G33" s="184"/>
      <c r="H33" s="184"/>
      <c r="I33" s="185" t="str">
        <f t="shared" si="1"/>
        <v/>
      </c>
      <c r="J33" s="186"/>
      <c r="K33" s="186"/>
      <c r="L33" s="186"/>
      <c r="M33" s="186"/>
      <c r="N33" s="187" t="str">
        <f t="shared" si="2"/>
        <v/>
      </c>
      <c r="O33" s="310"/>
      <c r="P33" s="310"/>
      <c r="Q33" s="310"/>
      <c r="S33" s="176"/>
      <c r="T33" s="181">
        <f t="shared" si="37"/>
        <v>46077</v>
      </c>
      <c r="U33" s="182" t="str">
        <f t="shared" si="3"/>
        <v>火</v>
      </c>
      <c r="V33" s="182" t="s">
        <v>22</v>
      </c>
      <c r="W33" s="183">
        <v>0.375</v>
      </c>
      <c r="X33" s="183">
        <v>0.75</v>
      </c>
      <c r="Y33" s="184">
        <v>0.5</v>
      </c>
      <c r="Z33" s="184">
        <v>0.54166666666666663</v>
      </c>
      <c r="AA33" s="185" t="str">
        <f t="shared" si="4"/>
        <v>8h</v>
      </c>
      <c r="AB33" s="186">
        <v>0.375</v>
      </c>
      <c r="AC33" s="186">
        <v>0.75</v>
      </c>
      <c r="AD33" s="186">
        <v>0.5</v>
      </c>
      <c r="AE33" s="186">
        <v>0.54166666666666663</v>
      </c>
      <c r="AF33" s="187" t="str">
        <f t="shared" si="5"/>
        <v>8h</v>
      </c>
      <c r="AG33" s="310"/>
      <c r="AH33" s="310"/>
      <c r="AI33" s="310"/>
      <c r="AK33" s="176"/>
      <c r="AL33" s="181">
        <f t="shared" si="38"/>
        <v>46105</v>
      </c>
      <c r="AM33" s="182" t="str">
        <f t="shared" si="6"/>
        <v>火</v>
      </c>
      <c r="AN33" s="182" t="s">
        <v>22</v>
      </c>
      <c r="AO33" s="183">
        <v>0.375</v>
      </c>
      <c r="AP33" s="183">
        <v>0.75</v>
      </c>
      <c r="AQ33" s="184">
        <v>0.5</v>
      </c>
      <c r="AR33" s="184">
        <v>0.54166666666666663</v>
      </c>
      <c r="AS33" s="185" t="str">
        <f t="shared" si="7"/>
        <v>8h</v>
      </c>
      <c r="AT33" s="186">
        <v>0.375</v>
      </c>
      <c r="AU33" s="186">
        <v>0.75</v>
      </c>
      <c r="AV33" s="186">
        <v>0.5</v>
      </c>
      <c r="AW33" s="186">
        <v>0.54166666666666663</v>
      </c>
      <c r="AX33" s="187" t="str">
        <f t="shared" si="8"/>
        <v>8h</v>
      </c>
      <c r="AY33" s="310"/>
      <c r="AZ33" s="310"/>
      <c r="BA33" s="310"/>
      <c r="BC33" s="176"/>
      <c r="BD33" s="181">
        <f t="shared" si="39"/>
        <v>46136</v>
      </c>
      <c r="BE33" s="182" t="str">
        <f t="shared" si="9"/>
        <v>金</v>
      </c>
      <c r="BF33" s="182" t="s">
        <v>22</v>
      </c>
      <c r="BG33" s="183">
        <v>0.375</v>
      </c>
      <c r="BH33" s="183">
        <v>0.75</v>
      </c>
      <c r="BI33" s="184">
        <v>0.5</v>
      </c>
      <c r="BJ33" s="184">
        <v>0.54166666666666663</v>
      </c>
      <c r="BK33" s="185" t="str">
        <f t="shared" si="10"/>
        <v>8h</v>
      </c>
      <c r="BL33" s="186">
        <v>0.375</v>
      </c>
      <c r="BM33" s="186">
        <v>0.75</v>
      </c>
      <c r="BN33" s="186">
        <v>0.5</v>
      </c>
      <c r="BO33" s="186">
        <v>0.54166666666666663</v>
      </c>
      <c r="BP33" s="187" t="str">
        <f t="shared" si="11"/>
        <v>8h</v>
      </c>
      <c r="BQ33" s="310"/>
      <c r="BR33" s="310"/>
      <c r="BS33" s="310"/>
      <c r="BU33" s="176"/>
      <c r="BV33" s="181">
        <f t="shared" si="40"/>
        <v>46166</v>
      </c>
      <c r="BW33" s="182" t="str">
        <f t="shared" si="12"/>
        <v>日</v>
      </c>
      <c r="BX33" s="182"/>
      <c r="BY33" s="183"/>
      <c r="BZ33" s="183"/>
      <c r="CA33" s="184"/>
      <c r="CB33" s="184"/>
      <c r="CC33" s="185" t="str">
        <f t="shared" si="13"/>
        <v/>
      </c>
      <c r="CD33" s="186"/>
      <c r="CE33" s="186"/>
      <c r="CF33" s="186"/>
      <c r="CG33" s="186"/>
      <c r="CH33" s="187" t="str">
        <f t="shared" si="14"/>
        <v/>
      </c>
      <c r="CI33" s="310"/>
      <c r="CJ33" s="310"/>
      <c r="CK33" s="310"/>
      <c r="CM33" s="176"/>
      <c r="CN33" s="181">
        <f t="shared" si="41"/>
        <v>46197</v>
      </c>
      <c r="CO33" s="182" t="str">
        <f t="shared" si="15"/>
        <v>水</v>
      </c>
      <c r="CP33" s="182" t="s">
        <v>22</v>
      </c>
      <c r="CQ33" s="183">
        <v>0.375</v>
      </c>
      <c r="CR33" s="183">
        <v>0.75</v>
      </c>
      <c r="CS33" s="184">
        <v>0.5</v>
      </c>
      <c r="CT33" s="184">
        <v>0.54166666666666663</v>
      </c>
      <c r="CU33" s="185" t="str">
        <f t="shared" si="16"/>
        <v>8h</v>
      </c>
      <c r="CV33" s="186">
        <v>0.375</v>
      </c>
      <c r="CW33" s="186">
        <v>0.75</v>
      </c>
      <c r="CX33" s="186">
        <v>0.5</v>
      </c>
      <c r="CY33" s="186">
        <v>0.54166666666666663</v>
      </c>
      <c r="CZ33" s="187" t="str">
        <f t="shared" si="17"/>
        <v>8h</v>
      </c>
      <c r="DA33" s="310"/>
      <c r="DB33" s="310"/>
      <c r="DC33" s="310"/>
      <c r="DE33" s="176"/>
      <c r="DF33" s="181">
        <f t="shared" si="42"/>
        <v>46227</v>
      </c>
      <c r="DG33" s="182" t="str">
        <f t="shared" si="18"/>
        <v>金</v>
      </c>
      <c r="DH33" s="182" t="s">
        <v>22</v>
      </c>
      <c r="DI33" s="183">
        <v>0.375</v>
      </c>
      <c r="DJ33" s="183">
        <v>0.75</v>
      </c>
      <c r="DK33" s="184">
        <v>0.5</v>
      </c>
      <c r="DL33" s="184">
        <v>0.54166666666666663</v>
      </c>
      <c r="DM33" s="185" t="str">
        <f t="shared" si="19"/>
        <v>8h</v>
      </c>
      <c r="DN33" s="186">
        <v>0.375</v>
      </c>
      <c r="DO33" s="186">
        <v>0.75</v>
      </c>
      <c r="DP33" s="186">
        <v>0.5</v>
      </c>
      <c r="DQ33" s="186">
        <v>0.54166666666666663</v>
      </c>
      <c r="DR33" s="187" t="str">
        <f t="shared" si="20"/>
        <v>8h</v>
      </c>
      <c r="DS33" s="310"/>
      <c r="DT33" s="310"/>
      <c r="DU33" s="310"/>
      <c r="DW33" s="176"/>
      <c r="DX33" s="181">
        <f t="shared" si="43"/>
        <v>46258</v>
      </c>
      <c r="DY33" s="182" t="str">
        <f t="shared" si="21"/>
        <v>月</v>
      </c>
      <c r="DZ33" s="182" t="s">
        <v>22</v>
      </c>
      <c r="EA33" s="183">
        <v>0.375</v>
      </c>
      <c r="EB33" s="183">
        <v>0.75</v>
      </c>
      <c r="EC33" s="184">
        <v>0.5</v>
      </c>
      <c r="ED33" s="184">
        <v>0.54166666666666663</v>
      </c>
      <c r="EE33" s="185" t="str">
        <f t="shared" si="22"/>
        <v>8h</v>
      </c>
      <c r="EF33" s="186">
        <v>0.375</v>
      </c>
      <c r="EG33" s="186">
        <v>0.75</v>
      </c>
      <c r="EH33" s="186">
        <v>0.5</v>
      </c>
      <c r="EI33" s="186">
        <v>0.54166666666666663</v>
      </c>
      <c r="EJ33" s="187" t="str">
        <f t="shared" si="23"/>
        <v>8h</v>
      </c>
      <c r="EK33" s="310"/>
      <c r="EL33" s="310"/>
      <c r="EM33" s="310"/>
      <c r="EO33" s="176"/>
      <c r="EP33" s="181">
        <f t="shared" si="44"/>
        <v>46289</v>
      </c>
      <c r="EQ33" s="182" t="str">
        <f t="shared" si="24"/>
        <v>木</v>
      </c>
      <c r="ER33" s="182" t="s">
        <v>22</v>
      </c>
      <c r="ES33" s="183">
        <v>0.375</v>
      </c>
      <c r="ET33" s="183">
        <v>0.75</v>
      </c>
      <c r="EU33" s="184">
        <v>0.5</v>
      </c>
      <c r="EV33" s="184">
        <v>0.54166666666666663</v>
      </c>
      <c r="EW33" s="185" t="str">
        <f t="shared" si="25"/>
        <v>8h</v>
      </c>
      <c r="EX33" s="186">
        <v>0.375</v>
      </c>
      <c r="EY33" s="186">
        <v>0.75</v>
      </c>
      <c r="EZ33" s="186">
        <v>0.5</v>
      </c>
      <c r="FA33" s="186">
        <v>0.54166666666666663</v>
      </c>
      <c r="FB33" s="187" t="str">
        <f t="shared" si="26"/>
        <v>8h</v>
      </c>
      <c r="FC33" s="310"/>
      <c r="FD33" s="310"/>
      <c r="FE33" s="310"/>
      <c r="FG33" s="176"/>
      <c r="FH33" s="181">
        <f t="shared" si="45"/>
        <v>46319</v>
      </c>
      <c r="FI33" s="182" t="str">
        <f t="shared" si="27"/>
        <v>土</v>
      </c>
      <c r="FJ33" s="182"/>
      <c r="FK33" s="183"/>
      <c r="FL33" s="183"/>
      <c r="FM33" s="184"/>
      <c r="FN33" s="184"/>
      <c r="FO33" s="185" t="str">
        <f t="shared" si="28"/>
        <v/>
      </c>
      <c r="FP33" s="186"/>
      <c r="FQ33" s="186"/>
      <c r="FR33" s="186"/>
      <c r="FS33" s="186"/>
      <c r="FT33" s="187" t="str">
        <f t="shared" si="29"/>
        <v/>
      </c>
      <c r="FU33" s="310"/>
      <c r="FV33" s="310"/>
      <c r="FW33" s="310"/>
      <c r="FY33" s="176"/>
      <c r="FZ33" s="181">
        <f t="shared" si="46"/>
        <v>46350</v>
      </c>
      <c r="GA33" s="182" t="str">
        <f t="shared" si="30"/>
        <v>火</v>
      </c>
      <c r="GB33" s="182" t="s">
        <v>22</v>
      </c>
      <c r="GC33" s="183">
        <v>0.375</v>
      </c>
      <c r="GD33" s="183">
        <v>0.75</v>
      </c>
      <c r="GE33" s="184">
        <v>0.5</v>
      </c>
      <c r="GF33" s="184">
        <v>0.54166666666666663</v>
      </c>
      <c r="GG33" s="185" t="str">
        <f t="shared" si="31"/>
        <v>8h</v>
      </c>
      <c r="GH33" s="186">
        <v>0.375</v>
      </c>
      <c r="GI33" s="186">
        <v>0.75</v>
      </c>
      <c r="GJ33" s="186">
        <v>0.5</v>
      </c>
      <c r="GK33" s="186">
        <v>0.54166666666666663</v>
      </c>
      <c r="GL33" s="187" t="str">
        <f t="shared" si="32"/>
        <v>8h</v>
      </c>
      <c r="GM33" s="310"/>
      <c r="GN33" s="310"/>
      <c r="GO33" s="310"/>
      <c r="GQ33" s="176"/>
      <c r="GR33" s="181">
        <f t="shared" si="47"/>
        <v>46380</v>
      </c>
      <c r="GS33" s="182" t="str">
        <f t="shared" si="33"/>
        <v>木</v>
      </c>
      <c r="GT33" s="182" t="s">
        <v>22</v>
      </c>
      <c r="GU33" s="183">
        <v>0.375</v>
      </c>
      <c r="GV33" s="183">
        <v>0.75</v>
      </c>
      <c r="GW33" s="184">
        <v>0.5</v>
      </c>
      <c r="GX33" s="184">
        <v>0.54166666666666663</v>
      </c>
      <c r="GY33" s="185" t="str">
        <f t="shared" si="34"/>
        <v>8h</v>
      </c>
      <c r="GZ33" s="186">
        <v>0.375</v>
      </c>
      <c r="HA33" s="186">
        <v>0.75</v>
      </c>
      <c r="HB33" s="186">
        <v>0.5</v>
      </c>
      <c r="HC33" s="186">
        <v>0.54166666666666663</v>
      </c>
      <c r="HD33" s="187" t="str">
        <f t="shared" si="35"/>
        <v>8h</v>
      </c>
      <c r="HE33" s="310"/>
      <c r="HF33" s="310"/>
      <c r="HG33" s="310"/>
    </row>
    <row r="34" spans="1:215" x14ac:dyDescent="0.45">
      <c r="A34" s="176"/>
      <c r="B34" s="181">
        <f t="shared" si="36"/>
        <v>46047</v>
      </c>
      <c r="C34" s="182" t="str">
        <f t="shared" si="0"/>
        <v>日</v>
      </c>
      <c r="D34" s="182"/>
      <c r="E34" s="183"/>
      <c r="F34" s="183"/>
      <c r="G34" s="184"/>
      <c r="H34" s="184"/>
      <c r="I34" s="185" t="str">
        <f t="shared" si="1"/>
        <v/>
      </c>
      <c r="J34" s="186"/>
      <c r="K34" s="186"/>
      <c r="L34" s="186"/>
      <c r="M34" s="186"/>
      <c r="N34" s="187" t="str">
        <f t="shared" si="2"/>
        <v/>
      </c>
      <c r="O34" s="310"/>
      <c r="P34" s="310"/>
      <c r="Q34" s="310"/>
      <c r="S34" s="176"/>
      <c r="T34" s="181">
        <f t="shared" si="37"/>
        <v>46078</v>
      </c>
      <c r="U34" s="182" t="str">
        <f t="shared" si="3"/>
        <v>水</v>
      </c>
      <c r="V34" s="182" t="s">
        <v>22</v>
      </c>
      <c r="W34" s="183">
        <v>0.375</v>
      </c>
      <c r="X34" s="183">
        <v>0.75</v>
      </c>
      <c r="Y34" s="184">
        <v>0.5</v>
      </c>
      <c r="Z34" s="184">
        <v>0.54166666666666663</v>
      </c>
      <c r="AA34" s="185" t="str">
        <f t="shared" si="4"/>
        <v>8h</v>
      </c>
      <c r="AB34" s="186">
        <v>0.375</v>
      </c>
      <c r="AC34" s="186">
        <v>0.75</v>
      </c>
      <c r="AD34" s="186">
        <v>0.5</v>
      </c>
      <c r="AE34" s="186">
        <v>0.54166666666666663</v>
      </c>
      <c r="AF34" s="187" t="str">
        <f t="shared" si="5"/>
        <v>8h</v>
      </c>
      <c r="AG34" s="310"/>
      <c r="AH34" s="310"/>
      <c r="AI34" s="310"/>
      <c r="AK34" s="176"/>
      <c r="AL34" s="181">
        <f t="shared" si="38"/>
        <v>46106</v>
      </c>
      <c r="AM34" s="182" t="str">
        <f t="shared" si="6"/>
        <v>水</v>
      </c>
      <c r="AN34" s="182" t="s">
        <v>22</v>
      </c>
      <c r="AO34" s="183">
        <v>0.375</v>
      </c>
      <c r="AP34" s="183">
        <v>0.75</v>
      </c>
      <c r="AQ34" s="184">
        <v>0.5</v>
      </c>
      <c r="AR34" s="184">
        <v>0.54166666666666663</v>
      </c>
      <c r="AS34" s="185" t="str">
        <f t="shared" si="7"/>
        <v>8h</v>
      </c>
      <c r="AT34" s="186">
        <v>0.375</v>
      </c>
      <c r="AU34" s="186">
        <v>0.75</v>
      </c>
      <c r="AV34" s="186">
        <v>0.5</v>
      </c>
      <c r="AW34" s="186">
        <v>0.54166666666666663</v>
      </c>
      <c r="AX34" s="187" t="str">
        <f t="shared" si="8"/>
        <v>8h</v>
      </c>
      <c r="AY34" s="310"/>
      <c r="AZ34" s="310"/>
      <c r="BA34" s="310"/>
      <c r="BC34" s="176"/>
      <c r="BD34" s="181">
        <f t="shared" si="39"/>
        <v>46137</v>
      </c>
      <c r="BE34" s="182" t="str">
        <f t="shared" si="9"/>
        <v>土</v>
      </c>
      <c r="BF34" s="182"/>
      <c r="BG34" s="183"/>
      <c r="BH34" s="183"/>
      <c r="BI34" s="184"/>
      <c r="BJ34" s="184"/>
      <c r="BK34" s="185" t="str">
        <f t="shared" si="10"/>
        <v/>
      </c>
      <c r="BL34" s="186"/>
      <c r="BM34" s="186"/>
      <c r="BN34" s="186"/>
      <c r="BO34" s="186"/>
      <c r="BP34" s="187" t="str">
        <f t="shared" si="11"/>
        <v/>
      </c>
      <c r="BQ34" s="310"/>
      <c r="BR34" s="310"/>
      <c r="BS34" s="310"/>
      <c r="BU34" s="176"/>
      <c r="BV34" s="181">
        <f t="shared" si="40"/>
        <v>46167</v>
      </c>
      <c r="BW34" s="182" t="str">
        <f t="shared" si="12"/>
        <v>月</v>
      </c>
      <c r="BX34" s="182" t="s">
        <v>22</v>
      </c>
      <c r="BY34" s="183">
        <v>0.375</v>
      </c>
      <c r="BZ34" s="183">
        <v>0.75</v>
      </c>
      <c r="CA34" s="184">
        <v>0.5</v>
      </c>
      <c r="CB34" s="184">
        <v>0.54166666666666663</v>
      </c>
      <c r="CC34" s="185" t="str">
        <f t="shared" si="13"/>
        <v>8h</v>
      </c>
      <c r="CD34" s="186">
        <v>0.375</v>
      </c>
      <c r="CE34" s="186">
        <v>0.75</v>
      </c>
      <c r="CF34" s="186">
        <v>0.5</v>
      </c>
      <c r="CG34" s="186">
        <v>0.54166666666666663</v>
      </c>
      <c r="CH34" s="187" t="str">
        <f t="shared" si="14"/>
        <v>8h</v>
      </c>
      <c r="CI34" s="310"/>
      <c r="CJ34" s="310"/>
      <c r="CK34" s="310"/>
      <c r="CM34" s="176"/>
      <c r="CN34" s="181">
        <f t="shared" si="41"/>
        <v>46198</v>
      </c>
      <c r="CO34" s="182" t="str">
        <f t="shared" si="15"/>
        <v>木</v>
      </c>
      <c r="CP34" s="182" t="s">
        <v>22</v>
      </c>
      <c r="CQ34" s="183">
        <v>0.375</v>
      </c>
      <c r="CR34" s="183">
        <v>0.75</v>
      </c>
      <c r="CS34" s="184">
        <v>0.5</v>
      </c>
      <c r="CT34" s="184">
        <v>0.54166666666666663</v>
      </c>
      <c r="CU34" s="185" t="str">
        <f t="shared" si="16"/>
        <v>8h</v>
      </c>
      <c r="CV34" s="186">
        <v>0.375</v>
      </c>
      <c r="CW34" s="186">
        <v>0.75</v>
      </c>
      <c r="CX34" s="186">
        <v>0.5</v>
      </c>
      <c r="CY34" s="186">
        <v>0.54166666666666663</v>
      </c>
      <c r="CZ34" s="187" t="str">
        <f t="shared" si="17"/>
        <v>8h</v>
      </c>
      <c r="DA34" s="310"/>
      <c r="DB34" s="310"/>
      <c r="DC34" s="310"/>
      <c r="DE34" s="176"/>
      <c r="DF34" s="181">
        <f t="shared" si="42"/>
        <v>46228</v>
      </c>
      <c r="DG34" s="182" t="str">
        <f t="shared" si="18"/>
        <v>土</v>
      </c>
      <c r="DH34" s="182"/>
      <c r="DI34" s="183"/>
      <c r="DJ34" s="183"/>
      <c r="DK34" s="184"/>
      <c r="DL34" s="184"/>
      <c r="DM34" s="185" t="str">
        <f t="shared" si="19"/>
        <v/>
      </c>
      <c r="DN34" s="186"/>
      <c r="DO34" s="186"/>
      <c r="DP34" s="186"/>
      <c r="DQ34" s="186"/>
      <c r="DR34" s="187" t="str">
        <f t="shared" si="20"/>
        <v/>
      </c>
      <c r="DS34" s="310"/>
      <c r="DT34" s="310"/>
      <c r="DU34" s="310"/>
      <c r="DW34" s="176"/>
      <c r="DX34" s="181">
        <f t="shared" si="43"/>
        <v>46259</v>
      </c>
      <c r="DY34" s="182" t="str">
        <f t="shared" si="21"/>
        <v>火</v>
      </c>
      <c r="DZ34" s="182" t="s">
        <v>22</v>
      </c>
      <c r="EA34" s="183">
        <v>0.375</v>
      </c>
      <c r="EB34" s="183">
        <v>0.75</v>
      </c>
      <c r="EC34" s="184">
        <v>0.5</v>
      </c>
      <c r="ED34" s="184">
        <v>0.54166666666666663</v>
      </c>
      <c r="EE34" s="185" t="str">
        <f t="shared" si="22"/>
        <v>8h</v>
      </c>
      <c r="EF34" s="186">
        <v>0.375</v>
      </c>
      <c r="EG34" s="186">
        <v>0.75</v>
      </c>
      <c r="EH34" s="186">
        <v>0.5</v>
      </c>
      <c r="EI34" s="186">
        <v>0.54166666666666663</v>
      </c>
      <c r="EJ34" s="187" t="str">
        <f t="shared" si="23"/>
        <v>8h</v>
      </c>
      <c r="EK34" s="310"/>
      <c r="EL34" s="310"/>
      <c r="EM34" s="310"/>
      <c r="EO34" s="176"/>
      <c r="EP34" s="181">
        <f t="shared" si="44"/>
        <v>46290</v>
      </c>
      <c r="EQ34" s="182" t="str">
        <f t="shared" si="24"/>
        <v>金</v>
      </c>
      <c r="ER34" s="182" t="s">
        <v>22</v>
      </c>
      <c r="ES34" s="183">
        <v>0.375</v>
      </c>
      <c r="ET34" s="183">
        <v>0.75</v>
      </c>
      <c r="EU34" s="184">
        <v>0.5</v>
      </c>
      <c r="EV34" s="184">
        <v>0.54166666666666663</v>
      </c>
      <c r="EW34" s="185" t="str">
        <f t="shared" si="25"/>
        <v>8h</v>
      </c>
      <c r="EX34" s="186">
        <v>0.375</v>
      </c>
      <c r="EY34" s="186">
        <v>0.75</v>
      </c>
      <c r="EZ34" s="186">
        <v>0.5</v>
      </c>
      <c r="FA34" s="186">
        <v>0.54166666666666663</v>
      </c>
      <c r="FB34" s="187" t="str">
        <f t="shared" si="26"/>
        <v>8h</v>
      </c>
      <c r="FC34" s="310"/>
      <c r="FD34" s="310"/>
      <c r="FE34" s="310"/>
      <c r="FG34" s="176"/>
      <c r="FH34" s="181">
        <f t="shared" si="45"/>
        <v>46320</v>
      </c>
      <c r="FI34" s="182" t="str">
        <f t="shared" si="27"/>
        <v>日</v>
      </c>
      <c r="FJ34" s="182"/>
      <c r="FK34" s="183"/>
      <c r="FL34" s="183"/>
      <c r="FM34" s="184"/>
      <c r="FN34" s="184"/>
      <c r="FO34" s="185" t="str">
        <f t="shared" si="28"/>
        <v/>
      </c>
      <c r="FP34" s="186"/>
      <c r="FQ34" s="186"/>
      <c r="FR34" s="186"/>
      <c r="FS34" s="186"/>
      <c r="FT34" s="187" t="str">
        <f t="shared" si="29"/>
        <v/>
      </c>
      <c r="FU34" s="310"/>
      <c r="FV34" s="310"/>
      <c r="FW34" s="310"/>
      <c r="FY34" s="176"/>
      <c r="FZ34" s="181">
        <f t="shared" si="46"/>
        <v>46351</v>
      </c>
      <c r="GA34" s="182" t="str">
        <f t="shared" si="30"/>
        <v>水</v>
      </c>
      <c r="GB34" s="182" t="s">
        <v>22</v>
      </c>
      <c r="GC34" s="183">
        <v>0.375</v>
      </c>
      <c r="GD34" s="183">
        <v>0.75</v>
      </c>
      <c r="GE34" s="184">
        <v>0.5</v>
      </c>
      <c r="GF34" s="184">
        <v>0.54166666666666663</v>
      </c>
      <c r="GG34" s="185" t="str">
        <f t="shared" si="31"/>
        <v>8h</v>
      </c>
      <c r="GH34" s="186">
        <v>0.375</v>
      </c>
      <c r="GI34" s="186">
        <v>0.75</v>
      </c>
      <c r="GJ34" s="186">
        <v>0.5</v>
      </c>
      <c r="GK34" s="186">
        <v>0.54166666666666663</v>
      </c>
      <c r="GL34" s="187" t="str">
        <f t="shared" si="32"/>
        <v>8h</v>
      </c>
      <c r="GM34" s="310"/>
      <c r="GN34" s="310"/>
      <c r="GO34" s="310"/>
      <c r="GQ34" s="176"/>
      <c r="GR34" s="181">
        <f t="shared" si="47"/>
        <v>46381</v>
      </c>
      <c r="GS34" s="182" t="str">
        <f t="shared" si="33"/>
        <v>金</v>
      </c>
      <c r="GT34" s="182" t="s">
        <v>22</v>
      </c>
      <c r="GU34" s="183">
        <v>0.375</v>
      </c>
      <c r="GV34" s="183">
        <v>0.75</v>
      </c>
      <c r="GW34" s="184">
        <v>0.5</v>
      </c>
      <c r="GX34" s="184">
        <v>0.54166666666666663</v>
      </c>
      <c r="GY34" s="185" t="str">
        <f t="shared" si="34"/>
        <v>8h</v>
      </c>
      <c r="GZ34" s="186">
        <v>0.375</v>
      </c>
      <c r="HA34" s="186">
        <v>0.75</v>
      </c>
      <c r="HB34" s="186">
        <v>0.5</v>
      </c>
      <c r="HC34" s="186">
        <v>0.54166666666666663</v>
      </c>
      <c r="HD34" s="187" t="str">
        <f t="shared" si="35"/>
        <v>8h</v>
      </c>
      <c r="HE34" s="310"/>
      <c r="HF34" s="310"/>
      <c r="HG34" s="310"/>
    </row>
    <row r="35" spans="1:215" x14ac:dyDescent="0.45">
      <c r="A35" s="176"/>
      <c r="B35" s="181">
        <f t="shared" si="36"/>
        <v>46048</v>
      </c>
      <c r="C35" s="182" t="str">
        <f t="shared" si="0"/>
        <v>月</v>
      </c>
      <c r="D35" s="182" t="s">
        <v>22</v>
      </c>
      <c r="E35" s="183">
        <v>0.375</v>
      </c>
      <c r="F35" s="183">
        <v>0.75</v>
      </c>
      <c r="G35" s="184">
        <v>0.5</v>
      </c>
      <c r="H35" s="184">
        <v>0.54166666666666663</v>
      </c>
      <c r="I35" s="185" t="str">
        <f t="shared" si="1"/>
        <v>8h</v>
      </c>
      <c r="J35" s="186">
        <v>0.375</v>
      </c>
      <c r="K35" s="186">
        <v>0.75</v>
      </c>
      <c r="L35" s="186">
        <v>0.5</v>
      </c>
      <c r="M35" s="186">
        <v>0.54166666666666663</v>
      </c>
      <c r="N35" s="187" t="str">
        <f t="shared" si="2"/>
        <v>8h</v>
      </c>
      <c r="O35" s="310"/>
      <c r="P35" s="310"/>
      <c r="Q35" s="310"/>
      <c r="S35" s="176"/>
      <c r="T35" s="181">
        <f t="shared" si="37"/>
        <v>46079</v>
      </c>
      <c r="U35" s="182" t="str">
        <f t="shared" si="3"/>
        <v>木</v>
      </c>
      <c r="V35" s="182" t="s">
        <v>22</v>
      </c>
      <c r="W35" s="183">
        <v>0.375</v>
      </c>
      <c r="X35" s="183">
        <v>0.75</v>
      </c>
      <c r="Y35" s="184">
        <v>0.5</v>
      </c>
      <c r="Z35" s="184">
        <v>0.54166666666666663</v>
      </c>
      <c r="AA35" s="185" t="str">
        <f t="shared" si="4"/>
        <v>8h</v>
      </c>
      <c r="AB35" s="186">
        <v>0.375</v>
      </c>
      <c r="AC35" s="186">
        <v>0.75</v>
      </c>
      <c r="AD35" s="186">
        <v>0.5</v>
      </c>
      <c r="AE35" s="186">
        <v>0.54166666666666663</v>
      </c>
      <c r="AF35" s="187" t="str">
        <f t="shared" si="5"/>
        <v>8h</v>
      </c>
      <c r="AG35" s="310"/>
      <c r="AH35" s="310"/>
      <c r="AI35" s="310"/>
      <c r="AK35" s="176"/>
      <c r="AL35" s="181">
        <f t="shared" si="38"/>
        <v>46107</v>
      </c>
      <c r="AM35" s="182" t="str">
        <f t="shared" si="6"/>
        <v>木</v>
      </c>
      <c r="AN35" s="182" t="s">
        <v>22</v>
      </c>
      <c r="AO35" s="183">
        <v>0.375</v>
      </c>
      <c r="AP35" s="183">
        <v>0.75</v>
      </c>
      <c r="AQ35" s="184">
        <v>0.5</v>
      </c>
      <c r="AR35" s="184">
        <v>0.54166666666666663</v>
      </c>
      <c r="AS35" s="185" t="str">
        <f t="shared" si="7"/>
        <v>8h</v>
      </c>
      <c r="AT35" s="186">
        <v>0.375</v>
      </c>
      <c r="AU35" s="186">
        <v>0.75</v>
      </c>
      <c r="AV35" s="186">
        <v>0.5</v>
      </c>
      <c r="AW35" s="186">
        <v>0.54166666666666663</v>
      </c>
      <c r="AX35" s="187" t="str">
        <f t="shared" si="8"/>
        <v>8h</v>
      </c>
      <c r="AY35" s="310"/>
      <c r="AZ35" s="310"/>
      <c r="BA35" s="310"/>
      <c r="BC35" s="176"/>
      <c r="BD35" s="181">
        <f t="shared" si="39"/>
        <v>46138</v>
      </c>
      <c r="BE35" s="182" t="str">
        <f t="shared" si="9"/>
        <v>日</v>
      </c>
      <c r="BF35" s="182"/>
      <c r="BG35" s="183"/>
      <c r="BH35" s="183"/>
      <c r="BI35" s="184"/>
      <c r="BJ35" s="184"/>
      <c r="BK35" s="185" t="str">
        <f t="shared" si="10"/>
        <v/>
      </c>
      <c r="BL35" s="186"/>
      <c r="BM35" s="186"/>
      <c r="BN35" s="186"/>
      <c r="BO35" s="186"/>
      <c r="BP35" s="187" t="str">
        <f t="shared" si="11"/>
        <v/>
      </c>
      <c r="BQ35" s="310"/>
      <c r="BR35" s="310"/>
      <c r="BS35" s="310"/>
      <c r="BU35" s="176"/>
      <c r="BV35" s="181">
        <f t="shared" si="40"/>
        <v>46168</v>
      </c>
      <c r="BW35" s="182" t="str">
        <f t="shared" si="12"/>
        <v>火</v>
      </c>
      <c r="BX35" s="182" t="s">
        <v>22</v>
      </c>
      <c r="BY35" s="183">
        <v>0.375</v>
      </c>
      <c r="BZ35" s="183">
        <v>0.75</v>
      </c>
      <c r="CA35" s="184">
        <v>0.5</v>
      </c>
      <c r="CB35" s="184">
        <v>0.54166666666666663</v>
      </c>
      <c r="CC35" s="185" t="str">
        <f t="shared" si="13"/>
        <v>8h</v>
      </c>
      <c r="CD35" s="186">
        <v>0.375</v>
      </c>
      <c r="CE35" s="186">
        <v>0.75</v>
      </c>
      <c r="CF35" s="186">
        <v>0.5</v>
      </c>
      <c r="CG35" s="186">
        <v>0.54166666666666663</v>
      </c>
      <c r="CH35" s="187" t="str">
        <f t="shared" si="14"/>
        <v>8h</v>
      </c>
      <c r="CI35" s="310"/>
      <c r="CJ35" s="310"/>
      <c r="CK35" s="310"/>
      <c r="CM35" s="176"/>
      <c r="CN35" s="181">
        <f t="shared" si="41"/>
        <v>46199</v>
      </c>
      <c r="CO35" s="182" t="str">
        <f t="shared" si="15"/>
        <v>金</v>
      </c>
      <c r="CP35" s="182" t="s">
        <v>22</v>
      </c>
      <c r="CQ35" s="183">
        <v>0.375</v>
      </c>
      <c r="CR35" s="183">
        <v>0.75</v>
      </c>
      <c r="CS35" s="184">
        <v>0.5</v>
      </c>
      <c r="CT35" s="184">
        <v>0.54166666666666663</v>
      </c>
      <c r="CU35" s="185" t="str">
        <f t="shared" si="16"/>
        <v>8h</v>
      </c>
      <c r="CV35" s="186">
        <v>0.375</v>
      </c>
      <c r="CW35" s="186">
        <v>0.75</v>
      </c>
      <c r="CX35" s="186">
        <v>0.5</v>
      </c>
      <c r="CY35" s="186">
        <v>0.54166666666666663</v>
      </c>
      <c r="CZ35" s="187" t="str">
        <f t="shared" si="17"/>
        <v>8h</v>
      </c>
      <c r="DA35" s="310"/>
      <c r="DB35" s="310"/>
      <c r="DC35" s="310"/>
      <c r="DE35" s="176"/>
      <c r="DF35" s="181">
        <f t="shared" si="42"/>
        <v>46229</v>
      </c>
      <c r="DG35" s="182" t="str">
        <f t="shared" si="18"/>
        <v>日</v>
      </c>
      <c r="DH35" s="182"/>
      <c r="DI35" s="183"/>
      <c r="DJ35" s="183"/>
      <c r="DK35" s="184"/>
      <c r="DL35" s="184"/>
      <c r="DM35" s="185" t="str">
        <f t="shared" si="19"/>
        <v/>
      </c>
      <c r="DN35" s="186"/>
      <c r="DO35" s="186"/>
      <c r="DP35" s="186"/>
      <c r="DQ35" s="186"/>
      <c r="DR35" s="187" t="str">
        <f t="shared" si="20"/>
        <v/>
      </c>
      <c r="DS35" s="310"/>
      <c r="DT35" s="310"/>
      <c r="DU35" s="310"/>
      <c r="DW35" s="176"/>
      <c r="DX35" s="181">
        <f t="shared" si="43"/>
        <v>46260</v>
      </c>
      <c r="DY35" s="182" t="str">
        <f t="shared" si="21"/>
        <v>水</v>
      </c>
      <c r="DZ35" s="182" t="s">
        <v>22</v>
      </c>
      <c r="EA35" s="183">
        <v>0.375</v>
      </c>
      <c r="EB35" s="183">
        <v>0.75</v>
      </c>
      <c r="EC35" s="184">
        <v>0.5</v>
      </c>
      <c r="ED35" s="184">
        <v>0.54166666666666663</v>
      </c>
      <c r="EE35" s="185" t="str">
        <f t="shared" si="22"/>
        <v>8h</v>
      </c>
      <c r="EF35" s="186">
        <v>0.375</v>
      </c>
      <c r="EG35" s="186">
        <v>0.75</v>
      </c>
      <c r="EH35" s="186">
        <v>0.5</v>
      </c>
      <c r="EI35" s="186">
        <v>0.54166666666666663</v>
      </c>
      <c r="EJ35" s="187" t="str">
        <f t="shared" si="23"/>
        <v>8h</v>
      </c>
      <c r="EK35" s="310"/>
      <c r="EL35" s="310"/>
      <c r="EM35" s="310"/>
      <c r="EO35" s="176"/>
      <c r="EP35" s="181">
        <f t="shared" si="44"/>
        <v>46291</v>
      </c>
      <c r="EQ35" s="182" t="str">
        <f t="shared" si="24"/>
        <v>土</v>
      </c>
      <c r="ER35" s="182"/>
      <c r="ES35" s="183"/>
      <c r="ET35" s="183"/>
      <c r="EU35" s="184"/>
      <c r="EV35" s="184"/>
      <c r="EW35" s="185" t="str">
        <f t="shared" si="25"/>
        <v/>
      </c>
      <c r="EX35" s="186"/>
      <c r="EY35" s="186"/>
      <c r="EZ35" s="186"/>
      <c r="FA35" s="186"/>
      <c r="FB35" s="187" t="str">
        <f t="shared" si="26"/>
        <v/>
      </c>
      <c r="FC35" s="310"/>
      <c r="FD35" s="310"/>
      <c r="FE35" s="310"/>
      <c r="FG35" s="176"/>
      <c r="FH35" s="181">
        <f t="shared" si="45"/>
        <v>46321</v>
      </c>
      <c r="FI35" s="182" t="str">
        <f t="shared" si="27"/>
        <v>月</v>
      </c>
      <c r="FJ35" s="182" t="s">
        <v>22</v>
      </c>
      <c r="FK35" s="183">
        <v>0.375</v>
      </c>
      <c r="FL35" s="183">
        <v>0.75</v>
      </c>
      <c r="FM35" s="184">
        <v>0.5</v>
      </c>
      <c r="FN35" s="184">
        <v>0.54166666666666663</v>
      </c>
      <c r="FO35" s="185" t="str">
        <f t="shared" si="28"/>
        <v>8h</v>
      </c>
      <c r="FP35" s="186">
        <v>0.375</v>
      </c>
      <c r="FQ35" s="186">
        <v>0.75</v>
      </c>
      <c r="FR35" s="186">
        <v>0.5</v>
      </c>
      <c r="FS35" s="186">
        <v>0.54166666666666663</v>
      </c>
      <c r="FT35" s="187" t="str">
        <f t="shared" si="29"/>
        <v>8h</v>
      </c>
      <c r="FU35" s="310"/>
      <c r="FV35" s="310"/>
      <c r="FW35" s="310"/>
      <c r="FY35" s="176"/>
      <c r="FZ35" s="181">
        <f t="shared" si="46"/>
        <v>46352</v>
      </c>
      <c r="GA35" s="182" t="str">
        <f t="shared" si="30"/>
        <v>木</v>
      </c>
      <c r="GB35" s="182" t="s">
        <v>22</v>
      </c>
      <c r="GC35" s="183">
        <v>0.375</v>
      </c>
      <c r="GD35" s="183">
        <v>0.75</v>
      </c>
      <c r="GE35" s="184">
        <v>0.5</v>
      </c>
      <c r="GF35" s="184">
        <v>0.54166666666666663</v>
      </c>
      <c r="GG35" s="185" t="str">
        <f t="shared" si="31"/>
        <v>8h</v>
      </c>
      <c r="GH35" s="186">
        <v>0.375</v>
      </c>
      <c r="GI35" s="186">
        <v>0.75</v>
      </c>
      <c r="GJ35" s="186">
        <v>0.5</v>
      </c>
      <c r="GK35" s="186">
        <v>0.54166666666666663</v>
      </c>
      <c r="GL35" s="187" t="str">
        <f t="shared" si="32"/>
        <v>8h</v>
      </c>
      <c r="GM35" s="310"/>
      <c r="GN35" s="310"/>
      <c r="GO35" s="310"/>
      <c r="GQ35" s="176"/>
      <c r="GR35" s="181">
        <f t="shared" si="47"/>
        <v>46382</v>
      </c>
      <c r="GS35" s="182" t="str">
        <f t="shared" si="33"/>
        <v>土</v>
      </c>
      <c r="GT35" s="182"/>
      <c r="GU35" s="183"/>
      <c r="GV35" s="183"/>
      <c r="GW35" s="184"/>
      <c r="GX35" s="184"/>
      <c r="GY35" s="185" t="str">
        <f t="shared" si="34"/>
        <v/>
      </c>
      <c r="GZ35" s="186"/>
      <c r="HA35" s="186"/>
      <c r="HB35" s="186"/>
      <c r="HC35" s="186"/>
      <c r="HD35" s="187" t="str">
        <f t="shared" si="35"/>
        <v/>
      </c>
      <c r="HE35" s="310"/>
      <c r="HF35" s="310"/>
      <c r="HG35" s="310"/>
    </row>
    <row r="36" spans="1:215" x14ac:dyDescent="0.45">
      <c r="A36" s="176"/>
      <c r="B36" s="181">
        <f t="shared" si="36"/>
        <v>46049</v>
      </c>
      <c r="C36" s="182" t="str">
        <f t="shared" si="0"/>
        <v>火</v>
      </c>
      <c r="D36" s="182" t="s">
        <v>22</v>
      </c>
      <c r="E36" s="183">
        <v>0.375</v>
      </c>
      <c r="F36" s="183">
        <v>0.75</v>
      </c>
      <c r="G36" s="184">
        <v>0.5</v>
      </c>
      <c r="H36" s="184">
        <v>0.54166666666666663</v>
      </c>
      <c r="I36" s="185" t="str">
        <f t="shared" si="1"/>
        <v>8h</v>
      </c>
      <c r="J36" s="186">
        <v>0.375</v>
      </c>
      <c r="K36" s="186">
        <v>0.75</v>
      </c>
      <c r="L36" s="186">
        <v>0.5</v>
      </c>
      <c r="M36" s="186">
        <v>0.54166666666666663</v>
      </c>
      <c r="N36" s="187" t="str">
        <f t="shared" si="2"/>
        <v>8h</v>
      </c>
      <c r="O36" s="310"/>
      <c r="P36" s="310"/>
      <c r="Q36" s="310"/>
      <c r="S36" s="176"/>
      <c r="T36" s="181">
        <f t="shared" si="37"/>
        <v>46080</v>
      </c>
      <c r="U36" s="182" t="str">
        <f t="shared" si="3"/>
        <v>金</v>
      </c>
      <c r="V36" s="182" t="s">
        <v>22</v>
      </c>
      <c r="W36" s="183">
        <v>0.375</v>
      </c>
      <c r="X36" s="183">
        <v>0.75</v>
      </c>
      <c r="Y36" s="184">
        <v>0.5</v>
      </c>
      <c r="Z36" s="184">
        <v>0.54166666666666663</v>
      </c>
      <c r="AA36" s="185" t="str">
        <f t="shared" si="4"/>
        <v>8h</v>
      </c>
      <c r="AB36" s="186">
        <v>0.375</v>
      </c>
      <c r="AC36" s="186">
        <v>0.75</v>
      </c>
      <c r="AD36" s="186">
        <v>0.5</v>
      </c>
      <c r="AE36" s="186">
        <v>0.54166666666666663</v>
      </c>
      <c r="AF36" s="187" t="str">
        <f t="shared" si="5"/>
        <v>8h</v>
      </c>
      <c r="AG36" s="310"/>
      <c r="AH36" s="310"/>
      <c r="AI36" s="310"/>
      <c r="AK36" s="176"/>
      <c r="AL36" s="181">
        <f t="shared" si="38"/>
        <v>46108</v>
      </c>
      <c r="AM36" s="182" t="str">
        <f t="shared" si="6"/>
        <v>金</v>
      </c>
      <c r="AN36" s="182" t="s">
        <v>22</v>
      </c>
      <c r="AO36" s="183">
        <v>0.375</v>
      </c>
      <c r="AP36" s="183">
        <v>0.75</v>
      </c>
      <c r="AQ36" s="184">
        <v>0.5</v>
      </c>
      <c r="AR36" s="184">
        <v>0.54166666666666663</v>
      </c>
      <c r="AS36" s="185" t="str">
        <f t="shared" si="7"/>
        <v>8h</v>
      </c>
      <c r="AT36" s="186">
        <v>0.375</v>
      </c>
      <c r="AU36" s="186">
        <v>0.75</v>
      </c>
      <c r="AV36" s="186">
        <v>0.5</v>
      </c>
      <c r="AW36" s="186">
        <v>0.54166666666666663</v>
      </c>
      <c r="AX36" s="187" t="str">
        <f t="shared" si="8"/>
        <v>8h</v>
      </c>
      <c r="AY36" s="310"/>
      <c r="AZ36" s="310"/>
      <c r="BA36" s="310"/>
      <c r="BC36" s="176"/>
      <c r="BD36" s="181">
        <f t="shared" si="39"/>
        <v>46139</v>
      </c>
      <c r="BE36" s="182" t="str">
        <f t="shared" si="9"/>
        <v>月</v>
      </c>
      <c r="BF36" s="182" t="s">
        <v>22</v>
      </c>
      <c r="BG36" s="183">
        <v>0.375</v>
      </c>
      <c r="BH36" s="183">
        <v>0.75</v>
      </c>
      <c r="BI36" s="184">
        <v>0.5</v>
      </c>
      <c r="BJ36" s="184">
        <v>0.54166666666666663</v>
      </c>
      <c r="BK36" s="185" t="str">
        <f t="shared" si="10"/>
        <v>8h</v>
      </c>
      <c r="BL36" s="186">
        <v>0.375</v>
      </c>
      <c r="BM36" s="186">
        <v>0.75</v>
      </c>
      <c r="BN36" s="186">
        <v>0.5</v>
      </c>
      <c r="BO36" s="186">
        <v>0.54166666666666663</v>
      </c>
      <c r="BP36" s="187" t="str">
        <f t="shared" si="11"/>
        <v>8h</v>
      </c>
      <c r="BQ36" s="310"/>
      <c r="BR36" s="310"/>
      <c r="BS36" s="310"/>
      <c r="BU36" s="176"/>
      <c r="BV36" s="181">
        <f t="shared" si="40"/>
        <v>46169</v>
      </c>
      <c r="BW36" s="182" t="str">
        <f t="shared" si="12"/>
        <v>水</v>
      </c>
      <c r="BX36" s="182" t="s">
        <v>22</v>
      </c>
      <c r="BY36" s="183">
        <v>0.375</v>
      </c>
      <c r="BZ36" s="183">
        <v>0.75</v>
      </c>
      <c r="CA36" s="184">
        <v>0.5</v>
      </c>
      <c r="CB36" s="184">
        <v>0.54166666666666663</v>
      </c>
      <c r="CC36" s="185" t="str">
        <f t="shared" si="13"/>
        <v>8h</v>
      </c>
      <c r="CD36" s="186">
        <v>0.375</v>
      </c>
      <c r="CE36" s="186">
        <v>0.75</v>
      </c>
      <c r="CF36" s="186">
        <v>0.5</v>
      </c>
      <c r="CG36" s="186">
        <v>0.54166666666666663</v>
      </c>
      <c r="CH36" s="187" t="str">
        <f t="shared" si="14"/>
        <v>8h</v>
      </c>
      <c r="CI36" s="310"/>
      <c r="CJ36" s="310"/>
      <c r="CK36" s="310"/>
      <c r="CM36" s="176"/>
      <c r="CN36" s="181">
        <f t="shared" si="41"/>
        <v>46200</v>
      </c>
      <c r="CO36" s="182" t="str">
        <f t="shared" si="15"/>
        <v>土</v>
      </c>
      <c r="CP36" s="182"/>
      <c r="CQ36" s="183"/>
      <c r="CR36" s="183"/>
      <c r="CS36" s="184"/>
      <c r="CT36" s="184"/>
      <c r="CU36" s="185" t="str">
        <f t="shared" si="16"/>
        <v/>
      </c>
      <c r="CV36" s="186"/>
      <c r="CW36" s="186"/>
      <c r="CX36" s="186"/>
      <c r="CY36" s="186"/>
      <c r="CZ36" s="187" t="str">
        <f t="shared" si="17"/>
        <v/>
      </c>
      <c r="DA36" s="310"/>
      <c r="DB36" s="310"/>
      <c r="DC36" s="310"/>
      <c r="DE36" s="176"/>
      <c r="DF36" s="181">
        <f t="shared" si="42"/>
        <v>46230</v>
      </c>
      <c r="DG36" s="182" t="str">
        <f t="shared" si="18"/>
        <v>月</v>
      </c>
      <c r="DH36" s="182" t="s">
        <v>22</v>
      </c>
      <c r="DI36" s="183">
        <v>0.375</v>
      </c>
      <c r="DJ36" s="183">
        <v>0.75</v>
      </c>
      <c r="DK36" s="184">
        <v>0.5</v>
      </c>
      <c r="DL36" s="184">
        <v>0.54166666666666663</v>
      </c>
      <c r="DM36" s="185" t="str">
        <f t="shared" si="19"/>
        <v>8h</v>
      </c>
      <c r="DN36" s="186">
        <v>0.375</v>
      </c>
      <c r="DO36" s="186">
        <v>0.75</v>
      </c>
      <c r="DP36" s="186">
        <v>0.5</v>
      </c>
      <c r="DQ36" s="186">
        <v>0.54166666666666663</v>
      </c>
      <c r="DR36" s="187" t="str">
        <f t="shared" si="20"/>
        <v>8h</v>
      </c>
      <c r="DS36" s="310"/>
      <c r="DT36" s="310"/>
      <c r="DU36" s="310"/>
      <c r="DW36" s="176"/>
      <c r="DX36" s="181">
        <f t="shared" si="43"/>
        <v>46261</v>
      </c>
      <c r="DY36" s="182" t="str">
        <f t="shared" si="21"/>
        <v>木</v>
      </c>
      <c r="DZ36" s="182" t="s">
        <v>22</v>
      </c>
      <c r="EA36" s="183">
        <v>0.375</v>
      </c>
      <c r="EB36" s="183">
        <v>0.75</v>
      </c>
      <c r="EC36" s="184">
        <v>0.5</v>
      </c>
      <c r="ED36" s="184">
        <v>0.54166666666666663</v>
      </c>
      <c r="EE36" s="185" t="str">
        <f t="shared" si="22"/>
        <v>8h</v>
      </c>
      <c r="EF36" s="186">
        <v>0.375</v>
      </c>
      <c r="EG36" s="186">
        <v>0.75</v>
      </c>
      <c r="EH36" s="186">
        <v>0.5</v>
      </c>
      <c r="EI36" s="186">
        <v>0.54166666666666663</v>
      </c>
      <c r="EJ36" s="187" t="str">
        <f t="shared" si="23"/>
        <v>8h</v>
      </c>
      <c r="EK36" s="310"/>
      <c r="EL36" s="310"/>
      <c r="EM36" s="310"/>
      <c r="EO36" s="176"/>
      <c r="EP36" s="181">
        <f t="shared" si="44"/>
        <v>46292</v>
      </c>
      <c r="EQ36" s="182" t="str">
        <f t="shared" si="24"/>
        <v>日</v>
      </c>
      <c r="ER36" s="182"/>
      <c r="ES36" s="183"/>
      <c r="ET36" s="183"/>
      <c r="EU36" s="184"/>
      <c r="EV36" s="184"/>
      <c r="EW36" s="185" t="str">
        <f t="shared" si="25"/>
        <v/>
      </c>
      <c r="EX36" s="186"/>
      <c r="EY36" s="186"/>
      <c r="EZ36" s="186"/>
      <c r="FA36" s="186"/>
      <c r="FB36" s="187" t="str">
        <f t="shared" si="26"/>
        <v/>
      </c>
      <c r="FC36" s="310"/>
      <c r="FD36" s="310"/>
      <c r="FE36" s="310"/>
      <c r="FG36" s="176"/>
      <c r="FH36" s="181">
        <f t="shared" si="45"/>
        <v>46322</v>
      </c>
      <c r="FI36" s="182" t="str">
        <f t="shared" si="27"/>
        <v>火</v>
      </c>
      <c r="FJ36" s="182" t="s">
        <v>22</v>
      </c>
      <c r="FK36" s="183">
        <v>0.375</v>
      </c>
      <c r="FL36" s="183">
        <v>0.75</v>
      </c>
      <c r="FM36" s="184">
        <v>0.5</v>
      </c>
      <c r="FN36" s="184">
        <v>0.54166666666666663</v>
      </c>
      <c r="FO36" s="185" t="str">
        <f t="shared" si="28"/>
        <v>8h</v>
      </c>
      <c r="FP36" s="186">
        <v>0.375</v>
      </c>
      <c r="FQ36" s="186">
        <v>0.75</v>
      </c>
      <c r="FR36" s="186">
        <v>0.5</v>
      </c>
      <c r="FS36" s="186">
        <v>0.54166666666666663</v>
      </c>
      <c r="FT36" s="187" t="str">
        <f t="shared" si="29"/>
        <v>8h</v>
      </c>
      <c r="FU36" s="310"/>
      <c r="FV36" s="310"/>
      <c r="FW36" s="310"/>
      <c r="FY36" s="176"/>
      <c r="FZ36" s="181">
        <f t="shared" si="46"/>
        <v>46353</v>
      </c>
      <c r="GA36" s="182" t="str">
        <f t="shared" si="30"/>
        <v>金</v>
      </c>
      <c r="GB36" s="182" t="s">
        <v>22</v>
      </c>
      <c r="GC36" s="183">
        <v>0.375</v>
      </c>
      <c r="GD36" s="183">
        <v>0.75</v>
      </c>
      <c r="GE36" s="184">
        <v>0.5</v>
      </c>
      <c r="GF36" s="184">
        <v>0.54166666666666663</v>
      </c>
      <c r="GG36" s="185" t="str">
        <f t="shared" si="31"/>
        <v>8h</v>
      </c>
      <c r="GH36" s="186">
        <v>0.375</v>
      </c>
      <c r="GI36" s="186">
        <v>0.75</v>
      </c>
      <c r="GJ36" s="186">
        <v>0.5</v>
      </c>
      <c r="GK36" s="186">
        <v>0.54166666666666663</v>
      </c>
      <c r="GL36" s="187" t="str">
        <f t="shared" si="32"/>
        <v>8h</v>
      </c>
      <c r="GM36" s="310"/>
      <c r="GN36" s="310"/>
      <c r="GO36" s="310"/>
      <c r="GQ36" s="176"/>
      <c r="GR36" s="181">
        <f t="shared" si="47"/>
        <v>46383</v>
      </c>
      <c r="GS36" s="182" t="str">
        <f t="shared" si="33"/>
        <v>日</v>
      </c>
      <c r="GT36" s="182"/>
      <c r="GU36" s="183"/>
      <c r="GV36" s="183"/>
      <c r="GW36" s="184"/>
      <c r="GX36" s="184"/>
      <c r="GY36" s="185" t="str">
        <f t="shared" si="34"/>
        <v/>
      </c>
      <c r="GZ36" s="186"/>
      <c r="HA36" s="186"/>
      <c r="HB36" s="186"/>
      <c r="HC36" s="186"/>
      <c r="HD36" s="187" t="str">
        <f t="shared" si="35"/>
        <v/>
      </c>
      <c r="HE36" s="310"/>
      <c r="HF36" s="310"/>
      <c r="HG36" s="310"/>
    </row>
    <row r="37" spans="1:215" x14ac:dyDescent="0.45">
      <c r="A37" s="176"/>
      <c r="B37" s="181">
        <f t="shared" si="36"/>
        <v>46050</v>
      </c>
      <c r="C37" s="182" t="str">
        <f t="shared" si="0"/>
        <v>水</v>
      </c>
      <c r="D37" s="182" t="s">
        <v>22</v>
      </c>
      <c r="E37" s="183">
        <v>0.375</v>
      </c>
      <c r="F37" s="183">
        <v>0.75</v>
      </c>
      <c r="G37" s="184">
        <v>0.5</v>
      </c>
      <c r="H37" s="184">
        <v>0.54166666666666663</v>
      </c>
      <c r="I37" s="185" t="str">
        <f t="shared" si="1"/>
        <v>8h</v>
      </c>
      <c r="J37" s="186">
        <v>0.375</v>
      </c>
      <c r="K37" s="186">
        <v>0.75</v>
      </c>
      <c r="L37" s="186">
        <v>0.5</v>
      </c>
      <c r="M37" s="186">
        <v>0.54166666666666663</v>
      </c>
      <c r="N37" s="187" t="str">
        <f t="shared" si="2"/>
        <v>8h</v>
      </c>
      <c r="O37" s="310"/>
      <c r="P37" s="310"/>
      <c r="Q37" s="310"/>
      <c r="S37" s="176"/>
      <c r="T37" s="181">
        <f t="shared" si="37"/>
        <v>46081</v>
      </c>
      <c r="U37" s="182" t="str">
        <f t="shared" si="3"/>
        <v>土</v>
      </c>
      <c r="V37" s="182"/>
      <c r="W37" s="183"/>
      <c r="X37" s="183"/>
      <c r="Y37" s="184"/>
      <c r="Z37" s="184"/>
      <c r="AA37" s="185" t="str">
        <f t="shared" si="4"/>
        <v/>
      </c>
      <c r="AB37" s="186"/>
      <c r="AC37" s="186"/>
      <c r="AD37" s="186"/>
      <c r="AE37" s="186"/>
      <c r="AF37" s="187" t="str">
        <f t="shared" si="5"/>
        <v/>
      </c>
      <c r="AG37" s="310"/>
      <c r="AH37" s="310"/>
      <c r="AI37" s="310"/>
      <c r="AK37" s="176"/>
      <c r="AL37" s="181">
        <f t="shared" si="38"/>
        <v>46109</v>
      </c>
      <c r="AM37" s="182" t="str">
        <f t="shared" si="6"/>
        <v>土</v>
      </c>
      <c r="AN37" s="182"/>
      <c r="AO37" s="183"/>
      <c r="AP37" s="183"/>
      <c r="AQ37" s="184"/>
      <c r="AR37" s="184"/>
      <c r="AS37" s="185" t="str">
        <f t="shared" si="7"/>
        <v/>
      </c>
      <c r="AT37" s="186"/>
      <c r="AU37" s="186"/>
      <c r="AV37" s="186"/>
      <c r="AW37" s="186"/>
      <c r="AX37" s="187" t="str">
        <f t="shared" si="8"/>
        <v/>
      </c>
      <c r="AY37" s="310"/>
      <c r="AZ37" s="310"/>
      <c r="BA37" s="310"/>
      <c r="BC37" s="176"/>
      <c r="BD37" s="181">
        <f t="shared" si="39"/>
        <v>46140</v>
      </c>
      <c r="BE37" s="182" t="str">
        <f t="shared" si="9"/>
        <v>火</v>
      </c>
      <c r="BF37" s="182" t="s">
        <v>22</v>
      </c>
      <c r="BG37" s="183">
        <v>0.375</v>
      </c>
      <c r="BH37" s="183">
        <v>0.75</v>
      </c>
      <c r="BI37" s="184">
        <v>0.5</v>
      </c>
      <c r="BJ37" s="184">
        <v>0.54166666666666663</v>
      </c>
      <c r="BK37" s="185" t="str">
        <f t="shared" si="10"/>
        <v>8h</v>
      </c>
      <c r="BL37" s="186">
        <v>0.375</v>
      </c>
      <c r="BM37" s="186">
        <v>0.75</v>
      </c>
      <c r="BN37" s="186">
        <v>0.5</v>
      </c>
      <c r="BO37" s="186">
        <v>0.54166666666666663</v>
      </c>
      <c r="BP37" s="187" t="str">
        <f t="shared" si="11"/>
        <v>8h</v>
      </c>
      <c r="BQ37" s="310"/>
      <c r="BR37" s="310"/>
      <c r="BS37" s="310"/>
      <c r="BU37" s="176"/>
      <c r="BV37" s="181">
        <f t="shared" si="40"/>
        <v>46170</v>
      </c>
      <c r="BW37" s="182" t="str">
        <f t="shared" si="12"/>
        <v>木</v>
      </c>
      <c r="BX37" s="182" t="s">
        <v>22</v>
      </c>
      <c r="BY37" s="183">
        <v>0.375</v>
      </c>
      <c r="BZ37" s="183">
        <v>0.75</v>
      </c>
      <c r="CA37" s="184">
        <v>0.5</v>
      </c>
      <c r="CB37" s="184">
        <v>0.54166666666666663</v>
      </c>
      <c r="CC37" s="185" t="str">
        <f t="shared" si="13"/>
        <v>8h</v>
      </c>
      <c r="CD37" s="186">
        <v>0.375</v>
      </c>
      <c r="CE37" s="186">
        <v>0.75</v>
      </c>
      <c r="CF37" s="186">
        <v>0.5</v>
      </c>
      <c r="CG37" s="186">
        <v>0.54166666666666663</v>
      </c>
      <c r="CH37" s="187" t="str">
        <f t="shared" si="14"/>
        <v>8h</v>
      </c>
      <c r="CI37" s="310"/>
      <c r="CJ37" s="310"/>
      <c r="CK37" s="310"/>
      <c r="CM37" s="176"/>
      <c r="CN37" s="181">
        <f t="shared" si="41"/>
        <v>46201</v>
      </c>
      <c r="CO37" s="182" t="str">
        <f t="shared" si="15"/>
        <v>日</v>
      </c>
      <c r="CP37" s="182"/>
      <c r="CQ37" s="183"/>
      <c r="CR37" s="183"/>
      <c r="CS37" s="184"/>
      <c r="CT37" s="184"/>
      <c r="CU37" s="185" t="str">
        <f t="shared" si="16"/>
        <v/>
      </c>
      <c r="CV37" s="186"/>
      <c r="CW37" s="186"/>
      <c r="CX37" s="186"/>
      <c r="CY37" s="186"/>
      <c r="CZ37" s="187" t="str">
        <f t="shared" si="17"/>
        <v/>
      </c>
      <c r="DA37" s="310"/>
      <c r="DB37" s="310"/>
      <c r="DC37" s="310"/>
      <c r="DE37" s="176"/>
      <c r="DF37" s="181">
        <f t="shared" si="42"/>
        <v>46231</v>
      </c>
      <c r="DG37" s="182" t="str">
        <f t="shared" si="18"/>
        <v>火</v>
      </c>
      <c r="DH37" s="182" t="s">
        <v>22</v>
      </c>
      <c r="DI37" s="183">
        <v>0.375</v>
      </c>
      <c r="DJ37" s="183">
        <v>0.75</v>
      </c>
      <c r="DK37" s="184">
        <v>0.5</v>
      </c>
      <c r="DL37" s="184">
        <v>0.54166666666666663</v>
      </c>
      <c r="DM37" s="185" t="str">
        <f t="shared" si="19"/>
        <v>8h</v>
      </c>
      <c r="DN37" s="186">
        <v>0.375</v>
      </c>
      <c r="DO37" s="186">
        <v>0.75</v>
      </c>
      <c r="DP37" s="186">
        <v>0.5</v>
      </c>
      <c r="DQ37" s="186">
        <v>0.54166666666666663</v>
      </c>
      <c r="DR37" s="187" t="str">
        <f t="shared" si="20"/>
        <v>8h</v>
      </c>
      <c r="DS37" s="310"/>
      <c r="DT37" s="310"/>
      <c r="DU37" s="310"/>
      <c r="DW37" s="176"/>
      <c r="DX37" s="181">
        <f t="shared" si="43"/>
        <v>46262</v>
      </c>
      <c r="DY37" s="182" t="str">
        <f t="shared" si="21"/>
        <v>金</v>
      </c>
      <c r="DZ37" s="182" t="s">
        <v>22</v>
      </c>
      <c r="EA37" s="183">
        <v>0.375</v>
      </c>
      <c r="EB37" s="183">
        <v>0.75</v>
      </c>
      <c r="EC37" s="184">
        <v>0.5</v>
      </c>
      <c r="ED37" s="184">
        <v>0.54166666666666663</v>
      </c>
      <c r="EE37" s="185" t="str">
        <f t="shared" si="22"/>
        <v>8h</v>
      </c>
      <c r="EF37" s="186">
        <v>0.375</v>
      </c>
      <c r="EG37" s="186">
        <v>0.75</v>
      </c>
      <c r="EH37" s="186">
        <v>0.5</v>
      </c>
      <c r="EI37" s="186">
        <v>0.54166666666666663</v>
      </c>
      <c r="EJ37" s="187" t="str">
        <f t="shared" si="23"/>
        <v>8h</v>
      </c>
      <c r="EK37" s="310"/>
      <c r="EL37" s="310"/>
      <c r="EM37" s="310"/>
      <c r="EO37" s="176"/>
      <c r="EP37" s="181">
        <f t="shared" si="44"/>
        <v>46293</v>
      </c>
      <c r="EQ37" s="182" t="str">
        <f t="shared" si="24"/>
        <v>月</v>
      </c>
      <c r="ER37" s="182" t="s">
        <v>22</v>
      </c>
      <c r="ES37" s="183">
        <v>0.375</v>
      </c>
      <c r="ET37" s="183">
        <v>0.75</v>
      </c>
      <c r="EU37" s="184">
        <v>0.5</v>
      </c>
      <c r="EV37" s="184">
        <v>0.54166666666666663</v>
      </c>
      <c r="EW37" s="185" t="str">
        <f t="shared" si="25"/>
        <v>8h</v>
      </c>
      <c r="EX37" s="186">
        <v>0.375</v>
      </c>
      <c r="EY37" s="186">
        <v>0.75</v>
      </c>
      <c r="EZ37" s="186">
        <v>0.5</v>
      </c>
      <c r="FA37" s="186">
        <v>0.54166666666666663</v>
      </c>
      <c r="FB37" s="187" t="str">
        <f t="shared" si="26"/>
        <v>8h</v>
      </c>
      <c r="FC37" s="310"/>
      <c r="FD37" s="310"/>
      <c r="FE37" s="310"/>
      <c r="FG37" s="176"/>
      <c r="FH37" s="181">
        <f t="shared" si="45"/>
        <v>46323</v>
      </c>
      <c r="FI37" s="182" t="str">
        <f t="shared" si="27"/>
        <v>水</v>
      </c>
      <c r="FJ37" s="182" t="s">
        <v>22</v>
      </c>
      <c r="FK37" s="183">
        <v>0.375</v>
      </c>
      <c r="FL37" s="183">
        <v>0.75</v>
      </c>
      <c r="FM37" s="184">
        <v>0.5</v>
      </c>
      <c r="FN37" s="184">
        <v>0.54166666666666663</v>
      </c>
      <c r="FO37" s="185" t="str">
        <f t="shared" si="28"/>
        <v>8h</v>
      </c>
      <c r="FP37" s="186">
        <v>0.375</v>
      </c>
      <c r="FQ37" s="186">
        <v>0.75</v>
      </c>
      <c r="FR37" s="186">
        <v>0.5</v>
      </c>
      <c r="FS37" s="186">
        <v>0.54166666666666663</v>
      </c>
      <c r="FT37" s="187" t="str">
        <f t="shared" si="29"/>
        <v>8h</v>
      </c>
      <c r="FU37" s="310"/>
      <c r="FV37" s="310"/>
      <c r="FW37" s="310"/>
      <c r="FY37" s="176"/>
      <c r="FZ37" s="181">
        <f t="shared" si="46"/>
        <v>46354</v>
      </c>
      <c r="GA37" s="182" t="str">
        <f t="shared" si="30"/>
        <v>土</v>
      </c>
      <c r="GB37" s="182"/>
      <c r="GC37" s="183"/>
      <c r="GD37" s="183"/>
      <c r="GE37" s="184"/>
      <c r="GF37" s="184"/>
      <c r="GG37" s="185" t="str">
        <f t="shared" si="31"/>
        <v/>
      </c>
      <c r="GH37" s="186"/>
      <c r="GI37" s="186"/>
      <c r="GJ37" s="186"/>
      <c r="GK37" s="186"/>
      <c r="GL37" s="187" t="str">
        <f t="shared" si="32"/>
        <v/>
      </c>
      <c r="GM37" s="310"/>
      <c r="GN37" s="310"/>
      <c r="GO37" s="310"/>
      <c r="GQ37" s="176"/>
      <c r="GR37" s="181">
        <f t="shared" si="47"/>
        <v>46384</v>
      </c>
      <c r="GS37" s="182" t="str">
        <f t="shared" si="33"/>
        <v>月</v>
      </c>
      <c r="GT37" s="182" t="s">
        <v>22</v>
      </c>
      <c r="GU37" s="183">
        <v>0.375</v>
      </c>
      <c r="GV37" s="183">
        <v>0.75</v>
      </c>
      <c r="GW37" s="184">
        <v>0.5</v>
      </c>
      <c r="GX37" s="184">
        <v>0.54166666666666663</v>
      </c>
      <c r="GY37" s="185" t="str">
        <f t="shared" si="34"/>
        <v>8h</v>
      </c>
      <c r="GZ37" s="186">
        <v>0.375</v>
      </c>
      <c r="HA37" s="186">
        <v>0.75</v>
      </c>
      <c r="HB37" s="186">
        <v>0.5</v>
      </c>
      <c r="HC37" s="186">
        <v>0.54166666666666663</v>
      </c>
      <c r="HD37" s="187" t="str">
        <f t="shared" si="35"/>
        <v>8h</v>
      </c>
      <c r="HE37" s="310"/>
      <c r="HF37" s="310"/>
      <c r="HG37" s="310"/>
    </row>
    <row r="38" spans="1:215" x14ac:dyDescent="0.45">
      <c r="A38" s="176"/>
      <c r="B38" s="181">
        <f t="shared" si="36"/>
        <v>46051</v>
      </c>
      <c r="C38" s="182" t="str">
        <f t="shared" si="0"/>
        <v>木</v>
      </c>
      <c r="D38" s="182" t="s">
        <v>22</v>
      </c>
      <c r="E38" s="183">
        <v>0.375</v>
      </c>
      <c r="F38" s="183">
        <v>0.75</v>
      </c>
      <c r="G38" s="184">
        <v>0.5</v>
      </c>
      <c r="H38" s="184">
        <v>0.54166666666666663</v>
      </c>
      <c r="I38" s="185" t="str">
        <f t="shared" si="1"/>
        <v>8h</v>
      </c>
      <c r="J38" s="186">
        <v>0.375</v>
      </c>
      <c r="K38" s="186">
        <v>0.75</v>
      </c>
      <c r="L38" s="186">
        <v>0.5</v>
      </c>
      <c r="M38" s="186">
        <v>0.54166666666666663</v>
      </c>
      <c r="N38" s="187" t="str">
        <f t="shared" si="2"/>
        <v>8h</v>
      </c>
      <c r="O38" s="310"/>
      <c r="P38" s="310"/>
      <c r="Q38" s="310"/>
      <c r="S38" s="176"/>
      <c r="T38" s="181" t="str">
        <f t="shared" si="37"/>
        <v/>
      </c>
      <c r="U38" s="182" t="str">
        <f t="shared" si="3"/>
        <v/>
      </c>
      <c r="V38" s="182"/>
      <c r="W38" s="183"/>
      <c r="X38" s="183"/>
      <c r="Y38" s="184"/>
      <c r="Z38" s="184"/>
      <c r="AA38" s="185" t="str">
        <f t="shared" si="4"/>
        <v/>
      </c>
      <c r="AB38" s="186"/>
      <c r="AC38" s="186"/>
      <c r="AD38" s="186"/>
      <c r="AE38" s="186"/>
      <c r="AF38" s="187" t="str">
        <f t="shared" si="5"/>
        <v/>
      </c>
      <c r="AG38" s="310"/>
      <c r="AH38" s="310"/>
      <c r="AI38" s="310"/>
      <c r="AK38" s="176"/>
      <c r="AL38" s="181">
        <f t="shared" si="38"/>
        <v>46110</v>
      </c>
      <c r="AM38" s="182" t="str">
        <f t="shared" si="6"/>
        <v>日</v>
      </c>
      <c r="AN38" s="182"/>
      <c r="AO38" s="183"/>
      <c r="AP38" s="183"/>
      <c r="AQ38" s="184"/>
      <c r="AR38" s="184"/>
      <c r="AS38" s="185" t="str">
        <f t="shared" si="7"/>
        <v/>
      </c>
      <c r="AT38" s="186"/>
      <c r="AU38" s="186"/>
      <c r="AV38" s="186"/>
      <c r="AW38" s="186"/>
      <c r="AX38" s="187" t="str">
        <f t="shared" si="8"/>
        <v/>
      </c>
      <c r="AY38" s="310"/>
      <c r="AZ38" s="310"/>
      <c r="BA38" s="310"/>
      <c r="BC38" s="176"/>
      <c r="BD38" s="181">
        <f t="shared" si="39"/>
        <v>46141</v>
      </c>
      <c r="BE38" s="182" t="str">
        <f t="shared" si="9"/>
        <v>水</v>
      </c>
      <c r="BF38" s="182"/>
      <c r="BG38" s="183"/>
      <c r="BH38" s="183"/>
      <c r="BI38" s="184"/>
      <c r="BJ38" s="184"/>
      <c r="BK38" s="185" t="str">
        <f t="shared" si="10"/>
        <v/>
      </c>
      <c r="BL38" s="186"/>
      <c r="BM38" s="186"/>
      <c r="BN38" s="186"/>
      <c r="BO38" s="186"/>
      <c r="BP38" s="187" t="str">
        <f t="shared" si="11"/>
        <v/>
      </c>
      <c r="BQ38" s="310"/>
      <c r="BR38" s="310"/>
      <c r="BS38" s="310"/>
      <c r="BU38" s="176"/>
      <c r="BV38" s="181">
        <f t="shared" si="40"/>
        <v>46171</v>
      </c>
      <c r="BW38" s="182" t="str">
        <f t="shared" si="12"/>
        <v>金</v>
      </c>
      <c r="BX38" s="182" t="s">
        <v>22</v>
      </c>
      <c r="BY38" s="183">
        <v>0.375</v>
      </c>
      <c r="BZ38" s="183">
        <v>0.75</v>
      </c>
      <c r="CA38" s="184">
        <v>0.5</v>
      </c>
      <c r="CB38" s="184">
        <v>0.54166666666666663</v>
      </c>
      <c r="CC38" s="185" t="str">
        <f t="shared" si="13"/>
        <v>8h</v>
      </c>
      <c r="CD38" s="186">
        <v>0.375</v>
      </c>
      <c r="CE38" s="186">
        <v>0.75</v>
      </c>
      <c r="CF38" s="186">
        <v>0.5</v>
      </c>
      <c r="CG38" s="186">
        <v>0.54166666666666663</v>
      </c>
      <c r="CH38" s="187" t="str">
        <f t="shared" si="14"/>
        <v>8h</v>
      </c>
      <c r="CI38" s="310"/>
      <c r="CJ38" s="310"/>
      <c r="CK38" s="310"/>
      <c r="CM38" s="176"/>
      <c r="CN38" s="181">
        <f t="shared" si="41"/>
        <v>46202</v>
      </c>
      <c r="CO38" s="182" t="str">
        <f t="shared" si="15"/>
        <v>月</v>
      </c>
      <c r="CP38" s="182" t="s">
        <v>22</v>
      </c>
      <c r="CQ38" s="183">
        <v>0.375</v>
      </c>
      <c r="CR38" s="183">
        <v>0.75</v>
      </c>
      <c r="CS38" s="184">
        <v>0.5</v>
      </c>
      <c r="CT38" s="184">
        <v>0.54166666666666663</v>
      </c>
      <c r="CU38" s="185" t="str">
        <f t="shared" si="16"/>
        <v>8h</v>
      </c>
      <c r="CV38" s="186">
        <v>0.375</v>
      </c>
      <c r="CW38" s="186">
        <v>0.75</v>
      </c>
      <c r="CX38" s="186">
        <v>0.5</v>
      </c>
      <c r="CY38" s="186">
        <v>0.54166666666666663</v>
      </c>
      <c r="CZ38" s="187" t="str">
        <f t="shared" si="17"/>
        <v>8h</v>
      </c>
      <c r="DA38" s="310"/>
      <c r="DB38" s="310"/>
      <c r="DC38" s="310"/>
      <c r="DE38" s="176"/>
      <c r="DF38" s="181">
        <f t="shared" si="42"/>
        <v>46232</v>
      </c>
      <c r="DG38" s="182" t="str">
        <f t="shared" si="18"/>
        <v>水</v>
      </c>
      <c r="DH38" s="182" t="s">
        <v>22</v>
      </c>
      <c r="DI38" s="183">
        <v>0.375</v>
      </c>
      <c r="DJ38" s="183">
        <v>0.75</v>
      </c>
      <c r="DK38" s="184">
        <v>0.5</v>
      </c>
      <c r="DL38" s="184">
        <v>0.54166666666666663</v>
      </c>
      <c r="DM38" s="185" t="str">
        <f t="shared" si="19"/>
        <v>8h</v>
      </c>
      <c r="DN38" s="186">
        <v>0.375</v>
      </c>
      <c r="DO38" s="186">
        <v>0.75</v>
      </c>
      <c r="DP38" s="186">
        <v>0.5</v>
      </c>
      <c r="DQ38" s="186">
        <v>0.54166666666666663</v>
      </c>
      <c r="DR38" s="187" t="str">
        <f t="shared" si="20"/>
        <v>8h</v>
      </c>
      <c r="DS38" s="310"/>
      <c r="DT38" s="310"/>
      <c r="DU38" s="310"/>
      <c r="DW38" s="176"/>
      <c r="DX38" s="181">
        <f t="shared" si="43"/>
        <v>46263</v>
      </c>
      <c r="DY38" s="182" t="str">
        <f t="shared" si="21"/>
        <v>土</v>
      </c>
      <c r="DZ38" s="182"/>
      <c r="EA38" s="183"/>
      <c r="EB38" s="183"/>
      <c r="EC38" s="184"/>
      <c r="ED38" s="184"/>
      <c r="EE38" s="185" t="str">
        <f t="shared" si="22"/>
        <v/>
      </c>
      <c r="EF38" s="186"/>
      <c r="EG38" s="186"/>
      <c r="EH38" s="186"/>
      <c r="EI38" s="186"/>
      <c r="EJ38" s="187" t="str">
        <f t="shared" si="23"/>
        <v/>
      </c>
      <c r="EK38" s="310"/>
      <c r="EL38" s="310"/>
      <c r="EM38" s="310"/>
      <c r="EO38" s="176"/>
      <c r="EP38" s="181">
        <f t="shared" si="44"/>
        <v>46294</v>
      </c>
      <c r="EQ38" s="182" t="str">
        <f t="shared" si="24"/>
        <v>火</v>
      </c>
      <c r="ER38" s="182" t="s">
        <v>22</v>
      </c>
      <c r="ES38" s="183">
        <v>0.375</v>
      </c>
      <c r="ET38" s="183">
        <v>0.75</v>
      </c>
      <c r="EU38" s="184">
        <v>0.5</v>
      </c>
      <c r="EV38" s="184">
        <v>0.54166666666666663</v>
      </c>
      <c r="EW38" s="185" t="str">
        <f t="shared" si="25"/>
        <v>8h</v>
      </c>
      <c r="EX38" s="186">
        <v>0.375</v>
      </c>
      <c r="EY38" s="186">
        <v>0.75</v>
      </c>
      <c r="EZ38" s="186">
        <v>0.5</v>
      </c>
      <c r="FA38" s="186">
        <v>0.54166666666666663</v>
      </c>
      <c r="FB38" s="187" t="str">
        <f t="shared" si="26"/>
        <v>8h</v>
      </c>
      <c r="FC38" s="310"/>
      <c r="FD38" s="310"/>
      <c r="FE38" s="310"/>
      <c r="FG38" s="176"/>
      <c r="FH38" s="181">
        <f t="shared" si="45"/>
        <v>46324</v>
      </c>
      <c r="FI38" s="182" t="str">
        <f t="shared" si="27"/>
        <v>木</v>
      </c>
      <c r="FJ38" s="182" t="s">
        <v>22</v>
      </c>
      <c r="FK38" s="183">
        <v>0.375</v>
      </c>
      <c r="FL38" s="183">
        <v>0.75</v>
      </c>
      <c r="FM38" s="184">
        <v>0.5</v>
      </c>
      <c r="FN38" s="184">
        <v>0.54166666666666663</v>
      </c>
      <c r="FO38" s="185" t="str">
        <f t="shared" si="28"/>
        <v>8h</v>
      </c>
      <c r="FP38" s="186">
        <v>0.375</v>
      </c>
      <c r="FQ38" s="186">
        <v>0.75</v>
      </c>
      <c r="FR38" s="186">
        <v>0.5</v>
      </c>
      <c r="FS38" s="186">
        <v>0.54166666666666663</v>
      </c>
      <c r="FT38" s="187" t="str">
        <f t="shared" si="29"/>
        <v>8h</v>
      </c>
      <c r="FU38" s="310"/>
      <c r="FV38" s="310"/>
      <c r="FW38" s="310"/>
      <c r="FY38" s="176"/>
      <c r="FZ38" s="181">
        <f t="shared" si="46"/>
        <v>46355</v>
      </c>
      <c r="GA38" s="182" t="str">
        <f t="shared" si="30"/>
        <v>日</v>
      </c>
      <c r="GB38" s="182"/>
      <c r="GC38" s="183"/>
      <c r="GD38" s="183"/>
      <c r="GE38" s="184"/>
      <c r="GF38" s="184"/>
      <c r="GG38" s="185" t="str">
        <f t="shared" si="31"/>
        <v/>
      </c>
      <c r="GH38" s="186"/>
      <c r="GI38" s="186"/>
      <c r="GJ38" s="186"/>
      <c r="GK38" s="186"/>
      <c r="GL38" s="187" t="str">
        <f t="shared" si="32"/>
        <v/>
      </c>
      <c r="GM38" s="310"/>
      <c r="GN38" s="310"/>
      <c r="GO38" s="310"/>
      <c r="GQ38" s="176"/>
      <c r="GR38" s="181">
        <f t="shared" si="47"/>
        <v>46385</v>
      </c>
      <c r="GS38" s="182" t="str">
        <f t="shared" si="33"/>
        <v>火</v>
      </c>
      <c r="GT38" s="182"/>
      <c r="GU38" s="183"/>
      <c r="GV38" s="183"/>
      <c r="GW38" s="184"/>
      <c r="GX38" s="184"/>
      <c r="GY38" s="185" t="str">
        <f t="shared" si="34"/>
        <v/>
      </c>
      <c r="GZ38" s="186"/>
      <c r="HA38" s="186"/>
      <c r="HB38" s="186"/>
      <c r="HC38" s="186"/>
      <c r="HD38" s="187" t="str">
        <f t="shared" si="35"/>
        <v/>
      </c>
      <c r="HE38" s="310"/>
      <c r="HF38" s="310"/>
      <c r="HG38" s="310"/>
    </row>
    <row r="39" spans="1:215" x14ac:dyDescent="0.45">
      <c r="A39" s="176"/>
      <c r="B39" s="181">
        <f t="shared" si="36"/>
        <v>46052</v>
      </c>
      <c r="C39" s="182" t="str">
        <f t="shared" si="0"/>
        <v>金</v>
      </c>
      <c r="D39" s="182" t="s">
        <v>22</v>
      </c>
      <c r="E39" s="183">
        <v>0.375</v>
      </c>
      <c r="F39" s="183">
        <v>0.75</v>
      </c>
      <c r="G39" s="184">
        <v>0.5</v>
      </c>
      <c r="H39" s="184">
        <v>0.54166666666666663</v>
      </c>
      <c r="I39" s="185" t="str">
        <f t="shared" si="1"/>
        <v>8h</v>
      </c>
      <c r="J39" s="186">
        <v>0.375</v>
      </c>
      <c r="K39" s="186">
        <v>0.75</v>
      </c>
      <c r="L39" s="186">
        <v>0.5</v>
      </c>
      <c r="M39" s="186">
        <v>0.54166666666666663</v>
      </c>
      <c r="N39" s="187" t="str">
        <f t="shared" si="2"/>
        <v>8h</v>
      </c>
      <c r="O39" s="310"/>
      <c r="P39" s="310"/>
      <c r="Q39" s="310"/>
      <c r="S39" s="176"/>
      <c r="T39" s="181" t="str">
        <f t="shared" si="37"/>
        <v/>
      </c>
      <c r="U39" s="182" t="str">
        <f t="shared" si="3"/>
        <v/>
      </c>
      <c r="V39" s="182"/>
      <c r="W39" s="183"/>
      <c r="X39" s="183"/>
      <c r="Y39" s="184"/>
      <c r="Z39" s="184"/>
      <c r="AA39" s="185" t="str">
        <f t="shared" si="4"/>
        <v/>
      </c>
      <c r="AB39" s="186"/>
      <c r="AC39" s="186"/>
      <c r="AD39" s="186"/>
      <c r="AE39" s="186"/>
      <c r="AF39" s="187" t="str">
        <f t="shared" si="5"/>
        <v/>
      </c>
      <c r="AG39" s="310"/>
      <c r="AH39" s="310"/>
      <c r="AI39" s="310"/>
      <c r="AK39" s="176"/>
      <c r="AL39" s="181">
        <f t="shared" si="38"/>
        <v>46111</v>
      </c>
      <c r="AM39" s="182" t="str">
        <f t="shared" si="6"/>
        <v>月</v>
      </c>
      <c r="AN39" s="182" t="s">
        <v>22</v>
      </c>
      <c r="AO39" s="183">
        <v>0.375</v>
      </c>
      <c r="AP39" s="183">
        <v>0.75</v>
      </c>
      <c r="AQ39" s="184">
        <v>0.5</v>
      </c>
      <c r="AR39" s="184">
        <v>0.54166666666666663</v>
      </c>
      <c r="AS39" s="185" t="str">
        <f t="shared" si="7"/>
        <v>8h</v>
      </c>
      <c r="AT39" s="186">
        <v>0.375</v>
      </c>
      <c r="AU39" s="186">
        <v>0.75</v>
      </c>
      <c r="AV39" s="186">
        <v>0.5</v>
      </c>
      <c r="AW39" s="186">
        <v>0.54166666666666663</v>
      </c>
      <c r="AX39" s="187" t="str">
        <f t="shared" si="8"/>
        <v>8h</v>
      </c>
      <c r="AY39" s="310"/>
      <c r="AZ39" s="310"/>
      <c r="BA39" s="310"/>
      <c r="BC39" s="176"/>
      <c r="BD39" s="181">
        <f t="shared" si="39"/>
        <v>46142</v>
      </c>
      <c r="BE39" s="182" t="str">
        <f t="shared" si="9"/>
        <v>木</v>
      </c>
      <c r="BF39" s="182" t="s">
        <v>22</v>
      </c>
      <c r="BG39" s="183">
        <v>0.375</v>
      </c>
      <c r="BH39" s="183">
        <v>0.75</v>
      </c>
      <c r="BI39" s="184">
        <v>0.5</v>
      </c>
      <c r="BJ39" s="184">
        <v>0.54166666666666663</v>
      </c>
      <c r="BK39" s="185" t="str">
        <f t="shared" si="10"/>
        <v>8h</v>
      </c>
      <c r="BL39" s="186">
        <v>0.375</v>
      </c>
      <c r="BM39" s="186">
        <v>0.75</v>
      </c>
      <c r="BN39" s="186">
        <v>0.5</v>
      </c>
      <c r="BO39" s="186">
        <v>0.54166666666666663</v>
      </c>
      <c r="BP39" s="187" t="str">
        <f t="shared" si="11"/>
        <v>8h</v>
      </c>
      <c r="BQ39" s="310"/>
      <c r="BR39" s="310"/>
      <c r="BS39" s="310"/>
      <c r="BU39" s="176"/>
      <c r="BV39" s="181">
        <f t="shared" si="40"/>
        <v>46172</v>
      </c>
      <c r="BW39" s="182" t="str">
        <f t="shared" si="12"/>
        <v>土</v>
      </c>
      <c r="BX39" s="182"/>
      <c r="BY39" s="183"/>
      <c r="BZ39" s="183"/>
      <c r="CA39" s="184"/>
      <c r="CB39" s="184"/>
      <c r="CC39" s="185" t="str">
        <f t="shared" si="13"/>
        <v/>
      </c>
      <c r="CD39" s="186"/>
      <c r="CE39" s="186"/>
      <c r="CF39" s="186"/>
      <c r="CG39" s="186"/>
      <c r="CH39" s="187" t="str">
        <f t="shared" si="14"/>
        <v/>
      </c>
      <c r="CI39" s="310"/>
      <c r="CJ39" s="310"/>
      <c r="CK39" s="310"/>
      <c r="CM39" s="176"/>
      <c r="CN39" s="181">
        <f t="shared" si="41"/>
        <v>46203</v>
      </c>
      <c r="CO39" s="182" t="str">
        <f t="shared" si="15"/>
        <v>火</v>
      </c>
      <c r="CP39" s="182" t="s">
        <v>22</v>
      </c>
      <c r="CQ39" s="183">
        <v>0.375</v>
      </c>
      <c r="CR39" s="183">
        <v>0.75</v>
      </c>
      <c r="CS39" s="184">
        <v>0.5</v>
      </c>
      <c r="CT39" s="184">
        <v>0.54166666666666663</v>
      </c>
      <c r="CU39" s="185" t="str">
        <f t="shared" si="16"/>
        <v>8h</v>
      </c>
      <c r="CV39" s="186">
        <v>0.375</v>
      </c>
      <c r="CW39" s="186">
        <v>0.75</v>
      </c>
      <c r="CX39" s="186">
        <v>0.5</v>
      </c>
      <c r="CY39" s="186">
        <v>0.54166666666666663</v>
      </c>
      <c r="CZ39" s="187" t="str">
        <f t="shared" si="17"/>
        <v>8h</v>
      </c>
      <c r="DA39" s="310"/>
      <c r="DB39" s="310"/>
      <c r="DC39" s="310"/>
      <c r="DE39" s="176"/>
      <c r="DF39" s="181">
        <f t="shared" si="42"/>
        <v>46233</v>
      </c>
      <c r="DG39" s="182" t="str">
        <f t="shared" si="18"/>
        <v>木</v>
      </c>
      <c r="DH39" s="182" t="s">
        <v>22</v>
      </c>
      <c r="DI39" s="183">
        <v>0.375</v>
      </c>
      <c r="DJ39" s="183">
        <v>0.75</v>
      </c>
      <c r="DK39" s="184">
        <v>0.5</v>
      </c>
      <c r="DL39" s="184">
        <v>0.54166666666666663</v>
      </c>
      <c r="DM39" s="185" t="str">
        <f t="shared" si="19"/>
        <v>8h</v>
      </c>
      <c r="DN39" s="186">
        <v>0.375</v>
      </c>
      <c r="DO39" s="186">
        <v>0.75</v>
      </c>
      <c r="DP39" s="186">
        <v>0.5</v>
      </c>
      <c r="DQ39" s="186">
        <v>0.54166666666666663</v>
      </c>
      <c r="DR39" s="187" t="str">
        <f t="shared" si="20"/>
        <v>8h</v>
      </c>
      <c r="DS39" s="310"/>
      <c r="DT39" s="310"/>
      <c r="DU39" s="310"/>
      <c r="DW39" s="176"/>
      <c r="DX39" s="181">
        <f t="shared" si="43"/>
        <v>46264</v>
      </c>
      <c r="DY39" s="182" t="str">
        <f t="shared" si="21"/>
        <v>日</v>
      </c>
      <c r="DZ39" s="182"/>
      <c r="EA39" s="183"/>
      <c r="EB39" s="183"/>
      <c r="EC39" s="184"/>
      <c r="ED39" s="184"/>
      <c r="EE39" s="185" t="str">
        <f t="shared" si="22"/>
        <v/>
      </c>
      <c r="EF39" s="186"/>
      <c r="EG39" s="186"/>
      <c r="EH39" s="186"/>
      <c r="EI39" s="186"/>
      <c r="EJ39" s="187" t="str">
        <f t="shared" si="23"/>
        <v/>
      </c>
      <c r="EK39" s="310"/>
      <c r="EL39" s="310"/>
      <c r="EM39" s="310"/>
      <c r="EO39" s="176"/>
      <c r="EP39" s="181">
        <f t="shared" si="44"/>
        <v>46295</v>
      </c>
      <c r="EQ39" s="182" t="str">
        <f t="shared" si="24"/>
        <v>水</v>
      </c>
      <c r="ER39" s="182" t="s">
        <v>22</v>
      </c>
      <c r="ES39" s="183">
        <v>0.375</v>
      </c>
      <c r="ET39" s="183">
        <v>0.75</v>
      </c>
      <c r="EU39" s="184">
        <v>0.5</v>
      </c>
      <c r="EV39" s="184">
        <v>0.54166666666666663</v>
      </c>
      <c r="EW39" s="185" t="str">
        <f t="shared" si="25"/>
        <v>8h</v>
      </c>
      <c r="EX39" s="186">
        <v>0.375</v>
      </c>
      <c r="EY39" s="186">
        <v>0.75</v>
      </c>
      <c r="EZ39" s="186">
        <v>0.5</v>
      </c>
      <c r="FA39" s="186">
        <v>0.54166666666666663</v>
      </c>
      <c r="FB39" s="187" t="str">
        <f t="shared" si="26"/>
        <v>8h</v>
      </c>
      <c r="FC39" s="310"/>
      <c r="FD39" s="310"/>
      <c r="FE39" s="310"/>
      <c r="FG39" s="176"/>
      <c r="FH39" s="181">
        <f t="shared" si="45"/>
        <v>46325</v>
      </c>
      <c r="FI39" s="182" t="str">
        <f t="shared" si="27"/>
        <v>金</v>
      </c>
      <c r="FJ39" s="182" t="s">
        <v>22</v>
      </c>
      <c r="FK39" s="183">
        <v>0.375</v>
      </c>
      <c r="FL39" s="183">
        <v>0.75</v>
      </c>
      <c r="FM39" s="184">
        <v>0.5</v>
      </c>
      <c r="FN39" s="184">
        <v>0.54166666666666663</v>
      </c>
      <c r="FO39" s="185" t="str">
        <f t="shared" si="28"/>
        <v>8h</v>
      </c>
      <c r="FP39" s="186">
        <v>0.375</v>
      </c>
      <c r="FQ39" s="186">
        <v>0.75</v>
      </c>
      <c r="FR39" s="186">
        <v>0.5</v>
      </c>
      <c r="FS39" s="186">
        <v>0.54166666666666663</v>
      </c>
      <c r="FT39" s="187" t="str">
        <f t="shared" si="29"/>
        <v>8h</v>
      </c>
      <c r="FU39" s="310"/>
      <c r="FV39" s="310"/>
      <c r="FW39" s="310"/>
      <c r="FY39" s="176"/>
      <c r="FZ39" s="181">
        <f t="shared" si="46"/>
        <v>46356</v>
      </c>
      <c r="GA39" s="182" t="str">
        <f t="shared" si="30"/>
        <v>月</v>
      </c>
      <c r="GB39" s="182" t="s">
        <v>22</v>
      </c>
      <c r="GC39" s="183">
        <v>0.375</v>
      </c>
      <c r="GD39" s="183">
        <v>0.75</v>
      </c>
      <c r="GE39" s="184">
        <v>0.5</v>
      </c>
      <c r="GF39" s="184">
        <v>0.54166666666666663</v>
      </c>
      <c r="GG39" s="185" t="str">
        <f t="shared" si="31"/>
        <v>8h</v>
      </c>
      <c r="GH39" s="186">
        <v>0.375</v>
      </c>
      <c r="GI39" s="186">
        <v>0.75</v>
      </c>
      <c r="GJ39" s="186">
        <v>0.5</v>
      </c>
      <c r="GK39" s="186">
        <v>0.54166666666666663</v>
      </c>
      <c r="GL39" s="187" t="str">
        <f t="shared" si="32"/>
        <v>8h</v>
      </c>
      <c r="GM39" s="310"/>
      <c r="GN39" s="310"/>
      <c r="GO39" s="310"/>
      <c r="GQ39" s="176"/>
      <c r="GR39" s="181">
        <f t="shared" si="47"/>
        <v>46386</v>
      </c>
      <c r="GS39" s="182" t="str">
        <f t="shared" si="33"/>
        <v>水</v>
      </c>
      <c r="GT39" s="182"/>
      <c r="GU39" s="183"/>
      <c r="GV39" s="183"/>
      <c r="GW39" s="184"/>
      <c r="GX39" s="184"/>
      <c r="GY39" s="185" t="str">
        <f t="shared" si="34"/>
        <v/>
      </c>
      <c r="GZ39" s="186"/>
      <c r="HA39" s="186"/>
      <c r="HB39" s="186"/>
      <c r="HC39" s="186"/>
      <c r="HD39" s="187" t="str">
        <f t="shared" si="35"/>
        <v/>
      </c>
      <c r="HE39" s="310"/>
      <c r="HF39" s="310"/>
      <c r="HG39" s="310"/>
    </row>
    <row r="40" spans="1:215" x14ac:dyDescent="0.45">
      <c r="A40" s="176"/>
      <c r="B40" s="188">
        <f t="shared" si="36"/>
        <v>46053</v>
      </c>
      <c r="C40" s="189" t="str">
        <f t="shared" si="0"/>
        <v>土</v>
      </c>
      <c r="D40" s="189"/>
      <c r="E40" s="190"/>
      <c r="F40" s="190"/>
      <c r="G40" s="191"/>
      <c r="H40" s="191"/>
      <c r="I40" s="192" t="str">
        <f t="shared" si="1"/>
        <v/>
      </c>
      <c r="J40" s="193"/>
      <c r="K40" s="193"/>
      <c r="L40" s="193"/>
      <c r="M40" s="193"/>
      <c r="N40" s="194" t="str">
        <f t="shared" si="2"/>
        <v/>
      </c>
      <c r="O40" s="311"/>
      <c r="P40" s="311"/>
      <c r="Q40" s="311"/>
      <c r="S40" s="176"/>
      <c r="T40" s="188" t="str">
        <f t="shared" si="37"/>
        <v/>
      </c>
      <c r="U40" s="189" t="str">
        <f t="shared" si="3"/>
        <v/>
      </c>
      <c r="V40" s="189"/>
      <c r="W40" s="190"/>
      <c r="X40" s="190"/>
      <c r="Y40" s="191"/>
      <c r="Z40" s="191"/>
      <c r="AA40" s="192" t="str">
        <f t="shared" si="4"/>
        <v/>
      </c>
      <c r="AB40" s="193"/>
      <c r="AC40" s="193"/>
      <c r="AD40" s="193"/>
      <c r="AE40" s="193"/>
      <c r="AF40" s="194" t="str">
        <f t="shared" si="5"/>
        <v/>
      </c>
      <c r="AG40" s="311"/>
      <c r="AH40" s="311"/>
      <c r="AI40" s="311"/>
      <c r="AK40" s="176"/>
      <c r="AL40" s="188">
        <f t="shared" si="38"/>
        <v>46112</v>
      </c>
      <c r="AM40" s="189" t="str">
        <f t="shared" si="6"/>
        <v>火</v>
      </c>
      <c r="AN40" s="189" t="s">
        <v>22</v>
      </c>
      <c r="AO40" s="190">
        <v>0.375</v>
      </c>
      <c r="AP40" s="190">
        <v>0.75</v>
      </c>
      <c r="AQ40" s="191">
        <v>0.5</v>
      </c>
      <c r="AR40" s="191">
        <v>0.54166666666666663</v>
      </c>
      <c r="AS40" s="192" t="str">
        <f t="shared" si="7"/>
        <v>8h</v>
      </c>
      <c r="AT40" s="193">
        <v>0.375</v>
      </c>
      <c r="AU40" s="193">
        <v>0.75</v>
      </c>
      <c r="AV40" s="193">
        <v>0.5</v>
      </c>
      <c r="AW40" s="193">
        <v>0.54166666666666663</v>
      </c>
      <c r="AX40" s="194" t="str">
        <f t="shared" si="8"/>
        <v>8h</v>
      </c>
      <c r="AY40" s="311"/>
      <c r="AZ40" s="311"/>
      <c r="BA40" s="311"/>
      <c r="BC40" s="176"/>
      <c r="BD40" s="188" t="str">
        <f t="shared" si="39"/>
        <v/>
      </c>
      <c r="BE40" s="189" t="str">
        <f t="shared" si="9"/>
        <v/>
      </c>
      <c r="BF40" s="189"/>
      <c r="BG40" s="190"/>
      <c r="BH40" s="190"/>
      <c r="BI40" s="191"/>
      <c r="BJ40" s="191"/>
      <c r="BK40" s="192" t="str">
        <f t="shared" si="10"/>
        <v/>
      </c>
      <c r="BL40" s="193"/>
      <c r="BM40" s="193"/>
      <c r="BN40" s="193"/>
      <c r="BO40" s="193"/>
      <c r="BP40" s="194" t="str">
        <f t="shared" si="11"/>
        <v/>
      </c>
      <c r="BQ40" s="311"/>
      <c r="BR40" s="311"/>
      <c r="BS40" s="311"/>
      <c r="BU40" s="176"/>
      <c r="BV40" s="188">
        <f t="shared" si="40"/>
        <v>46173</v>
      </c>
      <c r="BW40" s="189" t="str">
        <f t="shared" si="12"/>
        <v>日</v>
      </c>
      <c r="BX40" s="189"/>
      <c r="BY40" s="190"/>
      <c r="BZ40" s="190"/>
      <c r="CA40" s="191"/>
      <c r="CB40" s="191"/>
      <c r="CC40" s="192" t="str">
        <f t="shared" si="13"/>
        <v/>
      </c>
      <c r="CD40" s="193"/>
      <c r="CE40" s="193"/>
      <c r="CF40" s="193"/>
      <c r="CG40" s="193"/>
      <c r="CH40" s="194" t="str">
        <f t="shared" si="14"/>
        <v/>
      </c>
      <c r="CI40" s="311"/>
      <c r="CJ40" s="311"/>
      <c r="CK40" s="311"/>
      <c r="CM40" s="176"/>
      <c r="CN40" s="188" t="str">
        <f t="shared" si="41"/>
        <v/>
      </c>
      <c r="CO40" s="189" t="str">
        <f t="shared" si="15"/>
        <v/>
      </c>
      <c r="CP40" s="189"/>
      <c r="CQ40" s="190"/>
      <c r="CR40" s="190"/>
      <c r="CS40" s="191"/>
      <c r="CT40" s="191"/>
      <c r="CU40" s="192" t="str">
        <f t="shared" si="16"/>
        <v/>
      </c>
      <c r="CV40" s="193"/>
      <c r="CW40" s="193"/>
      <c r="CX40" s="193"/>
      <c r="CY40" s="193"/>
      <c r="CZ40" s="194" t="str">
        <f t="shared" si="17"/>
        <v/>
      </c>
      <c r="DA40" s="311"/>
      <c r="DB40" s="311"/>
      <c r="DC40" s="311"/>
      <c r="DE40" s="176"/>
      <c r="DF40" s="188">
        <f t="shared" si="42"/>
        <v>46234</v>
      </c>
      <c r="DG40" s="189" t="str">
        <f t="shared" si="18"/>
        <v>金</v>
      </c>
      <c r="DH40" s="189" t="s">
        <v>22</v>
      </c>
      <c r="DI40" s="190">
        <v>0.375</v>
      </c>
      <c r="DJ40" s="190">
        <v>0.75</v>
      </c>
      <c r="DK40" s="191">
        <v>0.5</v>
      </c>
      <c r="DL40" s="191">
        <v>0.54166666666666663</v>
      </c>
      <c r="DM40" s="192" t="str">
        <f t="shared" si="19"/>
        <v>8h</v>
      </c>
      <c r="DN40" s="193">
        <v>0.375</v>
      </c>
      <c r="DO40" s="193">
        <v>0.75</v>
      </c>
      <c r="DP40" s="193">
        <v>0.5</v>
      </c>
      <c r="DQ40" s="193">
        <v>0.54166666666666663</v>
      </c>
      <c r="DR40" s="194" t="str">
        <f t="shared" si="20"/>
        <v>8h</v>
      </c>
      <c r="DS40" s="311"/>
      <c r="DT40" s="311"/>
      <c r="DU40" s="311"/>
      <c r="DW40" s="176"/>
      <c r="DX40" s="188">
        <f t="shared" si="43"/>
        <v>46265</v>
      </c>
      <c r="DY40" s="189" t="str">
        <f t="shared" si="21"/>
        <v>月</v>
      </c>
      <c r="DZ40" s="189" t="s">
        <v>22</v>
      </c>
      <c r="EA40" s="190">
        <v>0.375</v>
      </c>
      <c r="EB40" s="190">
        <v>0.75</v>
      </c>
      <c r="EC40" s="191">
        <v>0.5</v>
      </c>
      <c r="ED40" s="191">
        <v>0.54166666666666663</v>
      </c>
      <c r="EE40" s="192" t="str">
        <f t="shared" si="22"/>
        <v>8h</v>
      </c>
      <c r="EF40" s="193">
        <v>0.375</v>
      </c>
      <c r="EG40" s="193">
        <v>0.75</v>
      </c>
      <c r="EH40" s="193">
        <v>0.5</v>
      </c>
      <c r="EI40" s="193">
        <v>0.54166666666666663</v>
      </c>
      <c r="EJ40" s="194" t="str">
        <f t="shared" si="23"/>
        <v>8h</v>
      </c>
      <c r="EK40" s="311"/>
      <c r="EL40" s="311"/>
      <c r="EM40" s="311"/>
      <c r="EO40" s="176"/>
      <c r="EP40" s="188" t="str">
        <f t="shared" si="44"/>
        <v/>
      </c>
      <c r="EQ40" s="189" t="str">
        <f t="shared" si="24"/>
        <v/>
      </c>
      <c r="ER40" s="189"/>
      <c r="ES40" s="190"/>
      <c r="ET40" s="190"/>
      <c r="EU40" s="191"/>
      <c r="EV40" s="191"/>
      <c r="EW40" s="192" t="str">
        <f t="shared" si="25"/>
        <v/>
      </c>
      <c r="EX40" s="193"/>
      <c r="EY40" s="193"/>
      <c r="EZ40" s="193"/>
      <c r="FA40" s="193"/>
      <c r="FB40" s="194" t="str">
        <f t="shared" si="26"/>
        <v/>
      </c>
      <c r="FC40" s="311"/>
      <c r="FD40" s="311"/>
      <c r="FE40" s="311"/>
      <c r="FG40" s="176"/>
      <c r="FH40" s="188">
        <f t="shared" si="45"/>
        <v>46326</v>
      </c>
      <c r="FI40" s="189" t="str">
        <f t="shared" si="27"/>
        <v>土</v>
      </c>
      <c r="FJ40" s="189"/>
      <c r="FK40" s="190"/>
      <c r="FL40" s="190"/>
      <c r="FM40" s="191"/>
      <c r="FN40" s="191"/>
      <c r="FO40" s="192" t="str">
        <f t="shared" si="28"/>
        <v/>
      </c>
      <c r="FP40" s="193"/>
      <c r="FQ40" s="193"/>
      <c r="FR40" s="193"/>
      <c r="FS40" s="193"/>
      <c r="FT40" s="194" t="str">
        <f t="shared" si="29"/>
        <v/>
      </c>
      <c r="FU40" s="311"/>
      <c r="FV40" s="311"/>
      <c r="FW40" s="311"/>
      <c r="FY40" s="176"/>
      <c r="FZ40" s="188" t="str">
        <f t="shared" si="46"/>
        <v/>
      </c>
      <c r="GA40" s="189" t="str">
        <f t="shared" si="30"/>
        <v/>
      </c>
      <c r="GB40" s="189"/>
      <c r="GC40" s="190"/>
      <c r="GD40" s="190"/>
      <c r="GE40" s="191"/>
      <c r="GF40" s="191"/>
      <c r="GG40" s="192" t="str">
        <f t="shared" si="31"/>
        <v/>
      </c>
      <c r="GH40" s="193"/>
      <c r="GI40" s="193"/>
      <c r="GJ40" s="193"/>
      <c r="GK40" s="193"/>
      <c r="GL40" s="194" t="str">
        <f t="shared" si="32"/>
        <v/>
      </c>
      <c r="GM40" s="311"/>
      <c r="GN40" s="311"/>
      <c r="GO40" s="311"/>
      <c r="GQ40" s="176"/>
      <c r="GR40" s="188">
        <f t="shared" si="47"/>
        <v>46387</v>
      </c>
      <c r="GS40" s="189" t="str">
        <f t="shared" si="33"/>
        <v>木</v>
      </c>
      <c r="GT40" s="189"/>
      <c r="GU40" s="190"/>
      <c r="GV40" s="190"/>
      <c r="GW40" s="191"/>
      <c r="GX40" s="191"/>
      <c r="GY40" s="192" t="str">
        <f t="shared" si="34"/>
        <v/>
      </c>
      <c r="GZ40" s="193"/>
      <c r="HA40" s="193"/>
      <c r="HB40" s="193"/>
      <c r="HC40" s="193"/>
      <c r="HD40" s="194" t="str">
        <f t="shared" si="35"/>
        <v/>
      </c>
      <c r="HE40" s="311"/>
      <c r="HF40" s="311"/>
      <c r="HG40" s="311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527" priority="1" stopIfTrue="1">
      <formula>$B10=""</formula>
    </cfRule>
  </conditionalFormatting>
  <conditionalFormatting sqref="C10:C40">
    <cfRule type="expression" dxfId="526" priority="3" stopIfTrue="1">
      <formula>WEEKDAY(B10,2)=7</formula>
    </cfRule>
    <cfRule type="expression" dxfId="525" priority="4" stopIfTrue="1">
      <formula>WEEKDAY(B10,2)=6</formula>
    </cfRule>
  </conditionalFormatting>
  <conditionalFormatting sqref="T10:AI40">
    <cfRule type="expression" dxfId="524" priority="5" stopIfTrue="1">
      <formula>$T10=""</formula>
    </cfRule>
  </conditionalFormatting>
  <conditionalFormatting sqref="U10:U40">
    <cfRule type="expression" dxfId="523" priority="7" stopIfTrue="1">
      <formula>WEEKDAY(T10,2)=7</formula>
    </cfRule>
    <cfRule type="expression" dxfId="522" priority="8" stopIfTrue="1">
      <formula>WEEKDAY(T10,2)=6</formula>
    </cfRule>
  </conditionalFormatting>
  <conditionalFormatting sqref="AL10:BA40">
    <cfRule type="expression" dxfId="521" priority="9" stopIfTrue="1">
      <formula>$AL10=""</formula>
    </cfRule>
  </conditionalFormatting>
  <conditionalFormatting sqref="AM10:AM40">
    <cfRule type="expression" dxfId="520" priority="11" stopIfTrue="1">
      <formula>WEEKDAY(AL10,2)=7</formula>
    </cfRule>
    <cfRule type="expression" dxfId="519" priority="12" stopIfTrue="1">
      <formula>WEEKDAY(AL10,2)=6</formula>
    </cfRule>
  </conditionalFormatting>
  <conditionalFormatting sqref="BD10:BS40">
    <cfRule type="expression" dxfId="518" priority="13" stopIfTrue="1">
      <formula>$BD10=""</formula>
    </cfRule>
  </conditionalFormatting>
  <conditionalFormatting sqref="BE10:BE40">
    <cfRule type="expression" dxfId="517" priority="15" stopIfTrue="1">
      <formula>WEEKDAY(BD10,2)=7</formula>
    </cfRule>
    <cfRule type="expression" dxfId="516" priority="16" stopIfTrue="1">
      <formula>WEEKDAY(BD10,2)=6</formula>
    </cfRule>
  </conditionalFormatting>
  <conditionalFormatting sqref="BV10:CK40">
    <cfRule type="expression" dxfId="515" priority="17" stopIfTrue="1">
      <formula>$BV10=""</formula>
    </cfRule>
  </conditionalFormatting>
  <conditionalFormatting sqref="BW10:BW40">
    <cfRule type="expression" dxfId="514" priority="19" stopIfTrue="1">
      <formula>WEEKDAY(BV10,2)=7</formula>
    </cfRule>
    <cfRule type="expression" dxfId="513" priority="20" stopIfTrue="1">
      <formula>WEEKDAY(BV10,2)=6</formula>
    </cfRule>
  </conditionalFormatting>
  <conditionalFormatting sqref="CN10:DC40">
    <cfRule type="expression" dxfId="512" priority="21" stopIfTrue="1">
      <formula>$CN10=""</formula>
    </cfRule>
  </conditionalFormatting>
  <conditionalFormatting sqref="CO10:CO40">
    <cfRule type="expression" dxfId="511" priority="23" stopIfTrue="1">
      <formula>WEEKDAY(CN10,2)=7</formula>
    </cfRule>
    <cfRule type="expression" dxfId="510" priority="24" stopIfTrue="1">
      <formula>WEEKDAY(CN10,2)=6</formula>
    </cfRule>
  </conditionalFormatting>
  <conditionalFormatting sqref="DF10:DU40">
    <cfRule type="expression" dxfId="509" priority="25" stopIfTrue="1">
      <formula>$DF10=""</formula>
    </cfRule>
  </conditionalFormatting>
  <conditionalFormatting sqref="DG10:DG40">
    <cfRule type="expression" dxfId="508" priority="27" stopIfTrue="1">
      <formula>WEEKDAY(DF10,2)=7</formula>
    </cfRule>
    <cfRule type="expression" dxfId="507" priority="28" stopIfTrue="1">
      <formula>WEEKDAY(DF10,2)=6</formula>
    </cfRule>
  </conditionalFormatting>
  <conditionalFormatting sqref="DX10:EM40">
    <cfRule type="expression" dxfId="506" priority="29" stopIfTrue="1">
      <formula>$DX10=""</formula>
    </cfRule>
  </conditionalFormatting>
  <conditionalFormatting sqref="DY10:DY40">
    <cfRule type="expression" dxfId="505" priority="31" stopIfTrue="1">
      <formula>WEEKDAY(DX10,2)=7</formula>
    </cfRule>
    <cfRule type="expression" dxfId="504" priority="32" stopIfTrue="1">
      <formula>WEEKDAY(DX10,2)=6</formula>
    </cfRule>
  </conditionalFormatting>
  <conditionalFormatting sqref="EP10:FE40">
    <cfRule type="expression" dxfId="503" priority="33" stopIfTrue="1">
      <formula>$EP10=""</formula>
    </cfRule>
  </conditionalFormatting>
  <conditionalFormatting sqref="EQ10:EQ40">
    <cfRule type="expression" dxfId="502" priority="35" stopIfTrue="1">
      <formula>WEEKDAY(EP10,2)=7</formula>
    </cfRule>
    <cfRule type="expression" dxfId="501" priority="36" stopIfTrue="1">
      <formula>WEEKDAY(EP10,2)=6</formula>
    </cfRule>
  </conditionalFormatting>
  <conditionalFormatting sqref="FH10:FW40">
    <cfRule type="expression" dxfId="500" priority="37" stopIfTrue="1">
      <formula>$FH10=""</formula>
    </cfRule>
  </conditionalFormatting>
  <conditionalFormatting sqref="FI10:FI40">
    <cfRule type="expression" dxfId="499" priority="39" stopIfTrue="1">
      <formula>WEEKDAY(FH10,2)=7</formula>
    </cfRule>
    <cfRule type="expression" dxfId="498" priority="40" stopIfTrue="1">
      <formula>WEEKDAY(FH10,2)=6</formula>
    </cfRule>
  </conditionalFormatting>
  <conditionalFormatting sqref="FZ10:GO40">
    <cfRule type="expression" dxfId="497" priority="41" stopIfTrue="1">
      <formula>$FZ10=""</formula>
    </cfRule>
  </conditionalFormatting>
  <conditionalFormatting sqref="GA10:GA40">
    <cfRule type="expression" dxfId="496" priority="43" stopIfTrue="1">
      <formula>WEEKDAY(FZ10,2)=7</formula>
    </cfRule>
  </conditionalFormatting>
  <conditionalFormatting sqref="GA10:GA40">
    <cfRule type="expression" dxfId="495" priority="44" stopIfTrue="1">
      <formula>WEEKDAY(FZ10,2)=6</formula>
    </cfRule>
  </conditionalFormatting>
  <conditionalFormatting sqref="GR10:HG40">
    <cfRule type="expression" dxfId="494" priority="45" stopIfTrue="1">
      <formula>$GR10=""</formula>
    </cfRule>
  </conditionalFormatting>
  <conditionalFormatting sqref="GS10:GS40">
    <cfRule type="expression" dxfId="493" priority="47" stopIfTrue="1">
      <formula>WEEKDAY(GR10,2)=7</formula>
    </cfRule>
  </conditionalFormatting>
  <conditionalFormatting sqref="GS10:GS40">
    <cfRule type="expression" dxfId="492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E27347F-F3FC-42E4-9AC3-C03EC316081D}">
            <xm:f>COUNTIF(祝日!$B:$B,B10)&gt;0</xm:f>
            <x14:dxf>
              <fill>
                <patternFill>
                  <bgColor rgb="FFFF8C8C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5911EEA-75F6-4829-A3EC-F7AA3369AEFC}">
            <xm:f>COUNTIF(祝日!$B:$B,T10)&gt;0</xm:f>
            <x14:dxf>
              <fill>
                <patternFill>
                  <bgColor rgb="FFFF8C8C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974A3B75-E255-49D0-9BC4-61BC03D91BF9}">
            <xm:f>COUNTIF(祝日!$B:$B,AL10)&gt;0</xm:f>
            <x14:dxf>
              <fill>
                <patternFill>
                  <bgColor rgb="FFFF8C8C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5A7C8B73-1719-4119-A677-D78BA0581165}">
            <xm:f>COUNTIF(祝日!$B:$B,BD10)&gt;0</xm:f>
            <x14:dxf>
              <fill>
                <patternFill>
                  <bgColor rgb="FFFF8C8C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B71AE396-E5ED-460F-A6E9-F7F89A5D1922}">
            <xm:f>COUNTIF(祝日!$B:$B,BV10)&gt;0</xm:f>
            <x14:dxf>
              <fill>
                <patternFill>
                  <bgColor rgb="FFFF8C8C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0B21D4CC-4058-4744-AF07-D2B2C90B3ADD}">
            <xm:f>COUNTIF(祝日!$B:$B,CN10)&gt;0</xm:f>
            <x14:dxf>
              <fill>
                <patternFill>
                  <bgColor rgb="FFFF8C8C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263E9C9-E12D-4CF9-821A-76134B00B030}">
            <xm:f>COUNTIF(祝日!$B:$B,DF10)&gt;0</xm:f>
            <x14:dxf>
              <fill>
                <patternFill>
                  <bgColor rgb="FFFF8C8C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4BC0D04-D87D-4341-BE95-816C43A77AB7}">
            <xm:f>COUNTIF(祝日!$B:$B,DX10)&gt;0</xm:f>
            <x14:dxf>
              <fill>
                <patternFill>
                  <bgColor rgb="FFFF8C8C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C98986E4-F89E-41EB-8ACB-F27AC6B5FB15}">
            <xm:f>COUNTIF(祝日!$B:$B,EP10)&gt;0</xm:f>
            <x14:dxf>
              <fill>
                <patternFill>
                  <bgColor rgb="FFFF8C8C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F014A87-7DE5-4FA4-B8C0-DF3BF3FD5902}">
            <xm:f>COUNTIF(祝日!$B:$B,FH10)&gt;0</xm:f>
            <x14:dxf>
              <fill>
                <patternFill>
                  <bgColor rgb="FFFF8C8C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E226F01A-C6CF-450D-AC6C-E7AC320F1A85}">
            <xm:f>COUNTIF(祝日!$B:$B,FZ10)&gt;0</xm:f>
            <x14:dxf>
              <fill>
                <patternFill>
                  <bgColor rgb="FFFF8C8C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CBBA52DD-918B-4E03-BADF-8A298232FAB1}">
            <xm:f>COUNTIF(祝日!$B:$B,GR10)&gt;0</xm:f>
            <x14:dxf>
              <fill>
                <patternFill>
                  <bgColor rgb="FFFF8C8C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781-0B60-43CC-B3AE-09E499C24659}">
  <sheetPr codeName="Sheet108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87" customWidth="1"/>
    <col min="2" max="4" width="3.69921875" style="87" customWidth="1" outlineLevel="1"/>
    <col min="5" max="17" width="6.69921875" style="87" customWidth="1" outlineLevel="1"/>
    <col min="18" max="18" width="2.69921875" style="87" customWidth="1" outlineLevel="1"/>
    <col min="19" max="19" width="4.19921875" style="87" customWidth="1"/>
    <col min="20" max="22" width="3.69921875" style="87" customWidth="1" outlineLevel="1"/>
    <col min="23" max="35" width="6.69921875" style="87" customWidth="1" outlineLevel="1"/>
    <col min="36" max="36" width="2.69921875" style="87" customWidth="1" outlineLevel="1"/>
    <col min="37" max="37" width="4.19921875" style="87" customWidth="1"/>
    <col min="38" max="40" width="3.69921875" style="87" customWidth="1" outlineLevel="1"/>
    <col min="41" max="53" width="6.69921875" style="87" customWidth="1" outlineLevel="1"/>
    <col min="54" max="54" width="2.69921875" style="87" customWidth="1" outlineLevel="1"/>
    <col min="55" max="55" width="4.19921875" style="87" customWidth="1"/>
    <col min="56" max="58" width="3.69921875" style="87" customWidth="1" outlineLevel="1"/>
    <col min="59" max="71" width="6.69921875" style="87" customWidth="1" outlineLevel="1"/>
    <col min="72" max="72" width="2.69921875" style="87" customWidth="1" outlineLevel="1"/>
    <col min="73" max="73" width="4.19921875" style="87" customWidth="1"/>
    <col min="74" max="76" width="3.69921875" style="87" customWidth="1" outlineLevel="1"/>
    <col min="77" max="89" width="6.69921875" style="87" customWidth="1" outlineLevel="1"/>
    <col min="90" max="90" width="2.69921875" style="87" customWidth="1" outlineLevel="1"/>
    <col min="91" max="91" width="4.19921875" style="87" customWidth="1"/>
    <col min="92" max="94" width="3.69921875" style="87" customWidth="1" outlineLevel="1"/>
    <col min="95" max="107" width="6.69921875" style="87" customWidth="1" outlineLevel="1"/>
    <col min="108" max="108" width="2.69921875" style="87" customWidth="1" outlineLevel="1"/>
    <col min="109" max="109" width="4.19921875" style="87" customWidth="1"/>
    <col min="110" max="112" width="3.69921875" style="87" customWidth="1" outlineLevel="1"/>
    <col min="113" max="125" width="6.69921875" style="87" customWidth="1" outlineLevel="1"/>
    <col min="126" max="126" width="2.69921875" style="87" customWidth="1" outlineLevel="1"/>
    <col min="127" max="127" width="4.19921875" style="87" customWidth="1"/>
    <col min="128" max="130" width="3.69921875" style="87" customWidth="1" outlineLevel="1"/>
    <col min="131" max="143" width="6.69921875" style="87" customWidth="1" outlineLevel="1"/>
    <col min="144" max="144" width="2.69921875" style="87" customWidth="1" outlineLevel="1"/>
    <col min="145" max="145" width="4.19921875" style="87" customWidth="1"/>
    <col min="146" max="148" width="3.69921875" style="87" customWidth="1" outlineLevel="1"/>
    <col min="149" max="161" width="6.69921875" style="87" customWidth="1" outlineLevel="1"/>
    <col min="162" max="162" width="2.69921875" style="87" customWidth="1" outlineLevel="1"/>
    <col min="163" max="163" width="4.19921875" style="87" customWidth="1"/>
    <col min="164" max="166" width="3.69921875" style="87" customWidth="1" outlineLevel="1"/>
    <col min="167" max="179" width="6.69921875" style="87" customWidth="1" outlineLevel="1"/>
    <col min="180" max="180" width="2.69921875" style="87" customWidth="1" outlineLevel="1"/>
    <col min="181" max="181" width="4.19921875" style="87" customWidth="1"/>
    <col min="182" max="184" width="3.69921875" style="87" customWidth="1" outlineLevel="1"/>
    <col min="185" max="197" width="6.69921875" style="87" customWidth="1" outlineLevel="1"/>
    <col min="198" max="198" width="2.69921875" style="87" customWidth="1" outlineLevel="1"/>
    <col min="199" max="199" width="4.19921875" style="87" customWidth="1"/>
    <col min="200" max="202" width="3.69921875" style="87" customWidth="1" outlineLevel="1"/>
    <col min="203" max="215" width="6.69921875" style="87" customWidth="1" outlineLevel="1"/>
    <col min="216" max="216" width="2.69921875" style="87" customWidth="1" outlineLevel="1"/>
    <col min="217" max="16384" width="8.796875" style="87"/>
  </cols>
  <sheetData>
    <row r="1" spans="1:215" x14ac:dyDescent="0.45">
      <c r="A1" s="157"/>
      <c r="B1" s="320">
        <v>46023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2"/>
      <c r="S1" s="157"/>
      <c r="T1" s="331">
        <v>46054</v>
      </c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1"/>
      <c r="AG1" s="321"/>
      <c r="AH1" s="321"/>
      <c r="AI1" s="322"/>
      <c r="AK1" s="157"/>
      <c r="AL1" s="331">
        <v>46082</v>
      </c>
      <c r="AM1" s="321"/>
      <c r="AN1" s="321"/>
      <c r="AO1" s="321"/>
      <c r="AP1" s="321"/>
      <c r="AQ1" s="321"/>
      <c r="AR1" s="321"/>
      <c r="AS1" s="321"/>
      <c r="AT1" s="321"/>
      <c r="AU1" s="321"/>
      <c r="AV1" s="321"/>
      <c r="AW1" s="321"/>
      <c r="AX1" s="321"/>
      <c r="AY1" s="321"/>
      <c r="AZ1" s="321"/>
      <c r="BA1" s="322"/>
      <c r="BC1" s="157"/>
      <c r="BD1" s="331">
        <v>46113</v>
      </c>
      <c r="BE1" s="321"/>
      <c r="BF1" s="321"/>
      <c r="BG1" s="321"/>
      <c r="BH1" s="321"/>
      <c r="BI1" s="321"/>
      <c r="BJ1" s="321"/>
      <c r="BK1" s="321"/>
      <c r="BL1" s="321"/>
      <c r="BM1" s="321"/>
      <c r="BN1" s="321"/>
      <c r="BO1" s="321"/>
      <c r="BP1" s="321"/>
      <c r="BQ1" s="321"/>
      <c r="BR1" s="321"/>
      <c r="BS1" s="322"/>
      <c r="BU1" s="157"/>
      <c r="BV1" s="331">
        <v>46143</v>
      </c>
      <c r="BW1" s="321"/>
      <c r="BX1" s="321"/>
      <c r="BY1" s="321"/>
      <c r="BZ1" s="321"/>
      <c r="CA1" s="321"/>
      <c r="CB1" s="321"/>
      <c r="CC1" s="321"/>
      <c r="CD1" s="321"/>
      <c r="CE1" s="321"/>
      <c r="CF1" s="321"/>
      <c r="CG1" s="321"/>
      <c r="CH1" s="321"/>
      <c r="CI1" s="321"/>
      <c r="CJ1" s="321"/>
      <c r="CK1" s="322"/>
      <c r="CM1" s="157"/>
      <c r="CN1" s="331">
        <v>46174</v>
      </c>
      <c r="CO1" s="321"/>
      <c r="CP1" s="321"/>
      <c r="CQ1" s="321"/>
      <c r="CR1" s="321"/>
      <c r="CS1" s="321"/>
      <c r="CT1" s="321"/>
      <c r="CU1" s="321"/>
      <c r="CV1" s="321"/>
      <c r="CW1" s="321"/>
      <c r="CX1" s="321"/>
      <c r="CY1" s="321"/>
      <c r="CZ1" s="321"/>
      <c r="DA1" s="321"/>
      <c r="DB1" s="321"/>
      <c r="DC1" s="322"/>
      <c r="DE1" s="157"/>
      <c r="DF1" s="331">
        <v>46204</v>
      </c>
      <c r="DG1" s="321"/>
      <c r="DH1" s="321"/>
      <c r="DI1" s="321"/>
      <c r="DJ1" s="321"/>
      <c r="DK1" s="321"/>
      <c r="DL1" s="321"/>
      <c r="DM1" s="321"/>
      <c r="DN1" s="321"/>
      <c r="DO1" s="321"/>
      <c r="DP1" s="321"/>
      <c r="DQ1" s="321"/>
      <c r="DR1" s="321"/>
      <c r="DS1" s="321"/>
      <c r="DT1" s="321"/>
      <c r="DU1" s="322"/>
      <c r="DW1" s="157"/>
      <c r="DX1" s="331">
        <v>46235</v>
      </c>
      <c r="DY1" s="321"/>
      <c r="DZ1" s="321"/>
      <c r="EA1" s="321"/>
      <c r="EB1" s="321"/>
      <c r="EC1" s="321"/>
      <c r="ED1" s="321"/>
      <c r="EE1" s="321"/>
      <c r="EF1" s="321"/>
      <c r="EG1" s="321"/>
      <c r="EH1" s="321"/>
      <c r="EI1" s="321"/>
      <c r="EJ1" s="321"/>
      <c r="EK1" s="321"/>
      <c r="EL1" s="321"/>
      <c r="EM1" s="322"/>
      <c r="EO1" s="157"/>
      <c r="EP1" s="331">
        <v>46266</v>
      </c>
      <c r="EQ1" s="321"/>
      <c r="ER1" s="321"/>
      <c r="ES1" s="321"/>
      <c r="ET1" s="321"/>
      <c r="EU1" s="321"/>
      <c r="EV1" s="321"/>
      <c r="EW1" s="321"/>
      <c r="EX1" s="321"/>
      <c r="EY1" s="321"/>
      <c r="EZ1" s="321"/>
      <c r="FA1" s="321"/>
      <c r="FB1" s="321"/>
      <c r="FC1" s="321"/>
      <c r="FD1" s="321"/>
      <c r="FE1" s="322"/>
      <c r="FG1" s="157"/>
      <c r="FH1" s="331">
        <v>46296</v>
      </c>
      <c r="FI1" s="321"/>
      <c r="FJ1" s="321"/>
      <c r="FK1" s="321"/>
      <c r="FL1" s="321"/>
      <c r="FM1" s="321"/>
      <c r="FN1" s="321"/>
      <c r="FO1" s="321"/>
      <c r="FP1" s="321"/>
      <c r="FQ1" s="321"/>
      <c r="FR1" s="321"/>
      <c r="FS1" s="321"/>
      <c r="FT1" s="321"/>
      <c r="FU1" s="321"/>
      <c r="FV1" s="321"/>
      <c r="FW1" s="322"/>
      <c r="FY1" s="157"/>
      <c r="FZ1" s="331">
        <v>46327</v>
      </c>
      <c r="GA1" s="321"/>
      <c r="GB1" s="321"/>
      <c r="GC1" s="321"/>
      <c r="GD1" s="321"/>
      <c r="GE1" s="321"/>
      <c r="GF1" s="321"/>
      <c r="GG1" s="321"/>
      <c r="GH1" s="321"/>
      <c r="GI1" s="321"/>
      <c r="GJ1" s="321"/>
      <c r="GK1" s="321"/>
      <c r="GL1" s="321"/>
      <c r="GM1" s="321"/>
      <c r="GN1" s="321"/>
      <c r="GO1" s="322"/>
      <c r="GQ1" s="157"/>
      <c r="GR1" s="331">
        <v>46357</v>
      </c>
      <c r="GS1" s="321"/>
      <c r="GT1" s="321"/>
      <c r="GU1" s="321"/>
      <c r="GV1" s="321"/>
      <c r="GW1" s="321"/>
      <c r="GX1" s="321"/>
      <c r="GY1" s="321"/>
      <c r="GZ1" s="321"/>
      <c r="HA1" s="321"/>
      <c r="HB1" s="321"/>
      <c r="HC1" s="321"/>
      <c r="HD1" s="321"/>
      <c r="HE1" s="321"/>
      <c r="HF1" s="321"/>
      <c r="HG1" s="322"/>
    </row>
    <row r="2" spans="1:215" ht="6" customHeight="1" outlineLevel="1" x14ac:dyDescent="0.45">
      <c r="A2" s="157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54"/>
      <c r="S2" s="157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54"/>
      <c r="AK2" s="157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54"/>
      <c r="BC2" s="157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54"/>
      <c r="BU2" s="157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54"/>
      <c r="CM2" s="157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54"/>
      <c r="DE2" s="157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54"/>
      <c r="DW2" s="157"/>
      <c r="DX2" s="132"/>
      <c r="DY2" s="132"/>
      <c r="DZ2" s="132"/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54"/>
      <c r="EO2" s="157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54"/>
      <c r="FG2" s="157"/>
      <c r="FH2" s="132"/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54"/>
      <c r="FY2" s="157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54"/>
      <c r="GQ2" s="157"/>
      <c r="GR2" s="132"/>
      <c r="GS2" s="132"/>
      <c r="GT2" s="132"/>
      <c r="GU2" s="132"/>
      <c r="GV2" s="132"/>
      <c r="GW2" s="132"/>
      <c r="GX2" s="132"/>
      <c r="GY2" s="132"/>
      <c r="GZ2" s="132"/>
      <c r="HA2" s="132"/>
      <c r="HB2" s="132"/>
      <c r="HC2" s="132"/>
      <c r="HD2" s="132"/>
      <c r="HE2" s="132"/>
      <c r="HF2" s="132"/>
      <c r="HG2" s="154"/>
    </row>
    <row r="3" spans="1:215" outlineLevel="1" x14ac:dyDescent="0.45">
      <c r="A3" s="157"/>
      <c r="B3" s="323" t="s">
        <v>24</v>
      </c>
      <c r="C3" s="323"/>
      <c r="D3" s="323"/>
      <c r="E3" s="133">
        <f>COUNTIF(D10:D40,"出")</f>
        <v>0</v>
      </c>
      <c r="F3" s="132"/>
      <c r="G3" s="326" t="s">
        <v>35</v>
      </c>
      <c r="H3" s="326"/>
      <c r="I3" s="132"/>
      <c r="J3" s="326" t="s">
        <v>36</v>
      </c>
      <c r="K3" s="326"/>
      <c r="L3" s="132"/>
      <c r="M3" s="132"/>
      <c r="N3" s="132"/>
      <c r="O3" s="132"/>
      <c r="P3" s="132"/>
      <c r="Q3" s="154"/>
      <c r="S3" s="157"/>
      <c r="T3" s="323" t="s">
        <v>24</v>
      </c>
      <c r="U3" s="323"/>
      <c r="V3" s="323"/>
      <c r="W3" s="133">
        <f>COUNTIF(V10:V40,"出")</f>
        <v>0</v>
      </c>
      <c r="X3" s="132"/>
      <c r="Y3" s="326" t="s">
        <v>35</v>
      </c>
      <c r="Z3" s="326"/>
      <c r="AA3" s="132"/>
      <c r="AB3" s="326" t="s">
        <v>36</v>
      </c>
      <c r="AC3" s="326"/>
      <c r="AD3" s="132"/>
      <c r="AE3" s="132"/>
      <c r="AF3" s="132"/>
      <c r="AG3" s="132"/>
      <c r="AH3" s="132"/>
      <c r="AI3" s="154"/>
      <c r="AK3" s="157"/>
      <c r="AL3" s="323" t="s">
        <v>24</v>
      </c>
      <c r="AM3" s="323"/>
      <c r="AN3" s="323"/>
      <c r="AO3" s="133">
        <f>COUNTIF(AN10:AN40,"出")</f>
        <v>0</v>
      </c>
      <c r="AP3" s="132"/>
      <c r="AQ3" s="326" t="s">
        <v>35</v>
      </c>
      <c r="AR3" s="326"/>
      <c r="AS3" s="132"/>
      <c r="AT3" s="326" t="s">
        <v>36</v>
      </c>
      <c r="AU3" s="326"/>
      <c r="AV3" s="132"/>
      <c r="AW3" s="132"/>
      <c r="AX3" s="132"/>
      <c r="AY3" s="132"/>
      <c r="AZ3" s="132"/>
      <c r="BA3" s="154"/>
      <c r="BC3" s="157"/>
      <c r="BD3" s="323" t="s">
        <v>24</v>
      </c>
      <c r="BE3" s="323"/>
      <c r="BF3" s="323"/>
      <c r="BG3" s="133">
        <f>COUNTIF(BF10:BF40,"出")</f>
        <v>0</v>
      </c>
      <c r="BH3" s="132"/>
      <c r="BI3" s="326" t="s">
        <v>35</v>
      </c>
      <c r="BJ3" s="326"/>
      <c r="BK3" s="132"/>
      <c r="BL3" s="326" t="s">
        <v>36</v>
      </c>
      <c r="BM3" s="326"/>
      <c r="BN3" s="132"/>
      <c r="BO3" s="132"/>
      <c r="BP3" s="132"/>
      <c r="BQ3" s="132"/>
      <c r="BR3" s="132"/>
      <c r="BS3" s="154"/>
      <c r="BU3" s="157"/>
      <c r="BV3" s="323" t="s">
        <v>24</v>
      </c>
      <c r="BW3" s="323"/>
      <c r="BX3" s="323"/>
      <c r="BY3" s="133">
        <f>COUNTIF(BX10:BX40,"出")</f>
        <v>0</v>
      </c>
      <c r="BZ3" s="132"/>
      <c r="CA3" s="326" t="s">
        <v>35</v>
      </c>
      <c r="CB3" s="326"/>
      <c r="CC3" s="132"/>
      <c r="CD3" s="326" t="s">
        <v>36</v>
      </c>
      <c r="CE3" s="326"/>
      <c r="CF3" s="132"/>
      <c r="CG3" s="132"/>
      <c r="CH3" s="132"/>
      <c r="CI3" s="132"/>
      <c r="CJ3" s="132"/>
      <c r="CK3" s="154"/>
      <c r="CM3" s="157"/>
      <c r="CN3" s="323" t="s">
        <v>24</v>
      </c>
      <c r="CO3" s="323"/>
      <c r="CP3" s="323"/>
      <c r="CQ3" s="133">
        <f>COUNTIF(CP10:CP40,"出")</f>
        <v>0</v>
      </c>
      <c r="CR3" s="132"/>
      <c r="CS3" s="326" t="s">
        <v>35</v>
      </c>
      <c r="CT3" s="326"/>
      <c r="CU3" s="132"/>
      <c r="CV3" s="326" t="s">
        <v>36</v>
      </c>
      <c r="CW3" s="326"/>
      <c r="CX3" s="132"/>
      <c r="CY3" s="132"/>
      <c r="CZ3" s="132"/>
      <c r="DA3" s="132"/>
      <c r="DB3" s="132"/>
      <c r="DC3" s="154"/>
      <c r="DE3" s="157"/>
      <c r="DF3" s="323" t="s">
        <v>24</v>
      </c>
      <c r="DG3" s="323"/>
      <c r="DH3" s="323"/>
      <c r="DI3" s="133">
        <f>COUNTIF(DH10:DH40,"出")</f>
        <v>0</v>
      </c>
      <c r="DJ3" s="132"/>
      <c r="DK3" s="326" t="s">
        <v>35</v>
      </c>
      <c r="DL3" s="326"/>
      <c r="DM3" s="132"/>
      <c r="DN3" s="326" t="s">
        <v>36</v>
      </c>
      <c r="DO3" s="326"/>
      <c r="DP3" s="132"/>
      <c r="DQ3" s="132"/>
      <c r="DR3" s="132"/>
      <c r="DS3" s="132"/>
      <c r="DT3" s="132"/>
      <c r="DU3" s="154"/>
      <c r="DW3" s="157"/>
      <c r="DX3" s="323" t="s">
        <v>24</v>
      </c>
      <c r="DY3" s="323"/>
      <c r="DZ3" s="323"/>
      <c r="EA3" s="133">
        <f>COUNTIF(DZ10:DZ40,"出")</f>
        <v>0</v>
      </c>
      <c r="EB3" s="132"/>
      <c r="EC3" s="326" t="s">
        <v>35</v>
      </c>
      <c r="ED3" s="326"/>
      <c r="EE3" s="132"/>
      <c r="EF3" s="326" t="s">
        <v>36</v>
      </c>
      <c r="EG3" s="326"/>
      <c r="EH3" s="132"/>
      <c r="EI3" s="132"/>
      <c r="EJ3" s="132"/>
      <c r="EK3" s="132"/>
      <c r="EL3" s="132"/>
      <c r="EM3" s="154"/>
      <c r="EO3" s="157"/>
      <c r="EP3" s="323" t="s">
        <v>24</v>
      </c>
      <c r="EQ3" s="323"/>
      <c r="ER3" s="323"/>
      <c r="ES3" s="133">
        <f>COUNTIF(ER10:ER40,"出")</f>
        <v>0</v>
      </c>
      <c r="ET3" s="132"/>
      <c r="EU3" s="326" t="s">
        <v>35</v>
      </c>
      <c r="EV3" s="326"/>
      <c r="EW3" s="132"/>
      <c r="EX3" s="326" t="s">
        <v>36</v>
      </c>
      <c r="EY3" s="326"/>
      <c r="EZ3" s="132"/>
      <c r="FA3" s="132"/>
      <c r="FB3" s="132"/>
      <c r="FC3" s="132"/>
      <c r="FD3" s="132"/>
      <c r="FE3" s="154"/>
      <c r="FG3" s="157"/>
      <c r="FH3" s="323" t="s">
        <v>24</v>
      </c>
      <c r="FI3" s="323"/>
      <c r="FJ3" s="323"/>
      <c r="FK3" s="133">
        <f>COUNTIF(FJ10:FJ40,"出")</f>
        <v>0</v>
      </c>
      <c r="FL3" s="132"/>
      <c r="FM3" s="326" t="s">
        <v>35</v>
      </c>
      <c r="FN3" s="326"/>
      <c r="FO3" s="132"/>
      <c r="FP3" s="326" t="s">
        <v>36</v>
      </c>
      <c r="FQ3" s="326"/>
      <c r="FR3" s="132"/>
      <c r="FS3" s="132"/>
      <c r="FT3" s="132"/>
      <c r="FU3" s="132"/>
      <c r="FV3" s="132"/>
      <c r="FW3" s="154"/>
      <c r="FY3" s="157"/>
      <c r="FZ3" s="323" t="s">
        <v>24</v>
      </c>
      <c r="GA3" s="323"/>
      <c r="GB3" s="323"/>
      <c r="GC3" s="133">
        <f>COUNTIF(GB10:GB40,"出")</f>
        <v>0</v>
      </c>
      <c r="GD3" s="132"/>
      <c r="GE3" s="326" t="s">
        <v>35</v>
      </c>
      <c r="GF3" s="326"/>
      <c r="GG3" s="132"/>
      <c r="GH3" s="326" t="s">
        <v>36</v>
      </c>
      <c r="GI3" s="326"/>
      <c r="GJ3" s="132"/>
      <c r="GK3" s="132"/>
      <c r="GL3" s="132"/>
      <c r="GM3" s="132"/>
      <c r="GN3" s="132"/>
      <c r="GO3" s="154"/>
      <c r="GQ3" s="157"/>
      <c r="GR3" s="323" t="s">
        <v>24</v>
      </c>
      <c r="GS3" s="323"/>
      <c r="GT3" s="323"/>
      <c r="GU3" s="133">
        <f>COUNTIF(GT10:GT40,"出")</f>
        <v>0</v>
      </c>
      <c r="GV3" s="132"/>
      <c r="GW3" s="326" t="s">
        <v>35</v>
      </c>
      <c r="GX3" s="326"/>
      <c r="GY3" s="132"/>
      <c r="GZ3" s="326" t="s">
        <v>36</v>
      </c>
      <c r="HA3" s="326"/>
      <c r="HB3" s="132"/>
      <c r="HC3" s="132"/>
      <c r="HD3" s="132"/>
      <c r="HE3" s="132"/>
      <c r="HF3" s="132"/>
      <c r="HG3" s="154"/>
    </row>
    <row r="4" spans="1:215" outlineLevel="1" x14ac:dyDescent="0.45">
      <c r="A4" s="157"/>
      <c r="B4" s="324" t="s">
        <v>23</v>
      </c>
      <c r="C4" s="324"/>
      <c r="D4" s="324"/>
      <c r="E4" s="134">
        <f>COUNTIF(D10:D40,"リ")</f>
        <v>19</v>
      </c>
      <c r="F4" s="132"/>
      <c r="G4" s="136" t="s">
        <v>3</v>
      </c>
      <c r="H4" s="136" t="s">
        <v>27</v>
      </c>
      <c r="I4" s="132"/>
      <c r="J4" s="136" t="s">
        <v>3</v>
      </c>
      <c r="K4" s="136" t="s">
        <v>27</v>
      </c>
      <c r="L4" s="132"/>
      <c r="M4" s="132"/>
      <c r="N4" s="132"/>
      <c r="O4" s="132"/>
      <c r="P4" s="132"/>
      <c r="Q4" s="154"/>
      <c r="S4" s="157"/>
      <c r="T4" s="324" t="s">
        <v>23</v>
      </c>
      <c r="U4" s="324"/>
      <c r="V4" s="324"/>
      <c r="W4" s="134">
        <f>COUNTIF(V10:V40,"リ")</f>
        <v>18</v>
      </c>
      <c r="X4" s="132"/>
      <c r="Y4" s="136" t="s">
        <v>3</v>
      </c>
      <c r="Z4" s="136" t="s">
        <v>27</v>
      </c>
      <c r="AA4" s="132"/>
      <c r="AB4" s="136" t="s">
        <v>3</v>
      </c>
      <c r="AC4" s="136" t="s">
        <v>27</v>
      </c>
      <c r="AD4" s="132"/>
      <c r="AE4" s="132"/>
      <c r="AF4" s="132"/>
      <c r="AG4" s="132"/>
      <c r="AH4" s="132"/>
      <c r="AI4" s="154"/>
      <c r="AK4" s="157"/>
      <c r="AL4" s="324" t="s">
        <v>23</v>
      </c>
      <c r="AM4" s="324"/>
      <c r="AN4" s="324"/>
      <c r="AO4" s="134">
        <f>COUNTIF(AN10:AN40,"リ")</f>
        <v>21</v>
      </c>
      <c r="AP4" s="132"/>
      <c r="AQ4" s="136" t="s">
        <v>3</v>
      </c>
      <c r="AR4" s="136" t="s">
        <v>27</v>
      </c>
      <c r="AS4" s="132"/>
      <c r="AT4" s="136" t="s">
        <v>3</v>
      </c>
      <c r="AU4" s="136" t="s">
        <v>27</v>
      </c>
      <c r="AV4" s="132"/>
      <c r="AW4" s="132"/>
      <c r="AX4" s="132"/>
      <c r="AY4" s="132"/>
      <c r="AZ4" s="132"/>
      <c r="BA4" s="154"/>
      <c r="BC4" s="157"/>
      <c r="BD4" s="324" t="s">
        <v>23</v>
      </c>
      <c r="BE4" s="324"/>
      <c r="BF4" s="324"/>
      <c r="BG4" s="134">
        <f>COUNTIF(BF10:BF40,"リ")</f>
        <v>21</v>
      </c>
      <c r="BH4" s="132"/>
      <c r="BI4" s="136" t="s">
        <v>3</v>
      </c>
      <c r="BJ4" s="136" t="s">
        <v>27</v>
      </c>
      <c r="BK4" s="132"/>
      <c r="BL4" s="136" t="s">
        <v>3</v>
      </c>
      <c r="BM4" s="136" t="s">
        <v>27</v>
      </c>
      <c r="BN4" s="132"/>
      <c r="BO4" s="132"/>
      <c r="BP4" s="132"/>
      <c r="BQ4" s="132"/>
      <c r="BR4" s="132"/>
      <c r="BS4" s="154"/>
      <c r="BU4" s="157"/>
      <c r="BV4" s="324" t="s">
        <v>23</v>
      </c>
      <c r="BW4" s="324"/>
      <c r="BX4" s="324"/>
      <c r="BY4" s="134">
        <f>COUNTIF(BX10:BX40,"リ")</f>
        <v>18</v>
      </c>
      <c r="BZ4" s="132"/>
      <c r="CA4" s="136" t="s">
        <v>3</v>
      </c>
      <c r="CB4" s="136" t="s">
        <v>27</v>
      </c>
      <c r="CC4" s="132"/>
      <c r="CD4" s="136" t="s">
        <v>3</v>
      </c>
      <c r="CE4" s="136" t="s">
        <v>27</v>
      </c>
      <c r="CF4" s="132"/>
      <c r="CG4" s="132"/>
      <c r="CH4" s="132"/>
      <c r="CI4" s="132"/>
      <c r="CJ4" s="132"/>
      <c r="CK4" s="154"/>
      <c r="CM4" s="157"/>
      <c r="CN4" s="324" t="s">
        <v>23</v>
      </c>
      <c r="CO4" s="324"/>
      <c r="CP4" s="324"/>
      <c r="CQ4" s="134">
        <f>COUNTIF(CP10:CP40,"リ")</f>
        <v>22</v>
      </c>
      <c r="CR4" s="132"/>
      <c r="CS4" s="136" t="s">
        <v>3</v>
      </c>
      <c r="CT4" s="136" t="s">
        <v>27</v>
      </c>
      <c r="CU4" s="132"/>
      <c r="CV4" s="136" t="s">
        <v>3</v>
      </c>
      <c r="CW4" s="136" t="s">
        <v>27</v>
      </c>
      <c r="CX4" s="132"/>
      <c r="CY4" s="132"/>
      <c r="CZ4" s="132"/>
      <c r="DA4" s="132"/>
      <c r="DB4" s="132"/>
      <c r="DC4" s="154"/>
      <c r="DE4" s="157"/>
      <c r="DF4" s="324" t="s">
        <v>23</v>
      </c>
      <c r="DG4" s="324"/>
      <c r="DH4" s="324"/>
      <c r="DI4" s="134">
        <f>COUNTIF(DH10:DH40,"リ")</f>
        <v>22</v>
      </c>
      <c r="DJ4" s="132"/>
      <c r="DK4" s="136" t="s">
        <v>3</v>
      </c>
      <c r="DL4" s="136" t="s">
        <v>27</v>
      </c>
      <c r="DM4" s="132"/>
      <c r="DN4" s="136" t="s">
        <v>3</v>
      </c>
      <c r="DO4" s="136" t="s">
        <v>27</v>
      </c>
      <c r="DP4" s="132"/>
      <c r="DQ4" s="132"/>
      <c r="DR4" s="132"/>
      <c r="DS4" s="132"/>
      <c r="DT4" s="132"/>
      <c r="DU4" s="154"/>
      <c r="DW4" s="157"/>
      <c r="DX4" s="324" t="s">
        <v>23</v>
      </c>
      <c r="DY4" s="324"/>
      <c r="DZ4" s="324"/>
      <c r="EA4" s="134">
        <f>COUNTIF(DZ10:DZ40,"リ")</f>
        <v>20</v>
      </c>
      <c r="EB4" s="132"/>
      <c r="EC4" s="136" t="s">
        <v>3</v>
      </c>
      <c r="ED4" s="136" t="s">
        <v>27</v>
      </c>
      <c r="EE4" s="132"/>
      <c r="EF4" s="136" t="s">
        <v>3</v>
      </c>
      <c r="EG4" s="136" t="s">
        <v>27</v>
      </c>
      <c r="EH4" s="132"/>
      <c r="EI4" s="132"/>
      <c r="EJ4" s="132"/>
      <c r="EK4" s="132"/>
      <c r="EL4" s="132"/>
      <c r="EM4" s="154"/>
      <c r="EO4" s="157"/>
      <c r="EP4" s="324" t="s">
        <v>23</v>
      </c>
      <c r="EQ4" s="324"/>
      <c r="ER4" s="324"/>
      <c r="ES4" s="134">
        <f>COUNTIF(ER10:ER40,"リ")</f>
        <v>19</v>
      </c>
      <c r="ET4" s="132"/>
      <c r="EU4" s="136" t="s">
        <v>3</v>
      </c>
      <c r="EV4" s="136" t="s">
        <v>27</v>
      </c>
      <c r="EW4" s="132"/>
      <c r="EX4" s="136" t="s">
        <v>3</v>
      </c>
      <c r="EY4" s="136" t="s">
        <v>27</v>
      </c>
      <c r="EZ4" s="132"/>
      <c r="FA4" s="132"/>
      <c r="FB4" s="132"/>
      <c r="FC4" s="132"/>
      <c r="FD4" s="132"/>
      <c r="FE4" s="154"/>
      <c r="FG4" s="157"/>
      <c r="FH4" s="324" t="s">
        <v>23</v>
      </c>
      <c r="FI4" s="324"/>
      <c r="FJ4" s="324"/>
      <c r="FK4" s="134">
        <f>COUNTIF(FJ10:FJ40,"リ")</f>
        <v>21</v>
      </c>
      <c r="FL4" s="132"/>
      <c r="FM4" s="136" t="s">
        <v>3</v>
      </c>
      <c r="FN4" s="136" t="s">
        <v>27</v>
      </c>
      <c r="FO4" s="132"/>
      <c r="FP4" s="136" t="s">
        <v>3</v>
      </c>
      <c r="FQ4" s="136" t="s">
        <v>27</v>
      </c>
      <c r="FR4" s="132"/>
      <c r="FS4" s="132"/>
      <c r="FT4" s="132"/>
      <c r="FU4" s="132"/>
      <c r="FV4" s="132"/>
      <c r="FW4" s="154"/>
      <c r="FY4" s="157"/>
      <c r="FZ4" s="324" t="s">
        <v>23</v>
      </c>
      <c r="GA4" s="324"/>
      <c r="GB4" s="324"/>
      <c r="GC4" s="134">
        <f>COUNTIF(GB10:GB40,"リ")</f>
        <v>19</v>
      </c>
      <c r="GD4" s="132"/>
      <c r="GE4" s="136" t="s">
        <v>3</v>
      </c>
      <c r="GF4" s="136" t="s">
        <v>27</v>
      </c>
      <c r="GG4" s="132"/>
      <c r="GH4" s="136" t="s">
        <v>3</v>
      </c>
      <c r="GI4" s="136" t="s">
        <v>27</v>
      </c>
      <c r="GJ4" s="132"/>
      <c r="GK4" s="132"/>
      <c r="GL4" s="132"/>
      <c r="GM4" s="132"/>
      <c r="GN4" s="132"/>
      <c r="GO4" s="154"/>
      <c r="GQ4" s="157"/>
      <c r="GR4" s="324" t="s">
        <v>23</v>
      </c>
      <c r="GS4" s="324"/>
      <c r="GT4" s="324"/>
      <c r="GU4" s="134">
        <f>COUNTIF(GT10:GT40,"リ")</f>
        <v>20</v>
      </c>
      <c r="GV4" s="132"/>
      <c r="GW4" s="136" t="s">
        <v>3</v>
      </c>
      <c r="GX4" s="136" t="s">
        <v>27</v>
      </c>
      <c r="GY4" s="132"/>
      <c r="GZ4" s="136" t="s">
        <v>3</v>
      </c>
      <c r="HA4" s="136" t="s">
        <v>27</v>
      </c>
      <c r="HB4" s="132"/>
      <c r="HC4" s="132"/>
      <c r="HD4" s="132"/>
      <c r="HE4" s="132"/>
      <c r="HF4" s="132"/>
      <c r="HG4" s="154"/>
    </row>
    <row r="5" spans="1:215" outlineLevel="1" x14ac:dyDescent="0.45">
      <c r="A5" s="157"/>
      <c r="B5" s="325" t="s">
        <v>25</v>
      </c>
      <c r="C5" s="325"/>
      <c r="D5" s="325"/>
      <c r="E5" s="135">
        <f>E3/(E3+E4)</f>
        <v>0</v>
      </c>
      <c r="F5" s="132"/>
      <c r="G5" s="137">
        <f>COUNT(F10:F40)</f>
        <v>19</v>
      </c>
      <c r="H5" s="138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32"/>
      <c r="J5" s="137">
        <f>COUNT(J10:J40)</f>
        <v>19</v>
      </c>
      <c r="K5" s="138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32"/>
      <c r="M5" s="132"/>
      <c r="N5" s="132"/>
      <c r="O5" s="132"/>
      <c r="P5" s="132"/>
      <c r="Q5" s="154"/>
      <c r="S5" s="157"/>
      <c r="T5" s="325" t="s">
        <v>25</v>
      </c>
      <c r="U5" s="325"/>
      <c r="V5" s="325"/>
      <c r="W5" s="135">
        <f>W3/(W3+W4)</f>
        <v>0</v>
      </c>
      <c r="X5" s="132"/>
      <c r="Y5" s="137">
        <f>COUNT(X10:X40)</f>
        <v>18</v>
      </c>
      <c r="Z5" s="138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32"/>
      <c r="AB5" s="137">
        <f>COUNT(AB10:AB40)</f>
        <v>18</v>
      </c>
      <c r="AC5" s="138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32"/>
      <c r="AE5" s="132"/>
      <c r="AF5" s="132"/>
      <c r="AG5" s="132"/>
      <c r="AH5" s="132"/>
      <c r="AI5" s="154"/>
      <c r="AK5" s="157"/>
      <c r="AL5" s="325" t="s">
        <v>25</v>
      </c>
      <c r="AM5" s="325"/>
      <c r="AN5" s="325"/>
      <c r="AO5" s="135">
        <f>AO3/(AO3+AO4)</f>
        <v>0</v>
      </c>
      <c r="AP5" s="132"/>
      <c r="AQ5" s="137">
        <f>COUNT(AP10:AP40)</f>
        <v>21</v>
      </c>
      <c r="AR5" s="138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32"/>
      <c r="AT5" s="137">
        <f>COUNT(AT10:AT40)</f>
        <v>21</v>
      </c>
      <c r="AU5" s="138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32"/>
      <c r="AW5" s="132"/>
      <c r="AX5" s="132"/>
      <c r="AY5" s="132"/>
      <c r="AZ5" s="132"/>
      <c r="BA5" s="154"/>
      <c r="BC5" s="157"/>
      <c r="BD5" s="325" t="s">
        <v>25</v>
      </c>
      <c r="BE5" s="325"/>
      <c r="BF5" s="325"/>
      <c r="BG5" s="135">
        <f>BG3/(BG3+BG4)</f>
        <v>0</v>
      </c>
      <c r="BH5" s="132"/>
      <c r="BI5" s="137">
        <f>COUNT(BH10:BH40)</f>
        <v>21</v>
      </c>
      <c r="BJ5" s="138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32"/>
      <c r="BL5" s="137">
        <f>COUNT(BL10:BL40)</f>
        <v>21</v>
      </c>
      <c r="BM5" s="138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32"/>
      <c r="BO5" s="132"/>
      <c r="BP5" s="132"/>
      <c r="BQ5" s="132"/>
      <c r="BR5" s="132"/>
      <c r="BS5" s="154"/>
      <c r="BU5" s="157"/>
      <c r="BV5" s="325" t="s">
        <v>25</v>
      </c>
      <c r="BW5" s="325"/>
      <c r="BX5" s="325"/>
      <c r="BY5" s="135">
        <f>BY3/(BY3+BY4)</f>
        <v>0</v>
      </c>
      <c r="BZ5" s="132"/>
      <c r="CA5" s="137">
        <f>COUNT(BZ10:BZ40)</f>
        <v>18</v>
      </c>
      <c r="CB5" s="138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32"/>
      <c r="CD5" s="137">
        <f>COUNT(CD10:CD40)</f>
        <v>18</v>
      </c>
      <c r="CE5" s="138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32"/>
      <c r="CG5" s="132"/>
      <c r="CH5" s="132"/>
      <c r="CI5" s="132"/>
      <c r="CJ5" s="132"/>
      <c r="CK5" s="154"/>
      <c r="CM5" s="157"/>
      <c r="CN5" s="325" t="s">
        <v>25</v>
      </c>
      <c r="CO5" s="325"/>
      <c r="CP5" s="325"/>
      <c r="CQ5" s="135">
        <f>CQ3/(CQ3+CQ4)</f>
        <v>0</v>
      </c>
      <c r="CR5" s="132"/>
      <c r="CS5" s="137">
        <f>COUNT(CR10:CR40)</f>
        <v>22</v>
      </c>
      <c r="CT5" s="138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32"/>
      <c r="CV5" s="137">
        <f>COUNT(CV10:CV40)</f>
        <v>22</v>
      </c>
      <c r="CW5" s="138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32"/>
      <c r="CY5" s="132"/>
      <c r="CZ5" s="132"/>
      <c r="DA5" s="132"/>
      <c r="DB5" s="132"/>
      <c r="DC5" s="154"/>
      <c r="DE5" s="157"/>
      <c r="DF5" s="325" t="s">
        <v>25</v>
      </c>
      <c r="DG5" s="325"/>
      <c r="DH5" s="325"/>
      <c r="DI5" s="135">
        <f>DI3/(DI3+DI4)</f>
        <v>0</v>
      </c>
      <c r="DJ5" s="132"/>
      <c r="DK5" s="137">
        <f>COUNT(DJ10:DJ40)</f>
        <v>22</v>
      </c>
      <c r="DL5" s="138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32"/>
      <c r="DN5" s="137">
        <f>COUNT(DN10:DN40)</f>
        <v>22</v>
      </c>
      <c r="DO5" s="138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32"/>
      <c r="DQ5" s="132"/>
      <c r="DR5" s="132"/>
      <c r="DS5" s="132"/>
      <c r="DT5" s="132"/>
      <c r="DU5" s="154"/>
      <c r="DW5" s="157"/>
      <c r="DX5" s="325" t="s">
        <v>25</v>
      </c>
      <c r="DY5" s="325"/>
      <c r="DZ5" s="325"/>
      <c r="EA5" s="135">
        <f>EA3/(EA3+EA4)</f>
        <v>0</v>
      </c>
      <c r="EB5" s="132"/>
      <c r="EC5" s="137">
        <f>COUNT(EB10:EB40)</f>
        <v>20</v>
      </c>
      <c r="ED5" s="138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32"/>
      <c r="EF5" s="137">
        <f>COUNT(EF10:EF40)</f>
        <v>20</v>
      </c>
      <c r="EG5" s="138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32"/>
      <c r="EI5" s="132"/>
      <c r="EJ5" s="132"/>
      <c r="EK5" s="132"/>
      <c r="EL5" s="132"/>
      <c r="EM5" s="154"/>
      <c r="EO5" s="157"/>
      <c r="EP5" s="325" t="s">
        <v>25</v>
      </c>
      <c r="EQ5" s="325"/>
      <c r="ER5" s="325"/>
      <c r="ES5" s="135">
        <f>ES3/(ES3+ES4)</f>
        <v>0</v>
      </c>
      <c r="ET5" s="132"/>
      <c r="EU5" s="137">
        <f>COUNT(ET10:ET40)</f>
        <v>19</v>
      </c>
      <c r="EV5" s="138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32"/>
      <c r="EX5" s="137">
        <f>COUNT(EX10:EX40)</f>
        <v>19</v>
      </c>
      <c r="EY5" s="138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32"/>
      <c r="FA5" s="132"/>
      <c r="FB5" s="132"/>
      <c r="FC5" s="132"/>
      <c r="FD5" s="132"/>
      <c r="FE5" s="154"/>
      <c r="FG5" s="157"/>
      <c r="FH5" s="325" t="s">
        <v>25</v>
      </c>
      <c r="FI5" s="325"/>
      <c r="FJ5" s="325"/>
      <c r="FK5" s="135">
        <f>FK3/(FK3+FK4)</f>
        <v>0</v>
      </c>
      <c r="FL5" s="132"/>
      <c r="FM5" s="137">
        <f>COUNT(FL10:FL40)</f>
        <v>21</v>
      </c>
      <c r="FN5" s="138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32"/>
      <c r="FP5" s="137">
        <f>COUNT(FP10:FP40)</f>
        <v>21</v>
      </c>
      <c r="FQ5" s="138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32"/>
      <c r="FS5" s="132"/>
      <c r="FT5" s="132"/>
      <c r="FU5" s="132"/>
      <c r="FV5" s="132"/>
      <c r="FW5" s="154"/>
      <c r="FY5" s="157"/>
      <c r="FZ5" s="325" t="s">
        <v>25</v>
      </c>
      <c r="GA5" s="325"/>
      <c r="GB5" s="325"/>
      <c r="GC5" s="135">
        <f>GC3/(GC3+GC4)</f>
        <v>0</v>
      </c>
      <c r="GD5" s="132"/>
      <c r="GE5" s="137">
        <f>COUNT(GD10:GD40)</f>
        <v>19</v>
      </c>
      <c r="GF5" s="138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32"/>
      <c r="GH5" s="137">
        <f>COUNT(GH10:GH40)</f>
        <v>19</v>
      </c>
      <c r="GI5" s="138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32"/>
      <c r="GK5" s="132"/>
      <c r="GL5" s="132"/>
      <c r="GM5" s="132"/>
      <c r="GN5" s="132"/>
      <c r="GO5" s="154"/>
      <c r="GQ5" s="157"/>
      <c r="GR5" s="325" t="s">
        <v>25</v>
      </c>
      <c r="GS5" s="325"/>
      <c r="GT5" s="325"/>
      <c r="GU5" s="135">
        <f>GU3/(GU3+GU4)</f>
        <v>0</v>
      </c>
      <c r="GV5" s="132"/>
      <c r="GW5" s="137">
        <f>COUNT(GV10:GV40)</f>
        <v>20</v>
      </c>
      <c r="GX5" s="138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32"/>
      <c r="GZ5" s="137">
        <f>COUNT(GZ10:GZ40)</f>
        <v>20</v>
      </c>
      <c r="HA5" s="138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32"/>
      <c r="HC5" s="132"/>
      <c r="HD5" s="132"/>
      <c r="HE5" s="132"/>
      <c r="HF5" s="132"/>
      <c r="HG5" s="154"/>
    </row>
    <row r="6" spans="1:215" ht="6" customHeight="1" outlineLevel="1" thickBot="1" x14ac:dyDescent="0.5">
      <c r="A6" s="157"/>
      <c r="B6" s="155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6"/>
      <c r="S6" s="157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6"/>
      <c r="AK6" s="157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BA6" s="156"/>
      <c r="BC6" s="157"/>
      <c r="BD6" s="155"/>
      <c r="BE6" s="155"/>
      <c r="BF6" s="155"/>
      <c r="BG6" s="155"/>
      <c r="BH6" s="155"/>
      <c r="BI6" s="155"/>
      <c r="BJ6" s="155"/>
      <c r="BK6" s="155"/>
      <c r="BL6" s="155"/>
      <c r="BM6" s="155"/>
      <c r="BN6" s="155"/>
      <c r="BO6" s="155"/>
      <c r="BP6" s="155"/>
      <c r="BQ6" s="155"/>
      <c r="BR6" s="155"/>
      <c r="BS6" s="156"/>
      <c r="BU6" s="157"/>
      <c r="BV6" s="155"/>
      <c r="BW6" s="155"/>
      <c r="BX6" s="155"/>
      <c r="BY6" s="155"/>
      <c r="BZ6" s="155"/>
      <c r="CA6" s="155"/>
      <c r="CB6" s="155"/>
      <c r="CC6" s="155"/>
      <c r="CD6" s="155"/>
      <c r="CE6" s="155"/>
      <c r="CF6" s="155"/>
      <c r="CG6" s="155"/>
      <c r="CH6" s="155"/>
      <c r="CI6" s="155"/>
      <c r="CJ6" s="155"/>
      <c r="CK6" s="156"/>
      <c r="CM6" s="157"/>
      <c r="CN6" s="155"/>
      <c r="CO6" s="155"/>
      <c r="CP6" s="155"/>
      <c r="CQ6" s="155"/>
      <c r="CR6" s="155"/>
      <c r="CS6" s="155"/>
      <c r="CT6" s="155"/>
      <c r="CU6" s="155"/>
      <c r="CV6" s="155"/>
      <c r="CW6" s="155"/>
      <c r="CX6" s="155"/>
      <c r="CY6" s="155"/>
      <c r="CZ6" s="155"/>
      <c r="DA6" s="155"/>
      <c r="DB6" s="155"/>
      <c r="DC6" s="156"/>
      <c r="DE6" s="157"/>
      <c r="DF6" s="155"/>
      <c r="DG6" s="155"/>
      <c r="DH6" s="155"/>
      <c r="DI6" s="155"/>
      <c r="DJ6" s="155"/>
      <c r="DK6" s="155"/>
      <c r="DL6" s="155"/>
      <c r="DM6" s="155"/>
      <c r="DN6" s="155"/>
      <c r="DO6" s="155"/>
      <c r="DP6" s="155"/>
      <c r="DQ6" s="155"/>
      <c r="DR6" s="155"/>
      <c r="DS6" s="155"/>
      <c r="DT6" s="155"/>
      <c r="DU6" s="156"/>
      <c r="DW6" s="157"/>
      <c r="DX6" s="155"/>
      <c r="DY6" s="155"/>
      <c r="DZ6" s="155"/>
      <c r="EA6" s="155"/>
      <c r="EB6" s="155"/>
      <c r="EC6" s="155"/>
      <c r="ED6" s="155"/>
      <c r="EE6" s="155"/>
      <c r="EF6" s="155"/>
      <c r="EG6" s="155"/>
      <c r="EH6" s="155"/>
      <c r="EI6" s="155"/>
      <c r="EJ6" s="155"/>
      <c r="EK6" s="155"/>
      <c r="EL6" s="155"/>
      <c r="EM6" s="156"/>
      <c r="EO6" s="157"/>
      <c r="EP6" s="155"/>
      <c r="EQ6" s="155"/>
      <c r="ER6" s="155"/>
      <c r="ES6" s="155"/>
      <c r="ET6" s="155"/>
      <c r="EU6" s="155"/>
      <c r="EV6" s="155"/>
      <c r="EW6" s="155"/>
      <c r="EX6" s="155"/>
      <c r="EY6" s="155"/>
      <c r="EZ6" s="155"/>
      <c r="FA6" s="155"/>
      <c r="FB6" s="155"/>
      <c r="FC6" s="155"/>
      <c r="FD6" s="155"/>
      <c r="FE6" s="156"/>
      <c r="FG6" s="157"/>
      <c r="FH6" s="155"/>
      <c r="FI6" s="155"/>
      <c r="FJ6" s="155"/>
      <c r="FK6" s="155"/>
      <c r="FL6" s="155"/>
      <c r="FM6" s="155"/>
      <c r="FN6" s="155"/>
      <c r="FO6" s="155"/>
      <c r="FP6" s="155"/>
      <c r="FQ6" s="155"/>
      <c r="FR6" s="155"/>
      <c r="FS6" s="155"/>
      <c r="FT6" s="155"/>
      <c r="FU6" s="155"/>
      <c r="FV6" s="155"/>
      <c r="FW6" s="156"/>
      <c r="FY6" s="157"/>
      <c r="FZ6" s="155"/>
      <c r="GA6" s="155"/>
      <c r="GB6" s="155"/>
      <c r="GC6" s="155"/>
      <c r="GD6" s="155"/>
      <c r="GE6" s="155"/>
      <c r="GF6" s="155"/>
      <c r="GG6" s="155"/>
      <c r="GH6" s="155"/>
      <c r="GI6" s="155"/>
      <c r="GJ6" s="155"/>
      <c r="GK6" s="155"/>
      <c r="GL6" s="155"/>
      <c r="GM6" s="155"/>
      <c r="GN6" s="155"/>
      <c r="GO6" s="156"/>
      <c r="GQ6" s="157"/>
      <c r="GR6" s="155"/>
      <c r="GS6" s="155"/>
      <c r="GT6" s="155"/>
      <c r="GU6" s="155"/>
      <c r="GV6" s="155"/>
      <c r="GW6" s="155"/>
      <c r="GX6" s="155"/>
      <c r="GY6" s="155"/>
      <c r="GZ6" s="155"/>
      <c r="HA6" s="155"/>
      <c r="HB6" s="155"/>
      <c r="HC6" s="155"/>
      <c r="HD6" s="155"/>
      <c r="HE6" s="155"/>
      <c r="HF6" s="155"/>
      <c r="HG6" s="156"/>
    </row>
    <row r="7" spans="1:215" ht="6" customHeight="1" outlineLevel="1" thickTop="1" x14ac:dyDescent="0.45">
      <c r="A7" s="157"/>
      <c r="S7" s="157"/>
      <c r="AK7" s="157"/>
      <c r="BC7" s="157"/>
      <c r="BU7" s="157"/>
      <c r="CM7" s="157"/>
      <c r="DE7" s="157"/>
      <c r="DW7" s="157"/>
      <c r="EO7" s="157"/>
      <c r="FG7" s="157"/>
      <c r="FY7" s="157"/>
      <c r="GQ7" s="157"/>
    </row>
    <row r="8" spans="1:215" x14ac:dyDescent="0.45">
      <c r="A8" s="315">
        <v>46023</v>
      </c>
      <c r="D8" s="86"/>
      <c r="E8" s="317" t="s">
        <v>26</v>
      </c>
      <c r="F8" s="317"/>
      <c r="G8" s="318" t="s">
        <v>32</v>
      </c>
      <c r="H8" s="318"/>
      <c r="I8" s="86"/>
      <c r="J8" s="318" t="s">
        <v>28</v>
      </c>
      <c r="K8" s="318"/>
      <c r="L8" s="318" t="s">
        <v>32</v>
      </c>
      <c r="M8" s="318"/>
      <c r="N8" s="92"/>
      <c r="O8" s="86"/>
      <c r="P8" s="86"/>
      <c r="Q8" s="86"/>
      <c r="S8" s="315">
        <v>46054</v>
      </c>
      <c r="V8" s="86"/>
      <c r="W8" s="317" t="s">
        <v>26</v>
      </c>
      <c r="X8" s="317"/>
      <c r="Y8" s="318" t="s">
        <v>32</v>
      </c>
      <c r="Z8" s="318"/>
      <c r="AA8" s="86"/>
      <c r="AB8" s="318" t="s">
        <v>28</v>
      </c>
      <c r="AC8" s="318"/>
      <c r="AD8" s="318" t="s">
        <v>32</v>
      </c>
      <c r="AE8" s="318"/>
      <c r="AF8" s="92"/>
      <c r="AG8" s="86"/>
      <c r="AH8" s="86"/>
      <c r="AI8" s="86"/>
      <c r="AK8" s="315">
        <v>46082</v>
      </c>
      <c r="AN8" s="86"/>
      <c r="AO8" s="317" t="s">
        <v>26</v>
      </c>
      <c r="AP8" s="317"/>
      <c r="AQ8" s="318" t="s">
        <v>32</v>
      </c>
      <c r="AR8" s="318"/>
      <c r="AS8" s="86"/>
      <c r="AT8" s="318" t="s">
        <v>28</v>
      </c>
      <c r="AU8" s="318"/>
      <c r="AV8" s="318" t="s">
        <v>32</v>
      </c>
      <c r="AW8" s="318"/>
      <c r="AX8" s="92"/>
      <c r="AY8" s="86"/>
      <c r="AZ8" s="86"/>
      <c r="BA8" s="86"/>
      <c r="BC8" s="315">
        <v>46113</v>
      </c>
      <c r="BF8" s="86"/>
      <c r="BG8" s="317" t="s">
        <v>26</v>
      </c>
      <c r="BH8" s="317"/>
      <c r="BI8" s="318" t="s">
        <v>32</v>
      </c>
      <c r="BJ8" s="318"/>
      <c r="BK8" s="86"/>
      <c r="BL8" s="318" t="s">
        <v>28</v>
      </c>
      <c r="BM8" s="318"/>
      <c r="BN8" s="318" t="s">
        <v>32</v>
      </c>
      <c r="BO8" s="318"/>
      <c r="BP8" s="92"/>
      <c r="BQ8" s="86"/>
      <c r="BR8" s="86"/>
      <c r="BS8" s="86"/>
      <c r="BU8" s="315">
        <v>46143</v>
      </c>
      <c r="BX8" s="86"/>
      <c r="BY8" s="317" t="s">
        <v>26</v>
      </c>
      <c r="BZ8" s="317"/>
      <c r="CA8" s="318" t="s">
        <v>32</v>
      </c>
      <c r="CB8" s="318"/>
      <c r="CC8" s="86"/>
      <c r="CD8" s="318" t="s">
        <v>28</v>
      </c>
      <c r="CE8" s="318"/>
      <c r="CF8" s="318" t="s">
        <v>32</v>
      </c>
      <c r="CG8" s="318"/>
      <c r="CH8" s="92"/>
      <c r="CI8" s="86"/>
      <c r="CJ8" s="86"/>
      <c r="CK8" s="86"/>
      <c r="CM8" s="315">
        <v>46174</v>
      </c>
      <c r="CP8" s="86"/>
      <c r="CQ8" s="317" t="s">
        <v>26</v>
      </c>
      <c r="CR8" s="317"/>
      <c r="CS8" s="318" t="s">
        <v>32</v>
      </c>
      <c r="CT8" s="318"/>
      <c r="CU8" s="86"/>
      <c r="CV8" s="318" t="s">
        <v>28</v>
      </c>
      <c r="CW8" s="318"/>
      <c r="CX8" s="318" t="s">
        <v>32</v>
      </c>
      <c r="CY8" s="318"/>
      <c r="CZ8" s="92"/>
      <c r="DA8" s="86"/>
      <c r="DB8" s="86"/>
      <c r="DC8" s="86"/>
      <c r="DE8" s="315">
        <v>46204</v>
      </c>
      <c r="DH8" s="86"/>
      <c r="DI8" s="317" t="s">
        <v>26</v>
      </c>
      <c r="DJ8" s="317"/>
      <c r="DK8" s="318" t="s">
        <v>32</v>
      </c>
      <c r="DL8" s="318"/>
      <c r="DM8" s="86"/>
      <c r="DN8" s="318" t="s">
        <v>28</v>
      </c>
      <c r="DO8" s="318"/>
      <c r="DP8" s="318" t="s">
        <v>32</v>
      </c>
      <c r="DQ8" s="318"/>
      <c r="DR8" s="92"/>
      <c r="DS8" s="86"/>
      <c r="DT8" s="86"/>
      <c r="DU8" s="86"/>
      <c r="DW8" s="315">
        <v>46235</v>
      </c>
      <c r="DZ8" s="86"/>
      <c r="EA8" s="317" t="s">
        <v>26</v>
      </c>
      <c r="EB8" s="317"/>
      <c r="EC8" s="318" t="s">
        <v>32</v>
      </c>
      <c r="ED8" s="318"/>
      <c r="EE8" s="86"/>
      <c r="EF8" s="318" t="s">
        <v>28</v>
      </c>
      <c r="EG8" s="318"/>
      <c r="EH8" s="318" t="s">
        <v>32</v>
      </c>
      <c r="EI8" s="318"/>
      <c r="EJ8" s="92"/>
      <c r="EK8" s="86"/>
      <c r="EL8" s="86"/>
      <c r="EM8" s="86"/>
      <c r="EO8" s="315">
        <v>46266</v>
      </c>
      <c r="ER8" s="86"/>
      <c r="ES8" s="317" t="s">
        <v>26</v>
      </c>
      <c r="ET8" s="317"/>
      <c r="EU8" s="318" t="s">
        <v>32</v>
      </c>
      <c r="EV8" s="318"/>
      <c r="EW8" s="86"/>
      <c r="EX8" s="318" t="s">
        <v>28</v>
      </c>
      <c r="EY8" s="318"/>
      <c r="EZ8" s="318" t="s">
        <v>32</v>
      </c>
      <c r="FA8" s="318"/>
      <c r="FB8" s="92"/>
      <c r="FC8" s="86"/>
      <c r="FD8" s="86"/>
      <c r="FE8" s="86"/>
      <c r="FG8" s="315">
        <v>46296</v>
      </c>
      <c r="FJ8" s="86"/>
      <c r="FK8" s="317" t="s">
        <v>26</v>
      </c>
      <c r="FL8" s="317"/>
      <c r="FM8" s="318" t="s">
        <v>32</v>
      </c>
      <c r="FN8" s="318"/>
      <c r="FO8" s="86"/>
      <c r="FP8" s="318" t="s">
        <v>28</v>
      </c>
      <c r="FQ8" s="318"/>
      <c r="FR8" s="318" t="s">
        <v>32</v>
      </c>
      <c r="FS8" s="318"/>
      <c r="FT8" s="92"/>
      <c r="FU8" s="86"/>
      <c r="FV8" s="86"/>
      <c r="FW8" s="86"/>
      <c r="FY8" s="315">
        <v>46327</v>
      </c>
      <c r="GB8" s="86"/>
      <c r="GC8" s="317" t="s">
        <v>26</v>
      </c>
      <c r="GD8" s="317"/>
      <c r="GE8" s="318" t="s">
        <v>32</v>
      </c>
      <c r="GF8" s="318"/>
      <c r="GG8" s="86"/>
      <c r="GH8" s="318" t="s">
        <v>28</v>
      </c>
      <c r="GI8" s="318"/>
      <c r="GJ8" s="318" t="s">
        <v>32</v>
      </c>
      <c r="GK8" s="318"/>
      <c r="GL8" s="92"/>
      <c r="GM8" s="86"/>
      <c r="GN8" s="86"/>
      <c r="GO8" s="86"/>
      <c r="GQ8" s="315">
        <v>46357</v>
      </c>
      <c r="GT8" s="86"/>
      <c r="GU8" s="317" t="s">
        <v>26</v>
      </c>
      <c r="GV8" s="317"/>
      <c r="GW8" s="318" t="s">
        <v>32</v>
      </c>
      <c r="GX8" s="318"/>
      <c r="GY8" s="86"/>
      <c r="GZ8" s="318" t="s">
        <v>28</v>
      </c>
      <c r="HA8" s="318"/>
      <c r="HB8" s="318" t="s">
        <v>32</v>
      </c>
      <c r="HC8" s="318"/>
      <c r="HD8" s="92"/>
      <c r="HE8" s="86"/>
      <c r="HF8" s="86"/>
      <c r="HG8" s="86"/>
    </row>
    <row r="9" spans="1:215" x14ac:dyDescent="0.45">
      <c r="A9" s="316"/>
      <c r="B9" s="139"/>
      <c r="C9" s="139"/>
      <c r="D9" s="140" t="s">
        <v>29</v>
      </c>
      <c r="E9" s="140" t="s">
        <v>30</v>
      </c>
      <c r="F9" s="140" t="s">
        <v>31</v>
      </c>
      <c r="G9" s="141" t="s">
        <v>30</v>
      </c>
      <c r="H9" s="141" t="s">
        <v>31</v>
      </c>
      <c r="I9" s="140" t="s">
        <v>27</v>
      </c>
      <c r="J9" s="141" t="s">
        <v>30</v>
      </c>
      <c r="K9" s="141" t="s">
        <v>31</v>
      </c>
      <c r="L9" s="141" t="s">
        <v>30</v>
      </c>
      <c r="M9" s="141" t="s">
        <v>31</v>
      </c>
      <c r="N9" s="141" t="s">
        <v>27</v>
      </c>
      <c r="O9" s="319" t="s">
        <v>33</v>
      </c>
      <c r="P9" s="319"/>
      <c r="Q9" s="319"/>
      <c r="S9" s="316"/>
      <c r="T9" s="139"/>
      <c r="U9" s="139"/>
      <c r="V9" s="140" t="s">
        <v>29</v>
      </c>
      <c r="W9" s="140" t="s">
        <v>30</v>
      </c>
      <c r="X9" s="140" t="s">
        <v>31</v>
      </c>
      <c r="Y9" s="141" t="s">
        <v>30</v>
      </c>
      <c r="Z9" s="141" t="s">
        <v>31</v>
      </c>
      <c r="AA9" s="140" t="s">
        <v>27</v>
      </c>
      <c r="AB9" s="141" t="s">
        <v>30</v>
      </c>
      <c r="AC9" s="141" t="s">
        <v>31</v>
      </c>
      <c r="AD9" s="141" t="s">
        <v>30</v>
      </c>
      <c r="AE9" s="141" t="s">
        <v>31</v>
      </c>
      <c r="AF9" s="141" t="s">
        <v>27</v>
      </c>
      <c r="AG9" s="319" t="s">
        <v>33</v>
      </c>
      <c r="AH9" s="319"/>
      <c r="AI9" s="319"/>
      <c r="AK9" s="316"/>
      <c r="AL9" s="139"/>
      <c r="AM9" s="139"/>
      <c r="AN9" s="140" t="s">
        <v>29</v>
      </c>
      <c r="AO9" s="140" t="s">
        <v>30</v>
      </c>
      <c r="AP9" s="140" t="s">
        <v>31</v>
      </c>
      <c r="AQ9" s="141" t="s">
        <v>30</v>
      </c>
      <c r="AR9" s="141" t="s">
        <v>31</v>
      </c>
      <c r="AS9" s="140" t="s">
        <v>27</v>
      </c>
      <c r="AT9" s="141" t="s">
        <v>30</v>
      </c>
      <c r="AU9" s="141" t="s">
        <v>31</v>
      </c>
      <c r="AV9" s="141" t="s">
        <v>30</v>
      </c>
      <c r="AW9" s="141" t="s">
        <v>31</v>
      </c>
      <c r="AX9" s="141" t="s">
        <v>27</v>
      </c>
      <c r="AY9" s="319" t="s">
        <v>33</v>
      </c>
      <c r="AZ9" s="319"/>
      <c r="BA9" s="319"/>
      <c r="BC9" s="316"/>
      <c r="BD9" s="139"/>
      <c r="BE9" s="139"/>
      <c r="BF9" s="140" t="s">
        <v>29</v>
      </c>
      <c r="BG9" s="140" t="s">
        <v>30</v>
      </c>
      <c r="BH9" s="140" t="s">
        <v>31</v>
      </c>
      <c r="BI9" s="141" t="s">
        <v>30</v>
      </c>
      <c r="BJ9" s="141" t="s">
        <v>31</v>
      </c>
      <c r="BK9" s="140" t="s">
        <v>27</v>
      </c>
      <c r="BL9" s="141" t="s">
        <v>30</v>
      </c>
      <c r="BM9" s="141" t="s">
        <v>31</v>
      </c>
      <c r="BN9" s="141" t="s">
        <v>30</v>
      </c>
      <c r="BO9" s="141" t="s">
        <v>31</v>
      </c>
      <c r="BP9" s="141" t="s">
        <v>27</v>
      </c>
      <c r="BQ9" s="319" t="s">
        <v>33</v>
      </c>
      <c r="BR9" s="319"/>
      <c r="BS9" s="319"/>
      <c r="BU9" s="316"/>
      <c r="BV9" s="139"/>
      <c r="BW9" s="139"/>
      <c r="BX9" s="140" t="s">
        <v>29</v>
      </c>
      <c r="BY9" s="140" t="s">
        <v>30</v>
      </c>
      <c r="BZ9" s="140" t="s">
        <v>31</v>
      </c>
      <c r="CA9" s="141" t="s">
        <v>30</v>
      </c>
      <c r="CB9" s="141" t="s">
        <v>31</v>
      </c>
      <c r="CC9" s="140" t="s">
        <v>27</v>
      </c>
      <c r="CD9" s="141" t="s">
        <v>30</v>
      </c>
      <c r="CE9" s="141" t="s">
        <v>31</v>
      </c>
      <c r="CF9" s="141" t="s">
        <v>30</v>
      </c>
      <c r="CG9" s="141" t="s">
        <v>31</v>
      </c>
      <c r="CH9" s="141" t="s">
        <v>27</v>
      </c>
      <c r="CI9" s="319" t="s">
        <v>33</v>
      </c>
      <c r="CJ9" s="319"/>
      <c r="CK9" s="319"/>
      <c r="CM9" s="316"/>
      <c r="CN9" s="139"/>
      <c r="CO9" s="139"/>
      <c r="CP9" s="140" t="s">
        <v>29</v>
      </c>
      <c r="CQ9" s="140" t="s">
        <v>30</v>
      </c>
      <c r="CR9" s="140" t="s">
        <v>31</v>
      </c>
      <c r="CS9" s="141" t="s">
        <v>30</v>
      </c>
      <c r="CT9" s="141" t="s">
        <v>31</v>
      </c>
      <c r="CU9" s="140" t="s">
        <v>27</v>
      </c>
      <c r="CV9" s="141" t="s">
        <v>30</v>
      </c>
      <c r="CW9" s="141" t="s">
        <v>31</v>
      </c>
      <c r="CX9" s="141" t="s">
        <v>30</v>
      </c>
      <c r="CY9" s="141" t="s">
        <v>31</v>
      </c>
      <c r="CZ9" s="141" t="s">
        <v>27</v>
      </c>
      <c r="DA9" s="319" t="s">
        <v>33</v>
      </c>
      <c r="DB9" s="319"/>
      <c r="DC9" s="319"/>
      <c r="DE9" s="316"/>
      <c r="DF9" s="139"/>
      <c r="DG9" s="139"/>
      <c r="DH9" s="140" t="s">
        <v>29</v>
      </c>
      <c r="DI9" s="140" t="s">
        <v>30</v>
      </c>
      <c r="DJ9" s="140" t="s">
        <v>31</v>
      </c>
      <c r="DK9" s="141" t="s">
        <v>30</v>
      </c>
      <c r="DL9" s="141" t="s">
        <v>31</v>
      </c>
      <c r="DM9" s="140" t="s">
        <v>27</v>
      </c>
      <c r="DN9" s="141" t="s">
        <v>30</v>
      </c>
      <c r="DO9" s="141" t="s">
        <v>31</v>
      </c>
      <c r="DP9" s="141" t="s">
        <v>30</v>
      </c>
      <c r="DQ9" s="141" t="s">
        <v>31</v>
      </c>
      <c r="DR9" s="141" t="s">
        <v>27</v>
      </c>
      <c r="DS9" s="319" t="s">
        <v>33</v>
      </c>
      <c r="DT9" s="319"/>
      <c r="DU9" s="319"/>
      <c r="DW9" s="316"/>
      <c r="DX9" s="139"/>
      <c r="DY9" s="139"/>
      <c r="DZ9" s="140" t="s">
        <v>29</v>
      </c>
      <c r="EA9" s="140" t="s">
        <v>30</v>
      </c>
      <c r="EB9" s="140" t="s">
        <v>31</v>
      </c>
      <c r="EC9" s="141" t="s">
        <v>30</v>
      </c>
      <c r="ED9" s="141" t="s">
        <v>31</v>
      </c>
      <c r="EE9" s="140" t="s">
        <v>27</v>
      </c>
      <c r="EF9" s="141" t="s">
        <v>30</v>
      </c>
      <c r="EG9" s="141" t="s">
        <v>31</v>
      </c>
      <c r="EH9" s="141" t="s">
        <v>30</v>
      </c>
      <c r="EI9" s="141" t="s">
        <v>31</v>
      </c>
      <c r="EJ9" s="141" t="s">
        <v>27</v>
      </c>
      <c r="EK9" s="319" t="s">
        <v>33</v>
      </c>
      <c r="EL9" s="319"/>
      <c r="EM9" s="319"/>
      <c r="EO9" s="316"/>
      <c r="EP9" s="139"/>
      <c r="EQ9" s="139"/>
      <c r="ER9" s="140" t="s">
        <v>29</v>
      </c>
      <c r="ES9" s="140" t="s">
        <v>30</v>
      </c>
      <c r="ET9" s="140" t="s">
        <v>31</v>
      </c>
      <c r="EU9" s="141" t="s">
        <v>30</v>
      </c>
      <c r="EV9" s="141" t="s">
        <v>31</v>
      </c>
      <c r="EW9" s="140" t="s">
        <v>27</v>
      </c>
      <c r="EX9" s="141" t="s">
        <v>30</v>
      </c>
      <c r="EY9" s="141" t="s">
        <v>31</v>
      </c>
      <c r="EZ9" s="141" t="s">
        <v>30</v>
      </c>
      <c r="FA9" s="141" t="s">
        <v>31</v>
      </c>
      <c r="FB9" s="141" t="s">
        <v>27</v>
      </c>
      <c r="FC9" s="319" t="s">
        <v>33</v>
      </c>
      <c r="FD9" s="319"/>
      <c r="FE9" s="319"/>
      <c r="FG9" s="316"/>
      <c r="FH9" s="139"/>
      <c r="FI9" s="139"/>
      <c r="FJ9" s="140" t="s">
        <v>29</v>
      </c>
      <c r="FK9" s="140" t="s">
        <v>30</v>
      </c>
      <c r="FL9" s="140" t="s">
        <v>31</v>
      </c>
      <c r="FM9" s="141" t="s">
        <v>30</v>
      </c>
      <c r="FN9" s="141" t="s">
        <v>31</v>
      </c>
      <c r="FO9" s="140" t="s">
        <v>27</v>
      </c>
      <c r="FP9" s="141" t="s">
        <v>30</v>
      </c>
      <c r="FQ9" s="141" t="s">
        <v>31</v>
      </c>
      <c r="FR9" s="141" t="s">
        <v>30</v>
      </c>
      <c r="FS9" s="141" t="s">
        <v>31</v>
      </c>
      <c r="FT9" s="141" t="s">
        <v>27</v>
      </c>
      <c r="FU9" s="319" t="s">
        <v>33</v>
      </c>
      <c r="FV9" s="319"/>
      <c r="FW9" s="319"/>
      <c r="FY9" s="316"/>
      <c r="FZ9" s="139"/>
      <c r="GA9" s="139"/>
      <c r="GB9" s="140" t="s">
        <v>29</v>
      </c>
      <c r="GC9" s="140" t="s">
        <v>30</v>
      </c>
      <c r="GD9" s="140" t="s">
        <v>31</v>
      </c>
      <c r="GE9" s="141" t="s">
        <v>30</v>
      </c>
      <c r="GF9" s="141" t="s">
        <v>31</v>
      </c>
      <c r="GG9" s="140" t="s">
        <v>27</v>
      </c>
      <c r="GH9" s="141" t="s">
        <v>30</v>
      </c>
      <c r="GI9" s="141" t="s">
        <v>31</v>
      </c>
      <c r="GJ9" s="141" t="s">
        <v>30</v>
      </c>
      <c r="GK9" s="141" t="s">
        <v>31</v>
      </c>
      <c r="GL9" s="141" t="s">
        <v>27</v>
      </c>
      <c r="GM9" s="319" t="s">
        <v>33</v>
      </c>
      <c r="GN9" s="319"/>
      <c r="GO9" s="319"/>
      <c r="GQ9" s="316"/>
      <c r="GR9" s="139"/>
      <c r="GS9" s="139"/>
      <c r="GT9" s="140" t="s">
        <v>29</v>
      </c>
      <c r="GU9" s="140" t="s">
        <v>30</v>
      </c>
      <c r="GV9" s="140" t="s">
        <v>31</v>
      </c>
      <c r="GW9" s="141" t="s">
        <v>30</v>
      </c>
      <c r="GX9" s="141" t="s">
        <v>31</v>
      </c>
      <c r="GY9" s="140" t="s">
        <v>27</v>
      </c>
      <c r="GZ9" s="141" t="s">
        <v>30</v>
      </c>
      <c r="HA9" s="141" t="s">
        <v>31</v>
      </c>
      <c r="HB9" s="141" t="s">
        <v>30</v>
      </c>
      <c r="HC9" s="141" t="s">
        <v>31</v>
      </c>
      <c r="HD9" s="141" t="s">
        <v>27</v>
      </c>
      <c r="HE9" s="319" t="s">
        <v>33</v>
      </c>
      <c r="HF9" s="319"/>
      <c r="HG9" s="319"/>
    </row>
    <row r="10" spans="1:215" x14ac:dyDescent="0.45">
      <c r="A10" s="329" t="s">
        <v>34</v>
      </c>
      <c r="B10" s="142">
        <f>A8</f>
        <v>46023</v>
      </c>
      <c r="C10" s="143" t="str">
        <f t="shared" ref="C10:C40" si="0">TEXT(B10,"aaa")</f>
        <v>木</v>
      </c>
      <c r="D10" s="143"/>
      <c r="E10" s="144"/>
      <c r="F10" s="144"/>
      <c r="G10" s="145"/>
      <c r="H10" s="145"/>
      <c r="I10" s="14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45"/>
      <c r="K10" s="145"/>
      <c r="L10" s="145"/>
      <c r="M10" s="145"/>
      <c r="N10" s="14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27"/>
      <c r="P10" s="327"/>
      <c r="Q10" s="327"/>
      <c r="S10" s="158"/>
      <c r="T10" s="142">
        <f>S8</f>
        <v>46054</v>
      </c>
      <c r="U10" s="143" t="str">
        <f t="shared" ref="U10:U40" si="3">TEXT(T10,"aaa")</f>
        <v>日</v>
      </c>
      <c r="V10" s="143"/>
      <c r="W10" s="144"/>
      <c r="X10" s="144"/>
      <c r="Y10" s="145"/>
      <c r="Z10" s="145"/>
      <c r="AA10" s="14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145"/>
      <c r="AC10" s="145"/>
      <c r="AD10" s="145"/>
      <c r="AE10" s="145"/>
      <c r="AF10" s="147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27"/>
      <c r="AH10" s="327"/>
      <c r="AI10" s="327"/>
      <c r="AK10" s="158"/>
      <c r="AL10" s="142">
        <f>AK8</f>
        <v>46082</v>
      </c>
      <c r="AM10" s="143" t="str">
        <f t="shared" ref="AM10:AM40" si="6">TEXT(AL10,"aaa")</f>
        <v>日</v>
      </c>
      <c r="AN10" s="143"/>
      <c r="AO10" s="144"/>
      <c r="AP10" s="144"/>
      <c r="AQ10" s="145"/>
      <c r="AR10" s="145"/>
      <c r="AS10" s="14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145"/>
      <c r="AU10" s="145"/>
      <c r="AV10" s="145"/>
      <c r="AW10" s="145"/>
      <c r="AX10" s="147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27"/>
      <c r="AZ10" s="327"/>
      <c r="BA10" s="327"/>
      <c r="BC10" s="158"/>
      <c r="BD10" s="142">
        <f>BC8</f>
        <v>46113</v>
      </c>
      <c r="BE10" s="143" t="str">
        <f t="shared" ref="BE10:BE40" si="9">TEXT(BD10,"aaa")</f>
        <v>水</v>
      </c>
      <c r="BF10" s="143" t="s">
        <v>22</v>
      </c>
      <c r="BG10" s="172">
        <v>0.375</v>
      </c>
      <c r="BH10" s="172">
        <v>0.75</v>
      </c>
      <c r="BI10" s="173">
        <v>0.5</v>
      </c>
      <c r="BJ10" s="173">
        <v>0.54166666666666663</v>
      </c>
      <c r="BK10" s="14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73">
        <v>0.375</v>
      </c>
      <c r="BM10" s="173">
        <v>0.75</v>
      </c>
      <c r="BN10" s="173">
        <v>0.5</v>
      </c>
      <c r="BO10" s="173">
        <v>0.54166666666666663</v>
      </c>
      <c r="BP10" s="147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27"/>
      <c r="BR10" s="327"/>
      <c r="BS10" s="327"/>
      <c r="BU10" s="158"/>
      <c r="BV10" s="142">
        <f>BU8</f>
        <v>46143</v>
      </c>
      <c r="BW10" s="143" t="str">
        <f t="shared" ref="BW10:BW40" si="12">TEXT(BV10,"aaa")</f>
        <v>金</v>
      </c>
      <c r="BX10" s="143" t="s">
        <v>22</v>
      </c>
      <c r="BY10" s="172">
        <v>0.375</v>
      </c>
      <c r="BZ10" s="172">
        <v>0.75</v>
      </c>
      <c r="CA10" s="173">
        <v>0.5</v>
      </c>
      <c r="CB10" s="173">
        <v>0.54166666666666663</v>
      </c>
      <c r="CC10" s="14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73">
        <v>0.375</v>
      </c>
      <c r="CE10" s="173">
        <v>0.75</v>
      </c>
      <c r="CF10" s="173">
        <v>0.5</v>
      </c>
      <c r="CG10" s="173">
        <v>0.54166666666666663</v>
      </c>
      <c r="CH10" s="147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27"/>
      <c r="CJ10" s="327"/>
      <c r="CK10" s="327"/>
      <c r="CM10" s="158"/>
      <c r="CN10" s="142">
        <f>CM8</f>
        <v>46174</v>
      </c>
      <c r="CO10" s="143" t="str">
        <f t="shared" ref="CO10:CO40" si="15">TEXT(CN10,"aaa")</f>
        <v>月</v>
      </c>
      <c r="CP10" s="143" t="s">
        <v>22</v>
      </c>
      <c r="CQ10" s="172">
        <v>0.375</v>
      </c>
      <c r="CR10" s="172">
        <v>0.75</v>
      </c>
      <c r="CS10" s="173">
        <v>0.5</v>
      </c>
      <c r="CT10" s="173">
        <v>0.54166666666666663</v>
      </c>
      <c r="CU10" s="14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73">
        <v>0.375</v>
      </c>
      <c r="CW10" s="173">
        <v>0.75</v>
      </c>
      <c r="CX10" s="173">
        <v>0.5</v>
      </c>
      <c r="CY10" s="173">
        <v>0.54166666666666663</v>
      </c>
      <c r="CZ10" s="147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27"/>
      <c r="DB10" s="327"/>
      <c r="DC10" s="327"/>
      <c r="DE10" s="158"/>
      <c r="DF10" s="142">
        <f>DE8</f>
        <v>46204</v>
      </c>
      <c r="DG10" s="143" t="str">
        <f t="shared" ref="DG10:DG40" si="18">TEXT(DF10,"aaa")</f>
        <v>水</v>
      </c>
      <c r="DH10" s="143" t="s">
        <v>22</v>
      </c>
      <c r="DI10" s="172">
        <v>0.375</v>
      </c>
      <c r="DJ10" s="172">
        <v>0.75</v>
      </c>
      <c r="DK10" s="173">
        <v>0.5</v>
      </c>
      <c r="DL10" s="173">
        <v>0.54166666666666663</v>
      </c>
      <c r="DM10" s="14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73">
        <v>0.375</v>
      </c>
      <c r="DO10" s="173">
        <v>0.75</v>
      </c>
      <c r="DP10" s="173">
        <v>0.5</v>
      </c>
      <c r="DQ10" s="173">
        <v>0.54166666666666663</v>
      </c>
      <c r="DR10" s="147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27"/>
      <c r="DT10" s="327"/>
      <c r="DU10" s="327"/>
      <c r="DW10" s="158"/>
      <c r="DX10" s="142">
        <f>DW8</f>
        <v>46235</v>
      </c>
      <c r="DY10" s="143" t="str">
        <f t="shared" ref="DY10:DY40" si="21">TEXT(DX10,"aaa")</f>
        <v>土</v>
      </c>
      <c r="DZ10" s="143"/>
      <c r="EA10" s="144"/>
      <c r="EB10" s="144"/>
      <c r="EC10" s="145"/>
      <c r="ED10" s="145"/>
      <c r="EE10" s="14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145"/>
      <c r="EG10" s="145"/>
      <c r="EH10" s="145"/>
      <c r="EI10" s="145"/>
      <c r="EJ10" s="147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27"/>
      <c r="EL10" s="327"/>
      <c r="EM10" s="327"/>
      <c r="EO10" s="158"/>
      <c r="EP10" s="142">
        <f>EO8</f>
        <v>46266</v>
      </c>
      <c r="EQ10" s="143" t="str">
        <f t="shared" ref="EQ10:EQ40" si="24">TEXT(EP10,"aaa")</f>
        <v>火</v>
      </c>
      <c r="ER10" s="143" t="s">
        <v>22</v>
      </c>
      <c r="ES10" s="172">
        <v>0.375</v>
      </c>
      <c r="ET10" s="172">
        <v>0.75</v>
      </c>
      <c r="EU10" s="173">
        <v>0.5</v>
      </c>
      <c r="EV10" s="173">
        <v>0.54166666666666663</v>
      </c>
      <c r="EW10" s="14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73">
        <v>0.375</v>
      </c>
      <c r="EY10" s="173">
        <v>0.75</v>
      </c>
      <c r="EZ10" s="173">
        <v>0.5</v>
      </c>
      <c r="FA10" s="173">
        <v>0.54166666666666663</v>
      </c>
      <c r="FB10" s="147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27"/>
      <c r="FD10" s="327"/>
      <c r="FE10" s="327"/>
      <c r="FG10" s="158"/>
      <c r="FH10" s="142">
        <f>FG8</f>
        <v>46296</v>
      </c>
      <c r="FI10" s="143" t="str">
        <f t="shared" ref="FI10:FI40" si="27">TEXT(FH10,"aaa")</f>
        <v>木</v>
      </c>
      <c r="FJ10" s="143" t="s">
        <v>22</v>
      </c>
      <c r="FK10" s="172">
        <v>0.375</v>
      </c>
      <c r="FL10" s="172">
        <v>0.75</v>
      </c>
      <c r="FM10" s="173">
        <v>0.5</v>
      </c>
      <c r="FN10" s="173">
        <v>0.54166666666666663</v>
      </c>
      <c r="FO10" s="14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73">
        <v>0.375</v>
      </c>
      <c r="FQ10" s="173">
        <v>0.75</v>
      </c>
      <c r="FR10" s="173">
        <v>0.5</v>
      </c>
      <c r="FS10" s="173">
        <v>0.54166666666666663</v>
      </c>
      <c r="FT10" s="147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27"/>
      <c r="FV10" s="327"/>
      <c r="FW10" s="327"/>
      <c r="FY10" s="158"/>
      <c r="FZ10" s="142">
        <f>FY8</f>
        <v>46327</v>
      </c>
      <c r="GA10" s="143" t="str">
        <f t="shared" ref="GA10:GA40" si="30">TEXT(FZ10,"aaa")</f>
        <v>日</v>
      </c>
      <c r="GB10" s="143"/>
      <c r="GC10" s="144"/>
      <c r="GD10" s="144"/>
      <c r="GE10" s="145"/>
      <c r="GF10" s="145"/>
      <c r="GG10" s="14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145"/>
      <c r="GI10" s="145"/>
      <c r="GJ10" s="145"/>
      <c r="GK10" s="145"/>
      <c r="GL10" s="147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27"/>
      <c r="GN10" s="327"/>
      <c r="GO10" s="327"/>
      <c r="GQ10" s="158"/>
      <c r="GR10" s="142">
        <f>GQ8</f>
        <v>46357</v>
      </c>
      <c r="GS10" s="143" t="str">
        <f t="shared" ref="GS10:GS40" si="33">TEXT(GR10,"aaa")</f>
        <v>火</v>
      </c>
      <c r="GT10" s="143" t="s">
        <v>22</v>
      </c>
      <c r="GU10" s="172">
        <v>0.375</v>
      </c>
      <c r="GV10" s="172">
        <v>0.75</v>
      </c>
      <c r="GW10" s="173">
        <v>0.5</v>
      </c>
      <c r="GX10" s="173">
        <v>0.54166666666666663</v>
      </c>
      <c r="GY10" s="14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73">
        <v>0.375</v>
      </c>
      <c r="HA10" s="173">
        <v>0.75</v>
      </c>
      <c r="HB10" s="173">
        <v>0.5</v>
      </c>
      <c r="HC10" s="173">
        <v>0.54166666666666663</v>
      </c>
      <c r="HD10" s="147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27"/>
      <c r="HF10" s="327"/>
      <c r="HG10" s="327"/>
    </row>
    <row r="11" spans="1:215" x14ac:dyDescent="0.45">
      <c r="A11" s="330"/>
      <c r="B11" s="142">
        <f t="shared" ref="B11:B40" si="36">IF(B10="","",IF(B10+1&lt;=EOMONTH($A$8,0),B10+1,""))</f>
        <v>46024</v>
      </c>
      <c r="C11" s="143" t="str">
        <f t="shared" si="0"/>
        <v>金</v>
      </c>
      <c r="D11" s="143"/>
      <c r="E11" s="144"/>
      <c r="F11" s="144"/>
      <c r="G11" s="145"/>
      <c r="H11" s="145"/>
      <c r="I11" s="146" t="str">
        <f t="shared" si="1"/>
        <v/>
      </c>
      <c r="J11" s="145"/>
      <c r="K11" s="145"/>
      <c r="L11" s="145"/>
      <c r="M11" s="145"/>
      <c r="N11" s="147" t="str">
        <f t="shared" si="2"/>
        <v/>
      </c>
      <c r="O11" s="327"/>
      <c r="P11" s="327"/>
      <c r="Q11" s="327"/>
      <c r="S11" s="157"/>
      <c r="T11" s="142">
        <f t="shared" ref="T11:T40" si="37">IF(T10="","",IF(T10+1&lt;=EOMONTH($S$8,0),T10+1,""))</f>
        <v>46055</v>
      </c>
      <c r="U11" s="143" t="str">
        <f t="shared" si="3"/>
        <v>月</v>
      </c>
      <c r="V11" s="143" t="s">
        <v>22</v>
      </c>
      <c r="W11" s="172">
        <v>0.375</v>
      </c>
      <c r="X11" s="172">
        <v>0.75</v>
      </c>
      <c r="Y11" s="173">
        <v>0.5</v>
      </c>
      <c r="Z11" s="173">
        <v>0.54166666666666663</v>
      </c>
      <c r="AA11" s="146" t="str">
        <f t="shared" si="4"/>
        <v>8h</v>
      </c>
      <c r="AB11" s="173">
        <v>0.375</v>
      </c>
      <c r="AC11" s="173">
        <v>0.75</v>
      </c>
      <c r="AD11" s="173">
        <v>0.5</v>
      </c>
      <c r="AE11" s="173">
        <v>0.54166666666666663</v>
      </c>
      <c r="AF11" s="147" t="str">
        <f t="shared" si="5"/>
        <v>8h</v>
      </c>
      <c r="AG11" s="327"/>
      <c r="AH11" s="327"/>
      <c r="AI11" s="327"/>
      <c r="AK11" s="157"/>
      <c r="AL11" s="142">
        <f t="shared" ref="AL11:AL40" si="38">IF(AL10="","",IF(AL10+1&lt;=EOMONTH($AK$8,0),AL10+1,""))</f>
        <v>46083</v>
      </c>
      <c r="AM11" s="143" t="str">
        <f t="shared" si="6"/>
        <v>月</v>
      </c>
      <c r="AN11" s="143" t="s">
        <v>22</v>
      </c>
      <c r="AO11" s="172">
        <v>0.375</v>
      </c>
      <c r="AP11" s="172">
        <v>0.75</v>
      </c>
      <c r="AQ11" s="173">
        <v>0.5</v>
      </c>
      <c r="AR11" s="173">
        <v>0.54166666666666663</v>
      </c>
      <c r="AS11" s="146" t="str">
        <f t="shared" si="7"/>
        <v>8h</v>
      </c>
      <c r="AT11" s="173">
        <v>0.375</v>
      </c>
      <c r="AU11" s="173">
        <v>0.75</v>
      </c>
      <c r="AV11" s="173">
        <v>0.5</v>
      </c>
      <c r="AW11" s="173">
        <v>0.54166666666666663</v>
      </c>
      <c r="AX11" s="147" t="str">
        <f t="shared" si="8"/>
        <v>8h</v>
      </c>
      <c r="AY11" s="327"/>
      <c r="AZ11" s="327"/>
      <c r="BA11" s="327"/>
      <c r="BC11" s="157"/>
      <c r="BD11" s="142">
        <f t="shared" ref="BD11:BD40" si="39">IF(BD10="","",IF(BD10+1&lt;=EOMONTH($BC$8,0),BD10+1,""))</f>
        <v>46114</v>
      </c>
      <c r="BE11" s="143" t="str">
        <f t="shared" si="9"/>
        <v>木</v>
      </c>
      <c r="BF11" s="143" t="s">
        <v>22</v>
      </c>
      <c r="BG11" s="172">
        <v>0.375</v>
      </c>
      <c r="BH11" s="172">
        <v>0.75</v>
      </c>
      <c r="BI11" s="173">
        <v>0.5</v>
      </c>
      <c r="BJ11" s="173">
        <v>0.54166666666666663</v>
      </c>
      <c r="BK11" s="146" t="str">
        <f t="shared" si="10"/>
        <v>8h</v>
      </c>
      <c r="BL11" s="173">
        <v>0.375</v>
      </c>
      <c r="BM11" s="173">
        <v>0.75</v>
      </c>
      <c r="BN11" s="173">
        <v>0.5</v>
      </c>
      <c r="BO11" s="173">
        <v>0.54166666666666663</v>
      </c>
      <c r="BP11" s="147" t="str">
        <f t="shared" si="11"/>
        <v>8h</v>
      </c>
      <c r="BQ11" s="327"/>
      <c r="BR11" s="327"/>
      <c r="BS11" s="327"/>
      <c r="BU11" s="157"/>
      <c r="BV11" s="142">
        <f t="shared" ref="BV11:BV40" si="40">IF(BV10="","",IF(BV10+1&lt;=EOMONTH($BU$8,0),BV10+1,""))</f>
        <v>46144</v>
      </c>
      <c r="BW11" s="143" t="str">
        <f t="shared" si="12"/>
        <v>土</v>
      </c>
      <c r="BX11" s="143"/>
      <c r="BY11" s="144"/>
      <c r="BZ11" s="144"/>
      <c r="CA11" s="145"/>
      <c r="CB11" s="145"/>
      <c r="CC11" s="146" t="str">
        <f t="shared" si="13"/>
        <v/>
      </c>
      <c r="CD11" s="145"/>
      <c r="CE11" s="145"/>
      <c r="CF11" s="145"/>
      <c r="CG11" s="145"/>
      <c r="CH11" s="147" t="str">
        <f t="shared" si="14"/>
        <v/>
      </c>
      <c r="CI11" s="327"/>
      <c r="CJ11" s="327"/>
      <c r="CK11" s="327"/>
      <c r="CM11" s="157"/>
      <c r="CN11" s="142">
        <f t="shared" ref="CN11:CN40" si="41">IF(CN10="","",IF(CN10+1&lt;=EOMONTH($CM$8,0),CN10+1,""))</f>
        <v>46175</v>
      </c>
      <c r="CO11" s="143" t="str">
        <f t="shared" si="15"/>
        <v>火</v>
      </c>
      <c r="CP11" s="143" t="s">
        <v>22</v>
      </c>
      <c r="CQ11" s="172">
        <v>0.375</v>
      </c>
      <c r="CR11" s="172">
        <v>0.75</v>
      </c>
      <c r="CS11" s="173">
        <v>0.5</v>
      </c>
      <c r="CT11" s="173">
        <v>0.54166666666666663</v>
      </c>
      <c r="CU11" s="146" t="str">
        <f t="shared" si="16"/>
        <v>8h</v>
      </c>
      <c r="CV11" s="173">
        <v>0.375</v>
      </c>
      <c r="CW11" s="173">
        <v>0.75</v>
      </c>
      <c r="CX11" s="173">
        <v>0.5</v>
      </c>
      <c r="CY11" s="173">
        <v>0.54166666666666663</v>
      </c>
      <c r="CZ11" s="147" t="str">
        <f t="shared" si="17"/>
        <v>8h</v>
      </c>
      <c r="DA11" s="327"/>
      <c r="DB11" s="327"/>
      <c r="DC11" s="327"/>
      <c r="DE11" s="157"/>
      <c r="DF11" s="142">
        <f t="shared" ref="DF11:DF40" si="42">IF(DF10="","",IF(DF10+1&lt;=EOMONTH($DE$8,0),DF10+1,""))</f>
        <v>46205</v>
      </c>
      <c r="DG11" s="143" t="str">
        <f t="shared" si="18"/>
        <v>木</v>
      </c>
      <c r="DH11" s="143" t="s">
        <v>22</v>
      </c>
      <c r="DI11" s="172">
        <v>0.375</v>
      </c>
      <c r="DJ11" s="172">
        <v>0.75</v>
      </c>
      <c r="DK11" s="173">
        <v>0.5</v>
      </c>
      <c r="DL11" s="173">
        <v>0.54166666666666663</v>
      </c>
      <c r="DM11" s="146" t="str">
        <f t="shared" si="19"/>
        <v>8h</v>
      </c>
      <c r="DN11" s="173">
        <v>0.375</v>
      </c>
      <c r="DO11" s="173">
        <v>0.75</v>
      </c>
      <c r="DP11" s="173">
        <v>0.5</v>
      </c>
      <c r="DQ11" s="173">
        <v>0.54166666666666663</v>
      </c>
      <c r="DR11" s="147" t="str">
        <f t="shared" si="20"/>
        <v>8h</v>
      </c>
      <c r="DS11" s="327"/>
      <c r="DT11" s="327"/>
      <c r="DU11" s="327"/>
      <c r="DW11" s="157"/>
      <c r="DX11" s="142">
        <f t="shared" ref="DX11:DX40" si="43">IF(DX10="","",IF(DX10+1&lt;=EOMONTH($DW$8,0),DX10+1,""))</f>
        <v>46236</v>
      </c>
      <c r="DY11" s="143" t="str">
        <f t="shared" si="21"/>
        <v>日</v>
      </c>
      <c r="DZ11" s="143"/>
      <c r="EA11" s="144"/>
      <c r="EB11" s="144"/>
      <c r="EC11" s="145"/>
      <c r="ED11" s="145"/>
      <c r="EE11" s="146" t="str">
        <f t="shared" si="22"/>
        <v/>
      </c>
      <c r="EF11" s="145"/>
      <c r="EG11" s="145"/>
      <c r="EH11" s="145"/>
      <c r="EI11" s="145"/>
      <c r="EJ11" s="147" t="str">
        <f t="shared" si="23"/>
        <v/>
      </c>
      <c r="EK11" s="327"/>
      <c r="EL11" s="327"/>
      <c r="EM11" s="327"/>
      <c r="EO11" s="157"/>
      <c r="EP11" s="142">
        <f t="shared" ref="EP11:EP40" si="44">IF(EP10="","",IF(EP10+1&lt;=EOMONTH($EO$8,0),EP10+1,""))</f>
        <v>46267</v>
      </c>
      <c r="EQ11" s="143" t="str">
        <f t="shared" si="24"/>
        <v>水</v>
      </c>
      <c r="ER11" s="143" t="s">
        <v>22</v>
      </c>
      <c r="ES11" s="172">
        <v>0.375</v>
      </c>
      <c r="ET11" s="172">
        <v>0.75</v>
      </c>
      <c r="EU11" s="173">
        <v>0.5</v>
      </c>
      <c r="EV11" s="173">
        <v>0.54166666666666663</v>
      </c>
      <c r="EW11" s="146" t="str">
        <f t="shared" si="25"/>
        <v>8h</v>
      </c>
      <c r="EX11" s="173">
        <v>0.375</v>
      </c>
      <c r="EY11" s="173">
        <v>0.75</v>
      </c>
      <c r="EZ11" s="173">
        <v>0.5</v>
      </c>
      <c r="FA11" s="173">
        <v>0.54166666666666663</v>
      </c>
      <c r="FB11" s="147" t="str">
        <f t="shared" si="26"/>
        <v>8h</v>
      </c>
      <c r="FC11" s="327"/>
      <c r="FD11" s="327"/>
      <c r="FE11" s="327"/>
      <c r="FG11" s="157"/>
      <c r="FH11" s="142">
        <f t="shared" ref="FH11:FH40" si="45">IF(FH10="","",IF(FH10+1&lt;=EOMONTH($FG$8,0),FH10+1,""))</f>
        <v>46297</v>
      </c>
      <c r="FI11" s="143" t="str">
        <f t="shared" si="27"/>
        <v>金</v>
      </c>
      <c r="FJ11" s="143" t="s">
        <v>22</v>
      </c>
      <c r="FK11" s="172">
        <v>0.375</v>
      </c>
      <c r="FL11" s="172">
        <v>0.75</v>
      </c>
      <c r="FM11" s="173">
        <v>0.5</v>
      </c>
      <c r="FN11" s="173">
        <v>0.54166666666666663</v>
      </c>
      <c r="FO11" s="146" t="str">
        <f t="shared" si="28"/>
        <v>8h</v>
      </c>
      <c r="FP11" s="173">
        <v>0.375</v>
      </c>
      <c r="FQ11" s="173">
        <v>0.75</v>
      </c>
      <c r="FR11" s="173">
        <v>0.5</v>
      </c>
      <c r="FS11" s="173">
        <v>0.54166666666666663</v>
      </c>
      <c r="FT11" s="147" t="str">
        <f t="shared" si="29"/>
        <v>8h</v>
      </c>
      <c r="FU11" s="327"/>
      <c r="FV11" s="327"/>
      <c r="FW11" s="327"/>
      <c r="FY11" s="157"/>
      <c r="FZ11" s="142">
        <f t="shared" ref="FZ11:FZ40" si="46">IF(FZ10="","",IF(FZ10+1&lt;=EOMONTH($FY$8,0),FZ10+1,""))</f>
        <v>46328</v>
      </c>
      <c r="GA11" s="143" t="str">
        <f t="shared" si="30"/>
        <v>月</v>
      </c>
      <c r="GB11" s="143" t="s">
        <v>22</v>
      </c>
      <c r="GC11" s="172">
        <v>0.375</v>
      </c>
      <c r="GD11" s="172">
        <v>0.75</v>
      </c>
      <c r="GE11" s="173">
        <v>0.5</v>
      </c>
      <c r="GF11" s="173">
        <v>0.54166666666666663</v>
      </c>
      <c r="GG11" s="146" t="str">
        <f t="shared" si="31"/>
        <v>8h</v>
      </c>
      <c r="GH11" s="173">
        <v>0.375</v>
      </c>
      <c r="GI11" s="173">
        <v>0.75</v>
      </c>
      <c r="GJ11" s="173">
        <v>0.5</v>
      </c>
      <c r="GK11" s="173">
        <v>0.54166666666666663</v>
      </c>
      <c r="GL11" s="147" t="str">
        <f t="shared" si="32"/>
        <v>8h</v>
      </c>
      <c r="GM11" s="327"/>
      <c r="GN11" s="327"/>
      <c r="GO11" s="327"/>
      <c r="GQ11" s="157"/>
      <c r="GR11" s="142">
        <f t="shared" ref="GR11:GR40" si="47">IF(GR10="","",IF(GR10+1&lt;=EOMONTH($GQ$8,0),GR10+1,""))</f>
        <v>46358</v>
      </c>
      <c r="GS11" s="143" t="str">
        <f t="shared" si="33"/>
        <v>水</v>
      </c>
      <c r="GT11" s="143" t="s">
        <v>22</v>
      </c>
      <c r="GU11" s="172">
        <v>0.375</v>
      </c>
      <c r="GV11" s="172">
        <v>0.75</v>
      </c>
      <c r="GW11" s="173">
        <v>0.5</v>
      </c>
      <c r="GX11" s="173">
        <v>0.54166666666666663</v>
      </c>
      <c r="GY11" s="146" t="str">
        <f t="shared" si="34"/>
        <v>8h</v>
      </c>
      <c r="GZ11" s="173">
        <v>0.375</v>
      </c>
      <c r="HA11" s="173">
        <v>0.75</v>
      </c>
      <c r="HB11" s="173">
        <v>0.5</v>
      </c>
      <c r="HC11" s="173">
        <v>0.54166666666666663</v>
      </c>
      <c r="HD11" s="147" t="str">
        <f t="shared" si="35"/>
        <v>8h</v>
      </c>
      <c r="HE11" s="327"/>
      <c r="HF11" s="327"/>
      <c r="HG11" s="327"/>
    </row>
    <row r="12" spans="1:215" x14ac:dyDescent="0.45">
      <c r="A12" s="330"/>
      <c r="B12" s="142">
        <f t="shared" si="36"/>
        <v>46025</v>
      </c>
      <c r="C12" s="143" t="str">
        <f t="shared" si="0"/>
        <v>土</v>
      </c>
      <c r="D12" s="143"/>
      <c r="E12" s="144"/>
      <c r="F12" s="144"/>
      <c r="G12" s="145"/>
      <c r="H12" s="145"/>
      <c r="I12" s="146" t="str">
        <f t="shared" si="1"/>
        <v/>
      </c>
      <c r="J12" s="145"/>
      <c r="K12" s="145"/>
      <c r="L12" s="145"/>
      <c r="M12" s="145"/>
      <c r="N12" s="147" t="str">
        <f t="shared" si="2"/>
        <v/>
      </c>
      <c r="O12" s="327"/>
      <c r="P12" s="327"/>
      <c r="Q12" s="327"/>
      <c r="S12" s="157"/>
      <c r="T12" s="142">
        <f t="shared" si="37"/>
        <v>46056</v>
      </c>
      <c r="U12" s="143" t="str">
        <f t="shared" si="3"/>
        <v>火</v>
      </c>
      <c r="V12" s="143" t="s">
        <v>22</v>
      </c>
      <c r="W12" s="172">
        <v>0.375</v>
      </c>
      <c r="X12" s="172">
        <v>0.75</v>
      </c>
      <c r="Y12" s="173">
        <v>0.5</v>
      </c>
      <c r="Z12" s="173">
        <v>0.54166666666666663</v>
      </c>
      <c r="AA12" s="146" t="str">
        <f t="shared" si="4"/>
        <v>8h</v>
      </c>
      <c r="AB12" s="173">
        <v>0.375</v>
      </c>
      <c r="AC12" s="173">
        <v>0.75</v>
      </c>
      <c r="AD12" s="173">
        <v>0.5</v>
      </c>
      <c r="AE12" s="173">
        <v>0.54166666666666663</v>
      </c>
      <c r="AF12" s="147" t="str">
        <f t="shared" si="5"/>
        <v>8h</v>
      </c>
      <c r="AG12" s="327"/>
      <c r="AH12" s="327"/>
      <c r="AI12" s="327"/>
      <c r="AK12" s="157"/>
      <c r="AL12" s="142">
        <f t="shared" si="38"/>
        <v>46084</v>
      </c>
      <c r="AM12" s="143" t="str">
        <f t="shared" si="6"/>
        <v>火</v>
      </c>
      <c r="AN12" s="143" t="s">
        <v>22</v>
      </c>
      <c r="AO12" s="172">
        <v>0.375</v>
      </c>
      <c r="AP12" s="172">
        <v>0.75</v>
      </c>
      <c r="AQ12" s="173">
        <v>0.5</v>
      </c>
      <c r="AR12" s="173">
        <v>0.54166666666666663</v>
      </c>
      <c r="AS12" s="146" t="str">
        <f t="shared" si="7"/>
        <v>8h</v>
      </c>
      <c r="AT12" s="173">
        <v>0.375</v>
      </c>
      <c r="AU12" s="173">
        <v>0.75</v>
      </c>
      <c r="AV12" s="173">
        <v>0.5</v>
      </c>
      <c r="AW12" s="173">
        <v>0.54166666666666663</v>
      </c>
      <c r="AX12" s="147" t="str">
        <f t="shared" si="8"/>
        <v>8h</v>
      </c>
      <c r="AY12" s="327"/>
      <c r="AZ12" s="327"/>
      <c r="BA12" s="327"/>
      <c r="BC12" s="157"/>
      <c r="BD12" s="142">
        <f t="shared" si="39"/>
        <v>46115</v>
      </c>
      <c r="BE12" s="143" t="str">
        <f t="shared" si="9"/>
        <v>金</v>
      </c>
      <c r="BF12" s="143" t="s">
        <v>22</v>
      </c>
      <c r="BG12" s="172">
        <v>0.375</v>
      </c>
      <c r="BH12" s="172">
        <v>0.75</v>
      </c>
      <c r="BI12" s="173">
        <v>0.5</v>
      </c>
      <c r="BJ12" s="173">
        <v>0.54166666666666663</v>
      </c>
      <c r="BK12" s="146" t="str">
        <f t="shared" si="10"/>
        <v>8h</v>
      </c>
      <c r="BL12" s="173">
        <v>0.375</v>
      </c>
      <c r="BM12" s="173">
        <v>0.75</v>
      </c>
      <c r="BN12" s="173">
        <v>0.5</v>
      </c>
      <c r="BO12" s="173">
        <v>0.54166666666666663</v>
      </c>
      <c r="BP12" s="147" t="str">
        <f t="shared" si="11"/>
        <v>8h</v>
      </c>
      <c r="BQ12" s="327"/>
      <c r="BR12" s="327"/>
      <c r="BS12" s="327"/>
      <c r="BU12" s="157"/>
      <c r="BV12" s="142">
        <f t="shared" si="40"/>
        <v>46145</v>
      </c>
      <c r="BW12" s="143" t="str">
        <f t="shared" si="12"/>
        <v>日</v>
      </c>
      <c r="BX12" s="143"/>
      <c r="BY12" s="144"/>
      <c r="BZ12" s="144"/>
      <c r="CA12" s="145"/>
      <c r="CB12" s="145"/>
      <c r="CC12" s="146" t="str">
        <f t="shared" si="13"/>
        <v/>
      </c>
      <c r="CD12" s="145"/>
      <c r="CE12" s="145"/>
      <c r="CF12" s="145"/>
      <c r="CG12" s="145"/>
      <c r="CH12" s="147" t="str">
        <f t="shared" si="14"/>
        <v/>
      </c>
      <c r="CI12" s="327"/>
      <c r="CJ12" s="327"/>
      <c r="CK12" s="327"/>
      <c r="CM12" s="157"/>
      <c r="CN12" s="142">
        <f t="shared" si="41"/>
        <v>46176</v>
      </c>
      <c r="CO12" s="143" t="str">
        <f t="shared" si="15"/>
        <v>水</v>
      </c>
      <c r="CP12" s="143" t="s">
        <v>22</v>
      </c>
      <c r="CQ12" s="172">
        <v>0.375</v>
      </c>
      <c r="CR12" s="172">
        <v>0.75</v>
      </c>
      <c r="CS12" s="173">
        <v>0.5</v>
      </c>
      <c r="CT12" s="173">
        <v>0.54166666666666663</v>
      </c>
      <c r="CU12" s="146" t="str">
        <f t="shared" si="16"/>
        <v>8h</v>
      </c>
      <c r="CV12" s="173">
        <v>0.375</v>
      </c>
      <c r="CW12" s="173">
        <v>0.75</v>
      </c>
      <c r="CX12" s="173">
        <v>0.5</v>
      </c>
      <c r="CY12" s="173">
        <v>0.54166666666666663</v>
      </c>
      <c r="CZ12" s="147" t="str">
        <f t="shared" si="17"/>
        <v>8h</v>
      </c>
      <c r="DA12" s="327"/>
      <c r="DB12" s="327"/>
      <c r="DC12" s="327"/>
      <c r="DE12" s="157"/>
      <c r="DF12" s="142">
        <f t="shared" si="42"/>
        <v>46206</v>
      </c>
      <c r="DG12" s="143" t="str">
        <f t="shared" si="18"/>
        <v>金</v>
      </c>
      <c r="DH12" s="143" t="s">
        <v>22</v>
      </c>
      <c r="DI12" s="172">
        <v>0.375</v>
      </c>
      <c r="DJ12" s="172">
        <v>0.75</v>
      </c>
      <c r="DK12" s="173">
        <v>0.5</v>
      </c>
      <c r="DL12" s="173">
        <v>0.54166666666666663</v>
      </c>
      <c r="DM12" s="146" t="str">
        <f t="shared" si="19"/>
        <v>8h</v>
      </c>
      <c r="DN12" s="173">
        <v>0.375</v>
      </c>
      <c r="DO12" s="173">
        <v>0.75</v>
      </c>
      <c r="DP12" s="173">
        <v>0.5</v>
      </c>
      <c r="DQ12" s="173">
        <v>0.54166666666666663</v>
      </c>
      <c r="DR12" s="147" t="str">
        <f t="shared" si="20"/>
        <v>8h</v>
      </c>
      <c r="DS12" s="327"/>
      <c r="DT12" s="327"/>
      <c r="DU12" s="327"/>
      <c r="DW12" s="157"/>
      <c r="DX12" s="142">
        <f t="shared" si="43"/>
        <v>46237</v>
      </c>
      <c r="DY12" s="143" t="str">
        <f t="shared" si="21"/>
        <v>月</v>
      </c>
      <c r="DZ12" s="143" t="s">
        <v>22</v>
      </c>
      <c r="EA12" s="172">
        <v>0.375</v>
      </c>
      <c r="EB12" s="172">
        <v>0.75</v>
      </c>
      <c r="EC12" s="173">
        <v>0.5</v>
      </c>
      <c r="ED12" s="173">
        <v>0.54166666666666663</v>
      </c>
      <c r="EE12" s="146" t="str">
        <f t="shared" si="22"/>
        <v>8h</v>
      </c>
      <c r="EF12" s="173">
        <v>0.375</v>
      </c>
      <c r="EG12" s="173">
        <v>0.75</v>
      </c>
      <c r="EH12" s="173">
        <v>0.5</v>
      </c>
      <c r="EI12" s="173">
        <v>0.54166666666666663</v>
      </c>
      <c r="EJ12" s="147" t="str">
        <f t="shared" si="23"/>
        <v>8h</v>
      </c>
      <c r="EK12" s="327"/>
      <c r="EL12" s="327"/>
      <c r="EM12" s="327"/>
      <c r="EO12" s="157"/>
      <c r="EP12" s="142">
        <f t="shared" si="44"/>
        <v>46268</v>
      </c>
      <c r="EQ12" s="143" t="str">
        <f t="shared" si="24"/>
        <v>木</v>
      </c>
      <c r="ER12" s="143" t="s">
        <v>22</v>
      </c>
      <c r="ES12" s="172">
        <v>0.375</v>
      </c>
      <c r="ET12" s="172">
        <v>0.75</v>
      </c>
      <c r="EU12" s="173">
        <v>0.5</v>
      </c>
      <c r="EV12" s="173">
        <v>0.54166666666666663</v>
      </c>
      <c r="EW12" s="146" t="str">
        <f t="shared" si="25"/>
        <v>8h</v>
      </c>
      <c r="EX12" s="173">
        <v>0.375</v>
      </c>
      <c r="EY12" s="173">
        <v>0.75</v>
      </c>
      <c r="EZ12" s="173">
        <v>0.5</v>
      </c>
      <c r="FA12" s="173">
        <v>0.54166666666666663</v>
      </c>
      <c r="FB12" s="147" t="str">
        <f t="shared" si="26"/>
        <v>8h</v>
      </c>
      <c r="FC12" s="327"/>
      <c r="FD12" s="327"/>
      <c r="FE12" s="327"/>
      <c r="FG12" s="157"/>
      <c r="FH12" s="142">
        <f t="shared" si="45"/>
        <v>46298</v>
      </c>
      <c r="FI12" s="143" t="str">
        <f t="shared" si="27"/>
        <v>土</v>
      </c>
      <c r="FJ12" s="143"/>
      <c r="FK12" s="144"/>
      <c r="FL12" s="144"/>
      <c r="FM12" s="145"/>
      <c r="FN12" s="145"/>
      <c r="FO12" s="146" t="str">
        <f t="shared" si="28"/>
        <v/>
      </c>
      <c r="FP12" s="145"/>
      <c r="FQ12" s="145"/>
      <c r="FR12" s="145"/>
      <c r="FS12" s="145"/>
      <c r="FT12" s="147" t="str">
        <f t="shared" si="29"/>
        <v/>
      </c>
      <c r="FU12" s="327"/>
      <c r="FV12" s="327"/>
      <c r="FW12" s="327"/>
      <c r="FY12" s="157"/>
      <c r="FZ12" s="142">
        <f t="shared" si="46"/>
        <v>46329</v>
      </c>
      <c r="GA12" s="143" t="str">
        <f t="shared" si="30"/>
        <v>火</v>
      </c>
      <c r="GB12" s="143"/>
      <c r="GC12" s="144"/>
      <c r="GD12" s="144"/>
      <c r="GE12" s="145"/>
      <c r="GF12" s="145"/>
      <c r="GG12" s="146" t="str">
        <f t="shared" si="31"/>
        <v/>
      </c>
      <c r="GH12" s="145"/>
      <c r="GI12" s="145"/>
      <c r="GJ12" s="145"/>
      <c r="GK12" s="145"/>
      <c r="GL12" s="147" t="str">
        <f t="shared" si="32"/>
        <v/>
      </c>
      <c r="GM12" s="327"/>
      <c r="GN12" s="327"/>
      <c r="GO12" s="327"/>
      <c r="GQ12" s="157"/>
      <c r="GR12" s="142">
        <f t="shared" si="47"/>
        <v>46359</v>
      </c>
      <c r="GS12" s="143" t="str">
        <f t="shared" si="33"/>
        <v>木</v>
      </c>
      <c r="GT12" s="143" t="s">
        <v>22</v>
      </c>
      <c r="GU12" s="172">
        <v>0.375</v>
      </c>
      <c r="GV12" s="172">
        <v>0.75</v>
      </c>
      <c r="GW12" s="173">
        <v>0.5</v>
      </c>
      <c r="GX12" s="173">
        <v>0.54166666666666663</v>
      </c>
      <c r="GY12" s="146" t="str">
        <f t="shared" si="34"/>
        <v>8h</v>
      </c>
      <c r="GZ12" s="173">
        <v>0.375</v>
      </c>
      <c r="HA12" s="173">
        <v>0.75</v>
      </c>
      <c r="HB12" s="173">
        <v>0.5</v>
      </c>
      <c r="HC12" s="173">
        <v>0.54166666666666663</v>
      </c>
      <c r="HD12" s="147" t="str">
        <f t="shared" si="35"/>
        <v>8h</v>
      </c>
      <c r="HE12" s="327"/>
      <c r="HF12" s="327"/>
      <c r="HG12" s="327"/>
    </row>
    <row r="13" spans="1:215" x14ac:dyDescent="0.45">
      <c r="A13" s="330"/>
      <c r="B13" s="142">
        <f t="shared" si="36"/>
        <v>46026</v>
      </c>
      <c r="C13" s="143" t="str">
        <f t="shared" si="0"/>
        <v>日</v>
      </c>
      <c r="D13" s="143"/>
      <c r="E13" s="144"/>
      <c r="F13" s="144"/>
      <c r="G13" s="145"/>
      <c r="H13" s="145"/>
      <c r="I13" s="146" t="str">
        <f t="shared" si="1"/>
        <v/>
      </c>
      <c r="J13" s="145"/>
      <c r="K13" s="145"/>
      <c r="L13" s="145"/>
      <c r="M13" s="145"/>
      <c r="N13" s="147" t="str">
        <f t="shared" si="2"/>
        <v/>
      </c>
      <c r="O13" s="327"/>
      <c r="P13" s="327"/>
      <c r="Q13" s="327"/>
      <c r="S13" s="157"/>
      <c r="T13" s="142">
        <f t="shared" si="37"/>
        <v>46057</v>
      </c>
      <c r="U13" s="143" t="str">
        <f t="shared" si="3"/>
        <v>水</v>
      </c>
      <c r="V13" s="143" t="s">
        <v>22</v>
      </c>
      <c r="W13" s="172">
        <v>0.375</v>
      </c>
      <c r="X13" s="172">
        <v>0.75</v>
      </c>
      <c r="Y13" s="173">
        <v>0.5</v>
      </c>
      <c r="Z13" s="173">
        <v>0.54166666666666663</v>
      </c>
      <c r="AA13" s="146" t="str">
        <f t="shared" si="4"/>
        <v>8h</v>
      </c>
      <c r="AB13" s="173">
        <v>0.375</v>
      </c>
      <c r="AC13" s="173">
        <v>0.75</v>
      </c>
      <c r="AD13" s="173">
        <v>0.5</v>
      </c>
      <c r="AE13" s="173">
        <v>0.54166666666666663</v>
      </c>
      <c r="AF13" s="147" t="str">
        <f t="shared" si="5"/>
        <v>8h</v>
      </c>
      <c r="AG13" s="327"/>
      <c r="AH13" s="327"/>
      <c r="AI13" s="327"/>
      <c r="AK13" s="157"/>
      <c r="AL13" s="142">
        <f t="shared" si="38"/>
        <v>46085</v>
      </c>
      <c r="AM13" s="143" t="str">
        <f t="shared" si="6"/>
        <v>水</v>
      </c>
      <c r="AN13" s="143" t="s">
        <v>22</v>
      </c>
      <c r="AO13" s="172">
        <v>0.375</v>
      </c>
      <c r="AP13" s="172">
        <v>0.75</v>
      </c>
      <c r="AQ13" s="173">
        <v>0.5</v>
      </c>
      <c r="AR13" s="173">
        <v>0.54166666666666663</v>
      </c>
      <c r="AS13" s="146" t="str">
        <f t="shared" si="7"/>
        <v>8h</v>
      </c>
      <c r="AT13" s="173">
        <v>0.375</v>
      </c>
      <c r="AU13" s="173">
        <v>0.75</v>
      </c>
      <c r="AV13" s="173">
        <v>0.5</v>
      </c>
      <c r="AW13" s="173">
        <v>0.54166666666666663</v>
      </c>
      <c r="AX13" s="147" t="str">
        <f t="shared" si="8"/>
        <v>8h</v>
      </c>
      <c r="AY13" s="327"/>
      <c r="AZ13" s="327"/>
      <c r="BA13" s="327"/>
      <c r="BC13" s="157"/>
      <c r="BD13" s="142">
        <f t="shared" si="39"/>
        <v>46116</v>
      </c>
      <c r="BE13" s="143" t="str">
        <f t="shared" si="9"/>
        <v>土</v>
      </c>
      <c r="BF13" s="143"/>
      <c r="BG13" s="144"/>
      <c r="BH13" s="144"/>
      <c r="BI13" s="145"/>
      <c r="BJ13" s="145"/>
      <c r="BK13" s="146" t="str">
        <f t="shared" si="10"/>
        <v/>
      </c>
      <c r="BL13" s="145"/>
      <c r="BM13" s="145"/>
      <c r="BN13" s="145"/>
      <c r="BO13" s="145"/>
      <c r="BP13" s="147" t="str">
        <f t="shared" si="11"/>
        <v/>
      </c>
      <c r="BQ13" s="327"/>
      <c r="BR13" s="327"/>
      <c r="BS13" s="327"/>
      <c r="BU13" s="157"/>
      <c r="BV13" s="142">
        <f t="shared" si="40"/>
        <v>46146</v>
      </c>
      <c r="BW13" s="143" t="str">
        <f t="shared" si="12"/>
        <v>月</v>
      </c>
      <c r="BX13" s="143"/>
      <c r="BY13" s="144"/>
      <c r="BZ13" s="144"/>
      <c r="CA13" s="145"/>
      <c r="CB13" s="145"/>
      <c r="CC13" s="146" t="str">
        <f t="shared" si="13"/>
        <v/>
      </c>
      <c r="CD13" s="145"/>
      <c r="CE13" s="145"/>
      <c r="CF13" s="145"/>
      <c r="CG13" s="145"/>
      <c r="CH13" s="147" t="str">
        <f t="shared" si="14"/>
        <v/>
      </c>
      <c r="CI13" s="327"/>
      <c r="CJ13" s="327"/>
      <c r="CK13" s="327"/>
      <c r="CM13" s="157"/>
      <c r="CN13" s="142">
        <f t="shared" si="41"/>
        <v>46177</v>
      </c>
      <c r="CO13" s="143" t="str">
        <f t="shared" si="15"/>
        <v>木</v>
      </c>
      <c r="CP13" s="143" t="s">
        <v>22</v>
      </c>
      <c r="CQ13" s="172">
        <v>0.375</v>
      </c>
      <c r="CR13" s="172">
        <v>0.75</v>
      </c>
      <c r="CS13" s="173">
        <v>0.5</v>
      </c>
      <c r="CT13" s="173">
        <v>0.54166666666666663</v>
      </c>
      <c r="CU13" s="146" t="str">
        <f t="shared" si="16"/>
        <v>8h</v>
      </c>
      <c r="CV13" s="173">
        <v>0.375</v>
      </c>
      <c r="CW13" s="173">
        <v>0.75</v>
      </c>
      <c r="CX13" s="173">
        <v>0.5</v>
      </c>
      <c r="CY13" s="173">
        <v>0.54166666666666663</v>
      </c>
      <c r="CZ13" s="147" t="str">
        <f t="shared" si="17"/>
        <v>8h</v>
      </c>
      <c r="DA13" s="327"/>
      <c r="DB13" s="327"/>
      <c r="DC13" s="327"/>
      <c r="DE13" s="157"/>
      <c r="DF13" s="142">
        <f t="shared" si="42"/>
        <v>46207</v>
      </c>
      <c r="DG13" s="143" t="str">
        <f t="shared" si="18"/>
        <v>土</v>
      </c>
      <c r="DH13" s="143"/>
      <c r="DI13" s="144"/>
      <c r="DJ13" s="144"/>
      <c r="DK13" s="145"/>
      <c r="DL13" s="145"/>
      <c r="DM13" s="146" t="str">
        <f t="shared" si="19"/>
        <v/>
      </c>
      <c r="DN13" s="145"/>
      <c r="DO13" s="145"/>
      <c r="DP13" s="145"/>
      <c r="DQ13" s="145"/>
      <c r="DR13" s="147" t="str">
        <f t="shared" si="20"/>
        <v/>
      </c>
      <c r="DS13" s="327"/>
      <c r="DT13" s="327"/>
      <c r="DU13" s="327"/>
      <c r="DW13" s="157"/>
      <c r="DX13" s="142">
        <f t="shared" si="43"/>
        <v>46238</v>
      </c>
      <c r="DY13" s="143" t="str">
        <f t="shared" si="21"/>
        <v>火</v>
      </c>
      <c r="DZ13" s="143" t="s">
        <v>22</v>
      </c>
      <c r="EA13" s="172">
        <v>0.375</v>
      </c>
      <c r="EB13" s="172">
        <v>0.75</v>
      </c>
      <c r="EC13" s="173">
        <v>0.5</v>
      </c>
      <c r="ED13" s="173">
        <v>0.54166666666666663</v>
      </c>
      <c r="EE13" s="146" t="str">
        <f t="shared" si="22"/>
        <v>8h</v>
      </c>
      <c r="EF13" s="173">
        <v>0.375</v>
      </c>
      <c r="EG13" s="173">
        <v>0.75</v>
      </c>
      <c r="EH13" s="173">
        <v>0.5</v>
      </c>
      <c r="EI13" s="173">
        <v>0.54166666666666663</v>
      </c>
      <c r="EJ13" s="147" t="str">
        <f t="shared" si="23"/>
        <v>8h</v>
      </c>
      <c r="EK13" s="327"/>
      <c r="EL13" s="327"/>
      <c r="EM13" s="327"/>
      <c r="EO13" s="157"/>
      <c r="EP13" s="142">
        <f t="shared" si="44"/>
        <v>46269</v>
      </c>
      <c r="EQ13" s="143" t="str">
        <f t="shared" si="24"/>
        <v>金</v>
      </c>
      <c r="ER13" s="143" t="s">
        <v>22</v>
      </c>
      <c r="ES13" s="172">
        <v>0.375</v>
      </c>
      <c r="ET13" s="172">
        <v>0.75</v>
      </c>
      <c r="EU13" s="173">
        <v>0.5</v>
      </c>
      <c r="EV13" s="173">
        <v>0.54166666666666663</v>
      </c>
      <c r="EW13" s="146" t="str">
        <f t="shared" si="25"/>
        <v>8h</v>
      </c>
      <c r="EX13" s="173">
        <v>0.375</v>
      </c>
      <c r="EY13" s="173">
        <v>0.75</v>
      </c>
      <c r="EZ13" s="173">
        <v>0.5</v>
      </c>
      <c r="FA13" s="173">
        <v>0.54166666666666663</v>
      </c>
      <c r="FB13" s="147" t="str">
        <f t="shared" si="26"/>
        <v>8h</v>
      </c>
      <c r="FC13" s="327"/>
      <c r="FD13" s="327"/>
      <c r="FE13" s="327"/>
      <c r="FG13" s="157"/>
      <c r="FH13" s="142">
        <f t="shared" si="45"/>
        <v>46299</v>
      </c>
      <c r="FI13" s="143" t="str">
        <f t="shared" si="27"/>
        <v>日</v>
      </c>
      <c r="FJ13" s="143"/>
      <c r="FK13" s="144"/>
      <c r="FL13" s="144"/>
      <c r="FM13" s="145"/>
      <c r="FN13" s="145"/>
      <c r="FO13" s="146" t="str">
        <f t="shared" si="28"/>
        <v/>
      </c>
      <c r="FP13" s="145"/>
      <c r="FQ13" s="145"/>
      <c r="FR13" s="145"/>
      <c r="FS13" s="145"/>
      <c r="FT13" s="147" t="str">
        <f t="shared" si="29"/>
        <v/>
      </c>
      <c r="FU13" s="327"/>
      <c r="FV13" s="327"/>
      <c r="FW13" s="327"/>
      <c r="FY13" s="157"/>
      <c r="FZ13" s="142">
        <f t="shared" si="46"/>
        <v>46330</v>
      </c>
      <c r="GA13" s="143" t="str">
        <f t="shared" si="30"/>
        <v>水</v>
      </c>
      <c r="GB13" s="143" t="s">
        <v>22</v>
      </c>
      <c r="GC13" s="172">
        <v>0.375</v>
      </c>
      <c r="GD13" s="172">
        <v>0.75</v>
      </c>
      <c r="GE13" s="173">
        <v>0.5</v>
      </c>
      <c r="GF13" s="173">
        <v>0.54166666666666663</v>
      </c>
      <c r="GG13" s="146" t="str">
        <f t="shared" si="31"/>
        <v>8h</v>
      </c>
      <c r="GH13" s="173">
        <v>0.375</v>
      </c>
      <c r="GI13" s="173">
        <v>0.75</v>
      </c>
      <c r="GJ13" s="173">
        <v>0.5</v>
      </c>
      <c r="GK13" s="173">
        <v>0.54166666666666663</v>
      </c>
      <c r="GL13" s="147" t="str">
        <f t="shared" si="32"/>
        <v>8h</v>
      </c>
      <c r="GM13" s="327"/>
      <c r="GN13" s="327"/>
      <c r="GO13" s="327"/>
      <c r="GQ13" s="157"/>
      <c r="GR13" s="142">
        <f t="shared" si="47"/>
        <v>46360</v>
      </c>
      <c r="GS13" s="143" t="str">
        <f t="shared" si="33"/>
        <v>金</v>
      </c>
      <c r="GT13" s="143" t="s">
        <v>22</v>
      </c>
      <c r="GU13" s="172">
        <v>0.375</v>
      </c>
      <c r="GV13" s="172">
        <v>0.75</v>
      </c>
      <c r="GW13" s="173">
        <v>0.5</v>
      </c>
      <c r="GX13" s="173">
        <v>0.54166666666666663</v>
      </c>
      <c r="GY13" s="146" t="str">
        <f t="shared" si="34"/>
        <v>8h</v>
      </c>
      <c r="GZ13" s="173">
        <v>0.375</v>
      </c>
      <c r="HA13" s="173">
        <v>0.75</v>
      </c>
      <c r="HB13" s="173">
        <v>0.5</v>
      </c>
      <c r="HC13" s="173">
        <v>0.54166666666666663</v>
      </c>
      <c r="HD13" s="147" t="str">
        <f t="shared" si="35"/>
        <v>8h</v>
      </c>
      <c r="HE13" s="327"/>
      <c r="HF13" s="327"/>
      <c r="HG13" s="327"/>
    </row>
    <row r="14" spans="1:215" x14ac:dyDescent="0.45">
      <c r="A14" s="330"/>
      <c r="B14" s="142">
        <f t="shared" si="36"/>
        <v>46027</v>
      </c>
      <c r="C14" s="143" t="str">
        <f t="shared" si="0"/>
        <v>月</v>
      </c>
      <c r="D14" s="143" t="s">
        <v>22</v>
      </c>
      <c r="E14" s="172">
        <v>0.375</v>
      </c>
      <c r="F14" s="172">
        <v>0.75</v>
      </c>
      <c r="G14" s="173">
        <v>0.5</v>
      </c>
      <c r="H14" s="173">
        <v>0.54166666666666663</v>
      </c>
      <c r="I14" s="146" t="str">
        <f t="shared" si="1"/>
        <v>8h</v>
      </c>
      <c r="J14" s="173">
        <v>0.375</v>
      </c>
      <c r="K14" s="173">
        <v>0.75</v>
      </c>
      <c r="L14" s="173">
        <v>0.5</v>
      </c>
      <c r="M14" s="173">
        <v>0.54166666666666663</v>
      </c>
      <c r="N14" s="147" t="str">
        <f t="shared" si="2"/>
        <v>8h</v>
      </c>
      <c r="O14" s="327"/>
      <c r="P14" s="327"/>
      <c r="Q14" s="327"/>
      <c r="S14" s="157"/>
      <c r="T14" s="142">
        <f t="shared" si="37"/>
        <v>46058</v>
      </c>
      <c r="U14" s="143" t="str">
        <f t="shared" si="3"/>
        <v>木</v>
      </c>
      <c r="V14" s="143" t="s">
        <v>22</v>
      </c>
      <c r="W14" s="172">
        <v>0.375</v>
      </c>
      <c r="X14" s="172">
        <v>0.75</v>
      </c>
      <c r="Y14" s="173">
        <v>0.5</v>
      </c>
      <c r="Z14" s="173">
        <v>0.54166666666666663</v>
      </c>
      <c r="AA14" s="146" t="str">
        <f t="shared" si="4"/>
        <v>8h</v>
      </c>
      <c r="AB14" s="173">
        <v>0.375</v>
      </c>
      <c r="AC14" s="173">
        <v>0.75</v>
      </c>
      <c r="AD14" s="173">
        <v>0.5</v>
      </c>
      <c r="AE14" s="173">
        <v>0.54166666666666663</v>
      </c>
      <c r="AF14" s="147" t="str">
        <f t="shared" si="5"/>
        <v>8h</v>
      </c>
      <c r="AG14" s="327"/>
      <c r="AH14" s="327"/>
      <c r="AI14" s="327"/>
      <c r="AK14" s="157"/>
      <c r="AL14" s="142">
        <f t="shared" si="38"/>
        <v>46086</v>
      </c>
      <c r="AM14" s="143" t="str">
        <f t="shared" si="6"/>
        <v>木</v>
      </c>
      <c r="AN14" s="143" t="s">
        <v>22</v>
      </c>
      <c r="AO14" s="172">
        <v>0.375</v>
      </c>
      <c r="AP14" s="172">
        <v>0.75</v>
      </c>
      <c r="AQ14" s="173">
        <v>0.5</v>
      </c>
      <c r="AR14" s="173">
        <v>0.54166666666666663</v>
      </c>
      <c r="AS14" s="146" t="str">
        <f t="shared" si="7"/>
        <v>8h</v>
      </c>
      <c r="AT14" s="173">
        <v>0.375</v>
      </c>
      <c r="AU14" s="173">
        <v>0.75</v>
      </c>
      <c r="AV14" s="173">
        <v>0.5</v>
      </c>
      <c r="AW14" s="173">
        <v>0.54166666666666663</v>
      </c>
      <c r="AX14" s="147" t="str">
        <f t="shared" si="8"/>
        <v>8h</v>
      </c>
      <c r="AY14" s="327"/>
      <c r="AZ14" s="327"/>
      <c r="BA14" s="327"/>
      <c r="BC14" s="157"/>
      <c r="BD14" s="142">
        <f t="shared" si="39"/>
        <v>46117</v>
      </c>
      <c r="BE14" s="143" t="str">
        <f t="shared" si="9"/>
        <v>日</v>
      </c>
      <c r="BF14" s="143"/>
      <c r="BG14" s="144"/>
      <c r="BH14" s="144"/>
      <c r="BI14" s="145"/>
      <c r="BJ14" s="145"/>
      <c r="BK14" s="146" t="str">
        <f t="shared" si="10"/>
        <v/>
      </c>
      <c r="BL14" s="145"/>
      <c r="BM14" s="145"/>
      <c r="BN14" s="145"/>
      <c r="BO14" s="145"/>
      <c r="BP14" s="147" t="str">
        <f t="shared" si="11"/>
        <v/>
      </c>
      <c r="BQ14" s="327"/>
      <c r="BR14" s="327"/>
      <c r="BS14" s="327"/>
      <c r="BU14" s="157"/>
      <c r="BV14" s="142">
        <f t="shared" si="40"/>
        <v>46147</v>
      </c>
      <c r="BW14" s="143" t="str">
        <f t="shared" si="12"/>
        <v>火</v>
      </c>
      <c r="BX14" s="143"/>
      <c r="BY14" s="144"/>
      <c r="BZ14" s="144"/>
      <c r="CA14" s="145"/>
      <c r="CB14" s="145"/>
      <c r="CC14" s="146" t="str">
        <f t="shared" si="13"/>
        <v/>
      </c>
      <c r="CD14" s="145"/>
      <c r="CE14" s="145"/>
      <c r="CF14" s="145"/>
      <c r="CG14" s="145"/>
      <c r="CH14" s="147" t="str">
        <f t="shared" si="14"/>
        <v/>
      </c>
      <c r="CI14" s="327"/>
      <c r="CJ14" s="327"/>
      <c r="CK14" s="327"/>
      <c r="CM14" s="157"/>
      <c r="CN14" s="142">
        <f t="shared" si="41"/>
        <v>46178</v>
      </c>
      <c r="CO14" s="143" t="str">
        <f t="shared" si="15"/>
        <v>金</v>
      </c>
      <c r="CP14" s="143" t="s">
        <v>22</v>
      </c>
      <c r="CQ14" s="172">
        <v>0.375</v>
      </c>
      <c r="CR14" s="172">
        <v>0.75</v>
      </c>
      <c r="CS14" s="173">
        <v>0.5</v>
      </c>
      <c r="CT14" s="173">
        <v>0.54166666666666663</v>
      </c>
      <c r="CU14" s="146" t="str">
        <f t="shared" si="16"/>
        <v>8h</v>
      </c>
      <c r="CV14" s="173">
        <v>0.375</v>
      </c>
      <c r="CW14" s="173">
        <v>0.75</v>
      </c>
      <c r="CX14" s="173">
        <v>0.5</v>
      </c>
      <c r="CY14" s="173">
        <v>0.54166666666666663</v>
      </c>
      <c r="CZ14" s="147" t="str">
        <f t="shared" si="17"/>
        <v>8h</v>
      </c>
      <c r="DA14" s="327"/>
      <c r="DB14" s="327"/>
      <c r="DC14" s="327"/>
      <c r="DE14" s="157"/>
      <c r="DF14" s="142">
        <f t="shared" si="42"/>
        <v>46208</v>
      </c>
      <c r="DG14" s="143" t="str">
        <f t="shared" si="18"/>
        <v>日</v>
      </c>
      <c r="DH14" s="143"/>
      <c r="DI14" s="144"/>
      <c r="DJ14" s="144"/>
      <c r="DK14" s="145"/>
      <c r="DL14" s="145"/>
      <c r="DM14" s="146" t="str">
        <f t="shared" si="19"/>
        <v/>
      </c>
      <c r="DN14" s="145"/>
      <c r="DO14" s="145"/>
      <c r="DP14" s="145"/>
      <c r="DQ14" s="145"/>
      <c r="DR14" s="147" t="str">
        <f t="shared" si="20"/>
        <v/>
      </c>
      <c r="DS14" s="327"/>
      <c r="DT14" s="327"/>
      <c r="DU14" s="327"/>
      <c r="DW14" s="157"/>
      <c r="DX14" s="142">
        <f t="shared" si="43"/>
        <v>46239</v>
      </c>
      <c r="DY14" s="143" t="str">
        <f t="shared" si="21"/>
        <v>水</v>
      </c>
      <c r="DZ14" s="143" t="s">
        <v>22</v>
      </c>
      <c r="EA14" s="172">
        <v>0.375</v>
      </c>
      <c r="EB14" s="172">
        <v>0.75</v>
      </c>
      <c r="EC14" s="173">
        <v>0.5</v>
      </c>
      <c r="ED14" s="173">
        <v>0.54166666666666663</v>
      </c>
      <c r="EE14" s="146" t="str">
        <f t="shared" si="22"/>
        <v>8h</v>
      </c>
      <c r="EF14" s="173">
        <v>0.375</v>
      </c>
      <c r="EG14" s="173">
        <v>0.75</v>
      </c>
      <c r="EH14" s="173">
        <v>0.5</v>
      </c>
      <c r="EI14" s="173">
        <v>0.54166666666666663</v>
      </c>
      <c r="EJ14" s="147" t="str">
        <f t="shared" si="23"/>
        <v>8h</v>
      </c>
      <c r="EK14" s="327"/>
      <c r="EL14" s="327"/>
      <c r="EM14" s="327"/>
      <c r="EO14" s="157"/>
      <c r="EP14" s="142">
        <f t="shared" si="44"/>
        <v>46270</v>
      </c>
      <c r="EQ14" s="143" t="str">
        <f t="shared" si="24"/>
        <v>土</v>
      </c>
      <c r="ER14" s="143"/>
      <c r="ES14" s="144"/>
      <c r="ET14" s="144"/>
      <c r="EU14" s="145"/>
      <c r="EV14" s="145"/>
      <c r="EW14" s="146" t="str">
        <f t="shared" si="25"/>
        <v/>
      </c>
      <c r="EX14" s="145"/>
      <c r="EY14" s="145"/>
      <c r="EZ14" s="145"/>
      <c r="FA14" s="145"/>
      <c r="FB14" s="147" t="str">
        <f t="shared" si="26"/>
        <v/>
      </c>
      <c r="FC14" s="327"/>
      <c r="FD14" s="327"/>
      <c r="FE14" s="327"/>
      <c r="FG14" s="157"/>
      <c r="FH14" s="142">
        <f t="shared" si="45"/>
        <v>46300</v>
      </c>
      <c r="FI14" s="143" t="str">
        <f t="shared" si="27"/>
        <v>月</v>
      </c>
      <c r="FJ14" s="143" t="s">
        <v>22</v>
      </c>
      <c r="FK14" s="172">
        <v>0.375</v>
      </c>
      <c r="FL14" s="172">
        <v>0.75</v>
      </c>
      <c r="FM14" s="173">
        <v>0.5</v>
      </c>
      <c r="FN14" s="173">
        <v>0.54166666666666663</v>
      </c>
      <c r="FO14" s="146" t="str">
        <f t="shared" si="28"/>
        <v>8h</v>
      </c>
      <c r="FP14" s="173">
        <v>0.375</v>
      </c>
      <c r="FQ14" s="173">
        <v>0.75</v>
      </c>
      <c r="FR14" s="173">
        <v>0.5</v>
      </c>
      <c r="FS14" s="173">
        <v>0.54166666666666663</v>
      </c>
      <c r="FT14" s="147" t="str">
        <f t="shared" si="29"/>
        <v>8h</v>
      </c>
      <c r="FU14" s="327"/>
      <c r="FV14" s="327"/>
      <c r="FW14" s="327"/>
      <c r="FY14" s="157"/>
      <c r="FZ14" s="142">
        <f t="shared" si="46"/>
        <v>46331</v>
      </c>
      <c r="GA14" s="143" t="str">
        <f t="shared" si="30"/>
        <v>木</v>
      </c>
      <c r="GB14" s="143" t="s">
        <v>22</v>
      </c>
      <c r="GC14" s="172">
        <v>0.375</v>
      </c>
      <c r="GD14" s="172">
        <v>0.75</v>
      </c>
      <c r="GE14" s="173">
        <v>0.5</v>
      </c>
      <c r="GF14" s="173">
        <v>0.54166666666666663</v>
      </c>
      <c r="GG14" s="146" t="str">
        <f t="shared" si="31"/>
        <v>8h</v>
      </c>
      <c r="GH14" s="173">
        <v>0.375</v>
      </c>
      <c r="GI14" s="173">
        <v>0.75</v>
      </c>
      <c r="GJ14" s="173">
        <v>0.5</v>
      </c>
      <c r="GK14" s="173">
        <v>0.54166666666666663</v>
      </c>
      <c r="GL14" s="147" t="str">
        <f t="shared" si="32"/>
        <v>8h</v>
      </c>
      <c r="GM14" s="327"/>
      <c r="GN14" s="327"/>
      <c r="GO14" s="327"/>
      <c r="GQ14" s="157"/>
      <c r="GR14" s="142">
        <f t="shared" si="47"/>
        <v>46361</v>
      </c>
      <c r="GS14" s="143" t="str">
        <f t="shared" si="33"/>
        <v>土</v>
      </c>
      <c r="GT14" s="143"/>
      <c r="GU14" s="144"/>
      <c r="GV14" s="144"/>
      <c r="GW14" s="145"/>
      <c r="GX14" s="145"/>
      <c r="GY14" s="146" t="str">
        <f t="shared" si="34"/>
        <v/>
      </c>
      <c r="GZ14" s="145"/>
      <c r="HA14" s="145"/>
      <c r="HB14" s="145"/>
      <c r="HC14" s="145"/>
      <c r="HD14" s="147" t="str">
        <f t="shared" si="35"/>
        <v/>
      </c>
      <c r="HE14" s="327"/>
      <c r="HF14" s="327"/>
      <c r="HG14" s="327"/>
    </row>
    <row r="15" spans="1:215" x14ac:dyDescent="0.45">
      <c r="A15" s="330"/>
      <c r="B15" s="142">
        <f t="shared" si="36"/>
        <v>46028</v>
      </c>
      <c r="C15" s="143" t="str">
        <f t="shared" si="0"/>
        <v>火</v>
      </c>
      <c r="D15" s="143" t="s">
        <v>22</v>
      </c>
      <c r="E15" s="172">
        <v>0.375</v>
      </c>
      <c r="F15" s="172">
        <v>0.75</v>
      </c>
      <c r="G15" s="173">
        <v>0.5</v>
      </c>
      <c r="H15" s="173">
        <v>0.54166666666666663</v>
      </c>
      <c r="I15" s="146" t="str">
        <f t="shared" si="1"/>
        <v>8h</v>
      </c>
      <c r="J15" s="173">
        <v>0.375</v>
      </c>
      <c r="K15" s="173">
        <v>0.75</v>
      </c>
      <c r="L15" s="173">
        <v>0.5</v>
      </c>
      <c r="M15" s="173">
        <v>0.54166666666666663</v>
      </c>
      <c r="N15" s="147" t="str">
        <f t="shared" si="2"/>
        <v>8h</v>
      </c>
      <c r="O15" s="327"/>
      <c r="P15" s="327"/>
      <c r="Q15" s="327"/>
      <c r="S15" s="157"/>
      <c r="T15" s="142">
        <f t="shared" si="37"/>
        <v>46059</v>
      </c>
      <c r="U15" s="143" t="str">
        <f t="shared" si="3"/>
        <v>金</v>
      </c>
      <c r="V15" s="143" t="s">
        <v>22</v>
      </c>
      <c r="W15" s="172">
        <v>0.375</v>
      </c>
      <c r="X15" s="172">
        <v>0.75</v>
      </c>
      <c r="Y15" s="173">
        <v>0.5</v>
      </c>
      <c r="Z15" s="173">
        <v>0.54166666666666663</v>
      </c>
      <c r="AA15" s="146" t="str">
        <f t="shared" si="4"/>
        <v>8h</v>
      </c>
      <c r="AB15" s="173">
        <v>0.375</v>
      </c>
      <c r="AC15" s="173">
        <v>0.75</v>
      </c>
      <c r="AD15" s="173">
        <v>0.5</v>
      </c>
      <c r="AE15" s="173">
        <v>0.54166666666666663</v>
      </c>
      <c r="AF15" s="147" t="str">
        <f t="shared" si="5"/>
        <v>8h</v>
      </c>
      <c r="AG15" s="327"/>
      <c r="AH15" s="327"/>
      <c r="AI15" s="327"/>
      <c r="AK15" s="157"/>
      <c r="AL15" s="142">
        <f t="shared" si="38"/>
        <v>46087</v>
      </c>
      <c r="AM15" s="143" t="str">
        <f t="shared" si="6"/>
        <v>金</v>
      </c>
      <c r="AN15" s="143" t="s">
        <v>22</v>
      </c>
      <c r="AO15" s="172">
        <v>0.375</v>
      </c>
      <c r="AP15" s="172">
        <v>0.75</v>
      </c>
      <c r="AQ15" s="173">
        <v>0.5</v>
      </c>
      <c r="AR15" s="173">
        <v>0.54166666666666663</v>
      </c>
      <c r="AS15" s="146" t="str">
        <f t="shared" si="7"/>
        <v>8h</v>
      </c>
      <c r="AT15" s="173">
        <v>0.375</v>
      </c>
      <c r="AU15" s="173">
        <v>0.75</v>
      </c>
      <c r="AV15" s="173">
        <v>0.5</v>
      </c>
      <c r="AW15" s="173">
        <v>0.54166666666666663</v>
      </c>
      <c r="AX15" s="147" t="str">
        <f t="shared" si="8"/>
        <v>8h</v>
      </c>
      <c r="AY15" s="327"/>
      <c r="AZ15" s="327"/>
      <c r="BA15" s="327"/>
      <c r="BC15" s="157"/>
      <c r="BD15" s="142">
        <f t="shared" si="39"/>
        <v>46118</v>
      </c>
      <c r="BE15" s="143" t="str">
        <f t="shared" si="9"/>
        <v>月</v>
      </c>
      <c r="BF15" s="143" t="s">
        <v>22</v>
      </c>
      <c r="BG15" s="172">
        <v>0.375</v>
      </c>
      <c r="BH15" s="172">
        <v>0.75</v>
      </c>
      <c r="BI15" s="173">
        <v>0.5</v>
      </c>
      <c r="BJ15" s="173">
        <v>0.54166666666666663</v>
      </c>
      <c r="BK15" s="146" t="str">
        <f t="shared" si="10"/>
        <v>8h</v>
      </c>
      <c r="BL15" s="173">
        <v>0.375</v>
      </c>
      <c r="BM15" s="173">
        <v>0.75</v>
      </c>
      <c r="BN15" s="173">
        <v>0.5</v>
      </c>
      <c r="BO15" s="173">
        <v>0.54166666666666663</v>
      </c>
      <c r="BP15" s="147" t="str">
        <f t="shared" si="11"/>
        <v>8h</v>
      </c>
      <c r="BQ15" s="327"/>
      <c r="BR15" s="327"/>
      <c r="BS15" s="327"/>
      <c r="BU15" s="157"/>
      <c r="BV15" s="142">
        <f t="shared" si="40"/>
        <v>46148</v>
      </c>
      <c r="BW15" s="143" t="str">
        <f t="shared" si="12"/>
        <v>水</v>
      </c>
      <c r="BX15" s="143"/>
      <c r="BY15" s="144"/>
      <c r="BZ15" s="144"/>
      <c r="CA15" s="145"/>
      <c r="CB15" s="145"/>
      <c r="CC15" s="146" t="str">
        <f t="shared" si="13"/>
        <v/>
      </c>
      <c r="CD15" s="145"/>
      <c r="CE15" s="145"/>
      <c r="CF15" s="145"/>
      <c r="CG15" s="145"/>
      <c r="CH15" s="147" t="str">
        <f t="shared" si="14"/>
        <v/>
      </c>
      <c r="CI15" s="327"/>
      <c r="CJ15" s="327"/>
      <c r="CK15" s="327"/>
      <c r="CM15" s="157"/>
      <c r="CN15" s="142">
        <f t="shared" si="41"/>
        <v>46179</v>
      </c>
      <c r="CO15" s="143" t="str">
        <f t="shared" si="15"/>
        <v>土</v>
      </c>
      <c r="CP15" s="143"/>
      <c r="CQ15" s="144"/>
      <c r="CR15" s="144"/>
      <c r="CS15" s="145"/>
      <c r="CT15" s="145"/>
      <c r="CU15" s="146" t="str">
        <f t="shared" si="16"/>
        <v/>
      </c>
      <c r="CV15" s="145"/>
      <c r="CW15" s="145"/>
      <c r="CX15" s="145"/>
      <c r="CY15" s="145"/>
      <c r="CZ15" s="147" t="str">
        <f t="shared" si="17"/>
        <v/>
      </c>
      <c r="DA15" s="327"/>
      <c r="DB15" s="327"/>
      <c r="DC15" s="327"/>
      <c r="DE15" s="157"/>
      <c r="DF15" s="142">
        <f t="shared" si="42"/>
        <v>46209</v>
      </c>
      <c r="DG15" s="143" t="str">
        <f t="shared" si="18"/>
        <v>月</v>
      </c>
      <c r="DH15" s="143" t="s">
        <v>22</v>
      </c>
      <c r="DI15" s="172">
        <v>0.375</v>
      </c>
      <c r="DJ15" s="172">
        <v>0.75</v>
      </c>
      <c r="DK15" s="173">
        <v>0.5</v>
      </c>
      <c r="DL15" s="173">
        <v>0.54166666666666663</v>
      </c>
      <c r="DM15" s="146" t="str">
        <f t="shared" si="19"/>
        <v>8h</v>
      </c>
      <c r="DN15" s="173">
        <v>0.375</v>
      </c>
      <c r="DO15" s="173">
        <v>0.75</v>
      </c>
      <c r="DP15" s="173">
        <v>0.5</v>
      </c>
      <c r="DQ15" s="173">
        <v>0.54166666666666663</v>
      </c>
      <c r="DR15" s="147" t="str">
        <f t="shared" si="20"/>
        <v>8h</v>
      </c>
      <c r="DS15" s="327"/>
      <c r="DT15" s="327"/>
      <c r="DU15" s="327"/>
      <c r="DW15" s="157"/>
      <c r="DX15" s="142">
        <f t="shared" si="43"/>
        <v>46240</v>
      </c>
      <c r="DY15" s="143" t="str">
        <f t="shared" si="21"/>
        <v>木</v>
      </c>
      <c r="DZ15" s="143" t="s">
        <v>22</v>
      </c>
      <c r="EA15" s="172">
        <v>0.375</v>
      </c>
      <c r="EB15" s="172">
        <v>0.75</v>
      </c>
      <c r="EC15" s="173">
        <v>0.5</v>
      </c>
      <c r="ED15" s="173">
        <v>0.54166666666666663</v>
      </c>
      <c r="EE15" s="146" t="str">
        <f t="shared" si="22"/>
        <v>8h</v>
      </c>
      <c r="EF15" s="173">
        <v>0.375</v>
      </c>
      <c r="EG15" s="173">
        <v>0.75</v>
      </c>
      <c r="EH15" s="173">
        <v>0.5</v>
      </c>
      <c r="EI15" s="173">
        <v>0.54166666666666663</v>
      </c>
      <c r="EJ15" s="147" t="str">
        <f t="shared" si="23"/>
        <v>8h</v>
      </c>
      <c r="EK15" s="327"/>
      <c r="EL15" s="327"/>
      <c r="EM15" s="327"/>
      <c r="EO15" s="157"/>
      <c r="EP15" s="142">
        <f t="shared" si="44"/>
        <v>46271</v>
      </c>
      <c r="EQ15" s="143" t="str">
        <f t="shared" si="24"/>
        <v>日</v>
      </c>
      <c r="ER15" s="143"/>
      <c r="ES15" s="144"/>
      <c r="ET15" s="144"/>
      <c r="EU15" s="145"/>
      <c r="EV15" s="145"/>
      <c r="EW15" s="146" t="str">
        <f t="shared" si="25"/>
        <v/>
      </c>
      <c r="EX15" s="145"/>
      <c r="EY15" s="145"/>
      <c r="EZ15" s="145"/>
      <c r="FA15" s="145"/>
      <c r="FB15" s="147" t="str">
        <f t="shared" si="26"/>
        <v/>
      </c>
      <c r="FC15" s="327"/>
      <c r="FD15" s="327"/>
      <c r="FE15" s="327"/>
      <c r="FG15" s="157"/>
      <c r="FH15" s="142">
        <f t="shared" si="45"/>
        <v>46301</v>
      </c>
      <c r="FI15" s="143" t="str">
        <f t="shared" si="27"/>
        <v>火</v>
      </c>
      <c r="FJ15" s="143" t="s">
        <v>22</v>
      </c>
      <c r="FK15" s="172">
        <v>0.375</v>
      </c>
      <c r="FL15" s="172">
        <v>0.75</v>
      </c>
      <c r="FM15" s="173">
        <v>0.5</v>
      </c>
      <c r="FN15" s="173">
        <v>0.54166666666666663</v>
      </c>
      <c r="FO15" s="146" t="str">
        <f t="shared" si="28"/>
        <v>8h</v>
      </c>
      <c r="FP15" s="173">
        <v>0.375</v>
      </c>
      <c r="FQ15" s="173">
        <v>0.75</v>
      </c>
      <c r="FR15" s="173">
        <v>0.5</v>
      </c>
      <c r="FS15" s="173">
        <v>0.54166666666666663</v>
      </c>
      <c r="FT15" s="147" t="str">
        <f t="shared" si="29"/>
        <v>8h</v>
      </c>
      <c r="FU15" s="327"/>
      <c r="FV15" s="327"/>
      <c r="FW15" s="327"/>
      <c r="FY15" s="157"/>
      <c r="FZ15" s="142">
        <f t="shared" si="46"/>
        <v>46332</v>
      </c>
      <c r="GA15" s="143" t="str">
        <f t="shared" si="30"/>
        <v>金</v>
      </c>
      <c r="GB15" s="143" t="s">
        <v>22</v>
      </c>
      <c r="GC15" s="172">
        <v>0.375</v>
      </c>
      <c r="GD15" s="172">
        <v>0.75</v>
      </c>
      <c r="GE15" s="173">
        <v>0.5</v>
      </c>
      <c r="GF15" s="173">
        <v>0.54166666666666663</v>
      </c>
      <c r="GG15" s="146" t="str">
        <f t="shared" si="31"/>
        <v>8h</v>
      </c>
      <c r="GH15" s="173">
        <v>0.375</v>
      </c>
      <c r="GI15" s="173">
        <v>0.75</v>
      </c>
      <c r="GJ15" s="173">
        <v>0.5</v>
      </c>
      <c r="GK15" s="173">
        <v>0.54166666666666663</v>
      </c>
      <c r="GL15" s="147" t="str">
        <f t="shared" si="32"/>
        <v>8h</v>
      </c>
      <c r="GM15" s="327"/>
      <c r="GN15" s="327"/>
      <c r="GO15" s="327"/>
      <c r="GQ15" s="157"/>
      <c r="GR15" s="142">
        <f t="shared" si="47"/>
        <v>46362</v>
      </c>
      <c r="GS15" s="143" t="str">
        <f t="shared" si="33"/>
        <v>日</v>
      </c>
      <c r="GT15" s="143"/>
      <c r="GU15" s="144"/>
      <c r="GV15" s="144"/>
      <c r="GW15" s="145"/>
      <c r="GX15" s="145"/>
      <c r="GY15" s="146" t="str">
        <f t="shared" si="34"/>
        <v/>
      </c>
      <c r="GZ15" s="145"/>
      <c r="HA15" s="145"/>
      <c r="HB15" s="145"/>
      <c r="HC15" s="145"/>
      <c r="HD15" s="147" t="str">
        <f t="shared" si="35"/>
        <v/>
      </c>
      <c r="HE15" s="327"/>
      <c r="HF15" s="327"/>
      <c r="HG15" s="327"/>
    </row>
    <row r="16" spans="1:215" x14ac:dyDescent="0.45">
      <c r="A16" s="157"/>
      <c r="B16" s="142">
        <f t="shared" si="36"/>
        <v>46029</v>
      </c>
      <c r="C16" s="143" t="str">
        <f t="shared" si="0"/>
        <v>水</v>
      </c>
      <c r="D16" s="143" t="s">
        <v>22</v>
      </c>
      <c r="E16" s="172">
        <v>0.375</v>
      </c>
      <c r="F16" s="172">
        <v>0.75</v>
      </c>
      <c r="G16" s="173">
        <v>0.5</v>
      </c>
      <c r="H16" s="173">
        <v>0.54166666666666663</v>
      </c>
      <c r="I16" s="146" t="str">
        <f t="shared" si="1"/>
        <v>8h</v>
      </c>
      <c r="J16" s="173">
        <v>0.375</v>
      </c>
      <c r="K16" s="173">
        <v>0.75</v>
      </c>
      <c r="L16" s="173">
        <v>0.5</v>
      </c>
      <c r="M16" s="173">
        <v>0.54166666666666663</v>
      </c>
      <c r="N16" s="147" t="str">
        <f t="shared" si="2"/>
        <v>8h</v>
      </c>
      <c r="O16" s="327"/>
      <c r="P16" s="327"/>
      <c r="Q16" s="327"/>
      <c r="S16" s="157"/>
      <c r="T16" s="142">
        <f t="shared" si="37"/>
        <v>46060</v>
      </c>
      <c r="U16" s="143" t="str">
        <f t="shared" si="3"/>
        <v>土</v>
      </c>
      <c r="V16" s="143"/>
      <c r="W16" s="144"/>
      <c r="X16" s="144"/>
      <c r="Y16" s="145"/>
      <c r="Z16" s="145"/>
      <c r="AA16" s="146" t="str">
        <f t="shared" si="4"/>
        <v/>
      </c>
      <c r="AB16" s="145"/>
      <c r="AC16" s="145"/>
      <c r="AD16" s="145"/>
      <c r="AE16" s="145"/>
      <c r="AF16" s="147" t="str">
        <f t="shared" si="5"/>
        <v/>
      </c>
      <c r="AG16" s="327"/>
      <c r="AH16" s="327"/>
      <c r="AI16" s="327"/>
      <c r="AK16" s="157"/>
      <c r="AL16" s="142">
        <f t="shared" si="38"/>
        <v>46088</v>
      </c>
      <c r="AM16" s="143" t="str">
        <f t="shared" si="6"/>
        <v>土</v>
      </c>
      <c r="AN16" s="143"/>
      <c r="AO16" s="144"/>
      <c r="AP16" s="144"/>
      <c r="AQ16" s="145"/>
      <c r="AR16" s="145"/>
      <c r="AS16" s="146" t="str">
        <f t="shared" si="7"/>
        <v/>
      </c>
      <c r="AT16" s="145"/>
      <c r="AU16" s="145"/>
      <c r="AV16" s="145"/>
      <c r="AW16" s="145"/>
      <c r="AX16" s="147" t="str">
        <f t="shared" si="8"/>
        <v/>
      </c>
      <c r="AY16" s="327"/>
      <c r="AZ16" s="327"/>
      <c r="BA16" s="327"/>
      <c r="BC16" s="157"/>
      <c r="BD16" s="142">
        <f t="shared" si="39"/>
        <v>46119</v>
      </c>
      <c r="BE16" s="143" t="str">
        <f t="shared" si="9"/>
        <v>火</v>
      </c>
      <c r="BF16" s="143" t="s">
        <v>22</v>
      </c>
      <c r="BG16" s="172">
        <v>0.375</v>
      </c>
      <c r="BH16" s="172">
        <v>0.75</v>
      </c>
      <c r="BI16" s="173">
        <v>0.5</v>
      </c>
      <c r="BJ16" s="173">
        <v>0.54166666666666663</v>
      </c>
      <c r="BK16" s="146" t="str">
        <f t="shared" si="10"/>
        <v>8h</v>
      </c>
      <c r="BL16" s="173">
        <v>0.375</v>
      </c>
      <c r="BM16" s="173">
        <v>0.75</v>
      </c>
      <c r="BN16" s="173">
        <v>0.5</v>
      </c>
      <c r="BO16" s="173">
        <v>0.54166666666666663</v>
      </c>
      <c r="BP16" s="147" t="str">
        <f t="shared" si="11"/>
        <v>8h</v>
      </c>
      <c r="BQ16" s="327"/>
      <c r="BR16" s="327"/>
      <c r="BS16" s="327"/>
      <c r="BU16" s="157"/>
      <c r="BV16" s="142">
        <f t="shared" si="40"/>
        <v>46149</v>
      </c>
      <c r="BW16" s="143" t="str">
        <f t="shared" si="12"/>
        <v>木</v>
      </c>
      <c r="BX16" s="143" t="s">
        <v>22</v>
      </c>
      <c r="BY16" s="172">
        <v>0.375</v>
      </c>
      <c r="BZ16" s="172">
        <v>0.75</v>
      </c>
      <c r="CA16" s="173">
        <v>0.5</v>
      </c>
      <c r="CB16" s="173">
        <v>0.54166666666666663</v>
      </c>
      <c r="CC16" s="146" t="str">
        <f t="shared" si="13"/>
        <v>8h</v>
      </c>
      <c r="CD16" s="173">
        <v>0.375</v>
      </c>
      <c r="CE16" s="173">
        <v>0.75</v>
      </c>
      <c r="CF16" s="173">
        <v>0.5</v>
      </c>
      <c r="CG16" s="173">
        <v>0.54166666666666663</v>
      </c>
      <c r="CH16" s="147" t="str">
        <f t="shared" si="14"/>
        <v>8h</v>
      </c>
      <c r="CI16" s="327"/>
      <c r="CJ16" s="327"/>
      <c r="CK16" s="327"/>
      <c r="CM16" s="157"/>
      <c r="CN16" s="142">
        <f t="shared" si="41"/>
        <v>46180</v>
      </c>
      <c r="CO16" s="143" t="str">
        <f t="shared" si="15"/>
        <v>日</v>
      </c>
      <c r="CP16" s="143"/>
      <c r="CQ16" s="144"/>
      <c r="CR16" s="144"/>
      <c r="CS16" s="145"/>
      <c r="CT16" s="145"/>
      <c r="CU16" s="146" t="str">
        <f t="shared" si="16"/>
        <v/>
      </c>
      <c r="CV16" s="145"/>
      <c r="CW16" s="145"/>
      <c r="CX16" s="145"/>
      <c r="CY16" s="145"/>
      <c r="CZ16" s="147" t="str">
        <f t="shared" si="17"/>
        <v/>
      </c>
      <c r="DA16" s="327"/>
      <c r="DB16" s="327"/>
      <c r="DC16" s="327"/>
      <c r="DE16" s="157"/>
      <c r="DF16" s="142">
        <f t="shared" si="42"/>
        <v>46210</v>
      </c>
      <c r="DG16" s="143" t="str">
        <f t="shared" si="18"/>
        <v>火</v>
      </c>
      <c r="DH16" s="143" t="s">
        <v>22</v>
      </c>
      <c r="DI16" s="172">
        <v>0.375</v>
      </c>
      <c r="DJ16" s="172">
        <v>0.75</v>
      </c>
      <c r="DK16" s="173">
        <v>0.5</v>
      </c>
      <c r="DL16" s="173">
        <v>0.54166666666666663</v>
      </c>
      <c r="DM16" s="146" t="str">
        <f t="shared" si="19"/>
        <v>8h</v>
      </c>
      <c r="DN16" s="173">
        <v>0.375</v>
      </c>
      <c r="DO16" s="173">
        <v>0.75</v>
      </c>
      <c r="DP16" s="173">
        <v>0.5</v>
      </c>
      <c r="DQ16" s="173">
        <v>0.54166666666666663</v>
      </c>
      <c r="DR16" s="147" t="str">
        <f t="shared" si="20"/>
        <v>8h</v>
      </c>
      <c r="DS16" s="327"/>
      <c r="DT16" s="327"/>
      <c r="DU16" s="327"/>
      <c r="DW16" s="157"/>
      <c r="DX16" s="142">
        <f t="shared" si="43"/>
        <v>46241</v>
      </c>
      <c r="DY16" s="143" t="str">
        <f t="shared" si="21"/>
        <v>金</v>
      </c>
      <c r="DZ16" s="143" t="s">
        <v>22</v>
      </c>
      <c r="EA16" s="172">
        <v>0.375</v>
      </c>
      <c r="EB16" s="172">
        <v>0.75</v>
      </c>
      <c r="EC16" s="173">
        <v>0.5</v>
      </c>
      <c r="ED16" s="173">
        <v>0.54166666666666663</v>
      </c>
      <c r="EE16" s="146" t="str">
        <f t="shared" si="22"/>
        <v>8h</v>
      </c>
      <c r="EF16" s="173">
        <v>0.375</v>
      </c>
      <c r="EG16" s="173">
        <v>0.75</v>
      </c>
      <c r="EH16" s="173">
        <v>0.5</v>
      </c>
      <c r="EI16" s="173">
        <v>0.54166666666666663</v>
      </c>
      <c r="EJ16" s="147" t="str">
        <f t="shared" si="23"/>
        <v>8h</v>
      </c>
      <c r="EK16" s="327"/>
      <c r="EL16" s="327"/>
      <c r="EM16" s="327"/>
      <c r="EO16" s="157"/>
      <c r="EP16" s="142">
        <f t="shared" si="44"/>
        <v>46272</v>
      </c>
      <c r="EQ16" s="143" t="str">
        <f t="shared" si="24"/>
        <v>月</v>
      </c>
      <c r="ER16" s="143" t="s">
        <v>22</v>
      </c>
      <c r="ES16" s="172">
        <v>0.375</v>
      </c>
      <c r="ET16" s="172">
        <v>0.75</v>
      </c>
      <c r="EU16" s="173">
        <v>0.5</v>
      </c>
      <c r="EV16" s="173">
        <v>0.54166666666666663</v>
      </c>
      <c r="EW16" s="146" t="str">
        <f t="shared" si="25"/>
        <v>8h</v>
      </c>
      <c r="EX16" s="173">
        <v>0.375</v>
      </c>
      <c r="EY16" s="173">
        <v>0.75</v>
      </c>
      <c r="EZ16" s="173">
        <v>0.5</v>
      </c>
      <c r="FA16" s="173">
        <v>0.54166666666666663</v>
      </c>
      <c r="FB16" s="147" t="str">
        <f t="shared" si="26"/>
        <v>8h</v>
      </c>
      <c r="FC16" s="327"/>
      <c r="FD16" s="327"/>
      <c r="FE16" s="327"/>
      <c r="FG16" s="157"/>
      <c r="FH16" s="142">
        <f t="shared" si="45"/>
        <v>46302</v>
      </c>
      <c r="FI16" s="143" t="str">
        <f t="shared" si="27"/>
        <v>水</v>
      </c>
      <c r="FJ16" s="143" t="s">
        <v>22</v>
      </c>
      <c r="FK16" s="172">
        <v>0.375</v>
      </c>
      <c r="FL16" s="172">
        <v>0.75</v>
      </c>
      <c r="FM16" s="173">
        <v>0.5</v>
      </c>
      <c r="FN16" s="173">
        <v>0.54166666666666663</v>
      </c>
      <c r="FO16" s="146" t="str">
        <f t="shared" si="28"/>
        <v>8h</v>
      </c>
      <c r="FP16" s="173">
        <v>0.375</v>
      </c>
      <c r="FQ16" s="173">
        <v>0.75</v>
      </c>
      <c r="FR16" s="173">
        <v>0.5</v>
      </c>
      <c r="FS16" s="173">
        <v>0.54166666666666663</v>
      </c>
      <c r="FT16" s="147" t="str">
        <f t="shared" si="29"/>
        <v>8h</v>
      </c>
      <c r="FU16" s="327"/>
      <c r="FV16" s="327"/>
      <c r="FW16" s="327"/>
      <c r="FY16" s="157"/>
      <c r="FZ16" s="142">
        <f t="shared" si="46"/>
        <v>46333</v>
      </c>
      <c r="GA16" s="143" t="str">
        <f t="shared" si="30"/>
        <v>土</v>
      </c>
      <c r="GB16" s="143"/>
      <c r="GC16" s="144"/>
      <c r="GD16" s="144"/>
      <c r="GE16" s="145"/>
      <c r="GF16" s="145"/>
      <c r="GG16" s="146" t="str">
        <f t="shared" si="31"/>
        <v/>
      </c>
      <c r="GH16" s="145"/>
      <c r="GI16" s="145"/>
      <c r="GJ16" s="145"/>
      <c r="GK16" s="145"/>
      <c r="GL16" s="147" t="str">
        <f t="shared" si="32"/>
        <v/>
      </c>
      <c r="GM16" s="327"/>
      <c r="GN16" s="327"/>
      <c r="GO16" s="327"/>
      <c r="GQ16" s="157"/>
      <c r="GR16" s="142">
        <f t="shared" si="47"/>
        <v>46363</v>
      </c>
      <c r="GS16" s="143" t="str">
        <f t="shared" si="33"/>
        <v>月</v>
      </c>
      <c r="GT16" s="143" t="s">
        <v>22</v>
      </c>
      <c r="GU16" s="172">
        <v>0.375</v>
      </c>
      <c r="GV16" s="172">
        <v>0.75</v>
      </c>
      <c r="GW16" s="173">
        <v>0.5</v>
      </c>
      <c r="GX16" s="173">
        <v>0.54166666666666663</v>
      </c>
      <c r="GY16" s="146" t="str">
        <f t="shared" si="34"/>
        <v>8h</v>
      </c>
      <c r="GZ16" s="173">
        <v>0.375</v>
      </c>
      <c r="HA16" s="173">
        <v>0.75</v>
      </c>
      <c r="HB16" s="173">
        <v>0.5</v>
      </c>
      <c r="HC16" s="173">
        <v>0.54166666666666663</v>
      </c>
      <c r="HD16" s="147" t="str">
        <f t="shared" si="35"/>
        <v>8h</v>
      </c>
      <c r="HE16" s="327"/>
      <c r="HF16" s="327"/>
      <c r="HG16" s="327"/>
    </row>
    <row r="17" spans="1:215" x14ac:dyDescent="0.45">
      <c r="A17" s="157"/>
      <c r="B17" s="142">
        <f t="shared" si="36"/>
        <v>46030</v>
      </c>
      <c r="C17" s="143" t="str">
        <f t="shared" si="0"/>
        <v>木</v>
      </c>
      <c r="D17" s="143" t="s">
        <v>22</v>
      </c>
      <c r="E17" s="172">
        <v>0.375</v>
      </c>
      <c r="F17" s="172">
        <v>0.75</v>
      </c>
      <c r="G17" s="173">
        <v>0.5</v>
      </c>
      <c r="H17" s="173">
        <v>0.54166666666666663</v>
      </c>
      <c r="I17" s="146" t="str">
        <f t="shared" si="1"/>
        <v>8h</v>
      </c>
      <c r="J17" s="173">
        <v>0.375</v>
      </c>
      <c r="K17" s="173">
        <v>0.75</v>
      </c>
      <c r="L17" s="173">
        <v>0.5</v>
      </c>
      <c r="M17" s="173">
        <v>0.54166666666666663</v>
      </c>
      <c r="N17" s="147" t="str">
        <f t="shared" si="2"/>
        <v>8h</v>
      </c>
      <c r="O17" s="327"/>
      <c r="P17" s="327"/>
      <c r="Q17" s="327"/>
      <c r="S17" s="157"/>
      <c r="T17" s="142">
        <f t="shared" si="37"/>
        <v>46061</v>
      </c>
      <c r="U17" s="143" t="str">
        <f t="shared" si="3"/>
        <v>日</v>
      </c>
      <c r="V17" s="143"/>
      <c r="W17" s="144"/>
      <c r="X17" s="144"/>
      <c r="Y17" s="145"/>
      <c r="Z17" s="145"/>
      <c r="AA17" s="146" t="str">
        <f t="shared" si="4"/>
        <v/>
      </c>
      <c r="AB17" s="145"/>
      <c r="AC17" s="145"/>
      <c r="AD17" s="145"/>
      <c r="AE17" s="145"/>
      <c r="AF17" s="147" t="str">
        <f t="shared" si="5"/>
        <v/>
      </c>
      <c r="AG17" s="327"/>
      <c r="AH17" s="327"/>
      <c r="AI17" s="327"/>
      <c r="AK17" s="157"/>
      <c r="AL17" s="142">
        <f t="shared" si="38"/>
        <v>46089</v>
      </c>
      <c r="AM17" s="143" t="str">
        <f t="shared" si="6"/>
        <v>日</v>
      </c>
      <c r="AN17" s="143"/>
      <c r="AO17" s="144"/>
      <c r="AP17" s="144"/>
      <c r="AQ17" s="145"/>
      <c r="AR17" s="145"/>
      <c r="AS17" s="146" t="str">
        <f t="shared" si="7"/>
        <v/>
      </c>
      <c r="AT17" s="145"/>
      <c r="AU17" s="145"/>
      <c r="AV17" s="145"/>
      <c r="AW17" s="145"/>
      <c r="AX17" s="147" t="str">
        <f t="shared" si="8"/>
        <v/>
      </c>
      <c r="AY17" s="327"/>
      <c r="AZ17" s="327"/>
      <c r="BA17" s="327"/>
      <c r="BC17" s="157"/>
      <c r="BD17" s="142">
        <f t="shared" si="39"/>
        <v>46120</v>
      </c>
      <c r="BE17" s="143" t="str">
        <f t="shared" si="9"/>
        <v>水</v>
      </c>
      <c r="BF17" s="143" t="s">
        <v>22</v>
      </c>
      <c r="BG17" s="172">
        <v>0.375</v>
      </c>
      <c r="BH17" s="172">
        <v>0.75</v>
      </c>
      <c r="BI17" s="173">
        <v>0.5</v>
      </c>
      <c r="BJ17" s="173">
        <v>0.54166666666666663</v>
      </c>
      <c r="BK17" s="146" t="str">
        <f t="shared" si="10"/>
        <v>8h</v>
      </c>
      <c r="BL17" s="173">
        <v>0.375</v>
      </c>
      <c r="BM17" s="173">
        <v>0.75</v>
      </c>
      <c r="BN17" s="173">
        <v>0.5</v>
      </c>
      <c r="BO17" s="173">
        <v>0.54166666666666663</v>
      </c>
      <c r="BP17" s="147" t="str">
        <f t="shared" si="11"/>
        <v>8h</v>
      </c>
      <c r="BQ17" s="327"/>
      <c r="BR17" s="327"/>
      <c r="BS17" s="327"/>
      <c r="BU17" s="157"/>
      <c r="BV17" s="142">
        <f t="shared" si="40"/>
        <v>46150</v>
      </c>
      <c r="BW17" s="143" t="str">
        <f t="shared" si="12"/>
        <v>金</v>
      </c>
      <c r="BX17" s="143" t="s">
        <v>22</v>
      </c>
      <c r="BY17" s="172">
        <v>0.375</v>
      </c>
      <c r="BZ17" s="172">
        <v>0.75</v>
      </c>
      <c r="CA17" s="173">
        <v>0.5</v>
      </c>
      <c r="CB17" s="173">
        <v>0.54166666666666663</v>
      </c>
      <c r="CC17" s="146" t="str">
        <f t="shared" si="13"/>
        <v>8h</v>
      </c>
      <c r="CD17" s="173">
        <v>0.375</v>
      </c>
      <c r="CE17" s="173">
        <v>0.75</v>
      </c>
      <c r="CF17" s="173">
        <v>0.5</v>
      </c>
      <c r="CG17" s="173">
        <v>0.54166666666666663</v>
      </c>
      <c r="CH17" s="147" t="str">
        <f t="shared" si="14"/>
        <v>8h</v>
      </c>
      <c r="CI17" s="327"/>
      <c r="CJ17" s="327"/>
      <c r="CK17" s="327"/>
      <c r="CM17" s="157"/>
      <c r="CN17" s="142">
        <f t="shared" si="41"/>
        <v>46181</v>
      </c>
      <c r="CO17" s="143" t="str">
        <f t="shared" si="15"/>
        <v>月</v>
      </c>
      <c r="CP17" s="143" t="s">
        <v>22</v>
      </c>
      <c r="CQ17" s="172">
        <v>0.375</v>
      </c>
      <c r="CR17" s="172">
        <v>0.75</v>
      </c>
      <c r="CS17" s="173">
        <v>0.5</v>
      </c>
      <c r="CT17" s="173">
        <v>0.54166666666666663</v>
      </c>
      <c r="CU17" s="146" t="str">
        <f t="shared" si="16"/>
        <v>8h</v>
      </c>
      <c r="CV17" s="173">
        <v>0.375</v>
      </c>
      <c r="CW17" s="173">
        <v>0.75</v>
      </c>
      <c r="CX17" s="173">
        <v>0.5</v>
      </c>
      <c r="CY17" s="173">
        <v>0.54166666666666663</v>
      </c>
      <c r="CZ17" s="147" t="str">
        <f t="shared" si="17"/>
        <v>8h</v>
      </c>
      <c r="DA17" s="327"/>
      <c r="DB17" s="327"/>
      <c r="DC17" s="327"/>
      <c r="DE17" s="157"/>
      <c r="DF17" s="142">
        <f t="shared" si="42"/>
        <v>46211</v>
      </c>
      <c r="DG17" s="143" t="str">
        <f t="shared" si="18"/>
        <v>水</v>
      </c>
      <c r="DH17" s="143" t="s">
        <v>22</v>
      </c>
      <c r="DI17" s="172">
        <v>0.375</v>
      </c>
      <c r="DJ17" s="172">
        <v>0.75</v>
      </c>
      <c r="DK17" s="173">
        <v>0.5</v>
      </c>
      <c r="DL17" s="173">
        <v>0.54166666666666663</v>
      </c>
      <c r="DM17" s="146" t="str">
        <f t="shared" si="19"/>
        <v>8h</v>
      </c>
      <c r="DN17" s="173">
        <v>0.375</v>
      </c>
      <c r="DO17" s="173">
        <v>0.75</v>
      </c>
      <c r="DP17" s="173">
        <v>0.5</v>
      </c>
      <c r="DQ17" s="173">
        <v>0.54166666666666663</v>
      </c>
      <c r="DR17" s="147" t="str">
        <f t="shared" si="20"/>
        <v>8h</v>
      </c>
      <c r="DS17" s="327"/>
      <c r="DT17" s="327"/>
      <c r="DU17" s="327"/>
      <c r="DW17" s="157"/>
      <c r="DX17" s="142">
        <f t="shared" si="43"/>
        <v>46242</v>
      </c>
      <c r="DY17" s="143" t="str">
        <f t="shared" si="21"/>
        <v>土</v>
      </c>
      <c r="DZ17" s="143"/>
      <c r="EA17" s="144"/>
      <c r="EB17" s="144"/>
      <c r="EC17" s="145"/>
      <c r="ED17" s="145"/>
      <c r="EE17" s="146" t="str">
        <f t="shared" si="22"/>
        <v/>
      </c>
      <c r="EF17" s="145"/>
      <c r="EG17" s="145"/>
      <c r="EH17" s="145"/>
      <c r="EI17" s="145"/>
      <c r="EJ17" s="147" t="str">
        <f t="shared" si="23"/>
        <v/>
      </c>
      <c r="EK17" s="327"/>
      <c r="EL17" s="327"/>
      <c r="EM17" s="327"/>
      <c r="EO17" s="157"/>
      <c r="EP17" s="142">
        <f t="shared" si="44"/>
        <v>46273</v>
      </c>
      <c r="EQ17" s="143" t="str">
        <f t="shared" si="24"/>
        <v>火</v>
      </c>
      <c r="ER17" s="143" t="s">
        <v>22</v>
      </c>
      <c r="ES17" s="172">
        <v>0.375</v>
      </c>
      <c r="ET17" s="172">
        <v>0.75</v>
      </c>
      <c r="EU17" s="173">
        <v>0.5</v>
      </c>
      <c r="EV17" s="173">
        <v>0.54166666666666663</v>
      </c>
      <c r="EW17" s="146" t="str">
        <f t="shared" si="25"/>
        <v>8h</v>
      </c>
      <c r="EX17" s="173">
        <v>0.375</v>
      </c>
      <c r="EY17" s="173">
        <v>0.75</v>
      </c>
      <c r="EZ17" s="173">
        <v>0.5</v>
      </c>
      <c r="FA17" s="173">
        <v>0.54166666666666663</v>
      </c>
      <c r="FB17" s="147" t="str">
        <f t="shared" si="26"/>
        <v>8h</v>
      </c>
      <c r="FC17" s="327"/>
      <c r="FD17" s="327"/>
      <c r="FE17" s="327"/>
      <c r="FG17" s="157"/>
      <c r="FH17" s="142">
        <f t="shared" si="45"/>
        <v>46303</v>
      </c>
      <c r="FI17" s="143" t="str">
        <f t="shared" si="27"/>
        <v>木</v>
      </c>
      <c r="FJ17" s="143" t="s">
        <v>22</v>
      </c>
      <c r="FK17" s="172">
        <v>0.375</v>
      </c>
      <c r="FL17" s="172">
        <v>0.75</v>
      </c>
      <c r="FM17" s="173">
        <v>0.5</v>
      </c>
      <c r="FN17" s="173">
        <v>0.54166666666666663</v>
      </c>
      <c r="FO17" s="146" t="str">
        <f t="shared" si="28"/>
        <v>8h</v>
      </c>
      <c r="FP17" s="173">
        <v>0.375</v>
      </c>
      <c r="FQ17" s="173">
        <v>0.75</v>
      </c>
      <c r="FR17" s="173">
        <v>0.5</v>
      </c>
      <c r="FS17" s="173">
        <v>0.54166666666666663</v>
      </c>
      <c r="FT17" s="147" t="str">
        <f t="shared" si="29"/>
        <v>8h</v>
      </c>
      <c r="FU17" s="327"/>
      <c r="FV17" s="327"/>
      <c r="FW17" s="327"/>
      <c r="FY17" s="157"/>
      <c r="FZ17" s="142">
        <f t="shared" si="46"/>
        <v>46334</v>
      </c>
      <c r="GA17" s="143" t="str">
        <f t="shared" si="30"/>
        <v>日</v>
      </c>
      <c r="GB17" s="143"/>
      <c r="GC17" s="144"/>
      <c r="GD17" s="144"/>
      <c r="GE17" s="145"/>
      <c r="GF17" s="145"/>
      <c r="GG17" s="146" t="str">
        <f t="shared" si="31"/>
        <v/>
      </c>
      <c r="GH17" s="145"/>
      <c r="GI17" s="145"/>
      <c r="GJ17" s="145"/>
      <c r="GK17" s="145"/>
      <c r="GL17" s="147" t="str">
        <f t="shared" si="32"/>
        <v/>
      </c>
      <c r="GM17" s="327"/>
      <c r="GN17" s="327"/>
      <c r="GO17" s="327"/>
      <c r="GQ17" s="157"/>
      <c r="GR17" s="142">
        <f t="shared" si="47"/>
        <v>46364</v>
      </c>
      <c r="GS17" s="143" t="str">
        <f t="shared" si="33"/>
        <v>火</v>
      </c>
      <c r="GT17" s="143" t="s">
        <v>22</v>
      </c>
      <c r="GU17" s="172">
        <v>0.375</v>
      </c>
      <c r="GV17" s="172">
        <v>0.75</v>
      </c>
      <c r="GW17" s="173">
        <v>0.5</v>
      </c>
      <c r="GX17" s="173">
        <v>0.54166666666666663</v>
      </c>
      <c r="GY17" s="146" t="str">
        <f t="shared" si="34"/>
        <v>8h</v>
      </c>
      <c r="GZ17" s="173">
        <v>0.375</v>
      </c>
      <c r="HA17" s="173">
        <v>0.75</v>
      </c>
      <c r="HB17" s="173">
        <v>0.5</v>
      </c>
      <c r="HC17" s="173">
        <v>0.54166666666666663</v>
      </c>
      <c r="HD17" s="147" t="str">
        <f t="shared" si="35"/>
        <v>8h</v>
      </c>
      <c r="HE17" s="327"/>
      <c r="HF17" s="327"/>
      <c r="HG17" s="327"/>
    </row>
    <row r="18" spans="1:215" x14ac:dyDescent="0.45">
      <c r="A18" s="157"/>
      <c r="B18" s="142">
        <f t="shared" si="36"/>
        <v>46031</v>
      </c>
      <c r="C18" s="143" t="str">
        <f t="shared" si="0"/>
        <v>金</v>
      </c>
      <c r="D18" s="143" t="s">
        <v>22</v>
      </c>
      <c r="E18" s="172">
        <v>0.375</v>
      </c>
      <c r="F18" s="172">
        <v>0.75</v>
      </c>
      <c r="G18" s="173">
        <v>0.5</v>
      </c>
      <c r="H18" s="173">
        <v>0.54166666666666663</v>
      </c>
      <c r="I18" s="146" t="str">
        <f t="shared" si="1"/>
        <v>8h</v>
      </c>
      <c r="J18" s="173">
        <v>0.375</v>
      </c>
      <c r="K18" s="173">
        <v>0.75</v>
      </c>
      <c r="L18" s="173">
        <v>0.5</v>
      </c>
      <c r="M18" s="173">
        <v>0.54166666666666663</v>
      </c>
      <c r="N18" s="147" t="str">
        <f t="shared" si="2"/>
        <v>8h</v>
      </c>
      <c r="O18" s="327"/>
      <c r="P18" s="327"/>
      <c r="Q18" s="327"/>
      <c r="S18" s="157"/>
      <c r="T18" s="142">
        <f t="shared" si="37"/>
        <v>46062</v>
      </c>
      <c r="U18" s="143" t="str">
        <f t="shared" si="3"/>
        <v>月</v>
      </c>
      <c r="V18" s="143" t="s">
        <v>22</v>
      </c>
      <c r="W18" s="172">
        <v>0.375</v>
      </c>
      <c r="X18" s="172">
        <v>0.75</v>
      </c>
      <c r="Y18" s="173">
        <v>0.5</v>
      </c>
      <c r="Z18" s="173">
        <v>0.54166666666666663</v>
      </c>
      <c r="AA18" s="146" t="str">
        <f t="shared" si="4"/>
        <v>8h</v>
      </c>
      <c r="AB18" s="173">
        <v>0.375</v>
      </c>
      <c r="AC18" s="173">
        <v>0.75</v>
      </c>
      <c r="AD18" s="173">
        <v>0.5</v>
      </c>
      <c r="AE18" s="173">
        <v>0.54166666666666663</v>
      </c>
      <c r="AF18" s="147" t="str">
        <f t="shared" si="5"/>
        <v>8h</v>
      </c>
      <c r="AG18" s="327"/>
      <c r="AH18" s="327"/>
      <c r="AI18" s="327"/>
      <c r="AK18" s="157"/>
      <c r="AL18" s="142">
        <f t="shared" si="38"/>
        <v>46090</v>
      </c>
      <c r="AM18" s="143" t="str">
        <f t="shared" si="6"/>
        <v>月</v>
      </c>
      <c r="AN18" s="143" t="s">
        <v>22</v>
      </c>
      <c r="AO18" s="172">
        <v>0.375</v>
      </c>
      <c r="AP18" s="172">
        <v>0.75</v>
      </c>
      <c r="AQ18" s="173">
        <v>0.5</v>
      </c>
      <c r="AR18" s="173">
        <v>0.54166666666666663</v>
      </c>
      <c r="AS18" s="146" t="str">
        <f t="shared" si="7"/>
        <v>8h</v>
      </c>
      <c r="AT18" s="173">
        <v>0.375</v>
      </c>
      <c r="AU18" s="173">
        <v>0.75</v>
      </c>
      <c r="AV18" s="173">
        <v>0.5</v>
      </c>
      <c r="AW18" s="173">
        <v>0.54166666666666663</v>
      </c>
      <c r="AX18" s="147" t="str">
        <f t="shared" si="8"/>
        <v>8h</v>
      </c>
      <c r="AY18" s="327"/>
      <c r="AZ18" s="327"/>
      <c r="BA18" s="327"/>
      <c r="BC18" s="157"/>
      <c r="BD18" s="142">
        <f t="shared" si="39"/>
        <v>46121</v>
      </c>
      <c r="BE18" s="143" t="str">
        <f t="shared" si="9"/>
        <v>木</v>
      </c>
      <c r="BF18" s="143" t="s">
        <v>22</v>
      </c>
      <c r="BG18" s="172">
        <v>0.375</v>
      </c>
      <c r="BH18" s="172">
        <v>0.75</v>
      </c>
      <c r="BI18" s="173">
        <v>0.5</v>
      </c>
      <c r="BJ18" s="173">
        <v>0.54166666666666663</v>
      </c>
      <c r="BK18" s="146" t="str">
        <f t="shared" si="10"/>
        <v>8h</v>
      </c>
      <c r="BL18" s="173">
        <v>0.375</v>
      </c>
      <c r="BM18" s="173">
        <v>0.75</v>
      </c>
      <c r="BN18" s="173">
        <v>0.5</v>
      </c>
      <c r="BO18" s="173">
        <v>0.54166666666666663</v>
      </c>
      <c r="BP18" s="147" t="str">
        <f t="shared" si="11"/>
        <v>8h</v>
      </c>
      <c r="BQ18" s="327"/>
      <c r="BR18" s="327"/>
      <c r="BS18" s="327"/>
      <c r="BU18" s="157"/>
      <c r="BV18" s="142">
        <f t="shared" si="40"/>
        <v>46151</v>
      </c>
      <c r="BW18" s="143" t="str">
        <f t="shared" si="12"/>
        <v>土</v>
      </c>
      <c r="BX18" s="143"/>
      <c r="BY18" s="144"/>
      <c r="BZ18" s="144"/>
      <c r="CA18" s="145"/>
      <c r="CB18" s="145"/>
      <c r="CC18" s="146" t="str">
        <f t="shared" si="13"/>
        <v/>
      </c>
      <c r="CD18" s="145"/>
      <c r="CE18" s="145"/>
      <c r="CF18" s="145"/>
      <c r="CG18" s="145"/>
      <c r="CH18" s="147" t="str">
        <f t="shared" si="14"/>
        <v/>
      </c>
      <c r="CI18" s="327"/>
      <c r="CJ18" s="327"/>
      <c r="CK18" s="327"/>
      <c r="CM18" s="157"/>
      <c r="CN18" s="142">
        <f t="shared" si="41"/>
        <v>46182</v>
      </c>
      <c r="CO18" s="143" t="str">
        <f t="shared" si="15"/>
        <v>火</v>
      </c>
      <c r="CP18" s="143" t="s">
        <v>22</v>
      </c>
      <c r="CQ18" s="172">
        <v>0.375</v>
      </c>
      <c r="CR18" s="172">
        <v>0.75</v>
      </c>
      <c r="CS18" s="173">
        <v>0.5</v>
      </c>
      <c r="CT18" s="173">
        <v>0.54166666666666663</v>
      </c>
      <c r="CU18" s="146" t="str">
        <f t="shared" si="16"/>
        <v>8h</v>
      </c>
      <c r="CV18" s="173">
        <v>0.375</v>
      </c>
      <c r="CW18" s="173">
        <v>0.75</v>
      </c>
      <c r="CX18" s="173">
        <v>0.5</v>
      </c>
      <c r="CY18" s="173">
        <v>0.54166666666666663</v>
      </c>
      <c r="CZ18" s="147" t="str">
        <f t="shared" si="17"/>
        <v>8h</v>
      </c>
      <c r="DA18" s="327"/>
      <c r="DB18" s="327"/>
      <c r="DC18" s="327"/>
      <c r="DE18" s="157"/>
      <c r="DF18" s="142">
        <f t="shared" si="42"/>
        <v>46212</v>
      </c>
      <c r="DG18" s="143" t="str">
        <f t="shared" si="18"/>
        <v>木</v>
      </c>
      <c r="DH18" s="143" t="s">
        <v>22</v>
      </c>
      <c r="DI18" s="172">
        <v>0.375</v>
      </c>
      <c r="DJ18" s="172">
        <v>0.75</v>
      </c>
      <c r="DK18" s="173">
        <v>0.5</v>
      </c>
      <c r="DL18" s="173">
        <v>0.54166666666666663</v>
      </c>
      <c r="DM18" s="146" t="str">
        <f t="shared" si="19"/>
        <v>8h</v>
      </c>
      <c r="DN18" s="173">
        <v>0.375</v>
      </c>
      <c r="DO18" s="173">
        <v>0.75</v>
      </c>
      <c r="DP18" s="173">
        <v>0.5</v>
      </c>
      <c r="DQ18" s="173">
        <v>0.54166666666666663</v>
      </c>
      <c r="DR18" s="147" t="str">
        <f t="shared" si="20"/>
        <v>8h</v>
      </c>
      <c r="DS18" s="327"/>
      <c r="DT18" s="327"/>
      <c r="DU18" s="327"/>
      <c r="DW18" s="157"/>
      <c r="DX18" s="142">
        <f t="shared" si="43"/>
        <v>46243</v>
      </c>
      <c r="DY18" s="143" t="str">
        <f t="shared" si="21"/>
        <v>日</v>
      </c>
      <c r="DZ18" s="143"/>
      <c r="EA18" s="144"/>
      <c r="EB18" s="144"/>
      <c r="EC18" s="145"/>
      <c r="ED18" s="145"/>
      <c r="EE18" s="146" t="str">
        <f t="shared" si="22"/>
        <v/>
      </c>
      <c r="EF18" s="145"/>
      <c r="EG18" s="145"/>
      <c r="EH18" s="145"/>
      <c r="EI18" s="145"/>
      <c r="EJ18" s="147" t="str">
        <f t="shared" si="23"/>
        <v/>
      </c>
      <c r="EK18" s="327"/>
      <c r="EL18" s="327"/>
      <c r="EM18" s="327"/>
      <c r="EO18" s="157"/>
      <c r="EP18" s="142">
        <f t="shared" si="44"/>
        <v>46274</v>
      </c>
      <c r="EQ18" s="143" t="str">
        <f t="shared" si="24"/>
        <v>水</v>
      </c>
      <c r="ER18" s="143" t="s">
        <v>22</v>
      </c>
      <c r="ES18" s="172">
        <v>0.375</v>
      </c>
      <c r="ET18" s="172">
        <v>0.75</v>
      </c>
      <c r="EU18" s="173">
        <v>0.5</v>
      </c>
      <c r="EV18" s="173">
        <v>0.54166666666666663</v>
      </c>
      <c r="EW18" s="146" t="str">
        <f t="shared" si="25"/>
        <v>8h</v>
      </c>
      <c r="EX18" s="173">
        <v>0.375</v>
      </c>
      <c r="EY18" s="173">
        <v>0.75</v>
      </c>
      <c r="EZ18" s="173">
        <v>0.5</v>
      </c>
      <c r="FA18" s="173">
        <v>0.54166666666666663</v>
      </c>
      <c r="FB18" s="147" t="str">
        <f t="shared" si="26"/>
        <v>8h</v>
      </c>
      <c r="FC18" s="327"/>
      <c r="FD18" s="327"/>
      <c r="FE18" s="327"/>
      <c r="FG18" s="157"/>
      <c r="FH18" s="142">
        <f t="shared" si="45"/>
        <v>46304</v>
      </c>
      <c r="FI18" s="143" t="str">
        <f t="shared" si="27"/>
        <v>金</v>
      </c>
      <c r="FJ18" s="143" t="s">
        <v>22</v>
      </c>
      <c r="FK18" s="172">
        <v>0.375</v>
      </c>
      <c r="FL18" s="172">
        <v>0.75</v>
      </c>
      <c r="FM18" s="173">
        <v>0.5</v>
      </c>
      <c r="FN18" s="173">
        <v>0.54166666666666663</v>
      </c>
      <c r="FO18" s="146" t="str">
        <f t="shared" si="28"/>
        <v>8h</v>
      </c>
      <c r="FP18" s="173">
        <v>0.375</v>
      </c>
      <c r="FQ18" s="173">
        <v>0.75</v>
      </c>
      <c r="FR18" s="173">
        <v>0.5</v>
      </c>
      <c r="FS18" s="173">
        <v>0.54166666666666663</v>
      </c>
      <c r="FT18" s="147" t="str">
        <f t="shared" si="29"/>
        <v>8h</v>
      </c>
      <c r="FU18" s="327"/>
      <c r="FV18" s="327"/>
      <c r="FW18" s="327"/>
      <c r="FY18" s="157"/>
      <c r="FZ18" s="142">
        <f t="shared" si="46"/>
        <v>46335</v>
      </c>
      <c r="GA18" s="143" t="str">
        <f t="shared" si="30"/>
        <v>月</v>
      </c>
      <c r="GB18" s="143" t="s">
        <v>22</v>
      </c>
      <c r="GC18" s="172">
        <v>0.375</v>
      </c>
      <c r="GD18" s="172">
        <v>0.75</v>
      </c>
      <c r="GE18" s="173">
        <v>0.5</v>
      </c>
      <c r="GF18" s="173">
        <v>0.54166666666666663</v>
      </c>
      <c r="GG18" s="146" t="str">
        <f t="shared" si="31"/>
        <v>8h</v>
      </c>
      <c r="GH18" s="173">
        <v>0.375</v>
      </c>
      <c r="GI18" s="173">
        <v>0.75</v>
      </c>
      <c r="GJ18" s="173">
        <v>0.5</v>
      </c>
      <c r="GK18" s="173">
        <v>0.54166666666666663</v>
      </c>
      <c r="GL18" s="147" t="str">
        <f t="shared" si="32"/>
        <v>8h</v>
      </c>
      <c r="GM18" s="327"/>
      <c r="GN18" s="327"/>
      <c r="GO18" s="327"/>
      <c r="GQ18" s="157"/>
      <c r="GR18" s="142">
        <f t="shared" si="47"/>
        <v>46365</v>
      </c>
      <c r="GS18" s="143" t="str">
        <f t="shared" si="33"/>
        <v>水</v>
      </c>
      <c r="GT18" s="143" t="s">
        <v>22</v>
      </c>
      <c r="GU18" s="172">
        <v>0.375</v>
      </c>
      <c r="GV18" s="172">
        <v>0.75</v>
      </c>
      <c r="GW18" s="173">
        <v>0.5</v>
      </c>
      <c r="GX18" s="173">
        <v>0.54166666666666663</v>
      </c>
      <c r="GY18" s="146" t="str">
        <f t="shared" si="34"/>
        <v>8h</v>
      </c>
      <c r="GZ18" s="173">
        <v>0.375</v>
      </c>
      <c r="HA18" s="173">
        <v>0.75</v>
      </c>
      <c r="HB18" s="173">
        <v>0.5</v>
      </c>
      <c r="HC18" s="173">
        <v>0.54166666666666663</v>
      </c>
      <c r="HD18" s="147" t="str">
        <f t="shared" si="35"/>
        <v>8h</v>
      </c>
      <c r="HE18" s="327"/>
      <c r="HF18" s="327"/>
      <c r="HG18" s="327"/>
    </row>
    <row r="19" spans="1:215" x14ac:dyDescent="0.45">
      <c r="A19" s="157"/>
      <c r="B19" s="142">
        <f t="shared" si="36"/>
        <v>46032</v>
      </c>
      <c r="C19" s="143" t="str">
        <f t="shared" si="0"/>
        <v>土</v>
      </c>
      <c r="D19" s="143"/>
      <c r="E19" s="144"/>
      <c r="F19" s="144"/>
      <c r="G19" s="145"/>
      <c r="H19" s="145"/>
      <c r="I19" s="146" t="str">
        <f t="shared" si="1"/>
        <v/>
      </c>
      <c r="J19" s="145"/>
      <c r="K19" s="145"/>
      <c r="L19" s="145"/>
      <c r="M19" s="145"/>
      <c r="N19" s="147" t="str">
        <f t="shared" si="2"/>
        <v/>
      </c>
      <c r="O19" s="327"/>
      <c r="P19" s="327"/>
      <c r="Q19" s="327"/>
      <c r="S19" s="157"/>
      <c r="T19" s="142">
        <f t="shared" si="37"/>
        <v>46063</v>
      </c>
      <c r="U19" s="143" t="str">
        <f t="shared" si="3"/>
        <v>火</v>
      </c>
      <c r="V19" s="143" t="s">
        <v>22</v>
      </c>
      <c r="W19" s="172">
        <v>0.375</v>
      </c>
      <c r="X19" s="172">
        <v>0.75</v>
      </c>
      <c r="Y19" s="173">
        <v>0.5</v>
      </c>
      <c r="Z19" s="173">
        <v>0.54166666666666663</v>
      </c>
      <c r="AA19" s="146" t="str">
        <f t="shared" si="4"/>
        <v>8h</v>
      </c>
      <c r="AB19" s="173">
        <v>0.375</v>
      </c>
      <c r="AC19" s="173">
        <v>0.75</v>
      </c>
      <c r="AD19" s="173">
        <v>0.5</v>
      </c>
      <c r="AE19" s="173">
        <v>0.54166666666666663</v>
      </c>
      <c r="AF19" s="147" t="str">
        <f t="shared" si="5"/>
        <v>8h</v>
      </c>
      <c r="AG19" s="327"/>
      <c r="AH19" s="327"/>
      <c r="AI19" s="327"/>
      <c r="AK19" s="157"/>
      <c r="AL19" s="142">
        <f t="shared" si="38"/>
        <v>46091</v>
      </c>
      <c r="AM19" s="143" t="str">
        <f t="shared" si="6"/>
        <v>火</v>
      </c>
      <c r="AN19" s="143" t="s">
        <v>22</v>
      </c>
      <c r="AO19" s="172">
        <v>0.375</v>
      </c>
      <c r="AP19" s="172">
        <v>0.75</v>
      </c>
      <c r="AQ19" s="173">
        <v>0.5</v>
      </c>
      <c r="AR19" s="173">
        <v>0.54166666666666663</v>
      </c>
      <c r="AS19" s="146" t="str">
        <f t="shared" si="7"/>
        <v>8h</v>
      </c>
      <c r="AT19" s="173">
        <v>0.375</v>
      </c>
      <c r="AU19" s="173">
        <v>0.75</v>
      </c>
      <c r="AV19" s="173">
        <v>0.5</v>
      </c>
      <c r="AW19" s="173">
        <v>0.54166666666666663</v>
      </c>
      <c r="AX19" s="147" t="str">
        <f t="shared" si="8"/>
        <v>8h</v>
      </c>
      <c r="AY19" s="327"/>
      <c r="AZ19" s="327"/>
      <c r="BA19" s="327"/>
      <c r="BC19" s="157"/>
      <c r="BD19" s="142">
        <f t="shared" si="39"/>
        <v>46122</v>
      </c>
      <c r="BE19" s="143" t="str">
        <f t="shared" si="9"/>
        <v>金</v>
      </c>
      <c r="BF19" s="143" t="s">
        <v>22</v>
      </c>
      <c r="BG19" s="172">
        <v>0.375</v>
      </c>
      <c r="BH19" s="172">
        <v>0.75</v>
      </c>
      <c r="BI19" s="173">
        <v>0.5</v>
      </c>
      <c r="BJ19" s="173">
        <v>0.54166666666666663</v>
      </c>
      <c r="BK19" s="146" t="str">
        <f t="shared" si="10"/>
        <v>8h</v>
      </c>
      <c r="BL19" s="173">
        <v>0.375</v>
      </c>
      <c r="BM19" s="173">
        <v>0.75</v>
      </c>
      <c r="BN19" s="173">
        <v>0.5</v>
      </c>
      <c r="BO19" s="173">
        <v>0.54166666666666663</v>
      </c>
      <c r="BP19" s="147" t="str">
        <f t="shared" si="11"/>
        <v>8h</v>
      </c>
      <c r="BQ19" s="327"/>
      <c r="BR19" s="327"/>
      <c r="BS19" s="327"/>
      <c r="BU19" s="157"/>
      <c r="BV19" s="142">
        <f t="shared" si="40"/>
        <v>46152</v>
      </c>
      <c r="BW19" s="143" t="str">
        <f t="shared" si="12"/>
        <v>日</v>
      </c>
      <c r="BX19" s="143"/>
      <c r="BY19" s="144"/>
      <c r="BZ19" s="144"/>
      <c r="CA19" s="145"/>
      <c r="CB19" s="145"/>
      <c r="CC19" s="146" t="str">
        <f t="shared" si="13"/>
        <v/>
      </c>
      <c r="CD19" s="145"/>
      <c r="CE19" s="145"/>
      <c r="CF19" s="145"/>
      <c r="CG19" s="145"/>
      <c r="CH19" s="147" t="str">
        <f t="shared" si="14"/>
        <v/>
      </c>
      <c r="CI19" s="327"/>
      <c r="CJ19" s="327"/>
      <c r="CK19" s="327"/>
      <c r="CM19" s="157"/>
      <c r="CN19" s="142">
        <f t="shared" si="41"/>
        <v>46183</v>
      </c>
      <c r="CO19" s="143" t="str">
        <f t="shared" si="15"/>
        <v>水</v>
      </c>
      <c r="CP19" s="143" t="s">
        <v>22</v>
      </c>
      <c r="CQ19" s="172">
        <v>0.375</v>
      </c>
      <c r="CR19" s="172">
        <v>0.75</v>
      </c>
      <c r="CS19" s="173">
        <v>0.5</v>
      </c>
      <c r="CT19" s="173">
        <v>0.54166666666666663</v>
      </c>
      <c r="CU19" s="146" t="str">
        <f t="shared" si="16"/>
        <v>8h</v>
      </c>
      <c r="CV19" s="173">
        <v>0.375</v>
      </c>
      <c r="CW19" s="173">
        <v>0.75</v>
      </c>
      <c r="CX19" s="173">
        <v>0.5</v>
      </c>
      <c r="CY19" s="173">
        <v>0.54166666666666663</v>
      </c>
      <c r="CZ19" s="147" t="str">
        <f t="shared" si="17"/>
        <v>8h</v>
      </c>
      <c r="DA19" s="327"/>
      <c r="DB19" s="327"/>
      <c r="DC19" s="327"/>
      <c r="DE19" s="157"/>
      <c r="DF19" s="142">
        <f t="shared" si="42"/>
        <v>46213</v>
      </c>
      <c r="DG19" s="143" t="str">
        <f t="shared" si="18"/>
        <v>金</v>
      </c>
      <c r="DH19" s="143" t="s">
        <v>22</v>
      </c>
      <c r="DI19" s="172">
        <v>0.375</v>
      </c>
      <c r="DJ19" s="172">
        <v>0.75</v>
      </c>
      <c r="DK19" s="173">
        <v>0.5</v>
      </c>
      <c r="DL19" s="173">
        <v>0.54166666666666663</v>
      </c>
      <c r="DM19" s="146" t="str">
        <f t="shared" si="19"/>
        <v>8h</v>
      </c>
      <c r="DN19" s="173">
        <v>0.375</v>
      </c>
      <c r="DO19" s="173">
        <v>0.75</v>
      </c>
      <c r="DP19" s="173">
        <v>0.5</v>
      </c>
      <c r="DQ19" s="173">
        <v>0.54166666666666663</v>
      </c>
      <c r="DR19" s="147" t="str">
        <f t="shared" si="20"/>
        <v>8h</v>
      </c>
      <c r="DS19" s="327"/>
      <c r="DT19" s="327"/>
      <c r="DU19" s="327"/>
      <c r="DW19" s="157"/>
      <c r="DX19" s="142">
        <f t="shared" si="43"/>
        <v>46244</v>
      </c>
      <c r="DY19" s="143" t="str">
        <f t="shared" si="21"/>
        <v>月</v>
      </c>
      <c r="DZ19" s="143" t="s">
        <v>22</v>
      </c>
      <c r="EA19" s="172">
        <v>0.375</v>
      </c>
      <c r="EB19" s="172">
        <v>0.75</v>
      </c>
      <c r="EC19" s="173">
        <v>0.5</v>
      </c>
      <c r="ED19" s="173">
        <v>0.54166666666666663</v>
      </c>
      <c r="EE19" s="146" t="str">
        <f t="shared" si="22"/>
        <v>8h</v>
      </c>
      <c r="EF19" s="173">
        <v>0.375</v>
      </c>
      <c r="EG19" s="173">
        <v>0.75</v>
      </c>
      <c r="EH19" s="173">
        <v>0.5</v>
      </c>
      <c r="EI19" s="173">
        <v>0.54166666666666663</v>
      </c>
      <c r="EJ19" s="147" t="str">
        <f t="shared" si="23"/>
        <v>8h</v>
      </c>
      <c r="EK19" s="327"/>
      <c r="EL19" s="327"/>
      <c r="EM19" s="327"/>
      <c r="EO19" s="157"/>
      <c r="EP19" s="142">
        <f t="shared" si="44"/>
        <v>46275</v>
      </c>
      <c r="EQ19" s="143" t="str">
        <f t="shared" si="24"/>
        <v>木</v>
      </c>
      <c r="ER19" s="143" t="s">
        <v>22</v>
      </c>
      <c r="ES19" s="172">
        <v>0.375</v>
      </c>
      <c r="ET19" s="172">
        <v>0.75</v>
      </c>
      <c r="EU19" s="173">
        <v>0.5</v>
      </c>
      <c r="EV19" s="173">
        <v>0.54166666666666663</v>
      </c>
      <c r="EW19" s="146" t="str">
        <f t="shared" si="25"/>
        <v>8h</v>
      </c>
      <c r="EX19" s="173">
        <v>0.375</v>
      </c>
      <c r="EY19" s="173">
        <v>0.75</v>
      </c>
      <c r="EZ19" s="173">
        <v>0.5</v>
      </c>
      <c r="FA19" s="173">
        <v>0.54166666666666663</v>
      </c>
      <c r="FB19" s="147" t="str">
        <f t="shared" si="26"/>
        <v>8h</v>
      </c>
      <c r="FC19" s="327"/>
      <c r="FD19" s="327"/>
      <c r="FE19" s="327"/>
      <c r="FG19" s="157"/>
      <c r="FH19" s="142">
        <f t="shared" si="45"/>
        <v>46305</v>
      </c>
      <c r="FI19" s="143" t="str">
        <f t="shared" si="27"/>
        <v>土</v>
      </c>
      <c r="FJ19" s="143"/>
      <c r="FK19" s="144"/>
      <c r="FL19" s="144"/>
      <c r="FM19" s="145"/>
      <c r="FN19" s="145"/>
      <c r="FO19" s="146" t="str">
        <f t="shared" si="28"/>
        <v/>
      </c>
      <c r="FP19" s="145"/>
      <c r="FQ19" s="145"/>
      <c r="FR19" s="145"/>
      <c r="FS19" s="145"/>
      <c r="FT19" s="147" t="str">
        <f t="shared" si="29"/>
        <v/>
      </c>
      <c r="FU19" s="327"/>
      <c r="FV19" s="327"/>
      <c r="FW19" s="327"/>
      <c r="FY19" s="157"/>
      <c r="FZ19" s="142">
        <f t="shared" si="46"/>
        <v>46336</v>
      </c>
      <c r="GA19" s="143" t="str">
        <f t="shared" si="30"/>
        <v>火</v>
      </c>
      <c r="GB19" s="143" t="s">
        <v>22</v>
      </c>
      <c r="GC19" s="172">
        <v>0.375</v>
      </c>
      <c r="GD19" s="172">
        <v>0.75</v>
      </c>
      <c r="GE19" s="173">
        <v>0.5</v>
      </c>
      <c r="GF19" s="173">
        <v>0.54166666666666663</v>
      </c>
      <c r="GG19" s="146" t="str">
        <f t="shared" si="31"/>
        <v>8h</v>
      </c>
      <c r="GH19" s="173">
        <v>0.375</v>
      </c>
      <c r="GI19" s="173">
        <v>0.75</v>
      </c>
      <c r="GJ19" s="173">
        <v>0.5</v>
      </c>
      <c r="GK19" s="173">
        <v>0.54166666666666663</v>
      </c>
      <c r="GL19" s="147" t="str">
        <f t="shared" si="32"/>
        <v>8h</v>
      </c>
      <c r="GM19" s="327"/>
      <c r="GN19" s="327"/>
      <c r="GO19" s="327"/>
      <c r="GQ19" s="157"/>
      <c r="GR19" s="142">
        <f t="shared" si="47"/>
        <v>46366</v>
      </c>
      <c r="GS19" s="143" t="str">
        <f t="shared" si="33"/>
        <v>木</v>
      </c>
      <c r="GT19" s="143" t="s">
        <v>22</v>
      </c>
      <c r="GU19" s="172">
        <v>0.375</v>
      </c>
      <c r="GV19" s="172">
        <v>0.75</v>
      </c>
      <c r="GW19" s="173">
        <v>0.5</v>
      </c>
      <c r="GX19" s="173">
        <v>0.54166666666666663</v>
      </c>
      <c r="GY19" s="146" t="str">
        <f t="shared" si="34"/>
        <v>8h</v>
      </c>
      <c r="GZ19" s="173">
        <v>0.375</v>
      </c>
      <c r="HA19" s="173">
        <v>0.75</v>
      </c>
      <c r="HB19" s="173">
        <v>0.5</v>
      </c>
      <c r="HC19" s="173">
        <v>0.54166666666666663</v>
      </c>
      <c r="HD19" s="147" t="str">
        <f t="shared" si="35"/>
        <v>8h</v>
      </c>
      <c r="HE19" s="327"/>
      <c r="HF19" s="327"/>
      <c r="HG19" s="327"/>
    </row>
    <row r="20" spans="1:215" x14ac:dyDescent="0.45">
      <c r="A20" s="157"/>
      <c r="B20" s="142">
        <f t="shared" si="36"/>
        <v>46033</v>
      </c>
      <c r="C20" s="143" t="str">
        <f t="shared" si="0"/>
        <v>日</v>
      </c>
      <c r="D20" s="143"/>
      <c r="E20" s="144"/>
      <c r="F20" s="144"/>
      <c r="G20" s="145"/>
      <c r="H20" s="145"/>
      <c r="I20" s="146" t="str">
        <f t="shared" si="1"/>
        <v/>
      </c>
      <c r="J20" s="145"/>
      <c r="K20" s="145"/>
      <c r="L20" s="145"/>
      <c r="M20" s="145"/>
      <c r="N20" s="147" t="str">
        <f t="shared" si="2"/>
        <v/>
      </c>
      <c r="O20" s="327"/>
      <c r="P20" s="327"/>
      <c r="Q20" s="327"/>
      <c r="S20" s="157"/>
      <c r="T20" s="142">
        <f t="shared" si="37"/>
        <v>46064</v>
      </c>
      <c r="U20" s="143" t="str">
        <f t="shared" si="3"/>
        <v>水</v>
      </c>
      <c r="V20" s="143"/>
      <c r="W20" s="144"/>
      <c r="X20" s="144"/>
      <c r="Y20" s="145"/>
      <c r="Z20" s="145"/>
      <c r="AA20" s="146" t="str">
        <f t="shared" si="4"/>
        <v/>
      </c>
      <c r="AB20" s="145"/>
      <c r="AC20" s="145"/>
      <c r="AD20" s="145"/>
      <c r="AE20" s="145"/>
      <c r="AF20" s="147" t="str">
        <f t="shared" si="5"/>
        <v/>
      </c>
      <c r="AG20" s="327"/>
      <c r="AH20" s="327"/>
      <c r="AI20" s="327"/>
      <c r="AK20" s="157"/>
      <c r="AL20" s="142">
        <f t="shared" si="38"/>
        <v>46092</v>
      </c>
      <c r="AM20" s="143" t="str">
        <f t="shared" si="6"/>
        <v>水</v>
      </c>
      <c r="AN20" s="143" t="s">
        <v>22</v>
      </c>
      <c r="AO20" s="172">
        <v>0.375</v>
      </c>
      <c r="AP20" s="172">
        <v>0.75</v>
      </c>
      <c r="AQ20" s="173">
        <v>0.5</v>
      </c>
      <c r="AR20" s="173">
        <v>0.54166666666666663</v>
      </c>
      <c r="AS20" s="146" t="str">
        <f t="shared" si="7"/>
        <v>8h</v>
      </c>
      <c r="AT20" s="173">
        <v>0.375</v>
      </c>
      <c r="AU20" s="173">
        <v>0.75</v>
      </c>
      <c r="AV20" s="173">
        <v>0.5</v>
      </c>
      <c r="AW20" s="173">
        <v>0.54166666666666663</v>
      </c>
      <c r="AX20" s="147" t="str">
        <f t="shared" si="8"/>
        <v>8h</v>
      </c>
      <c r="AY20" s="327"/>
      <c r="AZ20" s="327"/>
      <c r="BA20" s="327"/>
      <c r="BC20" s="157"/>
      <c r="BD20" s="142">
        <f t="shared" si="39"/>
        <v>46123</v>
      </c>
      <c r="BE20" s="143" t="str">
        <f t="shared" si="9"/>
        <v>土</v>
      </c>
      <c r="BF20" s="143"/>
      <c r="BG20" s="144"/>
      <c r="BH20" s="144"/>
      <c r="BI20" s="145"/>
      <c r="BJ20" s="145"/>
      <c r="BK20" s="146" t="str">
        <f t="shared" si="10"/>
        <v/>
      </c>
      <c r="BL20" s="145"/>
      <c r="BM20" s="145"/>
      <c r="BN20" s="145"/>
      <c r="BO20" s="145"/>
      <c r="BP20" s="147" t="str">
        <f t="shared" si="11"/>
        <v/>
      </c>
      <c r="BQ20" s="327"/>
      <c r="BR20" s="327"/>
      <c r="BS20" s="327"/>
      <c r="BU20" s="157"/>
      <c r="BV20" s="142">
        <f t="shared" si="40"/>
        <v>46153</v>
      </c>
      <c r="BW20" s="143" t="str">
        <f t="shared" si="12"/>
        <v>月</v>
      </c>
      <c r="BX20" s="143" t="s">
        <v>22</v>
      </c>
      <c r="BY20" s="172">
        <v>0.375</v>
      </c>
      <c r="BZ20" s="172">
        <v>0.75</v>
      </c>
      <c r="CA20" s="173">
        <v>0.5</v>
      </c>
      <c r="CB20" s="173">
        <v>0.54166666666666663</v>
      </c>
      <c r="CC20" s="146" t="str">
        <f t="shared" si="13"/>
        <v>8h</v>
      </c>
      <c r="CD20" s="173">
        <v>0.375</v>
      </c>
      <c r="CE20" s="173">
        <v>0.75</v>
      </c>
      <c r="CF20" s="173">
        <v>0.5</v>
      </c>
      <c r="CG20" s="173">
        <v>0.54166666666666663</v>
      </c>
      <c r="CH20" s="147" t="str">
        <f t="shared" si="14"/>
        <v>8h</v>
      </c>
      <c r="CI20" s="327"/>
      <c r="CJ20" s="327"/>
      <c r="CK20" s="327"/>
      <c r="CM20" s="157"/>
      <c r="CN20" s="142">
        <f t="shared" si="41"/>
        <v>46184</v>
      </c>
      <c r="CO20" s="143" t="str">
        <f t="shared" si="15"/>
        <v>木</v>
      </c>
      <c r="CP20" s="143" t="s">
        <v>22</v>
      </c>
      <c r="CQ20" s="172">
        <v>0.375</v>
      </c>
      <c r="CR20" s="172">
        <v>0.75</v>
      </c>
      <c r="CS20" s="173">
        <v>0.5</v>
      </c>
      <c r="CT20" s="173">
        <v>0.54166666666666663</v>
      </c>
      <c r="CU20" s="146" t="str">
        <f t="shared" si="16"/>
        <v>8h</v>
      </c>
      <c r="CV20" s="173">
        <v>0.375</v>
      </c>
      <c r="CW20" s="173">
        <v>0.75</v>
      </c>
      <c r="CX20" s="173">
        <v>0.5</v>
      </c>
      <c r="CY20" s="173">
        <v>0.54166666666666663</v>
      </c>
      <c r="CZ20" s="147" t="str">
        <f t="shared" si="17"/>
        <v>8h</v>
      </c>
      <c r="DA20" s="327"/>
      <c r="DB20" s="327"/>
      <c r="DC20" s="327"/>
      <c r="DE20" s="157"/>
      <c r="DF20" s="142">
        <f t="shared" si="42"/>
        <v>46214</v>
      </c>
      <c r="DG20" s="143" t="str">
        <f t="shared" si="18"/>
        <v>土</v>
      </c>
      <c r="DH20" s="143"/>
      <c r="DI20" s="144"/>
      <c r="DJ20" s="144"/>
      <c r="DK20" s="145"/>
      <c r="DL20" s="145"/>
      <c r="DM20" s="146" t="str">
        <f t="shared" si="19"/>
        <v/>
      </c>
      <c r="DN20" s="145"/>
      <c r="DO20" s="145"/>
      <c r="DP20" s="145"/>
      <c r="DQ20" s="145"/>
      <c r="DR20" s="147" t="str">
        <f t="shared" si="20"/>
        <v/>
      </c>
      <c r="DS20" s="327"/>
      <c r="DT20" s="327"/>
      <c r="DU20" s="327"/>
      <c r="DW20" s="157"/>
      <c r="DX20" s="142">
        <f t="shared" si="43"/>
        <v>46245</v>
      </c>
      <c r="DY20" s="143" t="str">
        <f t="shared" si="21"/>
        <v>火</v>
      </c>
      <c r="DZ20" s="143"/>
      <c r="EA20" s="144"/>
      <c r="EB20" s="144"/>
      <c r="EC20" s="145"/>
      <c r="ED20" s="145"/>
      <c r="EE20" s="146" t="str">
        <f t="shared" si="22"/>
        <v/>
      </c>
      <c r="EF20" s="145"/>
      <c r="EG20" s="145"/>
      <c r="EH20" s="145"/>
      <c r="EI20" s="145"/>
      <c r="EJ20" s="147" t="str">
        <f t="shared" si="23"/>
        <v/>
      </c>
      <c r="EK20" s="327"/>
      <c r="EL20" s="327"/>
      <c r="EM20" s="327"/>
      <c r="EO20" s="157"/>
      <c r="EP20" s="142">
        <f t="shared" si="44"/>
        <v>46276</v>
      </c>
      <c r="EQ20" s="143" t="str">
        <f t="shared" si="24"/>
        <v>金</v>
      </c>
      <c r="ER20" s="143" t="s">
        <v>22</v>
      </c>
      <c r="ES20" s="172">
        <v>0.375</v>
      </c>
      <c r="ET20" s="172">
        <v>0.75</v>
      </c>
      <c r="EU20" s="173">
        <v>0.5</v>
      </c>
      <c r="EV20" s="173">
        <v>0.54166666666666663</v>
      </c>
      <c r="EW20" s="146" t="str">
        <f t="shared" si="25"/>
        <v>8h</v>
      </c>
      <c r="EX20" s="173">
        <v>0.375</v>
      </c>
      <c r="EY20" s="173">
        <v>0.75</v>
      </c>
      <c r="EZ20" s="173">
        <v>0.5</v>
      </c>
      <c r="FA20" s="173">
        <v>0.54166666666666663</v>
      </c>
      <c r="FB20" s="147" t="str">
        <f t="shared" si="26"/>
        <v>8h</v>
      </c>
      <c r="FC20" s="327"/>
      <c r="FD20" s="327"/>
      <c r="FE20" s="327"/>
      <c r="FG20" s="157"/>
      <c r="FH20" s="142">
        <f t="shared" si="45"/>
        <v>46306</v>
      </c>
      <c r="FI20" s="143" t="str">
        <f t="shared" si="27"/>
        <v>日</v>
      </c>
      <c r="FJ20" s="143"/>
      <c r="FK20" s="144"/>
      <c r="FL20" s="144"/>
      <c r="FM20" s="145"/>
      <c r="FN20" s="145"/>
      <c r="FO20" s="146" t="str">
        <f t="shared" si="28"/>
        <v/>
      </c>
      <c r="FP20" s="145"/>
      <c r="FQ20" s="145"/>
      <c r="FR20" s="145"/>
      <c r="FS20" s="145"/>
      <c r="FT20" s="147" t="str">
        <f t="shared" si="29"/>
        <v/>
      </c>
      <c r="FU20" s="327"/>
      <c r="FV20" s="327"/>
      <c r="FW20" s="327"/>
      <c r="FY20" s="157"/>
      <c r="FZ20" s="142">
        <f t="shared" si="46"/>
        <v>46337</v>
      </c>
      <c r="GA20" s="143" t="str">
        <f t="shared" si="30"/>
        <v>水</v>
      </c>
      <c r="GB20" s="143" t="s">
        <v>22</v>
      </c>
      <c r="GC20" s="172">
        <v>0.375</v>
      </c>
      <c r="GD20" s="172">
        <v>0.75</v>
      </c>
      <c r="GE20" s="173">
        <v>0.5</v>
      </c>
      <c r="GF20" s="173">
        <v>0.54166666666666663</v>
      </c>
      <c r="GG20" s="146" t="str">
        <f t="shared" si="31"/>
        <v>8h</v>
      </c>
      <c r="GH20" s="173">
        <v>0.375</v>
      </c>
      <c r="GI20" s="173">
        <v>0.75</v>
      </c>
      <c r="GJ20" s="173">
        <v>0.5</v>
      </c>
      <c r="GK20" s="173">
        <v>0.54166666666666663</v>
      </c>
      <c r="GL20" s="147" t="str">
        <f t="shared" si="32"/>
        <v>8h</v>
      </c>
      <c r="GM20" s="327"/>
      <c r="GN20" s="327"/>
      <c r="GO20" s="327"/>
      <c r="GQ20" s="157"/>
      <c r="GR20" s="142">
        <f t="shared" si="47"/>
        <v>46367</v>
      </c>
      <c r="GS20" s="143" t="str">
        <f t="shared" si="33"/>
        <v>金</v>
      </c>
      <c r="GT20" s="143" t="s">
        <v>22</v>
      </c>
      <c r="GU20" s="172">
        <v>0.375</v>
      </c>
      <c r="GV20" s="172">
        <v>0.75</v>
      </c>
      <c r="GW20" s="173">
        <v>0.5</v>
      </c>
      <c r="GX20" s="173">
        <v>0.54166666666666663</v>
      </c>
      <c r="GY20" s="146" t="str">
        <f t="shared" si="34"/>
        <v>8h</v>
      </c>
      <c r="GZ20" s="173">
        <v>0.375</v>
      </c>
      <c r="HA20" s="173">
        <v>0.75</v>
      </c>
      <c r="HB20" s="173">
        <v>0.5</v>
      </c>
      <c r="HC20" s="173">
        <v>0.54166666666666663</v>
      </c>
      <c r="HD20" s="147" t="str">
        <f t="shared" si="35"/>
        <v>8h</v>
      </c>
      <c r="HE20" s="327"/>
      <c r="HF20" s="327"/>
      <c r="HG20" s="327"/>
    </row>
    <row r="21" spans="1:215" x14ac:dyDescent="0.45">
      <c r="A21" s="157"/>
      <c r="B21" s="142">
        <f t="shared" si="36"/>
        <v>46034</v>
      </c>
      <c r="C21" s="143" t="str">
        <f t="shared" si="0"/>
        <v>月</v>
      </c>
      <c r="D21" s="143"/>
      <c r="E21" s="144"/>
      <c r="F21" s="144"/>
      <c r="G21" s="145"/>
      <c r="H21" s="145"/>
      <c r="I21" s="146" t="str">
        <f t="shared" si="1"/>
        <v/>
      </c>
      <c r="J21" s="145"/>
      <c r="K21" s="145"/>
      <c r="L21" s="145"/>
      <c r="M21" s="145"/>
      <c r="N21" s="147" t="str">
        <f t="shared" si="2"/>
        <v/>
      </c>
      <c r="O21" s="327"/>
      <c r="P21" s="327"/>
      <c r="Q21" s="327"/>
      <c r="S21" s="157"/>
      <c r="T21" s="142">
        <f t="shared" si="37"/>
        <v>46065</v>
      </c>
      <c r="U21" s="143" t="str">
        <f t="shared" si="3"/>
        <v>木</v>
      </c>
      <c r="V21" s="143" t="s">
        <v>22</v>
      </c>
      <c r="W21" s="172">
        <v>0.375</v>
      </c>
      <c r="X21" s="172">
        <v>0.75</v>
      </c>
      <c r="Y21" s="173">
        <v>0.5</v>
      </c>
      <c r="Z21" s="173">
        <v>0.54166666666666663</v>
      </c>
      <c r="AA21" s="146" t="str">
        <f t="shared" si="4"/>
        <v>8h</v>
      </c>
      <c r="AB21" s="173">
        <v>0.375</v>
      </c>
      <c r="AC21" s="173">
        <v>0.75</v>
      </c>
      <c r="AD21" s="173">
        <v>0.5</v>
      </c>
      <c r="AE21" s="173">
        <v>0.54166666666666663</v>
      </c>
      <c r="AF21" s="147" t="str">
        <f t="shared" si="5"/>
        <v>8h</v>
      </c>
      <c r="AG21" s="327"/>
      <c r="AH21" s="327"/>
      <c r="AI21" s="327"/>
      <c r="AK21" s="157"/>
      <c r="AL21" s="142">
        <f t="shared" si="38"/>
        <v>46093</v>
      </c>
      <c r="AM21" s="143" t="str">
        <f t="shared" si="6"/>
        <v>木</v>
      </c>
      <c r="AN21" s="143" t="s">
        <v>22</v>
      </c>
      <c r="AO21" s="172">
        <v>0.375</v>
      </c>
      <c r="AP21" s="172">
        <v>0.75</v>
      </c>
      <c r="AQ21" s="173">
        <v>0.5</v>
      </c>
      <c r="AR21" s="173">
        <v>0.54166666666666663</v>
      </c>
      <c r="AS21" s="146" t="str">
        <f t="shared" si="7"/>
        <v>8h</v>
      </c>
      <c r="AT21" s="173">
        <v>0.375</v>
      </c>
      <c r="AU21" s="173">
        <v>0.75</v>
      </c>
      <c r="AV21" s="173">
        <v>0.5</v>
      </c>
      <c r="AW21" s="173">
        <v>0.54166666666666663</v>
      </c>
      <c r="AX21" s="147" t="str">
        <f t="shared" si="8"/>
        <v>8h</v>
      </c>
      <c r="AY21" s="327"/>
      <c r="AZ21" s="327"/>
      <c r="BA21" s="327"/>
      <c r="BC21" s="157"/>
      <c r="BD21" s="142">
        <f t="shared" si="39"/>
        <v>46124</v>
      </c>
      <c r="BE21" s="143" t="str">
        <f t="shared" si="9"/>
        <v>日</v>
      </c>
      <c r="BF21" s="143"/>
      <c r="BG21" s="144"/>
      <c r="BH21" s="144"/>
      <c r="BI21" s="145"/>
      <c r="BJ21" s="145"/>
      <c r="BK21" s="146" t="str">
        <f t="shared" si="10"/>
        <v/>
      </c>
      <c r="BL21" s="145"/>
      <c r="BM21" s="145"/>
      <c r="BN21" s="145"/>
      <c r="BO21" s="145"/>
      <c r="BP21" s="147" t="str">
        <f t="shared" si="11"/>
        <v/>
      </c>
      <c r="BQ21" s="327"/>
      <c r="BR21" s="327"/>
      <c r="BS21" s="327"/>
      <c r="BU21" s="157"/>
      <c r="BV21" s="142">
        <f t="shared" si="40"/>
        <v>46154</v>
      </c>
      <c r="BW21" s="143" t="str">
        <f t="shared" si="12"/>
        <v>火</v>
      </c>
      <c r="BX21" s="143" t="s">
        <v>22</v>
      </c>
      <c r="BY21" s="172">
        <v>0.375</v>
      </c>
      <c r="BZ21" s="172">
        <v>0.75</v>
      </c>
      <c r="CA21" s="173">
        <v>0.5</v>
      </c>
      <c r="CB21" s="173">
        <v>0.54166666666666663</v>
      </c>
      <c r="CC21" s="146" t="str">
        <f t="shared" si="13"/>
        <v>8h</v>
      </c>
      <c r="CD21" s="173">
        <v>0.375</v>
      </c>
      <c r="CE21" s="173">
        <v>0.75</v>
      </c>
      <c r="CF21" s="173">
        <v>0.5</v>
      </c>
      <c r="CG21" s="173">
        <v>0.54166666666666663</v>
      </c>
      <c r="CH21" s="147" t="str">
        <f t="shared" si="14"/>
        <v>8h</v>
      </c>
      <c r="CI21" s="327"/>
      <c r="CJ21" s="327"/>
      <c r="CK21" s="327"/>
      <c r="CM21" s="157"/>
      <c r="CN21" s="142">
        <f t="shared" si="41"/>
        <v>46185</v>
      </c>
      <c r="CO21" s="143" t="str">
        <f t="shared" si="15"/>
        <v>金</v>
      </c>
      <c r="CP21" s="143" t="s">
        <v>22</v>
      </c>
      <c r="CQ21" s="172">
        <v>0.375</v>
      </c>
      <c r="CR21" s="172">
        <v>0.75</v>
      </c>
      <c r="CS21" s="173">
        <v>0.5</v>
      </c>
      <c r="CT21" s="173">
        <v>0.54166666666666663</v>
      </c>
      <c r="CU21" s="146" t="str">
        <f t="shared" si="16"/>
        <v>8h</v>
      </c>
      <c r="CV21" s="173">
        <v>0.375</v>
      </c>
      <c r="CW21" s="173">
        <v>0.75</v>
      </c>
      <c r="CX21" s="173">
        <v>0.5</v>
      </c>
      <c r="CY21" s="173">
        <v>0.54166666666666663</v>
      </c>
      <c r="CZ21" s="147" t="str">
        <f t="shared" si="17"/>
        <v>8h</v>
      </c>
      <c r="DA21" s="327"/>
      <c r="DB21" s="327"/>
      <c r="DC21" s="327"/>
      <c r="DE21" s="157"/>
      <c r="DF21" s="142">
        <f t="shared" si="42"/>
        <v>46215</v>
      </c>
      <c r="DG21" s="143" t="str">
        <f t="shared" si="18"/>
        <v>日</v>
      </c>
      <c r="DH21" s="143"/>
      <c r="DI21" s="144"/>
      <c r="DJ21" s="144"/>
      <c r="DK21" s="145"/>
      <c r="DL21" s="145"/>
      <c r="DM21" s="146" t="str">
        <f t="shared" si="19"/>
        <v/>
      </c>
      <c r="DN21" s="145"/>
      <c r="DO21" s="145"/>
      <c r="DP21" s="145"/>
      <c r="DQ21" s="145"/>
      <c r="DR21" s="147" t="str">
        <f t="shared" si="20"/>
        <v/>
      </c>
      <c r="DS21" s="327"/>
      <c r="DT21" s="327"/>
      <c r="DU21" s="327"/>
      <c r="DW21" s="157"/>
      <c r="DX21" s="142">
        <f t="shared" si="43"/>
        <v>46246</v>
      </c>
      <c r="DY21" s="143" t="str">
        <f t="shared" si="21"/>
        <v>水</v>
      </c>
      <c r="DZ21" s="143" t="s">
        <v>22</v>
      </c>
      <c r="EA21" s="172">
        <v>0.375</v>
      </c>
      <c r="EB21" s="172">
        <v>0.75</v>
      </c>
      <c r="EC21" s="173">
        <v>0.5</v>
      </c>
      <c r="ED21" s="173">
        <v>0.54166666666666663</v>
      </c>
      <c r="EE21" s="146" t="str">
        <f t="shared" si="22"/>
        <v>8h</v>
      </c>
      <c r="EF21" s="173">
        <v>0.375</v>
      </c>
      <c r="EG21" s="173">
        <v>0.75</v>
      </c>
      <c r="EH21" s="173">
        <v>0.5</v>
      </c>
      <c r="EI21" s="173">
        <v>0.54166666666666663</v>
      </c>
      <c r="EJ21" s="147" t="str">
        <f t="shared" si="23"/>
        <v>8h</v>
      </c>
      <c r="EK21" s="327"/>
      <c r="EL21" s="327"/>
      <c r="EM21" s="327"/>
      <c r="EO21" s="157"/>
      <c r="EP21" s="142">
        <f t="shared" si="44"/>
        <v>46277</v>
      </c>
      <c r="EQ21" s="143" t="str">
        <f t="shared" si="24"/>
        <v>土</v>
      </c>
      <c r="ER21" s="143"/>
      <c r="ES21" s="144"/>
      <c r="ET21" s="144"/>
      <c r="EU21" s="145"/>
      <c r="EV21" s="145"/>
      <c r="EW21" s="146" t="str">
        <f t="shared" si="25"/>
        <v/>
      </c>
      <c r="EX21" s="145"/>
      <c r="EY21" s="145"/>
      <c r="EZ21" s="145"/>
      <c r="FA21" s="145"/>
      <c r="FB21" s="147" t="str">
        <f t="shared" si="26"/>
        <v/>
      </c>
      <c r="FC21" s="327"/>
      <c r="FD21" s="327"/>
      <c r="FE21" s="327"/>
      <c r="FG21" s="157"/>
      <c r="FH21" s="142">
        <f t="shared" si="45"/>
        <v>46307</v>
      </c>
      <c r="FI21" s="143" t="str">
        <f t="shared" si="27"/>
        <v>月</v>
      </c>
      <c r="FJ21" s="143"/>
      <c r="FK21" s="144"/>
      <c r="FL21" s="144"/>
      <c r="FM21" s="145"/>
      <c r="FN21" s="145"/>
      <c r="FO21" s="146" t="str">
        <f t="shared" si="28"/>
        <v/>
      </c>
      <c r="FP21" s="145"/>
      <c r="FQ21" s="145"/>
      <c r="FR21" s="145"/>
      <c r="FS21" s="145"/>
      <c r="FT21" s="147" t="str">
        <f t="shared" si="29"/>
        <v/>
      </c>
      <c r="FU21" s="327"/>
      <c r="FV21" s="327"/>
      <c r="FW21" s="327"/>
      <c r="FY21" s="157"/>
      <c r="FZ21" s="142">
        <f t="shared" si="46"/>
        <v>46338</v>
      </c>
      <c r="GA21" s="143" t="str">
        <f t="shared" si="30"/>
        <v>木</v>
      </c>
      <c r="GB21" s="143" t="s">
        <v>22</v>
      </c>
      <c r="GC21" s="172">
        <v>0.375</v>
      </c>
      <c r="GD21" s="172">
        <v>0.75</v>
      </c>
      <c r="GE21" s="173">
        <v>0.5</v>
      </c>
      <c r="GF21" s="173">
        <v>0.54166666666666663</v>
      </c>
      <c r="GG21" s="146" t="str">
        <f t="shared" si="31"/>
        <v>8h</v>
      </c>
      <c r="GH21" s="173">
        <v>0.375</v>
      </c>
      <c r="GI21" s="173">
        <v>0.75</v>
      </c>
      <c r="GJ21" s="173">
        <v>0.5</v>
      </c>
      <c r="GK21" s="173">
        <v>0.54166666666666663</v>
      </c>
      <c r="GL21" s="147" t="str">
        <f t="shared" si="32"/>
        <v>8h</v>
      </c>
      <c r="GM21" s="327"/>
      <c r="GN21" s="327"/>
      <c r="GO21" s="327"/>
      <c r="GQ21" s="157"/>
      <c r="GR21" s="142">
        <f t="shared" si="47"/>
        <v>46368</v>
      </c>
      <c r="GS21" s="143" t="str">
        <f t="shared" si="33"/>
        <v>土</v>
      </c>
      <c r="GT21" s="143"/>
      <c r="GU21" s="144"/>
      <c r="GV21" s="144"/>
      <c r="GW21" s="145"/>
      <c r="GX21" s="145"/>
      <c r="GY21" s="146" t="str">
        <f t="shared" si="34"/>
        <v/>
      </c>
      <c r="GZ21" s="145"/>
      <c r="HA21" s="145"/>
      <c r="HB21" s="145"/>
      <c r="HC21" s="145"/>
      <c r="HD21" s="147" t="str">
        <f t="shared" si="35"/>
        <v/>
      </c>
      <c r="HE21" s="327"/>
      <c r="HF21" s="327"/>
      <c r="HG21" s="327"/>
    </row>
    <row r="22" spans="1:215" x14ac:dyDescent="0.45">
      <c r="A22" s="157"/>
      <c r="B22" s="142">
        <f t="shared" si="36"/>
        <v>46035</v>
      </c>
      <c r="C22" s="143" t="str">
        <f t="shared" si="0"/>
        <v>火</v>
      </c>
      <c r="D22" s="143" t="s">
        <v>22</v>
      </c>
      <c r="E22" s="172">
        <v>0.375</v>
      </c>
      <c r="F22" s="172">
        <v>0.75</v>
      </c>
      <c r="G22" s="173">
        <v>0.5</v>
      </c>
      <c r="H22" s="173">
        <v>0.54166666666666663</v>
      </c>
      <c r="I22" s="146" t="str">
        <f t="shared" si="1"/>
        <v>8h</v>
      </c>
      <c r="J22" s="173">
        <v>0.375</v>
      </c>
      <c r="K22" s="173">
        <v>0.75</v>
      </c>
      <c r="L22" s="173">
        <v>0.5</v>
      </c>
      <c r="M22" s="173">
        <v>0.54166666666666663</v>
      </c>
      <c r="N22" s="147" t="str">
        <f t="shared" si="2"/>
        <v>8h</v>
      </c>
      <c r="O22" s="327"/>
      <c r="P22" s="327"/>
      <c r="Q22" s="327"/>
      <c r="S22" s="157"/>
      <c r="T22" s="142">
        <f t="shared" si="37"/>
        <v>46066</v>
      </c>
      <c r="U22" s="143" t="str">
        <f t="shared" si="3"/>
        <v>金</v>
      </c>
      <c r="V22" s="143" t="s">
        <v>22</v>
      </c>
      <c r="W22" s="172">
        <v>0.375</v>
      </c>
      <c r="X22" s="172">
        <v>0.75</v>
      </c>
      <c r="Y22" s="173">
        <v>0.5</v>
      </c>
      <c r="Z22" s="173">
        <v>0.54166666666666663</v>
      </c>
      <c r="AA22" s="146" t="str">
        <f t="shared" si="4"/>
        <v>8h</v>
      </c>
      <c r="AB22" s="173">
        <v>0.375</v>
      </c>
      <c r="AC22" s="173">
        <v>0.75</v>
      </c>
      <c r="AD22" s="173">
        <v>0.5</v>
      </c>
      <c r="AE22" s="173">
        <v>0.54166666666666663</v>
      </c>
      <c r="AF22" s="147" t="str">
        <f t="shared" si="5"/>
        <v>8h</v>
      </c>
      <c r="AG22" s="327"/>
      <c r="AH22" s="327"/>
      <c r="AI22" s="327"/>
      <c r="AK22" s="157"/>
      <c r="AL22" s="142">
        <f t="shared" si="38"/>
        <v>46094</v>
      </c>
      <c r="AM22" s="143" t="str">
        <f t="shared" si="6"/>
        <v>金</v>
      </c>
      <c r="AN22" s="143" t="s">
        <v>22</v>
      </c>
      <c r="AO22" s="172">
        <v>0.375</v>
      </c>
      <c r="AP22" s="172">
        <v>0.75</v>
      </c>
      <c r="AQ22" s="173">
        <v>0.5</v>
      </c>
      <c r="AR22" s="173">
        <v>0.54166666666666663</v>
      </c>
      <c r="AS22" s="146" t="str">
        <f t="shared" si="7"/>
        <v>8h</v>
      </c>
      <c r="AT22" s="173">
        <v>0.375</v>
      </c>
      <c r="AU22" s="173">
        <v>0.75</v>
      </c>
      <c r="AV22" s="173">
        <v>0.5</v>
      </c>
      <c r="AW22" s="173">
        <v>0.54166666666666663</v>
      </c>
      <c r="AX22" s="147" t="str">
        <f t="shared" si="8"/>
        <v>8h</v>
      </c>
      <c r="AY22" s="327"/>
      <c r="AZ22" s="327"/>
      <c r="BA22" s="327"/>
      <c r="BC22" s="157"/>
      <c r="BD22" s="142">
        <f t="shared" si="39"/>
        <v>46125</v>
      </c>
      <c r="BE22" s="143" t="str">
        <f t="shared" si="9"/>
        <v>月</v>
      </c>
      <c r="BF22" s="143" t="s">
        <v>22</v>
      </c>
      <c r="BG22" s="172">
        <v>0.375</v>
      </c>
      <c r="BH22" s="172">
        <v>0.75</v>
      </c>
      <c r="BI22" s="173">
        <v>0.5</v>
      </c>
      <c r="BJ22" s="173">
        <v>0.54166666666666663</v>
      </c>
      <c r="BK22" s="146" t="str">
        <f t="shared" si="10"/>
        <v>8h</v>
      </c>
      <c r="BL22" s="173">
        <v>0.375</v>
      </c>
      <c r="BM22" s="173">
        <v>0.75</v>
      </c>
      <c r="BN22" s="173">
        <v>0.5</v>
      </c>
      <c r="BO22" s="173">
        <v>0.54166666666666663</v>
      </c>
      <c r="BP22" s="147" t="str">
        <f t="shared" si="11"/>
        <v>8h</v>
      </c>
      <c r="BQ22" s="327"/>
      <c r="BR22" s="327"/>
      <c r="BS22" s="327"/>
      <c r="BU22" s="157"/>
      <c r="BV22" s="142">
        <f t="shared" si="40"/>
        <v>46155</v>
      </c>
      <c r="BW22" s="143" t="str">
        <f t="shared" si="12"/>
        <v>水</v>
      </c>
      <c r="BX22" s="143" t="s">
        <v>22</v>
      </c>
      <c r="BY22" s="172">
        <v>0.375</v>
      </c>
      <c r="BZ22" s="172">
        <v>0.75</v>
      </c>
      <c r="CA22" s="173">
        <v>0.5</v>
      </c>
      <c r="CB22" s="173">
        <v>0.54166666666666663</v>
      </c>
      <c r="CC22" s="146" t="str">
        <f t="shared" si="13"/>
        <v>8h</v>
      </c>
      <c r="CD22" s="173">
        <v>0.375</v>
      </c>
      <c r="CE22" s="173">
        <v>0.75</v>
      </c>
      <c r="CF22" s="173">
        <v>0.5</v>
      </c>
      <c r="CG22" s="173">
        <v>0.54166666666666663</v>
      </c>
      <c r="CH22" s="147" t="str">
        <f t="shared" si="14"/>
        <v>8h</v>
      </c>
      <c r="CI22" s="327"/>
      <c r="CJ22" s="327"/>
      <c r="CK22" s="327"/>
      <c r="CM22" s="157"/>
      <c r="CN22" s="142">
        <f t="shared" si="41"/>
        <v>46186</v>
      </c>
      <c r="CO22" s="143" t="str">
        <f t="shared" si="15"/>
        <v>土</v>
      </c>
      <c r="CP22" s="143"/>
      <c r="CQ22" s="144"/>
      <c r="CR22" s="144"/>
      <c r="CS22" s="145"/>
      <c r="CT22" s="145"/>
      <c r="CU22" s="146" t="str">
        <f t="shared" si="16"/>
        <v/>
      </c>
      <c r="CV22" s="145"/>
      <c r="CW22" s="145"/>
      <c r="CX22" s="145"/>
      <c r="CY22" s="145"/>
      <c r="CZ22" s="147" t="str">
        <f t="shared" si="17"/>
        <v/>
      </c>
      <c r="DA22" s="327"/>
      <c r="DB22" s="327"/>
      <c r="DC22" s="327"/>
      <c r="DE22" s="157"/>
      <c r="DF22" s="142">
        <f t="shared" si="42"/>
        <v>46216</v>
      </c>
      <c r="DG22" s="143" t="str">
        <f t="shared" si="18"/>
        <v>月</v>
      </c>
      <c r="DH22" s="143" t="s">
        <v>22</v>
      </c>
      <c r="DI22" s="172">
        <v>0.375</v>
      </c>
      <c r="DJ22" s="172">
        <v>0.75</v>
      </c>
      <c r="DK22" s="173">
        <v>0.5</v>
      </c>
      <c r="DL22" s="173">
        <v>0.54166666666666663</v>
      </c>
      <c r="DM22" s="146" t="str">
        <f t="shared" si="19"/>
        <v>8h</v>
      </c>
      <c r="DN22" s="173">
        <v>0.375</v>
      </c>
      <c r="DO22" s="173">
        <v>0.75</v>
      </c>
      <c r="DP22" s="173">
        <v>0.5</v>
      </c>
      <c r="DQ22" s="173">
        <v>0.54166666666666663</v>
      </c>
      <c r="DR22" s="147" t="str">
        <f t="shared" si="20"/>
        <v>8h</v>
      </c>
      <c r="DS22" s="327"/>
      <c r="DT22" s="327"/>
      <c r="DU22" s="327"/>
      <c r="DW22" s="157"/>
      <c r="DX22" s="142">
        <f t="shared" si="43"/>
        <v>46247</v>
      </c>
      <c r="DY22" s="143" t="str">
        <f t="shared" si="21"/>
        <v>木</v>
      </c>
      <c r="DZ22" s="143" t="s">
        <v>22</v>
      </c>
      <c r="EA22" s="172">
        <v>0.375</v>
      </c>
      <c r="EB22" s="172">
        <v>0.75</v>
      </c>
      <c r="EC22" s="173">
        <v>0.5</v>
      </c>
      <c r="ED22" s="173">
        <v>0.54166666666666663</v>
      </c>
      <c r="EE22" s="146" t="str">
        <f t="shared" si="22"/>
        <v>8h</v>
      </c>
      <c r="EF22" s="173">
        <v>0.375</v>
      </c>
      <c r="EG22" s="173">
        <v>0.75</v>
      </c>
      <c r="EH22" s="173">
        <v>0.5</v>
      </c>
      <c r="EI22" s="173">
        <v>0.54166666666666663</v>
      </c>
      <c r="EJ22" s="147" t="str">
        <f t="shared" si="23"/>
        <v>8h</v>
      </c>
      <c r="EK22" s="327"/>
      <c r="EL22" s="327"/>
      <c r="EM22" s="327"/>
      <c r="EO22" s="157"/>
      <c r="EP22" s="142">
        <f t="shared" si="44"/>
        <v>46278</v>
      </c>
      <c r="EQ22" s="143" t="str">
        <f t="shared" si="24"/>
        <v>日</v>
      </c>
      <c r="ER22" s="143"/>
      <c r="ES22" s="144"/>
      <c r="ET22" s="144"/>
      <c r="EU22" s="145"/>
      <c r="EV22" s="145"/>
      <c r="EW22" s="146" t="str">
        <f t="shared" si="25"/>
        <v/>
      </c>
      <c r="EX22" s="145"/>
      <c r="EY22" s="145"/>
      <c r="EZ22" s="145"/>
      <c r="FA22" s="145"/>
      <c r="FB22" s="147" t="str">
        <f t="shared" si="26"/>
        <v/>
      </c>
      <c r="FC22" s="327"/>
      <c r="FD22" s="327"/>
      <c r="FE22" s="327"/>
      <c r="FG22" s="157"/>
      <c r="FH22" s="142">
        <f t="shared" si="45"/>
        <v>46308</v>
      </c>
      <c r="FI22" s="143" t="str">
        <f t="shared" si="27"/>
        <v>火</v>
      </c>
      <c r="FJ22" s="143" t="s">
        <v>22</v>
      </c>
      <c r="FK22" s="172">
        <v>0.375</v>
      </c>
      <c r="FL22" s="172">
        <v>0.75</v>
      </c>
      <c r="FM22" s="173">
        <v>0.5</v>
      </c>
      <c r="FN22" s="173">
        <v>0.54166666666666663</v>
      </c>
      <c r="FO22" s="146" t="str">
        <f t="shared" si="28"/>
        <v>8h</v>
      </c>
      <c r="FP22" s="173">
        <v>0.375</v>
      </c>
      <c r="FQ22" s="173">
        <v>0.75</v>
      </c>
      <c r="FR22" s="173">
        <v>0.5</v>
      </c>
      <c r="FS22" s="173">
        <v>0.54166666666666663</v>
      </c>
      <c r="FT22" s="147" t="str">
        <f t="shared" si="29"/>
        <v>8h</v>
      </c>
      <c r="FU22" s="327"/>
      <c r="FV22" s="327"/>
      <c r="FW22" s="327"/>
      <c r="FY22" s="157"/>
      <c r="FZ22" s="142">
        <f t="shared" si="46"/>
        <v>46339</v>
      </c>
      <c r="GA22" s="143" t="str">
        <f t="shared" si="30"/>
        <v>金</v>
      </c>
      <c r="GB22" s="143" t="s">
        <v>22</v>
      </c>
      <c r="GC22" s="172">
        <v>0.375</v>
      </c>
      <c r="GD22" s="172">
        <v>0.75</v>
      </c>
      <c r="GE22" s="173">
        <v>0.5</v>
      </c>
      <c r="GF22" s="173">
        <v>0.54166666666666663</v>
      </c>
      <c r="GG22" s="146" t="str">
        <f t="shared" si="31"/>
        <v>8h</v>
      </c>
      <c r="GH22" s="173">
        <v>0.375</v>
      </c>
      <c r="GI22" s="173">
        <v>0.75</v>
      </c>
      <c r="GJ22" s="173">
        <v>0.5</v>
      </c>
      <c r="GK22" s="173">
        <v>0.54166666666666663</v>
      </c>
      <c r="GL22" s="147" t="str">
        <f t="shared" si="32"/>
        <v>8h</v>
      </c>
      <c r="GM22" s="327"/>
      <c r="GN22" s="327"/>
      <c r="GO22" s="327"/>
      <c r="GQ22" s="157"/>
      <c r="GR22" s="142">
        <f t="shared" si="47"/>
        <v>46369</v>
      </c>
      <c r="GS22" s="143" t="str">
        <f t="shared" si="33"/>
        <v>日</v>
      </c>
      <c r="GT22" s="143"/>
      <c r="GU22" s="144"/>
      <c r="GV22" s="144"/>
      <c r="GW22" s="145"/>
      <c r="GX22" s="145"/>
      <c r="GY22" s="146" t="str">
        <f t="shared" si="34"/>
        <v/>
      </c>
      <c r="GZ22" s="145"/>
      <c r="HA22" s="145"/>
      <c r="HB22" s="145"/>
      <c r="HC22" s="145"/>
      <c r="HD22" s="147" t="str">
        <f t="shared" si="35"/>
        <v/>
      </c>
      <c r="HE22" s="327"/>
      <c r="HF22" s="327"/>
      <c r="HG22" s="327"/>
    </row>
    <row r="23" spans="1:215" x14ac:dyDescent="0.45">
      <c r="A23" s="157"/>
      <c r="B23" s="142">
        <f t="shared" si="36"/>
        <v>46036</v>
      </c>
      <c r="C23" s="143" t="str">
        <f t="shared" si="0"/>
        <v>水</v>
      </c>
      <c r="D23" s="143" t="s">
        <v>22</v>
      </c>
      <c r="E23" s="172">
        <v>0.375</v>
      </c>
      <c r="F23" s="172">
        <v>0.75</v>
      </c>
      <c r="G23" s="173">
        <v>0.5</v>
      </c>
      <c r="H23" s="173">
        <v>0.54166666666666663</v>
      </c>
      <c r="I23" s="146" t="str">
        <f t="shared" si="1"/>
        <v>8h</v>
      </c>
      <c r="J23" s="173">
        <v>0.375</v>
      </c>
      <c r="K23" s="173">
        <v>0.75</v>
      </c>
      <c r="L23" s="173">
        <v>0.5</v>
      </c>
      <c r="M23" s="173">
        <v>0.54166666666666663</v>
      </c>
      <c r="N23" s="147" t="str">
        <f t="shared" si="2"/>
        <v>8h</v>
      </c>
      <c r="O23" s="327"/>
      <c r="P23" s="327"/>
      <c r="Q23" s="327"/>
      <c r="S23" s="157"/>
      <c r="T23" s="142">
        <f t="shared" si="37"/>
        <v>46067</v>
      </c>
      <c r="U23" s="143" t="str">
        <f t="shared" si="3"/>
        <v>土</v>
      </c>
      <c r="V23" s="143"/>
      <c r="W23" s="144"/>
      <c r="X23" s="144"/>
      <c r="Y23" s="145"/>
      <c r="Z23" s="145"/>
      <c r="AA23" s="146" t="str">
        <f t="shared" si="4"/>
        <v/>
      </c>
      <c r="AB23" s="145"/>
      <c r="AC23" s="145"/>
      <c r="AD23" s="145"/>
      <c r="AE23" s="145"/>
      <c r="AF23" s="147" t="str">
        <f t="shared" si="5"/>
        <v/>
      </c>
      <c r="AG23" s="327"/>
      <c r="AH23" s="327"/>
      <c r="AI23" s="327"/>
      <c r="AK23" s="157"/>
      <c r="AL23" s="142">
        <f t="shared" si="38"/>
        <v>46095</v>
      </c>
      <c r="AM23" s="143" t="str">
        <f t="shared" si="6"/>
        <v>土</v>
      </c>
      <c r="AN23" s="143"/>
      <c r="AO23" s="144"/>
      <c r="AP23" s="144"/>
      <c r="AQ23" s="145"/>
      <c r="AR23" s="145"/>
      <c r="AS23" s="146" t="str">
        <f t="shared" si="7"/>
        <v/>
      </c>
      <c r="AT23" s="145"/>
      <c r="AU23" s="145"/>
      <c r="AV23" s="145"/>
      <c r="AW23" s="145"/>
      <c r="AX23" s="147" t="str">
        <f t="shared" si="8"/>
        <v/>
      </c>
      <c r="AY23" s="327"/>
      <c r="AZ23" s="327"/>
      <c r="BA23" s="327"/>
      <c r="BC23" s="157"/>
      <c r="BD23" s="142">
        <f t="shared" si="39"/>
        <v>46126</v>
      </c>
      <c r="BE23" s="143" t="str">
        <f t="shared" si="9"/>
        <v>火</v>
      </c>
      <c r="BF23" s="143" t="s">
        <v>22</v>
      </c>
      <c r="BG23" s="172">
        <v>0.375</v>
      </c>
      <c r="BH23" s="172">
        <v>0.75</v>
      </c>
      <c r="BI23" s="173">
        <v>0.5</v>
      </c>
      <c r="BJ23" s="173">
        <v>0.54166666666666663</v>
      </c>
      <c r="BK23" s="146" t="str">
        <f t="shared" si="10"/>
        <v>8h</v>
      </c>
      <c r="BL23" s="173">
        <v>0.375</v>
      </c>
      <c r="BM23" s="173">
        <v>0.75</v>
      </c>
      <c r="BN23" s="173">
        <v>0.5</v>
      </c>
      <c r="BO23" s="173">
        <v>0.54166666666666663</v>
      </c>
      <c r="BP23" s="147" t="str">
        <f t="shared" si="11"/>
        <v>8h</v>
      </c>
      <c r="BQ23" s="327"/>
      <c r="BR23" s="327"/>
      <c r="BS23" s="327"/>
      <c r="BU23" s="157"/>
      <c r="BV23" s="142">
        <f t="shared" si="40"/>
        <v>46156</v>
      </c>
      <c r="BW23" s="143" t="str">
        <f t="shared" si="12"/>
        <v>木</v>
      </c>
      <c r="BX23" s="143" t="s">
        <v>22</v>
      </c>
      <c r="BY23" s="172">
        <v>0.375</v>
      </c>
      <c r="BZ23" s="172">
        <v>0.75</v>
      </c>
      <c r="CA23" s="173">
        <v>0.5</v>
      </c>
      <c r="CB23" s="173">
        <v>0.54166666666666663</v>
      </c>
      <c r="CC23" s="146" t="str">
        <f t="shared" si="13"/>
        <v>8h</v>
      </c>
      <c r="CD23" s="173">
        <v>0.375</v>
      </c>
      <c r="CE23" s="173">
        <v>0.75</v>
      </c>
      <c r="CF23" s="173">
        <v>0.5</v>
      </c>
      <c r="CG23" s="173">
        <v>0.54166666666666663</v>
      </c>
      <c r="CH23" s="147" t="str">
        <f t="shared" si="14"/>
        <v>8h</v>
      </c>
      <c r="CI23" s="327"/>
      <c r="CJ23" s="327"/>
      <c r="CK23" s="327"/>
      <c r="CM23" s="157"/>
      <c r="CN23" s="142">
        <f t="shared" si="41"/>
        <v>46187</v>
      </c>
      <c r="CO23" s="143" t="str">
        <f t="shared" si="15"/>
        <v>日</v>
      </c>
      <c r="CP23" s="143"/>
      <c r="CQ23" s="144"/>
      <c r="CR23" s="144"/>
      <c r="CS23" s="145"/>
      <c r="CT23" s="145"/>
      <c r="CU23" s="146" t="str">
        <f t="shared" si="16"/>
        <v/>
      </c>
      <c r="CV23" s="145"/>
      <c r="CW23" s="145"/>
      <c r="CX23" s="145"/>
      <c r="CY23" s="145"/>
      <c r="CZ23" s="147" t="str">
        <f t="shared" si="17"/>
        <v/>
      </c>
      <c r="DA23" s="327"/>
      <c r="DB23" s="327"/>
      <c r="DC23" s="327"/>
      <c r="DE23" s="157"/>
      <c r="DF23" s="142">
        <f t="shared" si="42"/>
        <v>46217</v>
      </c>
      <c r="DG23" s="143" t="str">
        <f t="shared" si="18"/>
        <v>火</v>
      </c>
      <c r="DH23" s="143" t="s">
        <v>22</v>
      </c>
      <c r="DI23" s="172">
        <v>0.375</v>
      </c>
      <c r="DJ23" s="172">
        <v>0.75</v>
      </c>
      <c r="DK23" s="173">
        <v>0.5</v>
      </c>
      <c r="DL23" s="173">
        <v>0.54166666666666663</v>
      </c>
      <c r="DM23" s="146" t="str">
        <f t="shared" si="19"/>
        <v>8h</v>
      </c>
      <c r="DN23" s="173">
        <v>0.375</v>
      </c>
      <c r="DO23" s="173">
        <v>0.75</v>
      </c>
      <c r="DP23" s="173">
        <v>0.5</v>
      </c>
      <c r="DQ23" s="173">
        <v>0.54166666666666663</v>
      </c>
      <c r="DR23" s="147" t="str">
        <f t="shared" si="20"/>
        <v>8h</v>
      </c>
      <c r="DS23" s="327"/>
      <c r="DT23" s="327"/>
      <c r="DU23" s="327"/>
      <c r="DW23" s="157"/>
      <c r="DX23" s="142">
        <f t="shared" si="43"/>
        <v>46248</v>
      </c>
      <c r="DY23" s="143" t="str">
        <f t="shared" si="21"/>
        <v>金</v>
      </c>
      <c r="DZ23" s="143" t="s">
        <v>22</v>
      </c>
      <c r="EA23" s="172">
        <v>0.375</v>
      </c>
      <c r="EB23" s="172">
        <v>0.75</v>
      </c>
      <c r="EC23" s="173">
        <v>0.5</v>
      </c>
      <c r="ED23" s="173">
        <v>0.54166666666666663</v>
      </c>
      <c r="EE23" s="146" t="str">
        <f t="shared" si="22"/>
        <v>8h</v>
      </c>
      <c r="EF23" s="173">
        <v>0.375</v>
      </c>
      <c r="EG23" s="173">
        <v>0.75</v>
      </c>
      <c r="EH23" s="173">
        <v>0.5</v>
      </c>
      <c r="EI23" s="173">
        <v>0.54166666666666663</v>
      </c>
      <c r="EJ23" s="147" t="str">
        <f t="shared" si="23"/>
        <v>8h</v>
      </c>
      <c r="EK23" s="327"/>
      <c r="EL23" s="327"/>
      <c r="EM23" s="327"/>
      <c r="EO23" s="157"/>
      <c r="EP23" s="142">
        <f t="shared" si="44"/>
        <v>46279</v>
      </c>
      <c r="EQ23" s="143" t="str">
        <f t="shared" si="24"/>
        <v>月</v>
      </c>
      <c r="ER23" s="143" t="s">
        <v>22</v>
      </c>
      <c r="ES23" s="172">
        <v>0.375</v>
      </c>
      <c r="ET23" s="172">
        <v>0.75</v>
      </c>
      <c r="EU23" s="173">
        <v>0.5</v>
      </c>
      <c r="EV23" s="173">
        <v>0.54166666666666663</v>
      </c>
      <c r="EW23" s="146" t="str">
        <f t="shared" si="25"/>
        <v>8h</v>
      </c>
      <c r="EX23" s="173">
        <v>0.375</v>
      </c>
      <c r="EY23" s="173">
        <v>0.75</v>
      </c>
      <c r="EZ23" s="173">
        <v>0.5</v>
      </c>
      <c r="FA23" s="173">
        <v>0.54166666666666663</v>
      </c>
      <c r="FB23" s="147" t="str">
        <f t="shared" si="26"/>
        <v>8h</v>
      </c>
      <c r="FC23" s="327"/>
      <c r="FD23" s="327"/>
      <c r="FE23" s="327"/>
      <c r="FG23" s="157"/>
      <c r="FH23" s="142">
        <f t="shared" si="45"/>
        <v>46309</v>
      </c>
      <c r="FI23" s="143" t="str">
        <f t="shared" si="27"/>
        <v>水</v>
      </c>
      <c r="FJ23" s="143" t="s">
        <v>22</v>
      </c>
      <c r="FK23" s="172">
        <v>0.375</v>
      </c>
      <c r="FL23" s="172">
        <v>0.75</v>
      </c>
      <c r="FM23" s="173">
        <v>0.5</v>
      </c>
      <c r="FN23" s="173">
        <v>0.54166666666666663</v>
      </c>
      <c r="FO23" s="146" t="str">
        <f t="shared" si="28"/>
        <v>8h</v>
      </c>
      <c r="FP23" s="173">
        <v>0.375</v>
      </c>
      <c r="FQ23" s="173">
        <v>0.75</v>
      </c>
      <c r="FR23" s="173">
        <v>0.5</v>
      </c>
      <c r="FS23" s="173">
        <v>0.54166666666666663</v>
      </c>
      <c r="FT23" s="147" t="str">
        <f t="shared" si="29"/>
        <v>8h</v>
      </c>
      <c r="FU23" s="327"/>
      <c r="FV23" s="327"/>
      <c r="FW23" s="327"/>
      <c r="FY23" s="157"/>
      <c r="FZ23" s="142">
        <f t="shared" si="46"/>
        <v>46340</v>
      </c>
      <c r="GA23" s="143" t="str">
        <f t="shared" si="30"/>
        <v>土</v>
      </c>
      <c r="GB23" s="143"/>
      <c r="GC23" s="144"/>
      <c r="GD23" s="144"/>
      <c r="GE23" s="145"/>
      <c r="GF23" s="145"/>
      <c r="GG23" s="146" t="str">
        <f t="shared" si="31"/>
        <v/>
      </c>
      <c r="GH23" s="145"/>
      <c r="GI23" s="145"/>
      <c r="GJ23" s="145"/>
      <c r="GK23" s="145"/>
      <c r="GL23" s="147" t="str">
        <f t="shared" si="32"/>
        <v/>
      </c>
      <c r="GM23" s="327"/>
      <c r="GN23" s="327"/>
      <c r="GO23" s="327"/>
      <c r="GQ23" s="157"/>
      <c r="GR23" s="142">
        <f t="shared" si="47"/>
        <v>46370</v>
      </c>
      <c r="GS23" s="143" t="str">
        <f t="shared" si="33"/>
        <v>月</v>
      </c>
      <c r="GT23" s="143" t="s">
        <v>22</v>
      </c>
      <c r="GU23" s="172">
        <v>0.375</v>
      </c>
      <c r="GV23" s="172">
        <v>0.75</v>
      </c>
      <c r="GW23" s="173">
        <v>0.5</v>
      </c>
      <c r="GX23" s="173">
        <v>0.54166666666666663</v>
      </c>
      <c r="GY23" s="146" t="str">
        <f t="shared" si="34"/>
        <v>8h</v>
      </c>
      <c r="GZ23" s="173">
        <v>0.375</v>
      </c>
      <c r="HA23" s="173">
        <v>0.75</v>
      </c>
      <c r="HB23" s="173">
        <v>0.5</v>
      </c>
      <c r="HC23" s="173">
        <v>0.54166666666666663</v>
      </c>
      <c r="HD23" s="147" t="str">
        <f t="shared" si="35"/>
        <v>8h</v>
      </c>
      <c r="HE23" s="327"/>
      <c r="HF23" s="327"/>
      <c r="HG23" s="327"/>
    </row>
    <row r="24" spans="1:215" x14ac:dyDescent="0.45">
      <c r="A24" s="157"/>
      <c r="B24" s="142">
        <f t="shared" si="36"/>
        <v>46037</v>
      </c>
      <c r="C24" s="143" t="str">
        <f t="shared" si="0"/>
        <v>木</v>
      </c>
      <c r="D24" s="143" t="s">
        <v>22</v>
      </c>
      <c r="E24" s="172">
        <v>0.375</v>
      </c>
      <c r="F24" s="172">
        <v>0.75</v>
      </c>
      <c r="G24" s="173">
        <v>0.5</v>
      </c>
      <c r="H24" s="173">
        <v>0.54166666666666663</v>
      </c>
      <c r="I24" s="146" t="str">
        <f t="shared" si="1"/>
        <v>8h</v>
      </c>
      <c r="J24" s="173">
        <v>0.375</v>
      </c>
      <c r="K24" s="173">
        <v>0.75</v>
      </c>
      <c r="L24" s="173">
        <v>0.5</v>
      </c>
      <c r="M24" s="173">
        <v>0.54166666666666663</v>
      </c>
      <c r="N24" s="147" t="str">
        <f t="shared" si="2"/>
        <v>8h</v>
      </c>
      <c r="O24" s="327"/>
      <c r="P24" s="327"/>
      <c r="Q24" s="327"/>
      <c r="S24" s="157"/>
      <c r="T24" s="142">
        <f t="shared" si="37"/>
        <v>46068</v>
      </c>
      <c r="U24" s="143" t="str">
        <f t="shared" si="3"/>
        <v>日</v>
      </c>
      <c r="V24" s="143"/>
      <c r="W24" s="144"/>
      <c r="X24" s="144"/>
      <c r="Y24" s="145"/>
      <c r="Z24" s="145"/>
      <c r="AA24" s="146" t="str">
        <f t="shared" si="4"/>
        <v/>
      </c>
      <c r="AB24" s="145"/>
      <c r="AC24" s="145"/>
      <c r="AD24" s="145"/>
      <c r="AE24" s="145"/>
      <c r="AF24" s="147" t="str">
        <f t="shared" si="5"/>
        <v/>
      </c>
      <c r="AG24" s="327"/>
      <c r="AH24" s="327"/>
      <c r="AI24" s="327"/>
      <c r="AK24" s="157"/>
      <c r="AL24" s="142">
        <f t="shared" si="38"/>
        <v>46096</v>
      </c>
      <c r="AM24" s="143" t="str">
        <f t="shared" si="6"/>
        <v>日</v>
      </c>
      <c r="AN24" s="143"/>
      <c r="AO24" s="144"/>
      <c r="AP24" s="144"/>
      <c r="AQ24" s="145"/>
      <c r="AR24" s="145"/>
      <c r="AS24" s="146" t="str">
        <f t="shared" si="7"/>
        <v/>
      </c>
      <c r="AT24" s="145"/>
      <c r="AU24" s="145"/>
      <c r="AV24" s="145"/>
      <c r="AW24" s="145"/>
      <c r="AX24" s="147" t="str">
        <f t="shared" si="8"/>
        <v/>
      </c>
      <c r="AY24" s="327"/>
      <c r="AZ24" s="327"/>
      <c r="BA24" s="327"/>
      <c r="BC24" s="157"/>
      <c r="BD24" s="142">
        <f t="shared" si="39"/>
        <v>46127</v>
      </c>
      <c r="BE24" s="143" t="str">
        <f t="shared" si="9"/>
        <v>水</v>
      </c>
      <c r="BF24" s="143" t="s">
        <v>22</v>
      </c>
      <c r="BG24" s="172">
        <v>0.375</v>
      </c>
      <c r="BH24" s="172">
        <v>0.75</v>
      </c>
      <c r="BI24" s="173">
        <v>0.5</v>
      </c>
      <c r="BJ24" s="173">
        <v>0.54166666666666663</v>
      </c>
      <c r="BK24" s="146" t="str">
        <f t="shared" si="10"/>
        <v>8h</v>
      </c>
      <c r="BL24" s="173">
        <v>0.375</v>
      </c>
      <c r="BM24" s="173">
        <v>0.75</v>
      </c>
      <c r="BN24" s="173">
        <v>0.5</v>
      </c>
      <c r="BO24" s="173">
        <v>0.54166666666666663</v>
      </c>
      <c r="BP24" s="147" t="str">
        <f t="shared" si="11"/>
        <v>8h</v>
      </c>
      <c r="BQ24" s="327"/>
      <c r="BR24" s="327"/>
      <c r="BS24" s="327"/>
      <c r="BU24" s="157"/>
      <c r="BV24" s="142">
        <f t="shared" si="40"/>
        <v>46157</v>
      </c>
      <c r="BW24" s="143" t="str">
        <f t="shared" si="12"/>
        <v>金</v>
      </c>
      <c r="BX24" s="143" t="s">
        <v>22</v>
      </c>
      <c r="BY24" s="172">
        <v>0.375</v>
      </c>
      <c r="BZ24" s="172">
        <v>0.75</v>
      </c>
      <c r="CA24" s="173">
        <v>0.5</v>
      </c>
      <c r="CB24" s="173">
        <v>0.54166666666666663</v>
      </c>
      <c r="CC24" s="146" t="str">
        <f t="shared" si="13"/>
        <v>8h</v>
      </c>
      <c r="CD24" s="173">
        <v>0.375</v>
      </c>
      <c r="CE24" s="173">
        <v>0.75</v>
      </c>
      <c r="CF24" s="173">
        <v>0.5</v>
      </c>
      <c r="CG24" s="173">
        <v>0.54166666666666663</v>
      </c>
      <c r="CH24" s="147" t="str">
        <f t="shared" si="14"/>
        <v>8h</v>
      </c>
      <c r="CI24" s="327"/>
      <c r="CJ24" s="327"/>
      <c r="CK24" s="327"/>
      <c r="CM24" s="157"/>
      <c r="CN24" s="142">
        <f t="shared" si="41"/>
        <v>46188</v>
      </c>
      <c r="CO24" s="143" t="str">
        <f t="shared" si="15"/>
        <v>月</v>
      </c>
      <c r="CP24" s="143" t="s">
        <v>22</v>
      </c>
      <c r="CQ24" s="172">
        <v>0.375</v>
      </c>
      <c r="CR24" s="172">
        <v>0.75</v>
      </c>
      <c r="CS24" s="173">
        <v>0.5</v>
      </c>
      <c r="CT24" s="173">
        <v>0.54166666666666663</v>
      </c>
      <c r="CU24" s="146" t="str">
        <f t="shared" si="16"/>
        <v>8h</v>
      </c>
      <c r="CV24" s="173">
        <v>0.375</v>
      </c>
      <c r="CW24" s="173">
        <v>0.75</v>
      </c>
      <c r="CX24" s="173">
        <v>0.5</v>
      </c>
      <c r="CY24" s="173">
        <v>0.54166666666666663</v>
      </c>
      <c r="CZ24" s="147" t="str">
        <f t="shared" si="17"/>
        <v>8h</v>
      </c>
      <c r="DA24" s="327"/>
      <c r="DB24" s="327"/>
      <c r="DC24" s="327"/>
      <c r="DE24" s="157"/>
      <c r="DF24" s="142">
        <f t="shared" si="42"/>
        <v>46218</v>
      </c>
      <c r="DG24" s="143" t="str">
        <f t="shared" si="18"/>
        <v>水</v>
      </c>
      <c r="DH24" s="143" t="s">
        <v>22</v>
      </c>
      <c r="DI24" s="172">
        <v>0.375</v>
      </c>
      <c r="DJ24" s="172">
        <v>0.75</v>
      </c>
      <c r="DK24" s="173">
        <v>0.5</v>
      </c>
      <c r="DL24" s="173">
        <v>0.54166666666666663</v>
      </c>
      <c r="DM24" s="146" t="str">
        <f t="shared" si="19"/>
        <v>8h</v>
      </c>
      <c r="DN24" s="173">
        <v>0.375</v>
      </c>
      <c r="DO24" s="173">
        <v>0.75</v>
      </c>
      <c r="DP24" s="173">
        <v>0.5</v>
      </c>
      <c r="DQ24" s="173">
        <v>0.54166666666666663</v>
      </c>
      <c r="DR24" s="147" t="str">
        <f t="shared" si="20"/>
        <v>8h</v>
      </c>
      <c r="DS24" s="327"/>
      <c r="DT24" s="327"/>
      <c r="DU24" s="327"/>
      <c r="DW24" s="157"/>
      <c r="DX24" s="142">
        <f t="shared" si="43"/>
        <v>46249</v>
      </c>
      <c r="DY24" s="143" t="str">
        <f t="shared" si="21"/>
        <v>土</v>
      </c>
      <c r="DZ24" s="143"/>
      <c r="EA24" s="144"/>
      <c r="EB24" s="144"/>
      <c r="EC24" s="145"/>
      <c r="ED24" s="145"/>
      <c r="EE24" s="146" t="str">
        <f t="shared" si="22"/>
        <v/>
      </c>
      <c r="EF24" s="145"/>
      <c r="EG24" s="145"/>
      <c r="EH24" s="145"/>
      <c r="EI24" s="145"/>
      <c r="EJ24" s="147" t="str">
        <f t="shared" si="23"/>
        <v/>
      </c>
      <c r="EK24" s="327"/>
      <c r="EL24" s="327"/>
      <c r="EM24" s="327"/>
      <c r="EO24" s="157"/>
      <c r="EP24" s="142">
        <f t="shared" si="44"/>
        <v>46280</v>
      </c>
      <c r="EQ24" s="143" t="str">
        <f t="shared" si="24"/>
        <v>火</v>
      </c>
      <c r="ER24" s="143" t="s">
        <v>22</v>
      </c>
      <c r="ES24" s="172">
        <v>0.375</v>
      </c>
      <c r="ET24" s="172">
        <v>0.75</v>
      </c>
      <c r="EU24" s="173">
        <v>0.5</v>
      </c>
      <c r="EV24" s="173">
        <v>0.54166666666666663</v>
      </c>
      <c r="EW24" s="146" t="str">
        <f t="shared" si="25"/>
        <v>8h</v>
      </c>
      <c r="EX24" s="173">
        <v>0.375</v>
      </c>
      <c r="EY24" s="173">
        <v>0.75</v>
      </c>
      <c r="EZ24" s="173">
        <v>0.5</v>
      </c>
      <c r="FA24" s="173">
        <v>0.54166666666666663</v>
      </c>
      <c r="FB24" s="147" t="str">
        <f t="shared" si="26"/>
        <v>8h</v>
      </c>
      <c r="FC24" s="327"/>
      <c r="FD24" s="327"/>
      <c r="FE24" s="327"/>
      <c r="FG24" s="157"/>
      <c r="FH24" s="142">
        <f t="shared" si="45"/>
        <v>46310</v>
      </c>
      <c r="FI24" s="143" t="str">
        <f t="shared" si="27"/>
        <v>木</v>
      </c>
      <c r="FJ24" s="143" t="s">
        <v>22</v>
      </c>
      <c r="FK24" s="172">
        <v>0.375</v>
      </c>
      <c r="FL24" s="172">
        <v>0.75</v>
      </c>
      <c r="FM24" s="173">
        <v>0.5</v>
      </c>
      <c r="FN24" s="173">
        <v>0.54166666666666663</v>
      </c>
      <c r="FO24" s="146" t="str">
        <f t="shared" si="28"/>
        <v>8h</v>
      </c>
      <c r="FP24" s="173">
        <v>0.375</v>
      </c>
      <c r="FQ24" s="173">
        <v>0.75</v>
      </c>
      <c r="FR24" s="173">
        <v>0.5</v>
      </c>
      <c r="FS24" s="173">
        <v>0.54166666666666663</v>
      </c>
      <c r="FT24" s="147" t="str">
        <f t="shared" si="29"/>
        <v>8h</v>
      </c>
      <c r="FU24" s="327"/>
      <c r="FV24" s="327"/>
      <c r="FW24" s="327"/>
      <c r="FY24" s="157"/>
      <c r="FZ24" s="142">
        <f t="shared" si="46"/>
        <v>46341</v>
      </c>
      <c r="GA24" s="143" t="str">
        <f t="shared" si="30"/>
        <v>日</v>
      </c>
      <c r="GB24" s="143"/>
      <c r="GC24" s="144"/>
      <c r="GD24" s="144"/>
      <c r="GE24" s="145"/>
      <c r="GF24" s="145"/>
      <c r="GG24" s="146" t="str">
        <f t="shared" si="31"/>
        <v/>
      </c>
      <c r="GH24" s="145"/>
      <c r="GI24" s="145"/>
      <c r="GJ24" s="145"/>
      <c r="GK24" s="145"/>
      <c r="GL24" s="147" t="str">
        <f t="shared" si="32"/>
        <v/>
      </c>
      <c r="GM24" s="327"/>
      <c r="GN24" s="327"/>
      <c r="GO24" s="327"/>
      <c r="GQ24" s="157"/>
      <c r="GR24" s="142">
        <f t="shared" si="47"/>
        <v>46371</v>
      </c>
      <c r="GS24" s="143" t="str">
        <f t="shared" si="33"/>
        <v>火</v>
      </c>
      <c r="GT24" s="143" t="s">
        <v>22</v>
      </c>
      <c r="GU24" s="172">
        <v>0.375</v>
      </c>
      <c r="GV24" s="172">
        <v>0.75</v>
      </c>
      <c r="GW24" s="173">
        <v>0.5</v>
      </c>
      <c r="GX24" s="173">
        <v>0.54166666666666663</v>
      </c>
      <c r="GY24" s="146" t="str">
        <f t="shared" si="34"/>
        <v>8h</v>
      </c>
      <c r="GZ24" s="173">
        <v>0.375</v>
      </c>
      <c r="HA24" s="173">
        <v>0.75</v>
      </c>
      <c r="HB24" s="173">
        <v>0.5</v>
      </c>
      <c r="HC24" s="173">
        <v>0.54166666666666663</v>
      </c>
      <c r="HD24" s="147" t="str">
        <f t="shared" si="35"/>
        <v>8h</v>
      </c>
      <c r="HE24" s="327"/>
      <c r="HF24" s="327"/>
      <c r="HG24" s="327"/>
    </row>
    <row r="25" spans="1:215" x14ac:dyDescent="0.45">
      <c r="A25" s="157"/>
      <c r="B25" s="142">
        <f t="shared" si="36"/>
        <v>46038</v>
      </c>
      <c r="C25" s="143" t="str">
        <f t="shared" si="0"/>
        <v>金</v>
      </c>
      <c r="D25" s="143" t="s">
        <v>22</v>
      </c>
      <c r="E25" s="172">
        <v>0.375</v>
      </c>
      <c r="F25" s="172">
        <v>0.75</v>
      </c>
      <c r="G25" s="173">
        <v>0.5</v>
      </c>
      <c r="H25" s="173">
        <v>0.54166666666666663</v>
      </c>
      <c r="I25" s="146" t="str">
        <f t="shared" si="1"/>
        <v>8h</v>
      </c>
      <c r="J25" s="173">
        <v>0.375</v>
      </c>
      <c r="K25" s="173">
        <v>0.75</v>
      </c>
      <c r="L25" s="173">
        <v>0.5</v>
      </c>
      <c r="M25" s="173">
        <v>0.54166666666666663</v>
      </c>
      <c r="N25" s="147" t="str">
        <f t="shared" si="2"/>
        <v>8h</v>
      </c>
      <c r="O25" s="327"/>
      <c r="P25" s="327"/>
      <c r="Q25" s="327"/>
      <c r="S25" s="157"/>
      <c r="T25" s="142">
        <f t="shared" si="37"/>
        <v>46069</v>
      </c>
      <c r="U25" s="143" t="str">
        <f t="shared" si="3"/>
        <v>月</v>
      </c>
      <c r="V25" s="143" t="s">
        <v>22</v>
      </c>
      <c r="W25" s="172">
        <v>0.375</v>
      </c>
      <c r="X25" s="172">
        <v>0.75</v>
      </c>
      <c r="Y25" s="173">
        <v>0.5</v>
      </c>
      <c r="Z25" s="173">
        <v>0.54166666666666663</v>
      </c>
      <c r="AA25" s="146" t="str">
        <f t="shared" si="4"/>
        <v>8h</v>
      </c>
      <c r="AB25" s="173">
        <v>0.375</v>
      </c>
      <c r="AC25" s="173">
        <v>0.75</v>
      </c>
      <c r="AD25" s="173">
        <v>0.5</v>
      </c>
      <c r="AE25" s="173">
        <v>0.54166666666666663</v>
      </c>
      <c r="AF25" s="147" t="str">
        <f t="shared" si="5"/>
        <v>8h</v>
      </c>
      <c r="AG25" s="327"/>
      <c r="AH25" s="327"/>
      <c r="AI25" s="327"/>
      <c r="AK25" s="157"/>
      <c r="AL25" s="142">
        <f t="shared" si="38"/>
        <v>46097</v>
      </c>
      <c r="AM25" s="143" t="str">
        <f t="shared" si="6"/>
        <v>月</v>
      </c>
      <c r="AN25" s="143" t="s">
        <v>22</v>
      </c>
      <c r="AO25" s="172">
        <v>0.375</v>
      </c>
      <c r="AP25" s="172">
        <v>0.75</v>
      </c>
      <c r="AQ25" s="173">
        <v>0.5</v>
      </c>
      <c r="AR25" s="173">
        <v>0.54166666666666663</v>
      </c>
      <c r="AS25" s="146" t="str">
        <f t="shared" si="7"/>
        <v>8h</v>
      </c>
      <c r="AT25" s="173">
        <v>0.375</v>
      </c>
      <c r="AU25" s="173">
        <v>0.75</v>
      </c>
      <c r="AV25" s="173">
        <v>0.5</v>
      </c>
      <c r="AW25" s="173">
        <v>0.54166666666666663</v>
      </c>
      <c r="AX25" s="147" t="str">
        <f t="shared" si="8"/>
        <v>8h</v>
      </c>
      <c r="AY25" s="327"/>
      <c r="AZ25" s="327"/>
      <c r="BA25" s="327"/>
      <c r="BC25" s="157"/>
      <c r="BD25" s="142">
        <f t="shared" si="39"/>
        <v>46128</v>
      </c>
      <c r="BE25" s="143" t="str">
        <f t="shared" si="9"/>
        <v>木</v>
      </c>
      <c r="BF25" s="143" t="s">
        <v>22</v>
      </c>
      <c r="BG25" s="172">
        <v>0.375</v>
      </c>
      <c r="BH25" s="172">
        <v>0.75</v>
      </c>
      <c r="BI25" s="173">
        <v>0.5</v>
      </c>
      <c r="BJ25" s="173">
        <v>0.54166666666666663</v>
      </c>
      <c r="BK25" s="146" t="str">
        <f t="shared" si="10"/>
        <v>8h</v>
      </c>
      <c r="BL25" s="173">
        <v>0.375</v>
      </c>
      <c r="BM25" s="173">
        <v>0.75</v>
      </c>
      <c r="BN25" s="173">
        <v>0.5</v>
      </c>
      <c r="BO25" s="173">
        <v>0.54166666666666663</v>
      </c>
      <c r="BP25" s="147" t="str">
        <f t="shared" si="11"/>
        <v>8h</v>
      </c>
      <c r="BQ25" s="327"/>
      <c r="BR25" s="327"/>
      <c r="BS25" s="327"/>
      <c r="BU25" s="157"/>
      <c r="BV25" s="142">
        <f t="shared" si="40"/>
        <v>46158</v>
      </c>
      <c r="BW25" s="143" t="str">
        <f t="shared" si="12"/>
        <v>土</v>
      </c>
      <c r="BX25" s="143"/>
      <c r="BY25" s="144"/>
      <c r="BZ25" s="144"/>
      <c r="CA25" s="145"/>
      <c r="CB25" s="145"/>
      <c r="CC25" s="146" t="str">
        <f t="shared" si="13"/>
        <v/>
      </c>
      <c r="CD25" s="145"/>
      <c r="CE25" s="145"/>
      <c r="CF25" s="145"/>
      <c r="CG25" s="145"/>
      <c r="CH25" s="147" t="str">
        <f t="shared" si="14"/>
        <v/>
      </c>
      <c r="CI25" s="327"/>
      <c r="CJ25" s="327"/>
      <c r="CK25" s="327"/>
      <c r="CM25" s="157"/>
      <c r="CN25" s="142">
        <f t="shared" si="41"/>
        <v>46189</v>
      </c>
      <c r="CO25" s="143" t="str">
        <f t="shared" si="15"/>
        <v>火</v>
      </c>
      <c r="CP25" s="143" t="s">
        <v>22</v>
      </c>
      <c r="CQ25" s="172">
        <v>0.375</v>
      </c>
      <c r="CR25" s="172">
        <v>0.75</v>
      </c>
      <c r="CS25" s="173">
        <v>0.5</v>
      </c>
      <c r="CT25" s="173">
        <v>0.54166666666666663</v>
      </c>
      <c r="CU25" s="146" t="str">
        <f t="shared" si="16"/>
        <v>8h</v>
      </c>
      <c r="CV25" s="173">
        <v>0.375</v>
      </c>
      <c r="CW25" s="173">
        <v>0.75</v>
      </c>
      <c r="CX25" s="173">
        <v>0.5</v>
      </c>
      <c r="CY25" s="173">
        <v>0.54166666666666663</v>
      </c>
      <c r="CZ25" s="147" t="str">
        <f t="shared" si="17"/>
        <v>8h</v>
      </c>
      <c r="DA25" s="327"/>
      <c r="DB25" s="327"/>
      <c r="DC25" s="327"/>
      <c r="DE25" s="157"/>
      <c r="DF25" s="142">
        <f t="shared" si="42"/>
        <v>46219</v>
      </c>
      <c r="DG25" s="143" t="str">
        <f t="shared" si="18"/>
        <v>木</v>
      </c>
      <c r="DH25" s="143" t="s">
        <v>22</v>
      </c>
      <c r="DI25" s="172">
        <v>0.375</v>
      </c>
      <c r="DJ25" s="172">
        <v>0.75</v>
      </c>
      <c r="DK25" s="173">
        <v>0.5</v>
      </c>
      <c r="DL25" s="173">
        <v>0.54166666666666663</v>
      </c>
      <c r="DM25" s="146" t="str">
        <f t="shared" si="19"/>
        <v>8h</v>
      </c>
      <c r="DN25" s="173">
        <v>0.375</v>
      </c>
      <c r="DO25" s="173">
        <v>0.75</v>
      </c>
      <c r="DP25" s="173">
        <v>0.5</v>
      </c>
      <c r="DQ25" s="173">
        <v>0.54166666666666663</v>
      </c>
      <c r="DR25" s="147" t="str">
        <f t="shared" si="20"/>
        <v>8h</v>
      </c>
      <c r="DS25" s="327"/>
      <c r="DT25" s="327"/>
      <c r="DU25" s="327"/>
      <c r="DW25" s="157"/>
      <c r="DX25" s="142">
        <f t="shared" si="43"/>
        <v>46250</v>
      </c>
      <c r="DY25" s="143" t="str">
        <f t="shared" si="21"/>
        <v>日</v>
      </c>
      <c r="DZ25" s="143"/>
      <c r="EA25" s="144"/>
      <c r="EB25" s="144"/>
      <c r="EC25" s="145"/>
      <c r="ED25" s="145"/>
      <c r="EE25" s="146" t="str">
        <f t="shared" si="22"/>
        <v/>
      </c>
      <c r="EF25" s="145"/>
      <c r="EG25" s="145"/>
      <c r="EH25" s="145"/>
      <c r="EI25" s="145"/>
      <c r="EJ25" s="147" t="str">
        <f t="shared" si="23"/>
        <v/>
      </c>
      <c r="EK25" s="327"/>
      <c r="EL25" s="327"/>
      <c r="EM25" s="327"/>
      <c r="EO25" s="157"/>
      <c r="EP25" s="142">
        <f t="shared" si="44"/>
        <v>46281</v>
      </c>
      <c r="EQ25" s="143" t="str">
        <f t="shared" si="24"/>
        <v>水</v>
      </c>
      <c r="ER25" s="143" t="s">
        <v>22</v>
      </c>
      <c r="ES25" s="172">
        <v>0.375</v>
      </c>
      <c r="ET25" s="172">
        <v>0.75</v>
      </c>
      <c r="EU25" s="173">
        <v>0.5</v>
      </c>
      <c r="EV25" s="173">
        <v>0.54166666666666663</v>
      </c>
      <c r="EW25" s="146" t="str">
        <f t="shared" si="25"/>
        <v>8h</v>
      </c>
      <c r="EX25" s="173">
        <v>0.375</v>
      </c>
      <c r="EY25" s="173">
        <v>0.75</v>
      </c>
      <c r="EZ25" s="173">
        <v>0.5</v>
      </c>
      <c r="FA25" s="173">
        <v>0.54166666666666663</v>
      </c>
      <c r="FB25" s="147" t="str">
        <f t="shared" si="26"/>
        <v>8h</v>
      </c>
      <c r="FC25" s="327"/>
      <c r="FD25" s="327"/>
      <c r="FE25" s="327"/>
      <c r="FG25" s="157"/>
      <c r="FH25" s="142">
        <f t="shared" si="45"/>
        <v>46311</v>
      </c>
      <c r="FI25" s="143" t="str">
        <f t="shared" si="27"/>
        <v>金</v>
      </c>
      <c r="FJ25" s="143" t="s">
        <v>22</v>
      </c>
      <c r="FK25" s="172">
        <v>0.375</v>
      </c>
      <c r="FL25" s="172">
        <v>0.75</v>
      </c>
      <c r="FM25" s="173">
        <v>0.5</v>
      </c>
      <c r="FN25" s="173">
        <v>0.54166666666666663</v>
      </c>
      <c r="FO25" s="146" t="str">
        <f t="shared" si="28"/>
        <v>8h</v>
      </c>
      <c r="FP25" s="173">
        <v>0.375</v>
      </c>
      <c r="FQ25" s="173">
        <v>0.75</v>
      </c>
      <c r="FR25" s="173">
        <v>0.5</v>
      </c>
      <c r="FS25" s="173">
        <v>0.54166666666666663</v>
      </c>
      <c r="FT25" s="147" t="str">
        <f t="shared" si="29"/>
        <v>8h</v>
      </c>
      <c r="FU25" s="327"/>
      <c r="FV25" s="327"/>
      <c r="FW25" s="327"/>
      <c r="FY25" s="157"/>
      <c r="FZ25" s="142">
        <f t="shared" si="46"/>
        <v>46342</v>
      </c>
      <c r="GA25" s="143" t="str">
        <f t="shared" si="30"/>
        <v>月</v>
      </c>
      <c r="GB25" s="143" t="s">
        <v>22</v>
      </c>
      <c r="GC25" s="172">
        <v>0.375</v>
      </c>
      <c r="GD25" s="172">
        <v>0.75</v>
      </c>
      <c r="GE25" s="173">
        <v>0.5</v>
      </c>
      <c r="GF25" s="173">
        <v>0.54166666666666663</v>
      </c>
      <c r="GG25" s="146" t="str">
        <f t="shared" si="31"/>
        <v>8h</v>
      </c>
      <c r="GH25" s="173">
        <v>0.375</v>
      </c>
      <c r="GI25" s="173">
        <v>0.75</v>
      </c>
      <c r="GJ25" s="173">
        <v>0.5</v>
      </c>
      <c r="GK25" s="173">
        <v>0.54166666666666663</v>
      </c>
      <c r="GL25" s="147" t="str">
        <f t="shared" si="32"/>
        <v>8h</v>
      </c>
      <c r="GM25" s="327"/>
      <c r="GN25" s="327"/>
      <c r="GO25" s="327"/>
      <c r="GQ25" s="157"/>
      <c r="GR25" s="142">
        <f t="shared" si="47"/>
        <v>46372</v>
      </c>
      <c r="GS25" s="143" t="str">
        <f t="shared" si="33"/>
        <v>水</v>
      </c>
      <c r="GT25" s="143" t="s">
        <v>22</v>
      </c>
      <c r="GU25" s="172">
        <v>0.375</v>
      </c>
      <c r="GV25" s="172">
        <v>0.75</v>
      </c>
      <c r="GW25" s="173">
        <v>0.5</v>
      </c>
      <c r="GX25" s="173">
        <v>0.54166666666666663</v>
      </c>
      <c r="GY25" s="146" t="str">
        <f t="shared" si="34"/>
        <v>8h</v>
      </c>
      <c r="GZ25" s="173">
        <v>0.375</v>
      </c>
      <c r="HA25" s="173">
        <v>0.75</v>
      </c>
      <c r="HB25" s="173">
        <v>0.5</v>
      </c>
      <c r="HC25" s="173">
        <v>0.54166666666666663</v>
      </c>
      <c r="HD25" s="147" t="str">
        <f t="shared" si="35"/>
        <v>8h</v>
      </c>
      <c r="HE25" s="327"/>
      <c r="HF25" s="327"/>
      <c r="HG25" s="327"/>
    </row>
    <row r="26" spans="1:215" x14ac:dyDescent="0.45">
      <c r="A26" s="157"/>
      <c r="B26" s="142">
        <f t="shared" si="36"/>
        <v>46039</v>
      </c>
      <c r="C26" s="143" t="str">
        <f t="shared" si="0"/>
        <v>土</v>
      </c>
      <c r="D26" s="143"/>
      <c r="E26" s="144"/>
      <c r="F26" s="144"/>
      <c r="G26" s="145"/>
      <c r="H26" s="145"/>
      <c r="I26" s="146" t="str">
        <f t="shared" si="1"/>
        <v/>
      </c>
      <c r="J26" s="145"/>
      <c r="K26" s="145"/>
      <c r="L26" s="145"/>
      <c r="M26" s="145"/>
      <c r="N26" s="147" t="str">
        <f t="shared" si="2"/>
        <v/>
      </c>
      <c r="O26" s="327"/>
      <c r="P26" s="327"/>
      <c r="Q26" s="327"/>
      <c r="S26" s="157"/>
      <c r="T26" s="142">
        <f t="shared" si="37"/>
        <v>46070</v>
      </c>
      <c r="U26" s="143" t="str">
        <f t="shared" si="3"/>
        <v>火</v>
      </c>
      <c r="V26" s="143" t="s">
        <v>22</v>
      </c>
      <c r="W26" s="172">
        <v>0.375</v>
      </c>
      <c r="X26" s="172">
        <v>0.75</v>
      </c>
      <c r="Y26" s="173">
        <v>0.5</v>
      </c>
      <c r="Z26" s="173">
        <v>0.54166666666666663</v>
      </c>
      <c r="AA26" s="146" t="str">
        <f t="shared" si="4"/>
        <v>8h</v>
      </c>
      <c r="AB26" s="173">
        <v>0.375</v>
      </c>
      <c r="AC26" s="173">
        <v>0.75</v>
      </c>
      <c r="AD26" s="173">
        <v>0.5</v>
      </c>
      <c r="AE26" s="173">
        <v>0.54166666666666663</v>
      </c>
      <c r="AF26" s="147" t="str">
        <f t="shared" si="5"/>
        <v>8h</v>
      </c>
      <c r="AG26" s="327"/>
      <c r="AH26" s="327"/>
      <c r="AI26" s="327"/>
      <c r="AK26" s="157"/>
      <c r="AL26" s="142">
        <f t="shared" si="38"/>
        <v>46098</v>
      </c>
      <c r="AM26" s="143" t="str">
        <f t="shared" si="6"/>
        <v>火</v>
      </c>
      <c r="AN26" s="143" t="s">
        <v>22</v>
      </c>
      <c r="AO26" s="172">
        <v>0.375</v>
      </c>
      <c r="AP26" s="172">
        <v>0.75</v>
      </c>
      <c r="AQ26" s="173">
        <v>0.5</v>
      </c>
      <c r="AR26" s="173">
        <v>0.54166666666666663</v>
      </c>
      <c r="AS26" s="146" t="str">
        <f t="shared" si="7"/>
        <v>8h</v>
      </c>
      <c r="AT26" s="173">
        <v>0.375</v>
      </c>
      <c r="AU26" s="173">
        <v>0.75</v>
      </c>
      <c r="AV26" s="173">
        <v>0.5</v>
      </c>
      <c r="AW26" s="173">
        <v>0.54166666666666663</v>
      </c>
      <c r="AX26" s="147" t="str">
        <f t="shared" si="8"/>
        <v>8h</v>
      </c>
      <c r="AY26" s="327"/>
      <c r="AZ26" s="327"/>
      <c r="BA26" s="327"/>
      <c r="BC26" s="157"/>
      <c r="BD26" s="142">
        <f t="shared" si="39"/>
        <v>46129</v>
      </c>
      <c r="BE26" s="143" t="str">
        <f t="shared" si="9"/>
        <v>金</v>
      </c>
      <c r="BF26" s="143" t="s">
        <v>22</v>
      </c>
      <c r="BG26" s="172">
        <v>0.375</v>
      </c>
      <c r="BH26" s="172">
        <v>0.75</v>
      </c>
      <c r="BI26" s="173">
        <v>0.5</v>
      </c>
      <c r="BJ26" s="173">
        <v>0.54166666666666663</v>
      </c>
      <c r="BK26" s="146" t="str">
        <f t="shared" si="10"/>
        <v>8h</v>
      </c>
      <c r="BL26" s="173">
        <v>0.375</v>
      </c>
      <c r="BM26" s="173">
        <v>0.75</v>
      </c>
      <c r="BN26" s="173">
        <v>0.5</v>
      </c>
      <c r="BO26" s="173">
        <v>0.54166666666666663</v>
      </c>
      <c r="BP26" s="147" t="str">
        <f t="shared" si="11"/>
        <v>8h</v>
      </c>
      <c r="BQ26" s="327"/>
      <c r="BR26" s="327"/>
      <c r="BS26" s="327"/>
      <c r="BU26" s="157"/>
      <c r="BV26" s="142">
        <f t="shared" si="40"/>
        <v>46159</v>
      </c>
      <c r="BW26" s="143" t="str">
        <f t="shared" si="12"/>
        <v>日</v>
      </c>
      <c r="BX26" s="143"/>
      <c r="BY26" s="144"/>
      <c r="BZ26" s="144"/>
      <c r="CA26" s="145"/>
      <c r="CB26" s="145"/>
      <c r="CC26" s="146" t="str">
        <f t="shared" si="13"/>
        <v/>
      </c>
      <c r="CD26" s="145"/>
      <c r="CE26" s="145"/>
      <c r="CF26" s="145"/>
      <c r="CG26" s="145"/>
      <c r="CH26" s="147" t="str">
        <f t="shared" si="14"/>
        <v/>
      </c>
      <c r="CI26" s="327"/>
      <c r="CJ26" s="327"/>
      <c r="CK26" s="327"/>
      <c r="CM26" s="157"/>
      <c r="CN26" s="142">
        <f t="shared" si="41"/>
        <v>46190</v>
      </c>
      <c r="CO26" s="143" t="str">
        <f t="shared" si="15"/>
        <v>水</v>
      </c>
      <c r="CP26" s="143" t="s">
        <v>22</v>
      </c>
      <c r="CQ26" s="172">
        <v>0.375</v>
      </c>
      <c r="CR26" s="172">
        <v>0.75</v>
      </c>
      <c r="CS26" s="173">
        <v>0.5</v>
      </c>
      <c r="CT26" s="173">
        <v>0.54166666666666663</v>
      </c>
      <c r="CU26" s="146" t="str">
        <f t="shared" si="16"/>
        <v>8h</v>
      </c>
      <c r="CV26" s="173">
        <v>0.375</v>
      </c>
      <c r="CW26" s="173">
        <v>0.75</v>
      </c>
      <c r="CX26" s="173">
        <v>0.5</v>
      </c>
      <c r="CY26" s="173">
        <v>0.54166666666666663</v>
      </c>
      <c r="CZ26" s="147" t="str">
        <f t="shared" si="17"/>
        <v>8h</v>
      </c>
      <c r="DA26" s="327"/>
      <c r="DB26" s="327"/>
      <c r="DC26" s="327"/>
      <c r="DE26" s="157"/>
      <c r="DF26" s="142">
        <f t="shared" si="42"/>
        <v>46220</v>
      </c>
      <c r="DG26" s="143" t="str">
        <f t="shared" si="18"/>
        <v>金</v>
      </c>
      <c r="DH26" s="143" t="s">
        <v>22</v>
      </c>
      <c r="DI26" s="172">
        <v>0.375</v>
      </c>
      <c r="DJ26" s="172">
        <v>0.75</v>
      </c>
      <c r="DK26" s="173">
        <v>0.5</v>
      </c>
      <c r="DL26" s="173">
        <v>0.54166666666666663</v>
      </c>
      <c r="DM26" s="146" t="str">
        <f t="shared" si="19"/>
        <v>8h</v>
      </c>
      <c r="DN26" s="173">
        <v>0.375</v>
      </c>
      <c r="DO26" s="173">
        <v>0.75</v>
      </c>
      <c r="DP26" s="173">
        <v>0.5</v>
      </c>
      <c r="DQ26" s="173">
        <v>0.54166666666666663</v>
      </c>
      <c r="DR26" s="147" t="str">
        <f t="shared" si="20"/>
        <v>8h</v>
      </c>
      <c r="DS26" s="327"/>
      <c r="DT26" s="327"/>
      <c r="DU26" s="327"/>
      <c r="DW26" s="157"/>
      <c r="DX26" s="142">
        <f t="shared" si="43"/>
        <v>46251</v>
      </c>
      <c r="DY26" s="143" t="str">
        <f t="shared" si="21"/>
        <v>月</v>
      </c>
      <c r="DZ26" s="143" t="s">
        <v>22</v>
      </c>
      <c r="EA26" s="172">
        <v>0.375</v>
      </c>
      <c r="EB26" s="172">
        <v>0.75</v>
      </c>
      <c r="EC26" s="173">
        <v>0.5</v>
      </c>
      <c r="ED26" s="173">
        <v>0.54166666666666663</v>
      </c>
      <c r="EE26" s="146" t="str">
        <f t="shared" si="22"/>
        <v>8h</v>
      </c>
      <c r="EF26" s="173">
        <v>0.375</v>
      </c>
      <c r="EG26" s="173">
        <v>0.75</v>
      </c>
      <c r="EH26" s="173">
        <v>0.5</v>
      </c>
      <c r="EI26" s="173">
        <v>0.54166666666666663</v>
      </c>
      <c r="EJ26" s="147" t="str">
        <f t="shared" si="23"/>
        <v>8h</v>
      </c>
      <c r="EK26" s="327"/>
      <c r="EL26" s="327"/>
      <c r="EM26" s="327"/>
      <c r="EO26" s="157"/>
      <c r="EP26" s="142">
        <f t="shared" si="44"/>
        <v>46282</v>
      </c>
      <c r="EQ26" s="143" t="str">
        <f t="shared" si="24"/>
        <v>木</v>
      </c>
      <c r="ER26" s="143" t="s">
        <v>22</v>
      </c>
      <c r="ES26" s="172">
        <v>0.375</v>
      </c>
      <c r="ET26" s="172">
        <v>0.75</v>
      </c>
      <c r="EU26" s="173">
        <v>0.5</v>
      </c>
      <c r="EV26" s="173">
        <v>0.54166666666666663</v>
      </c>
      <c r="EW26" s="146" t="str">
        <f t="shared" si="25"/>
        <v>8h</v>
      </c>
      <c r="EX26" s="173">
        <v>0.375</v>
      </c>
      <c r="EY26" s="173">
        <v>0.75</v>
      </c>
      <c r="EZ26" s="173">
        <v>0.5</v>
      </c>
      <c r="FA26" s="173">
        <v>0.54166666666666663</v>
      </c>
      <c r="FB26" s="147" t="str">
        <f t="shared" si="26"/>
        <v>8h</v>
      </c>
      <c r="FC26" s="327"/>
      <c r="FD26" s="327"/>
      <c r="FE26" s="327"/>
      <c r="FG26" s="157"/>
      <c r="FH26" s="142">
        <f t="shared" si="45"/>
        <v>46312</v>
      </c>
      <c r="FI26" s="143" t="str">
        <f t="shared" si="27"/>
        <v>土</v>
      </c>
      <c r="FJ26" s="143"/>
      <c r="FK26" s="144"/>
      <c r="FL26" s="144"/>
      <c r="FM26" s="145"/>
      <c r="FN26" s="145"/>
      <c r="FO26" s="146" t="str">
        <f t="shared" si="28"/>
        <v/>
      </c>
      <c r="FP26" s="145"/>
      <c r="FQ26" s="145"/>
      <c r="FR26" s="145"/>
      <c r="FS26" s="145"/>
      <c r="FT26" s="147" t="str">
        <f t="shared" si="29"/>
        <v/>
      </c>
      <c r="FU26" s="327"/>
      <c r="FV26" s="327"/>
      <c r="FW26" s="327"/>
      <c r="FY26" s="157"/>
      <c r="FZ26" s="142">
        <f t="shared" si="46"/>
        <v>46343</v>
      </c>
      <c r="GA26" s="143" t="str">
        <f t="shared" si="30"/>
        <v>火</v>
      </c>
      <c r="GB26" s="143" t="s">
        <v>22</v>
      </c>
      <c r="GC26" s="172">
        <v>0.375</v>
      </c>
      <c r="GD26" s="172">
        <v>0.75</v>
      </c>
      <c r="GE26" s="173">
        <v>0.5</v>
      </c>
      <c r="GF26" s="173">
        <v>0.54166666666666663</v>
      </c>
      <c r="GG26" s="146" t="str">
        <f t="shared" si="31"/>
        <v>8h</v>
      </c>
      <c r="GH26" s="173">
        <v>0.375</v>
      </c>
      <c r="GI26" s="173">
        <v>0.75</v>
      </c>
      <c r="GJ26" s="173">
        <v>0.5</v>
      </c>
      <c r="GK26" s="173">
        <v>0.54166666666666663</v>
      </c>
      <c r="GL26" s="147" t="str">
        <f t="shared" si="32"/>
        <v>8h</v>
      </c>
      <c r="GM26" s="327"/>
      <c r="GN26" s="327"/>
      <c r="GO26" s="327"/>
      <c r="GQ26" s="157"/>
      <c r="GR26" s="142">
        <f t="shared" si="47"/>
        <v>46373</v>
      </c>
      <c r="GS26" s="143" t="str">
        <f t="shared" si="33"/>
        <v>木</v>
      </c>
      <c r="GT26" s="143" t="s">
        <v>22</v>
      </c>
      <c r="GU26" s="172">
        <v>0.375</v>
      </c>
      <c r="GV26" s="172">
        <v>0.75</v>
      </c>
      <c r="GW26" s="173">
        <v>0.5</v>
      </c>
      <c r="GX26" s="173">
        <v>0.54166666666666663</v>
      </c>
      <c r="GY26" s="146" t="str">
        <f t="shared" si="34"/>
        <v>8h</v>
      </c>
      <c r="GZ26" s="173">
        <v>0.375</v>
      </c>
      <c r="HA26" s="173">
        <v>0.75</v>
      </c>
      <c r="HB26" s="173">
        <v>0.5</v>
      </c>
      <c r="HC26" s="173">
        <v>0.54166666666666663</v>
      </c>
      <c r="HD26" s="147" t="str">
        <f t="shared" si="35"/>
        <v>8h</v>
      </c>
      <c r="HE26" s="327"/>
      <c r="HF26" s="327"/>
      <c r="HG26" s="327"/>
    </row>
    <row r="27" spans="1:215" x14ac:dyDescent="0.45">
      <c r="A27" s="157"/>
      <c r="B27" s="142">
        <f t="shared" si="36"/>
        <v>46040</v>
      </c>
      <c r="C27" s="143" t="str">
        <f t="shared" si="0"/>
        <v>日</v>
      </c>
      <c r="D27" s="143"/>
      <c r="E27" s="144"/>
      <c r="F27" s="144"/>
      <c r="G27" s="145"/>
      <c r="H27" s="145"/>
      <c r="I27" s="146" t="str">
        <f t="shared" si="1"/>
        <v/>
      </c>
      <c r="J27" s="145"/>
      <c r="K27" s="145"/>
      <c r="L27" s="145"/>
      <c r="M27" s="145"/>
      <c r="N27" s="147" t="str">
        <f t="shared" si="2"/>
        <v/>
      </c>
      <c r="O27" s="327"/>
      <c r="P27" s="327"/>
      <c r="Q27" s="327"/>
      <c r="S27" s="157"/>
      <c r="T27" s="142">
        <f t="shared" si="37"/>
        <v>46071</v>
      </c>
      <c r="U27" s="143" t="str">
        <f t="shared" si="3"/>
        <v>水</v>
      </c>
      <c r="V27" s="143" t="s">
        <v>22</v>
      </c>
      <c r="W27" s="172">
        <v>0.375</v>
      </c>
      <c r="X27" s="172">
        <v>0.75</v>
      </c>
      <c r="Y27" s="173">
        <v>0.5</v>
      </c>
      <c r="Z27" s="173">
        <v>0.54166666666666663</v>
      </c>
      <c r="AA27" s="146" t="str">
        <f t="shared" si="4"/>
        <v>8h</v>
      </c>
      <c r="AB27" s="173">
        <v>0.375</v>
      </c>
      <c r="AC27" s="173">
        <v>0.75</v>
      </c>
      <c r="AD27" s="173">
        <v>0.5</v>
      </c>
      <c r="AE27" s="173">
        <v>0.54166666666666663</v>
      </c>
      <c r="AF27" s="147" t="str">
        <f t="shared" si="5"/>
        <v>8h</v>
      </c>
      <c r="AG27" s="327"/>
      <c r="AH27" s="327"/>
      <c r="AI27" s="327"/>
      <c r="AK27" s="157"/>
      <c r="AL27" s="142">
        <f t="shared" si="38"/>
        <v>46099</v>
      </c>
      <c r="AM27" s="143" t="str">
        <f t="shared" si="6"/>
        <v>水</v>
      </c>
      <c r="AN27" s="143" t="s">
        <v>22</v>
      </c>
      <c r="AO27" s="172">
        <v>0.375</v>
      </c>
      <c r="AP27" s="172">
        <v>0.75</v>
      </c>
      <c r="AQ27" s="173">
        <v>0.5</v>
      </c>
      <c r="AR27" s="173">
        <v>0.54166666666666663</v>
      </c>
      <c r="AS27" s="146" t="str">
        <f t="shared" si="7"/>
        <v>8h</v>
      </c>
      <c r="AT27" s="173">
        <v>0.375</v>
      </c>
      <c r="AU27" s="173">
        <v>0.75</v>
      </c>
      <c r="AV27" s="173">
        <v>0.5</v>
      </c>
      <c r="AW27" s="173">
        <v>0.54166666666666663</v>
      </c>
      <c r="AX27" s="147" t="str">
        <f t="shared" si="8"/>
        <v>8h</v>
      </c>
      <c r="AY27" s="327"/>
      <c r="AZ27" s="327"/>
      <c r="BA27" s="327"/>
      <c r="BC27" s="157"/>
      <c r="BD27" s="142">
        <f t="shared" si="39"/>
        <v>46130</v>
      </c>
      <c r="BE27" s="143" t="str">
        <f t="shared" si="9"/>
        <v>土</v>
      </c>
      <c r="BF27" s="143"/>
      <c r="BG27" s="144"/>
      <c r="BH27" s="144"/>
      <c r="BI27" s="145"/>
      <c r="BJ27" s="145"/>
      <c r="BK27" s="146" t="str">
        <f t="shared" si="10"/>
        <v/>
      </c>
      <c r="BL27" s="145"/>
      <c r="BM27" s="145"/>
      <c r="BN27" s="145"/>
      <c r="BO27" s="145"/>
      <c r="BP27" s="147" t="str">
        <f t="shared" si="11"/>
        <v/>
      </c>
      <c r="BQ27" s="327"/>
      <c r="BR27" s="327"/>
      <c r="BS27" s="327"/>
      <c r="BU27" s="157"/>
      <c r="BV27" s="142">
        <f t="shared" si="40"/>
        <v>46160</v>
      </c>
      <c r="BW27" s="143" t="str">
        <f t="shared" si="12"/>
        <v>月</v>
      </c>
      <c r="BX27" s="143" t="s">
        <v>22</v>
      </c>
      <c r="BY27" s="172">
        <v>0.375</v>
      </c>
      <c r="BZ27" s="172">
        <v>0.75</v>
      </c>
      <c r="CA27" s="173">
        <v>0.5</v>
      </c>
      <c r="CB27" s="173">
        <v>0.54166666666666663</v>
      </c>
      <c r="CC27" s="146" t="str">
        <f t="shared" si="13"/>
        <v>8h</v>
      </c>
      <c r="CD27" s="173">
        <v>0.375</v>
      </c>
      <c r="CE27" s="173">
        <v>0.75</v>
      </c>
      <c r="CF27" s="173">
        <v>0.5</v>
      </c>
      <c r="CG27" s="173">
        <v>0.54166666666666663</v>
      </c>
      <c r="CH27" s="147" t="str">
        <f t="shared" si="14"/>
        <v>8h</v>
      </c>
      <c r="CI27" s="327"/>
      <c r="CJ27" s="327"/>
      <c r="CK27" s="327"/>
      <c r="CM27" s="157"/>
      <c r="CN27" s="142">
        <f t="shared" si="41"/>
        <v>46191</v>
      </c>
      <c r="CO27" s="143" t="str">
        <f t="shared" si="15"/>
        <v>木</v>
      </c>
      <c r="CP27" s="143" t="s">
        <v>22</v>
      </c>
      <c r="CQ27" s="172">
        <v>0.375</v>
      </c>
      <c r="CR27" s="172">
        <v>0.75</v>
      </c>
      <c r="CS27" s="173">
        <v>0.5</v>
      </c>
      <c r="CT27" s="173">
        <v>0.54166666666666663</v>
      </c>
      <c r="CU27" s="146" t="str">
        <f t="shared" si="16"/>
        <v>8h</v>
      </c>
      <c r="CV27" s="173">
        <v>0.375</v>
      </c>
      <c r="CW27" s="173">
        <v>0.75</v>
      </c>
      <c r="CX27" s="173">
        <v>0.5</v>
      </c>
      <c r="CY27" s="173">
        <v>0.54166666666666663</v>
      </c>
      <c r="CZ27" s="147" t="str">
        <f t="shared" si="17"/>
        <v>8h</v>
      </c>
      <c r="DA27" s="327"/>
      <c r="DB27" s="327"/>
      <c r="DC27" s="327"/>
      <c r="DE27" s="157"/>
      <c r="DF27" s="142">
        <f t="shared" si="42"/>
        <v>46221</v>
      </c>
      <c r="DG27" s="143" t="str">
        <f t="shared" si="18"/>
        <v>土</v>
      </c>
      <c r="DH27" s="143"/>
      <c r="DI27" s="144"/>
      <c r="DJ27" s="144"/>
      <c r="DK27" s="145"/>
      <c r="DL27" s="145"/>
      <c r="DM27" s="146" t="str">
        <f t="shared" si="19"/>
        <v/>
      </c>
      <c r="DN27" s="145"/>
      <c r="DO27" s="145"/>
      <c r="DP27" s="145"/>
      <c r="DQ27" s="145"/>
      <c r="DR27" s="147" t="str">
        <f t="shared" si="20"/>
        <v/>
      </c>
      <c r="DS27" s="327"/>
      <c r="DT27" s="327"/>
      <c r="DU27" s="327"/>
      <c r="DW27" s="157"/>
      <c r="DX27" s="142">
        <f t="shared" si="43"/>
        <v>46252</v>
      </c>
      <c r="DY27" s="143" t="str">
        <f t="shared" si="21"/>
        <v>火</v>
      </c>
      <c r="DZ27" s="143" t="s">
        <v>22</v>
      </c>
      <c r="EA27" s="172">
        <v>0.375</v>
      </c>
      <c r="EB27" s="172">
        <v>0.75</v>
      </c>
      <c r="EC27" s="173">
        <v>0.5</v>
      </c>
      <c r="ED27" s="173">
        <v>0.54166666666666663</v>
      </c>
      <c r="EE27" s="146" t="str">
        <f t="shared" si="22"/>
        <v>8h</v>
      </c>
      <c r="EF27" s="173">
        <v>0.375</v>
      </c>
      <c r="EG27" s="173">
        <v>0.75</v>
      </c>
      <c r="EH27" s="173">
        <v>0.5</v>
      </c>
      <c r="EI27" s="173">
        <v>0.54166666666666663</v>
      </c>
      <c r="EJ27" s="147" t="str">
        <f t="shared" si="23"/>
        <v>8h</v>
      </c>
      <c r="EK27" s="327"/>
      <c r="EL27" s="327"/>
      <c r="EM27" s="327"/>
      <c r="EO27" s="157"/>
      <c r="EP27" s="142">
        <f t="shared" si="44"/>
        <v>46283</v>
      </c>
      <c r="EQ27" s="143" t="str">
        <f t="shared" si="24"/>
        <v>金</v>
      </c>
      <c r="ER27" s="143" t="s">
        <v>22</v>
      </c>
      <c r="ES27" s="172">
        <v>0.375</v>
      </c>
      <c r="ET27" s="172">
        <v>0.75</v>
      </c>
      <c r="EU27" s="173">
        <v>0.5</v>
      </c>
      <c r="EV27" s="173">
        <v>0.54166666666666663</v>
      </c>
      <c r="EW27" s="146" t="str">
        <f t="shared" si="25"/>
        <v>8h</v>
      </c>
      <c r="EX27" s="173">
        <v>0.375</v>
      </c>
      <c r="EY27" s="173">
        <v>0.75</v>
      </c>
      <c r="EZ27" s="173">
        <v>0.5</v>
      </c>
      <c r="FA27" s="173">
        <v>0.54166666666666663</v>
      </c>
      <c r="FB27" s="147" t="str">
        <f t="shared" si="26"/>
        <v>8h</v>
      </c>
      <c r="FC27" s="327"/>
      <c r="FD27" s="327"/>
      <c r="FE27" s="327"/>
      <c r="FG27" s="157"/>
      <c r="FH27" s="142">
        <f t="shared" si="45"/>
        <v>46313</v>
      </c>
      <c r="FI27" s="143" t="str">
        <f t="shared" si="27"/>
        <v>日</v>
      </c>
      <c r="FJ27" s="143"/>
      <c r="FK27" s="144"/>
      <c r="FL27" s="144"/>
      <c r="FM27" s="145"/>
      <c r="FN27" s="145"/>
      <c r="FO27" s="146" t="str">
        <f t="shared" si="28"/>
        <v/>
      </c>
      <c r="FP27" s="145"/>
      <c r="FQ27" s="145"/>
      <c r="FR27" s="145"/>
      <c r="FS27" s="145"/>
      <c r="FT27" s="147" t="str">
        <f t="shared" si="29"/>
        <v/>
      </c>
      <c r="FU27" s="327"/>
      <c r="FV27" s="327"/>
      <c r="FW27" s="327"/>
      <c r="FY27" s="157"/>
      <c r="FZ27" s="142">
        <f t="shared" si="46"/>
        <v>46344</v>
      </c>
      <c r="GA27" s="143" t="str">
        <f t="shared" si="30"/>
        <v>水</v>
      </c>
      <c r="GB27" s="143" t="s">
        <v>22</v>
      </c>
      <c r="GC27" s="172">
        <v>0.375</v>
      </c>
      <c r="GD27" s="172">
        <v>0.75</v>
      </c>
      <c r="GE27" s="173">
        <v>0.5</v>
      </c>
      <c r="GF27" s="173">
        <v>0.54166666666666663</v>
      </c>
      <c r="GG27" s="146" t="str">
        <f t="shared" si="31"/>
        <v>8h</v>
      </c>
      <c r="GH27" s="173">
        <v>0.375</v>
      </c>
      <c r="GI27" s="173">
        <v>0.75</v>
      </c>
      <c r="GJ27" s="173">
        <v>0.5</v>
      </c>
      <c r="GK27" s="173">
        <v>0.54166666666666663</v>
      </c>
      <c r="GL27" s="147" t="str">
        <f t="shared" si="32"/>
        <v>8h</v>
      </c>
      <c r="GM27" s="327"/>
      <c r="GN27" s="327"/>
      <c r="GO27" s="327"/>
      <c r="GQ27" s="157"/>
      <c r="GR27" s="142">
        <f t="shared" si="47"/>
        <v>46374</v>
      </c>
      <c r="GS27" s="143" t="str">
        <f t="shared" si="33"/>
        <v>金</v>
      </c>
      <c r="GT27" s="143" t="s">
        <v>22</v>
      </c>
      <c r="GU27" s="172">
        <v>0.375</v>
      </c>
      <c r="GV27" s="172">
        <v>0.75</v>
      </c>
      <c r="GW27" s="173">
        <v>0.5</v>
      </c>
      <c r="GX27" s="173">
        <v>0.54166666666666663</v>
      </c>
      <c r="GY27" s="146" t="str">
        <f t="shared" si="34"/>
        <v>8h</v>
      </c>
      <c r="GZ27" s="173">
        <v>0.375</v>
      </c>
      <c r="HA27" s="173">
        <v>0.75</v>
      </c>
      <c r="HB27" s="173">
        <v>0.5</v>
      </c>
      <c r="HC27" s="173">
        <v>0.54166666666666663</v>
      </c>
      <c r="HD27" s="147" t="str">
        <f t="shared" si="35"/>
        <v>8h</v>
      </c>
      <c r="HE27" s="327"/>
      <c r="HF27" s="327"/>
      <c r="HG27" s="327"/>
    </row>
    <row r="28" spans="1:215" x14ac:dyDescent="0.45">
      <c r="A28" s="157"/>
      <c r="B28" s="142">
        <f t="shared" si="36"/>
        <v>46041</v>
      </c>
      <c r="C28" s="143" t="str">
        <f t="shared" si="0"/>
        <v>月</v>
      </c>
      <c r="D28" s="143" t="s">
        <v>22</v>
      </c>
      <c r="E28" s="172">
        <v>0.375</v>
      </c>
      <c r="F28" s="172">
        <v>0.75</v>
      </c>
      <c r="G28" s="173">
        <v>0.5</v>
      </c>
      <c r="H28" s="173">
        <v>0.54166666666666663</v>
      </c>
      <c r="I28" s="146" t="str">
        <f t="shared" si="1"/>
        <v>8h</v>
      </c>
      <c r="J28" s="173">
        <v>0.375</v>
      </c>
      <c r="K28" s="173">
        <v>0.75</v>
      </c>
      <c r="L28" s="173">
        <v>0.5</v>
      </c>
      <c r="M28" s="173">
        <v>0.54166666666666663</v>
      </c>
      <c r="N28" s="147" t="str">
        <f t="shared" si="2"/>
        <v>8h</v>
      </c>
      <c r="O28" s="327"/>
      <c r="P28" s="327"/>
      <c r="Q28" s="327"/>
      <c r="S28" s="157"/>
      <c r="T28" s="142">
        <f t="shared" si="37"/>
        <v>46072</v>
      </c>
      <c r="U28" s="143" t="str">
        <f t="shared" si="3"/>
        <v>木</v>
      </c>
      <c r="V28" s="143" t="s">
        <v>22</v>
      </c>
      <c r="W28" s="172">
        <v>0.375</v>
      </c>
      <c r="X28" s="172">
        <v>0.75</v>
      </c>
      <c r="Y28" s="173">
        <v>0.5</v>
      </c>
      <c r="Z28" s="173">
        <v>0.54166666666666663</v>
      </c>
      <c r="AA28" s="146" t="str">
        <f t="shared" si="4"/>
        <v>8h</v>
      </c>
      <c r="AB28" s="173">
        <v>0.375</v>
      </c>
      <c r="AC28" s="173">
        <v>0.75</v>
      </c>
      <c r="AD28" s="173">
        <v>0.5</v>
      </c>
      <c r="AE28" s="173">
        <v>0.54166666666666663</v>
      </c>
      <c r="AF28" s="147" t="str">
        <f t="shared" si="5"/>
        <v>8h</v>
      </c>
      <c r="AG28" s="327"/>
      <c r="AH28" s="327"/>
      <c r="AI28" s="327"/>
      <c r="AK28" s="157"/>
      <c r="AL28" s="142">
        <f t="shared" si="38"/>
        <v>46100</v>
      </c>
      <c r="AM28" s="143" t="str">
        <f t="shared" si="6"/>
        <v>木</v>
      </c>
      <c r="AN28" s="143" t="s">
        <v>22</v>
      </c>
      <c r="AO28" s="172">
        <v>0.375</v>
      </c>
      <c r="AP28" s="172">
        <v>0.75</v>
      </c>
      <c r="AQ28" s="173">
        <v>0.5</v>
      </c>
      <c r="AR28" s="173">
        <v>0.54166666666666663</v>
      </c>
      <c r="AS28" s="146" t="str">
        <f t="shared" si="7"/>
        <v>8h</v>
      </c>
      <c r="AT28" s="173">
        <v>0.375</v>
      </c>
      <c r="AU28" s="173">
        <v>0.75</v>
      </c>
      <c r="AV28" s="173">
        <v>0.5</v>
      </c>
      <c r="AW28" s="173">
        <v>0.54166666666666663</v>
      </c>
      <c r="AX28" s="147" t="str">
        <f t="shared" si="8"/>
        <v>8h</v>
      </c>
      <c r="AY28" s="327"/>
      <c r="AZ28" s="327"/>
      <c r="BA28" s="327"/>
      <c r="BC28" s="157"/>
      <c r="BD28" s="142">
        <f t="shared" si="39"/>
        <v>46131</v>
      </c>
      <c r="BE28" s="143" t="str">
        <f t="shared" si="9"/>
        <v>日</v>
      </c>
      <c r="BF28" s="143"/>
      <c r="BG28" s="144"/>
      <c r="BH28" s="144"/>
      <c r="BI28" s="145"/>
      <c r="BJ28" s="145"/>
      <c r="BK28" s="146" t="str">
        <f t="shared" si="10"/>
        <v/>
      </c>
      <c r="BL28" s="145"/>
      <c r="BM28" s="145"/>
      <c r="BN28" s="145"/>
      <c r="BO28" s="145"/>
      <c r="BP28" s="147" t="str">
        <f t="shared" si="11"/>
        <v/>
      </c>
      <c r="BQ28" s="327"/>
      <c r="BR28" s="327"/>
      <c r="BS28" s="327"/>
      <c r="BU28" s="157"/>
      <c r="BV28" s="142">
        <f t="shared" si="40"/>
        <v>46161</v>
      </c>
      <c r="BW28" s="143" t="str">
        <f t="shared" si="12"/>
        <v>火</v>
      </c>
      <c r="BX28" s="143" t="s">
        <v>22</v>
      </c>
      <c r="BY28" s="172">
        <v>0.375</v>
      </c>
      <c r="BZ28" s="172">
        <v>0.75</v>
      </c>
      <c r="CA28" s="173">
        <v>0.5</v>
      </c>
      <c r="CB28" s="173">
        <v>0.54166666666666663</v>
      </c>
      <c r="CC28" s="146" t="str">
        <f t="shared" si="13"/>
        <v>8h</v>
      </c>
      <c r="CD28" s="173">
        <v>0.375</v>
      </c>
      <c r="CE28" s="173">
        <v>0.75</v>
      </c>
      <c r="CF28" s="173">
        <v>0.5</v>
      </c>
      <c r="CG28" s="173">
        <v>0.54166666666666663</v>
      </c>
      <c r="CH28" s="147" t="str">
        <f t="shared" si="14"/>
        <v>8h</v>
      </c>
      <c r="CI28" s="327"/>
      <c r="CJ28" s="327"/>
      <c r="CK28" s="327"/>
      <c r="CM28" s="157"/>
      <c r="CN28" s="142">
        <f t="shared" si="41"/>
        <v>46192</v>
      </c>
      <c r="CO28" s="143" t="str">
        <f t="shared" si="15"/>
        <v>金</v>
      </c>
      <c r="CP28" s="143" t="s">
        <v>22</v>
      </c>
      <c r="CQ28" s="172">
        <v>0.375</v>
      </c>
      <c r="CR28" s="172">
        <v>0.75</v>
      </c>
      <c r="CS28" s="173">
        <v>0.5</v>
      </c>
      <c r="CT28" s="173">
        <v>0.54166666666666663</v>
      </c>
      <c r="CU28" s="146" t="str">
        <f t="shared" si="16"/>
        <v>8h</v>
      </c>
      <c r="CV28" s="173">
        <v>0.375</v>
      </c>
      <c r="CW28" s="173">
        <v>0.75</v>
      </c>
      <c r="CX28" s="173">
        <v>0.5</v>
      </c>
      <c r="CY28" s="173">
        <v>0.54166666666666663</v>
      </c>
      <c r="CZ28" s="147" t="str">
        <f t="shared" si="17"/>
        <v>8h</v>
      </c>
      <c r="DA28" s="327"/>
      <c r="DB28" s="327"/>
      <c r="DC28" s="327"/>
      <c r="DE28" s="157"/>
      <c r="DF28" s="142">
        <f t="shared" si="42"/>
        <v>46222</v>
      </c>
      <c r="DG28" s="143" t="str">
        <f t="shared" si="18"/>
        <v>日</v>
      </c>
      <c r="DH28" s="143"/>
      <c r="DI28" s="144"/>
      <c r="DJ28" s="144"/>
      <c r="DK28" s="145"/>
      <c r="DL28" s="145"/>
      <c r="DM28" s="146" t="str">
        <f t="shared" si="19"/>
        <v/>
      </c>
      <c r="DN28" s="145"/>
      <c r="DO28" s="145"/>
      <c r="DP28" s="145"/>
      <c r="DQ28" s="145"/>
      <c r="DR28" s="147" t="str">
        <f t="shared" si="20"/>
        <v/>
      </c>
      <c r="DS28" s="327"/>
      <c r="DT28" s="327"/>
      <c r="DU28" s="327"/>
      <c r="DW28" s="157"/>
      <c r="DX28" s="142">
        <f t="shared" si="43"/>
        <v>46253</v>
      </c>
      <c r="DY28" s="143" t="str">
        <f t="shared" si="21"/>
        <v>水</v>
      </c>
      <c r="DZ28" s="143" t="s">
        <v>22</v>
      </c>
      <c r="EA28" s="172">
        <v>0.375</v>
      </c>
      <c r="EB28" s="172">
        <v>0.75</v>
      </c>
      <c r="EC28" s="173">
        <v>0.5</v>
      </c>
      <c r="ED28" s="173">
        <v>0.54166666666666663</v>
      </c>
      <c r="EE28" s="146" t="str">
        <f t="shared" si="22"/>
        <v>8h</v>
      </c>
      <c r="EF28" s="173">
        <v>0.375</v>
      </c>
      <c r="EG28" s="173">
        <v>0.75</v>
      </c>
      <c r="EH28" s="173">
        <v>0.5</v>
      </c>
      <c r="EI28" s="173">
        <v>0.54166666666666663</v>
      </c>
      <c r="EJ28" s="147" t="str">
        <f t="shared" si="23"/>
        <v>8h</v>
      </c>
      <c r="EK28" s="327"/>
      <c r="EL28" s="327"/>
      <c r="EM28" s="327"/>
      <c r="EO28" s="157"/>
      <c r="EP28" s="142">
        <f t="shared" si="44"/>
        <v>46284</v>
      </c>
      <c r="EQ28" s="143" t="str">
        <f t="shared" si="24"/>
        <v>土</v>
      </c>
      <c r="ER28" s="143"/>
      <c r="ES28" s="144"/>
      <c r="ET28" s="144"/>
      <c r="EU28" s="145"/>
      <c r="EV28" s="145"/>
      <c r="EW28" s="146" t="str">
        <f t="shared" si="25"/>
        <v/>
      </c>
      <c r="EX28" s="145"/>
      <c r="EY28" s="145"/>
      <c r="EZ28" s="145"/>
      <c r="FA28" s="145"/>
      <c r="FB28" s="147" t="str">
        <f t="shared" si="26"/>
        <v/>
      </c>
      <c r="FC28" s="327"/>
      <c r="FD28" s="327"/>
      <c r="FE28" s="327"/>
      <c r="FG28" s="157"/>
      <c r="FH28" s="142">
        <f t="shared" si="45"/>
        <v>46314</v>
      </c>
      <c r="FI28" s="143" t="str">
        <f t="shared" si="27"/>
        <v>月</v>
      </c>
      <c r="FJ28" s="143" t="s">
        <v>22</v>
      </c>
      <c r="FK28" s="172">
        <v>0.375</v>
      </c>
      <c r="FL28" s="172">
        <v>0.75</v>
      </c>
      <c r="FM28" s="173">
        <v>0.5</v>
      </c>
      <c r="FN28" s="173">
        <v>0.54166666666666663</v>
      </c>
      <c r="FO28" s="146" t="str">
        <f t="shared" si="28"/>
        <v>8h</v>
      </c>
      <c r="FP28" s="173">
        <v>0.375</v>
      </c>
      <c r="FQ28" s="173">
        <v>0.75</v>
      </c>
      <c r="FR28" s="173">
        <v>0.5</v>
      </c>
      <c r="FS28" s="173">
        <v>0.54166666666666663</v>
      </c>
      <c r="FT28" s="147" t="str">
        <f t="shared" si="29"/>
        <v>8h</v>
      </c>
      <c r="FU28" s="327"/>
      <c r="FV28" s="327"/>
      <c r="FW28" s="327"/>
      <c r="FY28" s="157"/>
      <c r="FZ28" s="142">
        <f t="shared" si="46"/>
        <v>46345</v>
      </c>
      <c r="GA28" s="143" t="str">
        <f t="shared" si="30"/>
        <v>木</v>
      </c>
      <c r="GB28" s="143" t="s">
        <v>22</v>
      </c>
      <c r="GC28" s="172">
        <v>0.375</v>
      </c>
      <c r="GD28" s="172">
        <v>0.75</v>
      </c>
      <c r="GE28" s="173">
        <v>0.5</v>
      </c>
      <c r="GF28" s="173">
        <v>0.54166666666666663</v>
      </c>
      <c r="GG28" s="146" t="str">
        <f t="shared" si="31"/>
        <v>8h</v>
      </c>
      <c r="GH28" s="173">
        <v>0.375</v>
      </c>
      <c r="GI28" s="173">
        <v>0.75</v>
      </c>
      <c r="GJ28" s="173">
        <v>0.5</v>
      </c>
      <c r="GK28" s="173">
        <v>0.54166666666666663</v>
      </c>
      <c r="GL28" s="147" t="str">
        <f t="shared" si="32"/>
        <v>8h</v>
      </c>
      <c r="GM28" s="327"/>
      <c r="GN28" s="327"/>
      <c r="GO28" s="327"/>
      <c r="GQ28" s="157"/>
      <c r="GR28" s="142">
        <f t="shared" si="47"/>
        <v>46375</v>
      </c>
      <c r="GS28" s="143" t="str">
        <f t="shared" si="33"/>
        <v>土</v>
      </c>
      <c r="GT28" s="143"/>
      <c r="GU28" s="144"/>
      <c r="GV28" s="144"/>
      <c r="GW28" s="145"/>
      <c r="GX28" s="145"/>
      <c r="GY28" s="146" t="str">
        <f t="shared" si="34"/>
        <v/>
      </c>
      <c r="GZ28" s="145"/>
      <c r="HA28" s="145"/>
      <c r="HB28" s="145"/>
      <c r="HC28" s="145"/>
      <c r="HD28" s="147" t="str">
        <f t="shared" si="35"/>
        <v/>
      </c>
      <c r="HE28" s="327"/>
      <c r="HF28" s="327"/>
      <c r="HG28" s="327"/>
    </row>
    <row r="29" spans="1:215" x14ac:dyDescent="0.45">
      <c r="A29" s="157"/>
      <c r="B29" s="142">
        <f t="shared" si="36"/>
        <v>46042</v>
      </c>
      <c r="C29" s="143" t="str">
        <f t="shared" si="0"/>
        <v>火</v>
      </c>
      <c r="D29" s="143" t="s">
        <v>22</v>
      </c>
      <c r="E29" s="172">
        <v>0.375</v>
      </c>
      <c r="F29" s="172">
        <v>0.75</v>
      </c>
      <c r="G29" s="173">
        <v>0.5</v>
      </c>
      <c r="H29" s="173">
        <v>0.54166666666666663</v>
      </c>
      <c r="I29" s="146" t="str">
        <f t="shared" si="1"/>
        <v>8h</v>
      </c>
      <c r="J29" s="173">
        <v>0.375</v>
      </c>
      <c r="K29" s="173">
        <v>0.75</v>
      </c>
      <c r="L29" s="173">
        <v>0.5</v>
      </c>
      <c r="M29" s="173">
        <v>0.54166666666666663</v>
      </c>
      <c r="N29" s="147" t="str">
        <f t="shared" si="2"/>
        <v>8h</v>
      </c>
      <c r="O29" s="327"/>
      <c r="P29" s="327"/>
      <c r="Q29" s="327"/>
      <c r="S29" s="157"/>
      <c r="T29" s="142">
        <f t="shared" si="37"/>
        <v>46073</v>
      </c>
      <c r="U29" s="143" t="str">
        <f t="shared" si="3"/>
        <v>金</v>
      </c>
      <c r="V29" s="143" t="s">
        <v>22</v>
      </c>
      <c r="W29" s="172">
        <v>0.375</v>
      </c>
      <c r="X29" s="172">
        <v>0.75</v>
      </c>
      <c r="Y29" s="173">
        <v>0.5</v>
      </c>
      <c r="Z29" s="173">
        <v>0.54166666666666663</v>
      </c>
      <c r="AA29" s="146" t="str">
        <f t="shared" si="4"/>
        <v>8h</v>
      </c>
      <c r="AB29" s="173">
        <v>0.375</v>
      </c>
      <c r="AC29" s="173">
        <v>0.75</v>
      </c>
      <c r="AD29" s="173">
        <v>0.5</v>
      </c>
      <c r="AE29" s="173">
        <v>0.54166666666666663</v>
      </c>
      <c r="AF29" s="147" t="str">
        <f t="shared" si="5"/>
        <v>8h</v>
      </c>
      <c r="AG29" s="327"/>
      <c r="AH29" s="327"/>
      <c r="AI29" s="327"/>
      <c r="AK29" s="157"/>
      <c r="AL29" s="142">
        <f t="shared" si="38"/>
        <v>46101</v>
      </c>
      <c r="AM29" s="143" t="str">
        <f t="shared" si="6"/>
        <v>金</v>
      </c>
      <c r="AN29" s="143"/>
      <c r="AO29" s="144"/>
      <c r="AP29" s="144"/>
      <c r="AQ29" s="145"/>
      <c r="AR29" s="145"/>
      <c r="AS29" s="146" t="str">
        <f t="shared" si="7"/>
        <v/>
      </c>
      <c r="AT29" s="145"/>
      <c r="AU29" s="145"/>
      <c r="AV29" s="145"/>
      <c r="AW29" s="145"/>
      <c r="AX29" s="147" t="str">
        <f t="shared" si="8"/>
        <v/>
      </c>
      <c r="AY29" s="327"/>
      <c r="AZ29" s="327"/>
      <c r="BA29" s="327"/>
      <c r="BC29" s="157"/>
      <c r="BD29" s="142">
        <f t="shared" si="39"/>
        <v>46132</v>
      </c>
      <c r="BE29" s="143" t="str">
        <f t="shared" si="9"/>
        <v>月</v>
      </c>
      <c r="BF29" s="143" t="s">
        <v>22</v>
      </c>
      <c r="BG29" s="172">
        <v>0.375</v>
      </c>
      <c r="BH29" s="172">
        <v>0.75</v>
      </c>
      <c r="BI29" s="173">
        <v>0.5</v>
      </c>
      <c r="BJ29" s="173">
        <v>0.54166666666666663</v>
      </c>
      <c r="BK29" s="146" t="str">
        <f t="shared" si="10"/>
        <v>8h</v>
      </c>
      <c r="BL29" s="173">
        <v>0.375</v>
      </c>
      <c r="BM29" s="173">
        <v>0.75</v>
      </c>
      <c r="BN29" s="173">
        <v>0.5</v>
      </c>
      <c r="BO29" s="173">
        <v>0.54166666666666663</v>
      </c>
      <c r="BP29" s="147" t="str">
        <f t="shared" si="11"/>
        <v>8h</v>
      </c>
      <c r="BQ29" s="327"/>
      <c r="BR29" s="327"/>
      <c r="BS29" s="327"/>
      <c r="BU29" s="157"/>
      <c r="BV29" s="142">
        <f t="shared" si="40"/>
        <v>46162</v>
      </c>
      <c r="BW29" s="143" t="str">
        <f t="shared" si="12"/>
        <v>水</v>
      </c>
      <c r="BX29" s="143" t="s">
        <v>22</v>
      </c>
      <c r="BY29" s="172">
        <v>0.375</v>
      </c>
      <c r="BZ29" s="172">
        <v>0.75</v>
      </c>
      <c r="CA29" s="173">
        <v>0.5</v>
      </c>
      <c r="CB29" s="173">
        <v>0.54166666666666663</v>
      </c>
      <c r="CC29" s="146" t="str">
        <f t="shared" si="13"/>
        <v>8h</v>
      </c>
      <c r="CD29" s="173">
        <v>0.375</v>
      </c>
      <c r="CE29" s="173">
        <v>0.75</v>
      </c>
      <c r="CF29" s="173">
        <v>0.5</v>
      </c>
      <c r="CG29" s="173">
        <v>0.54166666666666663</v>
      </c>
      <c r="CH29" s="147" t="str">
        <f t="shared" si="14"/>
        <v>8h</v>
      </c>
      <c r="CI29" s="327"/>
      <c r="CJ29" s="327"/>
      <c r="CK29" s="327"/>
      <c r="CM29" s="157"/>
      <c r="CN29" s="142">
        <f t="shared" si="41"/>
        <v>46193</v>
      </c>
      <c r="CO29" s="143" t="str">
        <f t="shared" si="15"/>
        <v>土</v>
      </c>
      <c r="CP29" s="143"/>
      <c r="CQ29" s="144"/>
      <c r="CR29" s="144"/>
      <c r="CS29" s="145"/>
      <c r="CT29" s="145"/>
      <c r="CU29" s="146" t="str">
        <f t="shared" si="16"/>
        <v/>
      </c>
      <c r="CV29" s="145"/>
      <c r="CW29" s="145"/>
      <c r="CX29" s="145"/>
      <c r="CY29" s="145"/>
      <c r="CZ29" s="147" t="str">
        <f t="shared" si="17"/>
        <v/>
      </c>
      <c r="DA29" s="327"/>
      <c r="DB29" s="327"/>
      <c r="DC29" s="327"/>
      <c r="DE29" s="157"/>
      <c r="DF29" s="142">
        <f t="shared" si="42"/>
        <v>46223</v>
      </c>
      <c r="DG29" s="143" t="str">
        <f t="shared" si="18"/>
        <v>月</v>
      </c>
      <c r="DH29" s="143"/>
      <c r="DI29" s="144"/>
      <c r="DJ29" s="144"/>
      <c r="DK29" s="145"/>
      <c r="DL29" s="145"/>
      <c r="DM29" s="146" t="str">
        <f t="shared" si="19"/>
        <v/>
      </c>
      <c r="DN29" s="145"/>
      <c r="DO29" s="145"/>
      <c r="DP29" s="145"/>
      <c r="DQ29" s="145"/>
      <c r="DR29" s="147" t="str">
        <f t="shared" si="20"/>
        <v/>
      </c>
      <c r="DS29" s="327"/>
      <c r="DT29" s="327"/>
      <c r="DU29" s="327"/>
      <c r="DW29" s="157"/>
      <c r="DX29" s="142">
        <f t="shared" si="43"/>
        <v>46254</v>
      </c>
      <c r="DY29" s="143" t="str">
        <f t="shared" si="21"/>
        <v>木</v>
      </c>
      <c r="DZ29" s="143" t="s">
        <v>22</v>
      </c>
      <c r="EA29" s="172">
        <v>0.375</v>
      </c>
      <c r="EB29" s="172">
        <v>0.75</v>
      </c>
      <c r="EC29" s="173">
        <v>0.5</v>
      </c>
      <c r="ED29" s="173">
        <v>0.54166666666666663</v>
      </c>
      <c r="EE29" s="146" t="str">
        <f t="shared" si="22"/>
        <v>8h</v>
      </c>
      <c r="EF29" s="173">
        <v>0.375</v>
      </c>
      <c r="EG29" s="173">
        <v>0.75</v>
      </c>
      <c r="EH29" s="173">
        <v>0.5</v>
      </c>
      <c r="EI29" s="173">
        <v>0.54166666666666663</v>
      </c>
      <c r="EJ29" s="147" t="str">
        <f t="shared" si="23"/>
        <v>8h</v>
      </c>
      <c r="EK29" s="327"/>
      <c r="EL29" s="327"/>
      <c r="EM29" s="327"/>
      <c r="EO29" s="157"/>
      <c r="EP29" s="142">
        <f t="shared" si="44"/>
        <v>46285</v>
      </c>
      <c r="EQ29" s="143" t="str">
        <f t="shared" si="24"/>
        <v>日</v>
      </c>
      <c r="ER29" s="143"/>
      <c r="ES29" s="144"/>
      <c r="ET29" s="144"/>
      <c r="EU29" s="145"/>
      <c r="EV29" s="145"/>
      <c r="EW29" s="146" t="str">
        <f t="shared" si="25"/>
        <v/>
      </c>
      <c r="EX29" s="145"/>
      <c r="EY29" s="145"/>
      <c r="EZ29" s="145"/>
      <c r="FA29" s="145"/>
      <c r="FB29" s="147" t="str">
        <f t="shared" si="26"/>
        <v/>
      </c>
      <c r="FC29" s="327"/>
      <c r="FD29" s="327"/>
      <c r="FE29" s="327"/>
      <c r="FG29" s="157"/>
      <c r="FH29" s="142">
        <f t="shared" si="45"/>
        <v>46315</v>
      </c>
      <c r="FI29" s="143" t="str">
        <f t="shared" si="27"/>
        <v>火</v>
      </c>
      <c r="FJ29" s="143" t="s">
        <v>22</v>
      </c>
      <c r="FK29" s="172">
        <v>0.375</v>
      </c>
      <c r="FL29" s="172">
        <v>0.75</v>
      </c>
      <c r="FM29" s="173">
        <v>0.5</v>
      </c>
      <c r="FN29" s="173">
        <v>0.54166666666666663</v>
      </c>
      <c r="FO29" s="146" t="str">
        <f t="shared" si="28"/>
        <v>8h</v>
      </c>
      <c r="FP29" s="173">
        <v>0.375</v>
      </c>
      <c r="FQ29" s="173">
        <v>0.75</v>
      </c>
      <c r="FR29" s="173">
        <v>0.5</v>
      </c>
      <c r="FS29" s="173">
        <v>0.54166666666666663</v>
      </c>
      <c r="FT29" s="147" t="str">
        <f t="shared" si="29"/>
        <v>8h</v>
      </c>
      <c r="FU29" s="327"/>
      <c r="FV29" s="327"/>
      <c r="FW29" s="327"/>
      <c r="FY29" s="157"/>
      <c r="FZ29" s="142">
        <f t="shared" si="46"/>
        <v>46346</v>
      </c>
      <c r="GA29" s="143" t="str">
        <f t="shared" si="30"/>
        <v>金</v>
      </c>
      <c r="GB29" s="143" t="s">
        <v>22</v>
      </c>
      <c r="GC29" s="172">
        <v>0.375</v>
      </c>
      <c r="GD29" s="172">
        <v>0.75</v>
      </c>
      <c r="GE29" s="173">
        <v>0.5</v>
      </c>
      <c r="GF29" s="173">
        <v>0.54166666666666663</v>
      </c>
      <c r="GG29" s="146" t="str">
        <f t="shared" si="31"/>
        <v>8h</v>
      </c>
      <c r="GH29" s="173">
        <v>0.375</v>
      </c>
      <c r="GI29" s="173">
        <v>0.75</v>
      </c>
      <c r="GJ29" s="173">
        <v>0.5</v>
      </c>
      <c r="GK29" s="173">
        <v>0.54166666666666663</v>
      </c>
      <c r="GL29" s="147" t="str">
        <f t="shared" si="32"/>
        <v>8h</v>
      </c>
      <c r="GM29" s="327"/>
      <c r="GN29" s="327"/>
      <c r="GO29" s="327"/>
      <c r="GQ29" s="157"/>
      <c r="GR29" s="142">
        <f t="shared" si="47"/>
        <v>46376</v>
      </c>
      <c r="GS29" s="143" t="str">
        <f t="shared" si="33"/>
        <v>日</v>
      </c>
      <c r="GT29" s="143"/>
      <c r="GU29" s="144"/>
      <c r="GV29" s="144"/>
      <c r="GW29" s="145"/>
      <c r="GX29" s="145"/>
      <c r="GY29" s="146" t="str">
        <f t="shared" si="34"/>
        <v/>
      </c>
      <c r="GZ29" s="145"/>
      <c r="HA29" s="145"/>
      <c r="HB29" s="145"/>
      <c r="HC29" s="145"/>
      <c r="HD29" s="147" t="str">
        <f t="shared" si="35"/>
        <v/>
      </c>
      <c r="HE29" s="327"/>
      <c r="HF29" s="327"/>
      <c r="HG29" s="327"/>
    </row>
    <row r="30" spans="1:215" x14ac:dyDescent="0.45">
      <c r="A30" s="157"/>
      <c r="B30" s="142">
        <f t="shared" si="36"/>
        <v>46043</v>
      </c>
      <c r="C30" s="143" t="str">
        <f t="shared" si="0"/>
        <v>水</v>
      </c>
      <c r="D30" s="143" t="s">
        <v>22</v>
      </c>
      <c r="E30" s="172">
        <v>0.375</v>
      </c>
      <c r="F30" s="172">
        <v>0.75</v>
      </c>
      <c r="G30" s="173">
        <v>0.5</v>
      </c>
      <c r="H30" s="173">
        <v>0.54166666666666663</v>
      </c>
      <c r="I30" s="146" t="str">
        <f t="shared" si="1"/>
        <v>8h</v>
      </c>
      <c r="J30" s="173">
        <v>0.375</v>
      </c>
      <c r="K30" s="173">
        <v>0.75</v>
      </c>
      <c r="L30" s="173">
        <v>0.5</v>
      </c>
      <c r="M30" s="173">
        <v>0.54166666666666663</v>
      </c>
      <c r="N30" s="147" t="str">
        <f t="shared" si="2"/>
        <v>8h</v>
      </c>
      <c r="O30" s="327"/>
      <c r="P30" s="327"/>
      <c r="Q30" s="327"/>
      <c r="S30" s="157"/>
      <c r="T30" s="142">
        <f t="shared" si="37"/>
        <v>46074</v>
      </c>
      <c r="U30" s="143" t="str">
        <f t="shared" si="3"/>
        <v>土</v>
      </c>
      <c r="V30" s="143"/>
      <c r="W30" s="144"/>
      <c r="X30" s="144"/>
      <c r="Y30" s="145"/>
      <c r="Z30" s="145"/>
      <c r="AA30" s="146" t="str">
        <f t="shared" si="4"/>
        <v/>
      </c>
      <c r="AB30" s="145"/>
      <c r="AC30" s="145"/>
      <c r="AD30" s="145"/>
      <c r="AE30" s="145"/>
      <c r="AF30" s="147" t="str">
        <f t="shared" si="5"/>
        <v/>
      </c>
      <c r="AG30" s="327"/>
      <c r="AH30" s="327"/>
      <c r="AI30" s="327"/>
      <c r="AK30" s="157"/>
      <c r="AL30" s="142">
        <f t="shared" si="38"/>
        <v>46102</v>
      </c>
      <c r="AM30" s="143" t="str">
        <f t="shared" si="6"/>
        <v>土</v>
      </c>
      <c r="AN30" s="143"/>
      <c r="AO30" s="144"/>
      <c r="AP30" s="144"/>
      <c r="AQ30" s="145"/>
      <c r="AR30" s="145"/>
      <c r="AS30" s="146" t="str">
        <f t="shared" si="7"/>
        <v/>
      </c>
      <c r="AT30" s="145"/>
      <c r="AU30" s="145"/>
      <c r="AV30" s="145"/>
      <c r="AW30" s="145"/>
      <c r="AX30" s="147" t="str">
        <f t="shared" si="8"/>
        <v/>
      </c>
      <c r="AY30" s="327"/>
      <c r="AZ30" s="327"/>
      <c r="BA30" s="327"/>
      <c r="BC30" s="157"/>
      <c r="BD30" s="142">
        <f t="shared" si="39"/>
        <v>46133</v>
      </c>
      <c r="BE30" s="143" t="str">
        <f t="shared" si="9"/>
        <v>火</v>
      </c>
      <c r="BF30" s="143" t="s">
        <v>22</v>
      </c>
      <c r="BG30" s="172">
        <v>0.375</v>
      </c>
      <c r="BH30" s="172">
        <v>0.75</v>
      </c>
      <c r="BI30" s="173">
        <v>0.5</v>
      </c>
      <c r="BJ30" s="173">
        <v>0.54166666666666663</v>
      </c>
      <c r="BK30" s="146" t="str">
        <f t="shared" si="10"/>
        <v>8h</v>
      </c>
      <c r="BL30" s="173">
        <v>0.375</v>
      </c>
      <c r="BM30" s="173">
        <v>0.75</v>
      </c>
      <c r="BN30" s="173">
        <v>0.5</v>
      </c>
      <c r="BO30" s="173">
        <v>0.54166666666666663</v>
      </c>
      <c r="BP30" s="147" t="str">
        <f t="shared" si="11"/>
        <v>8h</v>
      </c>
      <c r="BQ30" s="327"/>
      <c r="BR30" s="327"/>
      <c r="BS30" s="327"/>
      <c r="BU30" s="157"/>
      <c r="BV30" s="142">
        <f t="shared" si="40"/>
        <v>46163</v>
      </c>
      <c r="BW30" s="143" t="str">
        <f t="shared" si="12"/>
        <v>木</v>
      </c>
      <c r="BX30" s="143" t="s">
        <v>22</v>
      </c>
      <c r="BY30" s="172">
        <v>0.375</v>
      </c>
      <c r="BZ30" s="172">
        <v>0.75</v>
      </c>
      <c r="CA30" s="173">
        <v>0.5</v>
      </c>
      <c r="CB30" s="173">
        <v>0.54166666666666663</v>
      </c>
      <c r="CC30" s="146" t="str">
        <f t="shared" si="13"/>
        <v>8h</v>
      </c>
      <c r="CD30" s="173">
        <v>0.375</v>
      </c>
      <c r="CE30" s="173">
        <v>0.75</v>
      </c>
      <c r="CF30" s="173">
        <v>0.5</v>
      </c>
      <c r="CG30" s="173">
        <v>0.54166666666666663</v>
      </c>
      <c r="CH30" s="147" t="str">
        <f t="shared" si="14"/>
        <v>8h</v>
      </c>
      <c r="CI30" s="327"/>
      <c r="CJ30" s="327"/>
      <c r="CK30" s="327"/>
      <c r="CM30" s="157"/>
      <c r="CN30" s="142">
        <f t="shared" si="41"/>
        <v>46194</v>
      </c>
      <c r="CO30" s="143" t="str">
        <f t="shared" si="15"/>
        <v>日</v>
      </c>
      <c r="CP30" s="143"/>
      <c r="CQ30" s="144"/>
      <c r="CR30" s="144"/>
      <c r="CS30" s="145"/>
      <c r="CT30" s="145"/>
      <c r="CU30" s="146" t="str">
        <f t="shared" si="16"/>
        <v/>
      </c>
      <c r="CV30" s="145"/>
      <c r="CW30" s="145"/>
      <c r="CX30" s="145"/>
      <c r="CY30" s="145"/>
      <c r="CZ30" s="147" t="str">
        <f t="shared" si="17"/>
        <v/>
      </c>
      <c r="DA30" s="327"/>
      <c r="DB30" s="327"/>
      <c r="DC30" s="327"/>
      <c r="DE30" s="157"/>
      <c r="DF30" s="142">
        <f t="shared" si="42"/>
        <v>46224</v>
      </c>
      <c r="DG30" s="143" t="str">
        <f t="shared" si="18"/>
        <v>火</v>
      </c>
      <c r="DH30" s="143" t="s">
        <v>22</v>
      </c>
      <c r="DI30" s="172">
        <v>0.375</v>
      </c>
      <c r="DJ30" s="172">
        <v>0.75</v>
      </c>
      <c r="DK30" s="173">
        <v>0.5</v>
      </c>
      <c r="DL30" s="173">
        <v>0.54166666666666663</v>
      </c>
      <c r="DM30" s="146" t="str">
        <f t="shared" si="19"/>
        <v>8h</v>
      </c>
      <c r="DN30" s="173">
        <v>0.375</v>
      </c>
      <c r="DO30" s="173">
        <v>0.75</v>
      </c>
      <c r="DP30" s="173">
        <v>0.5</v>
      </c>
      <c r="DQ30" s="173">
        <v>0.54166666666666663</v>
      </c>
      <c r="DR30" s="147" t="str">
        <f t="shared" si="20"/>
        <v>8h</v>
      </c>
      <c r="DS30" s="327"/>
      <c r="DT30" s="327"/>
      <c r="DU30" s="327"/>
      <c r="DW30" s="157"/>
      <c r="DX30" s="142">
        <f t="shared" si="43"/>
        <v>46255</v>
      </c>
      <c r="DY30" s="143" t="str">
        <f t="shared" si="21"/>
        <v>金</v>
      </c>
      <c r="DZ30" s="143" t="s">
        <v>22</v>
      </c>
      <c r="EA30" s="172">
        <v>0.375</v>
      </c>
      <c r="EB30" s="172">
        <v>0.75</v>
      </c>
      <c r="EC30" s="173">
        <v>0.5</v>
      </c>
      <c r="ED30" s="173">
        <v>0.54166666666666663</v>
      </c>
      <c r="EE30" s="146" t="str">
        <f t="shared" si="22"/>
        <v>8h</v>
      </c>
      <c r="EF30" s="173">
        <v>0.375</v>
      </c>
      <c r="EG30" s="173">
        <v>0.75</v>
      </c>
      <c r="EH30" s="173">
        <v>0.5</v>
      </c>
      <c r="EI30" s="173">
        <v>0.54166666666666663</v>
      </c>
      <c r="EJ30" s="147" t="str">
        <f t="shared" si="23"/>
        <v>8h</v>
      </c>
      <c r="EK30" s="327"/>
      <c r="EL30" s="327"/>
      <c r="EM30" s="327"/>
      <c r="EO30" s="157"/>
      <c r="EP30" s="142">
        <f t="shared" si="44"/>
        <v>46286</v>
      </c>
      <c r="EQ30" s="143" t="str">
        <f t="shared" si="24"/>
        <v>月</v>
      </c>
      <c r="ER30" s="143"/>
      <c r="ES30" s="144"/>
      <c r="ET30" s="144"/>
      <c r="EU30" s="145"/>
      <c r="EV30" s="145"/>
      <c r="EW30" s="146" t="str">
        <f t="shared" si="25"/>
        <v/>
      </c>
      <c r="EX30" s="145"/>
      <c r="EY30" s="145"/>
      <c r="EZ30" s="145"/>
      <c r="FA30" s="145"/>
      <c r="FB30" s="147" t="str">
        <f t="shared" si="26"/>
        <v/>
      </c>
      <c r="FC30" s="327"/>
      <c r="FD30" s="327"/>
      <c r="FE30" s="327"/>
      <c r="FG30" s="157"/>
      <c r="FH30" s="142">
        <f t="shared" si="45"/>
        <v>46316</v>
      </c>
      <c r="FI30" s="143" t="str">
        <f t="shared" si="27"/>
        <v>水</v>
      </c>
      <c r="FJ30" s="143" t="s">
        <v>22</v>
      </c>
      <c r="FK30" s="172">
        <v>0.375</v>
      </c>
      <c r="FL30" s="172">
        <v>0.75</v>
      </c>
      <c r="FM30" s="173">
        <v>0.5</v>
      </c>
      <c r="FN30" s="173">
        <v>0.54166666666666663</v>
      </c>
      <c r="FO30" s="146" t="str">
        <f t="shared" si="28"/>
        <v>8h</v>
      </c>
      <c r="FP30" s="173">
        <v>0.375</v>
      </c>
      <c r="FQ30" s="173">
        <v>0.75</v>
      </c>
      <c r="FR30" s="173">
        <v>0.5</v>
      </c>
      <c r="FS30" s="173">
        <v>0.54166666666666663</v>
      </c>
      <c r="FT30" s="147" t="str">
        <f t="shared" si="29"/>
        <v>8h</v>
      </c>
      <c r="FU30" s="327"/>
      <c r="FV30" s="327"/>
      <c r="FW30" s="327"/>
      <c r="FY30" s="157"/>
      <c r="FZ30" s="142">
        <f t="shared" si="46"/>
        <v>46347</v>
      </c>
      <c r="GA30" s="143" t="str">
        <f t="shared" si="30"/>
        <v>土</v>
      </c>
      <c r="GB30" s="143"/>
      <c r="GC30" s="144"/>
      <c r="GD30" s="144"/>
      <c r="GE30" s="145"/>
      <c r="GF30" s="145"/>
      <c r="GG30" s="146" t="str">
        <f t="shared" si="31"/>
        <v/>
      </c>
      <c r="GH30" s="145"/>
      <c r="GI30" s="145"/>
      <c r="GJ30" s="145"/>
      <c r="GK30" s="145"/>
      <c r="GL30" s="147" t="str">
        <f t="shared" si="32"/>
        <v/>
      </c>
      <c r="GM30" s="327"/>
      <c r="GN30" s="327"/>
      <c r="GO30" s="327"/>
      <c r="GQ30" s="157"/>
      <c r="GR30" s="142">
        <f t="shared" si="47"/>
        <v>46377</v>
      </c>
      <c r="GS30" s="143" t="str">
        <f t="shared" si="33"/>
        <v>月</v>
      </c>
      <c r="GT30" s="143" t="s">
        <v>22</v>
      </c>
      <c r="GU30" s="172">
        <v>0.375</v>
      </c>
      <c r="GV30" s="172">
        <v>0.75</v>
      </c>
      <c r="GW30" s="173">
        <v>0.5</v>
      </c>
      <c r="GX30" s="173">
        <v>0.54166666666666663</v>
      </c>
      <c r="GY30" s="146" t="str">
        <f t="shared" si="34"/>
        <v>8h</v>
      </c>
      <c r="GZ30" s="173">
        <v>0.375</v>
      </c>
      <c r="HA30" s="173">
        <v>0.75</v>
      </c>
      <c r="HB30" s="173">
        <v>0.5</v>
      </c>
      <c r="HC30" s="173">
        <v>0.54166666666666663</v>
      </c>
      <c r="HD30" s="147" t="str">
        <f t="shared" si="35"/>
        <v>8h</v>
      </c>
      <c r="HE30" s="327"/>
      <c r="HF30" s="327"/>
      <c r="HG30" s="327"/>
    </row>
    <row r="31" spans="1:215" x14ac:dyDescent="0.45">
      <c r="A31" s="157"/>
      <c r="B31" s="142">
        <f t="shared" si="36"/>
        <v>46044</v>
      </c>
      <c r="C31" s="143" t="str">
        <f t="shared" si="0"/>
        <v>木</v>
      </c>
      <c r="D31" s="143" t="s">
        <v>22</v>
      </c>
      <c r="E31" s="172">
        <v>0.375</v>
      </c>
      <c r="F31" s="172">
        <v>0.75</v>
      </c>
      <c r="G31" s="173">
        <v>0.5</v>
      </c>
      <c r="H31" s="173">
        <v>0.54166666666666663</v>
      </c>
      <c r="I31" s="146" t="str">
        <f t="shared" si="1"/>
        <v>8h</v>
      </c>
      <c r="J31" s="173">
        <v>0.375</v>
      </c>
      <c r="K31" s="173">
        <v>0.75</v>
      </c>
      <c r="L31" s="173">
        <v>0.5</v>
      </c>
      <c r="M31" s="173">
        <v>0.54166666666666663</v>
      </c>
      <c r="N31" s="147" t="str">
        <f t="shared" si="2"/>
        <v>8h</v>
      </c>
      <c r="O31" s="327"/>
      <c r="P31" s="327"/>
      <c r="Q31" s="327"/>
      <c r="S31" s="157"/>
      <c r="T31" s="142">
        <f t="shared" si="37"/>
        <v>46075</v>
      </c>
      <c r="U31" s="143" t="str">
        <f t="shared" si="3"/>
        <v>日</v>
      </c>
      <c r="V31" s="143"/>
      <c r="W31" s="144"/>
      <c r="X31" s="144"/>
      <c r="Y31" s="145"/>
      <c r="Z31" s="145"/>
      <c r="AA31" s="146" t="str">
        <f t="shared" si="4"/>
        <v/>
      </c>
      <c r="AB31" s="145"/>
      <c r="AC31" s="145"/>
      <c r="AD31" s="145"/>
      <c r="AE31" s="145"/>
      <c r="AF31" s="147" t="str">
        <f t="shared" si="5"/>
        <v/>
      </c>
      <c r="AG31" s="327"/>
      <c r="AH31" s="327"/>
      <c r="AI31" s="327"/>
      <c r="AK31" s="157"/>
      <c r="AL31" s="142">
        <f t="shared" si="38"/>
        <v>46103</v>
      </c>
      <c r="AM31" s="143" t="str">
        <f t="shared" si="6"/>
        <v>日</v>
      </c>
      <c r="AN31" s="143"/>
      <c r="AO31" s="144"/>
      <c r="AP31" s="144"/>
      <c r="AQ31" s="145"/>
      <c r="AR31" s="145"/>
      <c r="AS31" s="146" t="str">
        <f t="shared" si="7"/>
        <v/>
      </c>
      <c r="AT31" s="145"/>
      <c r="AU31" s="145"/>
      <c r="AV31" s="145"/>
      <c r="AW31" s="145"/>
      <c r="AX31" s="147" t="str">
        <f t="shared" si="8"/>
        <v/>
      </c>
      <c r="AY31" s="327"/>
      <c r="AZ31" s="327"/>
      <c r="BA31" s="327"/>
      <c r="BC31" s="157"/>
      <c r="BD31" s="142">
        <f t="shared" si="39"/>
        <v>46134</v>
      </c>
      <c r="BE31" s="143" t="str">
        <f t="shared" si="9"/>
        <v>水</v>
      </c>
      <c r="BF31" s="143" t="s">
        <v>22</v>
      </c>
      <c r="BG31" s="172">
        <v>0.375</v>
      </c>
      <c r="BH31" s="172">
        <v>0.75</v>
      </c>
      <c r="BI31" s="173">
        <v>0.5</v>
      </c>
      <c r="BJ31" s="173">
        <v>0.54166666666666663</v>
      </c>
      <c r="BK31" s="146" t="str">
        <f t="shared" si="10"/>
        <v>8h</v>
      </c>
      <c r="BL31" s="173">
        <v>0.375</v>
      </c>
      <c r="BM31" s="173">
        <v>0.75</v>
      </c>
      <c r="BN31" s="173">
        <v>0.5</v>
      </c>
      <c r="BO31" s="173">
        <v>0.54166666666666663</v>
      </c>
      <c r="BP31" s="147" t="str">
        <f t="shared" si="11"/>
        <v>8h</v>
      </c>
      <c r="BQ31" s="327"/>
      <c r="BR31" s="327"/>
      <c r="BS31" s="327"/>
      <c r="BU31" s="157"/>
      <c r="BV31" s="142">
        <f t="shared" si="40"/>
        <v>46164</v>
      </c>
      <c r="BW31" s="143" t="str">
        <f t="shared" si="12"/>
        <v>金</v>
      </c>
      <c r="BX31" s="143" t="s">
        <v>22</v>
      </c>
      <c r="BY31" s="172">
        <v>0.375</v>
      </c>
      <c r="BZ31" s="172">
        <v>0.75</v>
      </c>
      <c r="CA31" s="173">
        <v>0.5</v>
      </c>
      <c r="CB31" s="173">
        <v>0.54166666666666663</v>
      </c>
      <c r="CC31" s="146" t="str">
        <f t="shared" si="13"/>
        <v>8h</v>
      </c>
      <c r="CD31" s="173">
        <v>0.375</v>
      </c>
      <c r="CE31" s="173">
        <v>0.75</v>
      </c>
      <c r="CF31" s="173">
        <v>0.5</v>
      </c>
      <c r="CG31" s="173">
        <v>0.54166666666666663</v>
      </c>
      <c r="CH31" s="147" t="str">
        <f t="shared" si="14"/>
        <v>8h</v>
      </c>
      <c r="CI31" s="327"/>
      <c r="CJ31" s="327"/>
      <c r="CK31" s="327"/>
      <c r="CM31" s="157"/>
      <c r="CN31" s="142">
        <f t="shared" si="41"/>
        <v>46195</v>
      </c>
      <c r="CO31" s="143" t="str">
        <f t="shared" si="15"/>
        <v>月</v>
      </c>
      <c r="CP31" s="143" t="s">
        <v>22</v>
      </c>
      <c r="CQ31" s="172">
        <v>0.375</v>
      </c>
      <c r="CR31" s="172">
        <v>0.75</v>
      </c>
      <c r="CS31" s="173">
        <v>0.5</v>
      </c>
      <c r="CT31" s="173">
        <v>0.54166666666666663</v>
      </c>
      <c r="CU31" s="146" t="str">
        <f t="shared" si="16"/>
        <v>8h</v>
      </c>
      <c r="CV31" s="173">
        <v>0.375</v>
      </c>
      <c r="CW31" s="173">
        <v>0.75</v>
      </c>
      <c r="CX31" s="173">
        <v>0.5</v>
      </c>
      <c r="CY31" s="173">
        <v>0.54166666666666663</v>
      </c>
      <c r="CZ31" s="147" t="str">
        <f t="shared" si="17"/>
        <v>8h</v>
      </c>
      <c r="DA31" s="327"/>
      <c r="DB31" s="327"/>
      <c r="DC31" s="327"/>
      <c r="DE31" s="157"/>
      <c r="DF31" s="142">
        <f t="shared" si="42"/>
        <v>46225</v>
      </c>
      <c r="DG31" s="143" t="str">
        <f t="shared" si="18"/>
        <v>水</v>
      </c>
      <c r="DH31" s="143" t="s">
        <v>22</v>
      </c>
      <c r="DI31" s="172">
        <v>0.375</v>
      </c>
      <c r="DJ31" s="172">
        <v>0.75</v>
      </c>
      <c r="DK31" s="173">
        <v>0.5</v>
      </c>
      <c r="DL31" s="173">
        <v>0.54166666666666663</v>
      </c>
      <c r="DM31" s="146" t="str">
        <f t="shared" si="19"/>
        <v>8h</v>
      </c>
      <c r="DN31" s="173">
        <v>0.375</v>
      </c>
      <c r="DO31" s="173">
        <v>0.75</v>
      </c>
      <c r="DP31" s="173">
        <v>0.5</v>
      </c>
      <c r="DQ31" s="173">
        <v>0.54166666666666663</v>
      </c>
      <c r="DR31" s="147" t="str">
        <f t="shared" si="20"/>
        <v>8h</v>
      </c>
      <c r="DS31" s="327"/>
      <c r="DT31" s="327"/>
      <c r="DU31" s="327"/>
      <c r="DW31" s="157"/>
      <c r="DX31" s="142">
        <f t="shared" si="43"/>
        <v>46256</v>
      </c>
      <c r="DY31" s="143" t="str">
        <f t="shared" si="21"/>
        <v>土</v>
      </c>
      <c r="DZ31" s="143"/>
      <c r="EA31" s="144"/>
      <c r="EB31" s="144"/>
      <c r="EC31" s="145"/>
      <c r="ED31" s="145"/>
      <c r="EE31" s="146" t="str">
        <f t="shared" si="22"/>
        <v/>
      </c>
      <c r="EF31" s="145"/>
      <c r="EG31" s="145"/>
      <c r="EH31" s="145"/>
      <c r="EI31" s="145"/>
      <c r="EJ31" s="147" t="str">
        <f t="shared" si="23"/>
        <v/>
      </c>
      <c r="EK31" s="327"/>
      <c r="EL31" s="327"/>
      <c r="EM31" s="327"/>
      <c r="EO31" s="157"/>
      <c r="EP31" s="142">
        <f t="shared" si="44"/>
        <v>46287</v>
      </c>
      <c r="EQ31" s="143" t="str">
        <f t="shared" si="24"/>
        <v>火</v>
      </c>
      <c r="ER31" s="143"/>
      <c r="ES31" s="144"/>
      <c r="ET31" s="144"/>
      <c r="EU31" s="145"/>
      <c r="EV31" s="145"/>
      <c r="EW31" s="146" t="str">
        <f t="shared" si="25"/>
        <v/>
      </c>
      <c r="EX31" s="145"/>
      <c r="EY31" s="145"/>
      <c r="EZ31" s="145"/>
      <c r="FA31" s="145"/>
      <c r="FB31" s="147" t="str">
        <f t="shared" si="26"/>
        <v/>
      </c>
      <c r="FC31" s="327"/>
      <c r="FD31" s="327"/>
      <c r="FE31" s="327"/>
      <c r="FG31" s="157"/>
      <c r="FH31" s="142">
        <f t="shared" si="45"/>
        <v>46317</v>
      </c>
      <c r="FI31" s="143" t="str">
        <f t="shared" si="27"/>
        <v>木</v>
      </c>
      <c r="FJ31" s="143" t="s">
        <v>22</v>
      </c>
      <c r="FK31" s="172">
        <v>0.375</v>
      </c>
      <c r="FL31" s="172">
        <v>0.75</v>
      </c>
      <c r="FM31" s="173">
        <v>0.5</v>
      </c>
      <c r="FN31" s="173">
        <v>0.54166666666666663</v>
      </c>
      <c r="FO31" s="146" t="str">
        <f t="shared" si="28"/>
        <v>8h</v>
      </c>
      <c r="FP31" s="173">
        <v>0.375</v>
      </c>
      <c r="FQ31" s="173">
        <v>0.75</v>
      </c>
      <c r="FR31" s="173">
        <v>0.5</v>
      </c>
      <c r="FS31" s="173">
        <v>0.54166666666666663</v>
      </c>
      <c r="FT31" s="147" t="str">
        <f t="shared" si="29"/>
        <v>8h</v>
      </c>
      <c r="FU31" s="327"/>
      <c r="FV31" s="327"/>
      <c r="FW31" s="327"/>
      <c r="FY31" s="157"/>
      <c r="FZ31" s="142">
        <f t="shared" si="46"/>
        <v>46348</v>
      </c>
      <c r="GA31" s="143" t="str">
        <f t="shared" si="30"/>
        <v>日</v>
      </c>
      <c r="GB31" s="143"/>
      <c r="GC31" s="144"/>
      <c r="GD31" s="144"/>
      <c r="GE31" s="145"/>
      <c r="GF31" s="145"/>
      <c r="GG31" s="146" t="str">
        <f t="shared" si="31"/>
        <v/>
      </c>
      <c r="GH31" s="145"/>
      <c r="GI31" s="145"/>
      <c r="GJ31" s="145"/>
      <c r="GK31" s="145"/>
      <c r="GL31" s="147" t="str">
        <f t="shared" si="32"/>
        <v/>
      </c>
      <c r="GM31" s="327"/>
      <c r="GN31" s="327"/>
      <c r="GO31" s="327"/>
      <c r="GQ31" s="157"/>
      <c r="GR31" s="142">
        <f t="shared" si="47"/>
        <v>46378</v>
      </c>
      <c r="GS31" s="143" t="str">
        <f t="shared" si="33"/>
        <v>火</v>
      </c>
      <c r="GT31" s="143" t="s">
        <v>22</v>
      </c>
      <c r="GU31" s="172">
        <v>0.375</v>
      </c>
      <c r="GV31" s="172">
        <v>0.75</v>
      </c>
      <c r="GW31" s="173">
        <v>0.5</v>
      </c>
      <c r="GX31" s="173">
        <v>0.54166666666666663</v>
      </c>
      <c r="GY31" s="146" t="str">
        <f t="shared" si="34"/>
        <v>8h</v>
      </c>
      <c r="GZ31" s="173">
        <v>0.375</v>
      </c>
      <c r="HA31" s="173">
        <v>0.75</v>
      </c>
      <c r="HB31" s="173">
        <v>0.5</v>
      </c>
      <c r="HC31" s="173">
        <v>0.54166666666666663</v>
      </c>
      <c r="HD31" s="147" t="str">
        <f t="shared" si="35"/>
        <v>8h</v>
      </c>
      <c r="HE31" s="327"/>
      <c r="HF31" s="327"/>
      <c r="HG31" s="327"/>
    </row>
    <row r="32" spans="1:215" x14ac:dyDescent="0.45">
      <c r="A32" s="157"/>
      <c r="B32" s="142">
        <f t="shared" si="36"/>
        <v>46045</v>
      </c>
      <c r="C32" s="143" t="str">
        <f t="shared" si="0"/>
        <v>金</v>
      </c>
      <c r="D32" s="143" t="s">
        <v>22</v>
      </c>
      <c r="E32" s="172">
        <v>0.375</v>
      </c>
      <c r="F32" s="172">
        <v>0.75</v>
      </c>
      <c r="G32" s="173">
        <v>0.5</v>
      </c>
      <c r="H32" s="173">
        <v>0.54166666666666663</v>
      </c>
      <c r="I32" s="146" t="str">
        <f t="shared" si="1"/>
        <v>8h</v>
      </c>
      <c r="J32" s="173">
        <v>0.375</v>
      </c>
      <c r="K32" s="173">
        <v>0.75</v>
      </c>
      <c r="L32" s="173">
        <v>0.5</v>
      </c>
      <c r="M32" s="173">
        <v>0.54166666666666663</v>
      </c>
      <c r="N32" s="147" t="str">
        <f t="shared" si="2"/>
        <v>8h</v>
      </c>
      <c r="O32" s="327"/>
      <c r="P32" s="327"/>
      <c r="Q32" s="327"/>
      <c r="S32" s="157"/>
      <c r="T32" s="142">
        <f t="shared" si="37"/>
        <v>46076</v>
      </c>
      <c r="U32" s="143" t="str">
        <f t="shared" si="3"/>
        <v>月</v>
      </c>
      <c r="V32" s="143"/>
      <c r="W32" s="144"/>
      <c r="X32" s="144"/>
      <c r="Y32" s="145"/>
      <c r="Z32" s="145"/>
      <c r="AA32" s="146" t="str">
        <f t="shared" si="4"/>
        <v/>
      </c>
      <c r="AB32" s="145"/>
      <c r="AC32" s="145"/>
      <c r="AD32" s="145"/>
      <c r="AE32" s="145"/>
      <c r="AF32" s="147" t="str">
        <f t="shared" si="5"/>
        <v/>
      </c>
      <c r="AG32" s="327"/>
      <c r="AH32" s="327"/>
      <c r="AI32" s="327"/>
      <c r="AK32" s="157"/>
      <c r="AL32" s="142">
        <f t="shared" si="38"/>
        <v>46104</v>
      </c>
      <c r="AM32" s="143" t="str">
        <f t="shared" si="6"/>
        <v>月</v>
      </c>
      <c r="AN32" s="143" t="s">
        <v>22</v>
      </c>
      <c r="AO32" s="172">
        <v>0.375</v>
      </c>
      <c r="AP32" s="172">
        <v>0.75</v>
      </c>
      <c r="AQ32" s="173">
        <v>0.5</v>
      </c>
      <c r="AR32" s="173">
        <v>0.54166666666666663</v>
      </c>
      <c r="AS32" s="146" t="str">
        <f t="shared" si="7"/>
        <v>8h</v>
      </c>
      <c r="AT32" s="173">
        <v>0.375</v>
      </c>
      <c r="AU32" s="173">
        <v>0.75</v>
      </c>
      <c r="AV32" s="173">
        <v>0.5</v>
      </c>
      <c r="AW32" s="173">
        <v>0.54166666666666663</v>
      </c>
      <c r="AX32" s="147" t="str">
        <f t="shared" si="8"/>
        <v>8h</v>
      </c>
      <c r="AY32" s="327"/>
      <c r="AZ32" s="327"/>
      <c r="BA32" s="327"/>
      <c r="BC32" s="157"/>
      <c r="BD32" s="142">
        <f t="shared" si="39"/>
        <v>46135</v>
      </c>
      <c r="BE32" s="143" t="str">
        <f t="shared" si="9"/>
        <v>木</v>
      </c>
      <c r="BF32" s="143" t="s">
        <v>22</v>
      </c>
      <c r="BG32" s="172">
        <v>0.375</v>
      </c>
      <c r="BH32" s="172">
        <v>0.75</v>
      </c>
      <c r="BI32" s="173">
        <v>0.5</v>
      </c>
      <c r="BJ32" s="173">
        <v>0.54166666666666663</v>
      </c>
      <c r="BK32" s="146" t="str">
        <f t="shared" si="10"/>
        <v>8h</v>
      </c>
      <c r="BL32" s="173">
        <v>0.375</v>
      </c>
      <c r="BM32" s="173">
        <v>0.75</v>
      </c>
      <c r="BN32" s="173">
        <v>0.5</v>
      </c>
      <c r="BO32" s="173">
        <v>0.54166666666666663</v>
      </c>
      <c r="BP32" s="147" t="str">
        <f t="shared" si="11"/>
        <v>8h</v>
      </c>
      <c r="BQ32" s="327"/>
      <c r="BR32" s="327"/>
      <c r="BS32" s="327"/>
      <c r="BU32" s="157"/>
      <c r="BV32" s="142">
        <f t="shared" si="40"/>
        <v>46165</v>
      </c>
      <c r="BW32" s="143" t="str">
        <f t="shared" si="12"/>
        <v>土</v>
      </c>
      <c r="BX32" s="143"/>
      <c r="BY32" s="144"/>
      <c r="BZ32" s="144"/>
      <c r="CA32" s="145"/>
      <c r="CB32" s="145"/>
      <c r="CC32" s="146" t="str">
        <f t="shared" si="13"/>
        <v/>
      </c>
      <c r="CD32" s="145"/>
      <c r="CE32" s="145"/>
      <c r="CF32" s="145"/>
      <c r="CG32" s="145"/>
      <c r="CH32" s="147" t="str">
        <f t="shared" si="14"/>
        <v/>
      </c>
      <c r="CI32" s="327"/>
      <c r="CJ32" s="327"/>
      <c r="CK32" s="327"/>
      <c r="CM32" s="157"/>
      <c r="CN32" s="142">
        <f t="shared" si="41"/>
        <v>46196</v>
      </c>
      <c r="CO32" s="143" t="str">
        <f t="shared" si="15"/>
        <v>火</v>
      </c>
      <c r="CP32" s="143" t="s">
        <v>22</v>
      </c>
      <c r="CQ32" s="172">
        <v>0.375</v>
      </c>
      <c r="CR32" s="172">
        <v>0.75</v>
      </c>
      <c r="CS32" s="173">
        <v>0.5</v>
      </c>
      <c r="CT32" s="173">
        <v>0.54166666666666663</v>
      </c>
      <c r="CU32" s="146" t="str">
        <f t="shared" si="16"/>
        <v>8h</v>
      </c>
      <c r="CV32" s="173">
        <v>0.375</v>
      </c>
      <c r="CW32" s="173">
        <v>0.75</v>
      </c>
      <c r="CX32" s="173">
        <v>0.5</v>
      </c>
      <c r="CY32" s="173">
        <v>0.54166666666666663</v>
      </c>
      <c r="CZ32" s="147" t="str">
        <f t="shared" si="17"/>
        <v>8h</v>
      </c>
      <c r="DA32" s="327"/>
      <c r="DB32" s="327"/>
      <c r="DC32" s="327"/>
      <c r="DE32" s="157"/>
      <c r="DF32" s="142">
        <f t="shared" si="42"/>
        <v>46226</v>
      </c>
      <c r="DG32" s="143" t="str">
        <f t="shared" si="18"/>
        <v>木</v>
      </c>
      <c r="DH32" s="143" t="s">
        <v>22</v>
      </c>
      <c r="DI32" s="172">
        <v>0.375</v>
      </c>
      <c r="DJ32" s="172">
        <v>0.75</v>
      </c>
      <c r="DK32" s="173">
        <v>0.5</v>
      </c>
      <c r="DL32" s="173">
        <v>0.54166666666666663</v>
      </c>
      <c r="DM32" s="146" t="str">
        <f t="shared" si="19"/>
        <v>8h</v>
      </c>
      <c r="DN32" s="173">
        <v>0.375</v>
      </c>
      <c r="DO32" s="173">
        <v>0.75</v>
      </c>
      <c r="DP32" s="173">
        <v>0.5</v>
      </c>
      <c r="DQ32" s="173">
        <v>0.54166666666666663</v>
      </c>
      <c r="DR32" s="147" t="str">
        <f t="shared" si="20"/>
        <v>8h</v>
      </c>
      <c r="DS32" s="327"/>
      <c r="DT32" s="327"/>
      <c r="DU32" s="327"/>
      <c r="DW32" s="157"/>
      <c r="DX32" s="142">
        <f t="shared" si="43"/>
        <v>46257</v>
      </c>
      <c r="DY32" s="143" t="str">
        <f t="shared" si="21"/>
        <v>日</v>
      </c>
      <c r="DZ32" s="143"/>
      <c r="EA32" s="144"/>
      <c r="EB32" s="144"/>
      <c r="EC32" s="145"/>
      <c r="ED32" s="145"/>
      <c r="EE32" s="146" t="str">
        <f t="shared" si="22"/>
        <v/>
      </c>
      <c r="EF32" s="145"/>
      <c r="EG32" s="145"/>
      <c r="EH32" s="145"/>
      <c r="EI32" s="145"/>
      <c r="EJ32" s="147" t="str">
        <f t="shared" si="23"/>
        <v/>
      </c>
      <c r="EK32" s="327"/>
      <c r="EL32" s="327"/>
      <c r="EM32" s="327"/>
      <c r="EO32" s="157"/>
      <c r="EP32" s="142">
        <f t="shared" si="44"/>
        <v>46288</v>
      </c>
      <c r="EQ32" s="143" t="str">
        <f t="shared" si="24"/>
        <v>水</v>
      </c>
      <c r="ER32" s="143"/>
      <c r="ES32" s="144"/>
      <c r="ET32" s="144"/>
      <c r="EU32" s="145"/>
      <c r="EV32" s="145"/>
      <c r="EW32" s="146" t="str">
        <f t="shared" si="25"/>
        <v/>
      </c>
      <c r="EX32" s="145"/>
      <c r="EY32" s="145"/>
      <c r="EZ32" s="145"/>
      <c r="FA32" s="145"/>
      <c r="FB32" s="147" t="str">
        <f t="shared" si="26"/>
        <v/>
      </c>
      <c r="FC32" s="327"/>
      <c r="FD32" s="327"/>
      <c r="FE32" s="327"/>
      <c r="FG32" s="157"/>
      <c r="FH32" s="142">
        <f t="shared" si="45"/>
        <v>46318</v>
      </c>
      <c r="FI32" s="143" t="str">
        <f t="shared" si="27"/>
        <v>金</v>
      </c>
      <c r="FJ32" s="143" t="s">
        <v>22</v>
      </c>
      <c r="FK32" s="172">
        <v>0.375</v>
      </c>
      <c r="FL32" s="172">
        <v>0.75</v>
      </c>
      <c r="FM32" s="173">
        <v>0.5</v>
      </c>
      <c r="FN32" s="173">
        <v>0.54166666666666663</v>
      </c>
      <c r="FO32" s="146" t="str">
        <f t="shared" si="28"/>
        <v>8h</v>
      </c>
      <c r="FP32" s="173">
        <v>0.375</v>
      </c>
      <c r="FQ32" s="173">
        <v>0.75</v>
      </c>
      <c r="FR32" s="173">
        <v>0.5</v>
      </c>
      <c r="FS32" s="173">
        <v>0.54166666666666663</v>
      </c>
      <c r="FT32" s="147" t="str">
        <f t="shared" si="29"/>
        <v>8h</v>
      </c>
      <c r="FU32" s="327"/>
      <c r="FV32" s="327"/>
      <c r="FW32" s="327"/>
      <c r="FY32" s="157"/>
      <c r="FZ32" s="142">
        <f t="shared" si="46"/>
        <v>46349</v>
      </c>
      <c r="GA32" s="143" t="str">
        <f t="shared" si="30"/>
        <v>月</v>
      </c>
      <c r="GB32" s="143"/>
      <c r="GC32" s="144"/>
      <c r="GD32" s="144"/>
      <c r="GE32" s="145"/>
      <c r="GF32" s="145"/>
      <c r="GG32" s="146" t="str">
        <f t="shared" si="31"/>
        <v/>
      </c>
      <c r="GH32" s="145"/>
      <c r="GI32" s="145"/>
      <c r="GJ32" s="145"/>
      <c r="GK32" s="145"/>
      <c r="GL32" s="147" t="str">
        <f t="shared" si="32"/>
        <v/>
      </c>
      <c r="GM32" s="327"/>
      <c r="GN32" s="327"/>
      <c r="GO32" s="327"/>
      <c r="GQ32" s="157"/>
      <c r="GR32" s="142">
        <f t="shared" si="47"/>
        <v>46379</v>
      </c>
      <c r="GS32" s="143" t="str">
        <f t="shared" si="33"/>
        <v>水</v>
      </c>
      <c r="GT32" s="143" t="s">
        <v>22</v>
      </c>
      <c r="GU32" s="172">
        <v>0.375</v>
      </c>
      <c r="GV32" s="172">
        <v>0.75</v>
      </c>
      <c r="GW32" s="173">
        <v>0.5</v>
      </c>
      <c r="GX32" s="173">
        <v>0.54166666666666663</v>
      </c>
      <c r="GY32" s="146" t="str">
        <f t="shared" si="34"/>
        <v>8h</v>
      </c>
      <c r="GZ32" s="173">
        <v>0.375</v>
      </c>
      <c r="HA32" s="173">
        <v>0.75</v>
      </c>
      <c r="HB32" s="173">
        <v>0.5</v>
      </c>
      <c r="HC32" s="173">
        <v>0.54166666666666663</v>
      </c>
      <c r="HD32" s="147" t="str">
        <f t="shared" si="35"/>
        <v>8h</v>
      </c>
      <c r="HE32" s="327"/>
      <c r="HF32" s="327"/>
      <c r="HG32" s="327"/>
    </row>
    <row r="33" spans="1:215" x14ac:dyDescent="0.45">
      <c r="A33" s="157"/>
      <c r="B33" s="142">
        <f t="shared" si="36"/>
        <v>46046</v>
      </c>
      <c r="C33" s="143" t="str">
        <f t="shared" si="0"/>
        <v>土</v>
      </c>
      <c r="D33" s="143"/>
      <c r="E33" s="144"/>
      <c r="F33" s="144"/>
      <c r="G33" s="145"/>
      <c r="H33" s="145"/>
      <c r="I33" s="146" t="str">
        <f t="shared" si="1"/>
        <v/>
      </c>
      <c r="J33" s="145"/>
      <c r="K33" s="145"/>
      <c r="L33" s="145"/>
      <c r="M33" s="145"/>
      <c r="N33" s="147" t="str">
        <f t="shared" si="2"/>
        <v/>
      </c>
      <c r="O33" s="327"/>
      <c r="P33" s="327"/>
      <c r="Q33" s="327"/>
      <c r="S33" s="157"/>
      <c r="T33" s="142">
        <f t="shared" si="37"/>
        <v>46077</v>
      </c>
      <c r="U33" s="143" t="str">
        <f t="shared" si="3"/>
        <v>火</v>
      </c>
      <c r="V33" s="143" t="s">
        <v>22</v>
      </c>
      <c r="W33" s="172">
        <v>0.375</v>
      </c>
      <c r="X33" s="172">
        <v>0.75</v>
      </c>
      <c r="Y33" s="173">
        <v>0.5</v>
      </c>
      <c r="Z33" s="173">
        <v>0.54166666666666663</v>
      </c>
      <c r="AA33" s="146" t="str">
        <f t="shared" si="4"/>
        <v>8h</v>
      </c>
      <c r="AB33" s="173">
        <v>0.375</v>
      </c>
      <c r="AC33" s="173">
        <v>0.75</v>
      </c>
      <c r="AD33" s="173">
        <v>0.5</v>
      </c>
      <c r="AE33" s="173">
        <v>0.54166666666666663</v>
      </c>
      <c r="AF33" s="147" t="str">
        <f t="shared" si="5"/>
        <v>8h</v>
      </c>
      <c r="AG33" s="327"/>
      <c r="AH33" s="327"/>
      <c r="AI33" s="327"/>
      <c r="AK33" s="157"/>
      <c r="AL33" s="142">
        <f t="shared" si="38"/>
        <v>46105</v>
      </c>
      <c r="AM33" s="143" t="str">
        <f t="shared" si="6"/>
        <v>火</v>
      </c>
      <c r="AN33" s="143" t="s">
        <v>22</v>
      </c>
      <c r="AO33" s="172">
        <v>0.375</v>
      </c>
      <c r="AP33" s="172">
        <v>0.75</v>
      </c>
      <c r="AQ33" s="173">
        <v>0.5</v>
      </c>
      <c r="AR33" s="173">
        <v>0.54166666666666663</v>
      </c>
      <c r="AS33" s="146" t="str">
        <f t="shared" si="7"/>
        <v>8h</v>
      </c>
      <c r="AT33" s="173">
        <v>0.375</v>
      </c>
      <c r="AU33" s="173">
        <v>0.75</v>
      </c>
      <c r="AV33" s="173">
        <v>0.5</v>
      </c>
      <c r="AW33" s="173">
        <v>0.54166666666666663</v>
      </c>
      <c r="AX33" s="147" t="str">
        <f t="shared" si="8"/>
        <v>8h</v>
      </c>
      <c r="AY33" s="327"/>
      <c r="AZ33" s="327"/>
      <c r="BA33" s="327"/>
      <c r="BC33" s="157"/>
      <c r="BD33" s="142">
        <f t="shared" si="39"/>
        <v>46136</v>
      </c>
      <c r="BE33" s="143" t="str">
        <f t="shared" si="9"/>
        <v>金</v>
      </c>
      <c r="BF33" s="143" t="s">
        <v>22</v>
      </c>
      <c r="BG33" s="172">
        <v>0.375</v>
      </c>
      <c r="BH33" s="172">
        <v>0.75</v>
      </c>
      <c r="BI33" s="173">
        <v>0.5</v>
      </c>
      <c r="BJ33" s="173">
        <v>0.54166666666666663</v>
      </c>
      <c r="BK33" s="146" t="str">
        <f t="shared" si="10"/>
        <v>8h</v>
      </c>
      <c r="BL33" s="173">
        <v>0.375</v>
      </c>
      <c r="BM33" s="173">
        <v>0.75</v>
      </c>
      <c r="BN33" s="173">
        <v>0.5</v>
      </c>
      <c r="BO33" s="173">
        <v>0.54166666666666663</v>
      </c>
      <c r="BP33" s="147" t="str">
        <f t="shared" si="11"/>
        <v>8h</v>
      </c>
      <c r="BQ33" s="327"/>
      <c r="BR33" s="327"/>
      <c r="BS33" s="327"/>
      <c r="BU33" s="157"/>
      <c r="BV33" s="142">
        <f t="shared" si="40"/>
        <v>46166</v>
      </c>
      <c r="BW33" s="143" t="str">
        <f t="shared" si="12"/>
        <v>日</v>
      </c>
      <c r="BX33" s="143"/>
      <c r="BY33" s="144"/>
      <c r="BZ33" s="144"/>
      <c r="CA33" s="145"/>
      <c r="CB33" s="145"/>
      <c r="CC33" s="146" t="str">
        <f t="shared" si="13"/>
        <v/>
      </c>
      <c r="CD33" s="145"/>
      <c r="CE33" s="145"/>
      <c r="CF33" s="145"/>
      <c r="CG33" s="145"/>
      <c r="CH33" s="147" t="str">
        <f t="shared" si="14"/>
        <v/>
      </c>
      <c r="CI33" s="327"/>
      <c r="CJ33" s="327"/>
      <c r="CK33" s="327"/>
      <c r="CM33" s="157"/>
      <c r="CN33" s="142">
        <f t="shared" si="41"/>
        <v>46197</v>
      </c>
      <c r="CO33" s="143" t="str">
        <f t="shared" si="15"/>
        <v>水</v>
      </c>
      <c r="CP33" s="143" t="s">
        <v>22</v>
      </c>
      <c r="CQ33" s="172">
        <v>0.375</v>
      </c>
      <c r="CR33" s="172">
        <v>0.75</v>
      </c>
      <c r="CS33" s="173">
        <v>0.5</v>
      </c>
      <c r="CT33" s="173">
        <v>0.54166666666666663</v>
      </c>
      <c r="CU33" s="146" t="str">
        <f t="shared" si="16"/>
        <v>8h</v>
      </c>
      <c r="CV33" s="173">
        <v>0.375</v>
      </c>
      <c r="CW33" s="173">
        <v>0.75</v>
      </c>
      <c r="CX33" s="173">
        <v>0.5</v>
      </c>
      <c r="CY33" s="173">
        <v>0.54166666666666663</v>
      </c>
      <c r="CZ33" s="147" t="str">
        <f t="shared" si="17"/>
        <v>8h</v>
      </c>
      <c r="DA33" s="327"/>
      <c r="DB33" s="327"/>
      <c r="DC33" s="327"/>
      <c r="DE33" s="157"/>
      <c r="DF33" s="142">
        <f t="shared" si="42"/>
        <v>46227</v>
      </c>
      <c r="DG33" s="143" t="str">
        <f t="shared" si="18"/>
        <v>金</v>
      </c>
      <c r="DH33" s="143" t="s">
        <v>22</v>
      </c>
      <c r="DI33" s="172">
        <v>0.375</v>
      </c>
      <c r="DJ33" s="172">
        <v>0.75</v>
      </c>
      <c r="DK33" s="173">
        <v>0.5</v>
      </c>
      <c r="DL33" s="173">
        <v>0.54166666666666663</v>
      </c>
      <c r="DM33" s="146" t="str">
        <f t="shared" si="19"/>
        <v>8h</v>
      </c>
      <c r="DN33" s="173">
        <v>0.375</v>
      </c>
      <c r="DO33" s="173">
        <v>0.75</v>
      </c>
      <c r="DP33" s="173">
        <v>0.5</v>
      </c>
      <c r="DQ33" s="173">
        <v>0.54166666666666663</v>
      </c>
      <c r="DR33" s="147" t="str">
        <f t="shared" si="20"/>
        <v>8h</v>
      </c>
      <c r="DS33" s="327"/>
      <c r="DT33" s="327"/>
      <c r="DU33" s="327"/>
      <c r="DW33" s="157"/>
      <c r="DX33" s="142">
        <f t="shared" si="43"/>
        <v>46258</v>
      </c>
      <c r="DY33" s="143" t="str">
        <f t="shared" si="21"/>
        <v>月</v>
      </c>
      <c r="DZ33" s="143" t="s">
        <v>22</v>
      </c>
      <c r="EA33" s="172">
        <v>0.375</v>
      </c>
      <c r="EB33" s="172">
        <v>0.75</v>
      </c>
      <c r="EC33" s="173">
        <v>0.5</v>
      </c>
      <c r="ED33" s="173">
        <v>0.54166666666666663</v>
      </c>
      <c r="EE33" s="146" t="str">
        <f t="shared" si="22"/>
        <v>8h</v>
      </c>
      <c r="EF33" s="173">
        <v>0.375</v>
      </c>
      <c r="EG33" s="173">
        <v>0.75</v>
      </c>
      <c r="EH33" s="173">
        <v>0.5</v>
      </c>
      <c r="EI33" s="173">
        <v>0.54166666666666663</v>
      </c>
      <c r="EJ33" s="147" t="str">
        <f t="shared" si="23"/>
        <v>8h</v>
      </c>
      <c r="EK33" s="327"/>
      <c r="EL33" s="327"/>
      <c r="EM33" s="327"/>
      <c r="EO33" s="157"/>
      <c r="EP33" s="142">
        <f t="shared" si="44"/>
        <v>46289</v>
      </c>
      <c r="EQ33" s="143" t="str">
        <f t="shared" si="24"/>
        <v>木</v>
      </c>
      <c r="ER33" s="143" t="s">
        <v>22</v>
      </c>
      <c r="ES33" s="172">
        <v>0.375</v>
      </c>
      <c r="ET33" s="172">
        <v>0.75</v>
      </c>
      <c r="EU33" s="173">
        <v>0.5</v>
      </c>
      <c r="EV33" s="173">
        <v>0.54166666666666663</v>
      </c>
      <c r="EW33" s="146" t="str">
        <f t="shared" si="25"/>
        <v>8h</v>
      </c>
      <c r="EX33" s="173">
        <v>0.375</v>
      </c>
      <c r="EY33" s="173">
        <v>0.75</v>
      </c>
      <c r="EZ33" s="173">
        <v>0.5</v>
      </c>
      <c r="FA33" s="173">
        <v>0.54166666666666663</v>
      </c>
      <c r="FB33" s="147" t="str">
        <f t="shared" si="26"/>
        <v>8h</v>
      </c>
      <c r="FC33" s="327"/>
      <c r="FD33" s="327"/>
      <c r="FE33" s="327"/>
      <c r="FG33" s="157"/>
      <c r="FH33" s="142">
        <f t="shared" si="45"/>
        <v>46319</v>
      </c>
      <c r="FI33" s="143" t="str">
        <f t="shared" si="27"/>
        <v>土</v>
      </c>
      <c r="FJ33" s="143"/>
      <c r="FK33" s="144"/>
      <c r="FL33" s="144"/>
      <c r="FM33" s="145"/>
      <c r="FN33" s="145"/>
      <c r="FO33" s="146" t="str">
        <f t="shared" si="28"/>
        <v/>
      </c>
      <c r="FP33" s="145"/>
      <c r="FQ33" s="145"/>
      <c r="FR33" s="145"/>
      <c r="FS33" s="145"/>
      <c r="FT33" s="147" t="str">
        <f t="shared" si="29"/>
        <v/>
      </c>
      <c r="FU33" s="327"/>
      <c r="FV33" s="327"/>
      <c r="FW33" s="327"/>
      <c r="FY33" s="157"/>
      <c r="FZ33" s="142">
        <f t="shared" si="46"/>
        <v>46350</v>
      </c>
      <c r="GA33" s="143" t="str">
        <f t="shared" si="30"/>
        <v>火</v>
      </c>
      <c r="GB33" s="143" t="s">
        <v>22</v>
      </c>
      <c r="GC33" s="172">
        <v>0.375</v>
      </c>
      <c r="GD33" s="172">
        <v>0.75</v>
      </c>
      <c r="GE33" s="173">
        <v>0.5</v>
      </c>
      <c r="GF33" s="173">
        <v>0.54166666666666663</v>
      </c>
      <c r="GG33" s="146" t="str">
        <f t="shared" si="31"/>
        <v>8h</v>
      </c>
      <c r="GH33" s="173">
        <v>0.375</v>
      </c>
      <c r="GI33" s="173">
        <v>0.75</v>
      </c>
      <c r="GJ33" s="173">
        <v>0.5</v>
      </c>
      <c r="GK33" s="173">
        <v>0.54166666666666663</v>
      </c>
      <c r="GL33" s="147" t="str">
        <f t="shared" si="32"/>
        <v>8h</v>
      </c>
      <c r="GM33" s="327"/>
      <c r="GN33" s="327"/>
      <c r="GO33" s="327"/>
      <c r="GQ33" s="157"/>
      <c r="GR33" s="142">
        <f t="shared" si="47"/>
        <v>46380</v>
      </c>
      <c r="GS33" s="143" t="str">
        <f t="shared" si="33"/>
        <v>木</v>
      </c>
      <c r="GT33" s="143" t="s">
        <v>22</v>
      </c>
      <c r="GU33" s="172">
        <v>0.375</v>
      </c>
      <c r="GV33" s="172">
        <v>0.75</v>
      </c>
      <c r="GW33" s="173">
        <v>0.5</v>
      </c>
      <c r="GX33" s="173">
        <v>0.54166666666666663</v>
      </c>
      <c r="GY33" s="146" t="str">
        <f t="shared" si="34"/>
        <v>8h</v>
      </c>
      <c r="GZ33" s="173">
        <v>0.375</v>
      </c>
      <c r="HA33" s="173">
        <v>0.75</v>
      </c>
      <c r="HB33" s="173">
        <v>0.5</v>
      </c>
      <c r="HC33" s="173">
        <v>0.54166666666666663</v>
      </c>
      <c r="HD33" s="147" t="str">
        <f t="shared" si="35"/>
        <v>8h</v>
      </c>
      <c r="HE33" s="327"/>
      <c r="HF33" s="327"/>
      <c r="HG33" s="327"/>
    </row>
    <row r="34" spans="1:215" x14ac:dyDescent="0.45">
      <c r="A34" s="157"/>
      <c r="B34" s="142">
        <f t="shared" si="36"/>
        <v>46047</v>
      </c>
      <c r="C34" s="143" t="str">
        <f t="shared" si="0"/>
        <v>日</v>
      </c>
      <c r="D34" s="143"/>
      <c r="E34" s="144"/>
      <c r="F34" s="144"/>
      <c r="G34" s="145"/>
      <c r="H34" s="145"/>
      <c r="I34" s="146" t="str">
        <f t="shared" si="1"/>
        <v/>
      </c>
      <c r="J34" s="145"/>
      <c r="K34" s="145"/>
      <c r="L34" s="145"/>
      <c r="M34" s="145"/>
      <c r="N34" s="147" t="str">
        <f t="shared" si="2"/>
        <v/>
      </c>
      <c r="O34" s="327"/>
      <c r="P34" s="327"/>
      <c r="Q34" s="327"/>
      <c r="S34" s="157"/>
      <c r="T34" s="142">
        <f t="shared" si="37"/>
        <v>46078</v>
      </c>
      <c r="U34" s="143" t="str">
        <f t="shared" si="3"/>
        <v>水</v>
      </c>
      <c r="V34" s="143" t="s">
        <v>22</v>
      </c>
      <c r="W34" s="172">
        <v>0.375</v>
      </c>
      <c r="X34" s="172">
        <v>0.75</v>
      </c>
      <c r="Y34" s="173">
        <v>0.5</v>
      </c>
      <c r="Z34" s="173">
        <v>0.54166666666666663</v>
      </c>
      <c r="AA34" s="146" t="str">
        <f t="shared" si="4"/>
        <v>8h</v>
      </c>
      <c r="AB34" s="173">
        <v>0.375</v>
      </c>
      <c r="AC34" s="173">
        <v>0.75</v>
      </c>
      <c r="AD34" s="173">
        <v>0.5</v>
      </c>
      <c r="AE34" s="173">
        <v>0.54166666666666663</v>
      </c>
      <c r="AF34" s="147" t="str">
        <f t="shared" si="5"/>
        <v>8h</v>
      </c>
      <c r="AG34" s="327"/>
      <c r="AH34" s="327"/>
      <c r="AI34" s="327"/>
      <c r="AK34" s="157"/>
      <c r="AL34" s="142">
        <f t="shared" si="38"/>
        <v>46106</v>
      </c>
      <c r="AM34" s="143" t="str">
        <f t="shared" si="6"/>
        <v>水</v>
      </c>
      <c r="AN34" s="143" t="s">
        <v>22</v>
      </c>
      <c r="AO34" s="172">
        <v>0.375</v>
      </c>
      <c r="AP34" s="172">
        <v>0.75</v>
      </c>
      <c r="AQ34" s="173">
        <v>0.5</v>
      </c>
      <c r="AR34" s="173">
        <v>0.54166666666666663</v>
      </c>
      <c r="AS34" s="146" t="str">
        <f t="shared" si="7"/>
        <v>8h</v>
      </c>
      <c r="AT34" s="173">
        <v>0.375</v>
      </c>
      <c r="AU34" s="173">
        <v>0.75</v>
      </c>
      <c r="AV34" s="173">
        <v>0.5</v>
      </c>
      <c r="AW34" s="173">
        <v>0.54166666666666663</v>
      </c>
      <c r="AX34" s="147" t="str">
        <f t="shared" si="8"/>
        <v>8h</v>
      </c>
      <c r="AY34" s="327"/>
      <c r="AZ34" s="327"/>
      <c r="BA34" s="327"/>
      <c r="BC34" s="157"/>
      <c r="BD34" s="142">
        <f t="shared" si="39"/>
        <v>46137</v>
      </c>
      <c r="BE34" s="143" t="str">
        <f t="shared" si="9"/>
        <v>土</v>
      </c>
      <c r="BF34" s="143"/>
      <c r="BG34" s="144"/>
      <c r="BH34" s="144"/>
      <c r="BI34" s="145"/>
      <c r="BJ34" s="145"/>
      <c r="BK34" s="146" t="str">
        <f t="shared" si="10"/>
        <v/>
      </c>
      <c r="BL34" s="145"/>
      <c r="BM34" s="145"/>
      <c r="BN34" s="145"/>
      <c r="BO34" s="145"/>
      <c r="BP34" s="147" t="str">
        <f t="shared" si="11"/>
        <v/>
      </c>
      <c r="BQ34" s="327"/>
      <c r="BR34" s="327"/>
      <c r="BS34" s="327"/>
      <c r="BU34" s="157"/>
      <c r="BV34" s="142">
        <f t="shared" si="40"/>
        <v>46167</v>
      </c>
      <c r="BW34" s="143" t="str">
        <f t="shared" si="12"/>
        <v>月</v>
      </c>
      <c r="BX34" s="143" t="s">
        <v>22</v>
      </c>
      <c r="BY34" s="172">
        <v>0.375</v>
      </c>
      <c r="BZ34" s="172">
        <v>0.75</v>
      </c>
      <c r="CA34" s="173">
        <v>0.5</v>
      </c>
      <c r="CB34" s="173">
        <v>0.54166666666666663</v>
      </c>
      <c r="CC34" s="146" t="str">
        <f t="shared" si="13"/>
        <v>8h</v>
      </c>
      <c r="CD34" s="173">
        <v>0.375</v>
      </c>
      <c r="CE34" s="173">
        <v>0.75</v>
      </c>
      <c r="CF34" s="173">
        <v>0.5</v>
      </c>
      <c r="CG34" s="173">
        <v>0.54166666666666663</v>
      </c>
      <c r="CH34" s="147" t="str">
        <f t="shared" si="14"/>
        <v>8h</v>
      </c>
      <c r="CI34" s="327"/>
      <c r="CJ34" s="327"/>
      <c r="CK34" s="327"/>
      <c r="CM34" s="157"/>
      <c r="CN34" s="142">
        <f t="shared" si="41"/>
        <v>46198</v>
      </c>
      <c r="CO34" s="143" t="str">
        <f t="shared" si="15"/>
        <v>木</v>
      </c>
      <c r="CP34" s="143" t="s">
        <v>22</v>
      </c>
      <c r="CQ34" s="172">
        <v>0.375</v>
      </c>
      <c r="CR34" s="172">
        <v>0.75</v>
      </c>
      <c r="CS34" s="173">
        <v>0.5</v>
      </c>
      <c r="CT34" s="173">
        <v>0.54166666666666663</v>
      </c>
      <c r="CU34" s="146" t="str">
        <f t="shared" si="16"/>
        <v>8h</v>
      </c>
      <c r="CV34" s="173">
        <v>0.375</v>
      </c>
      <c r="CW34" s="173">
        <v>0.75</v>
      </c>
      <c r="CX34" s="173">
        <v>0.5</v>
      </c>
      <c r="CY34" s="173">
        <v>0.54166666666666663</v>
      </c>
      <c r="CZ34" s="147" t="str">
        <f t="shared" si="17"/>
        <v>8h</v>
      </c>
      <c r="DA34" s="327"/>
      <c r="DB34" s="327"/>
      <c r="DC34" s="327"/>
      <c r="DE34" s="157"/>
      <c r="DF34" s="142">
        <f t="shared" si="42"/>
        <v>46228</v>
      </c>
      <c r="DG34" s="143" t="str">
        <f t="shared" si="18"/>
        <v>土</v>
      </c>
      <c r="DH34" s="143"/>
      <c r="DI34" s="144"/>
      <c r="DJ34" s="144"/>
      <c r="DK34" s="145"/>
      <c r="DL34" s="145"/>
      <c r="DM34" s="146" t="str">
        <f t="shared" si="19"/>
        <v/>
      </c>
      <c r="DN34" s="145"/>
      <c r="DO34" s="145"/>
      <c r="DP34" s="145"/>
      <c r="DQ34" s="145"/>
      <c r="DR34" s="147" t="str">
        <f t="shared" si="20"/>
        <v/>
      </c>
      <c r="DS34" s="327"/>
      <c r="DT34" s="327"/>
      <c r="DU34" s="327"/>
      <c r="DW34" s="157"/>
      <c r="DX34" s="142">
        <f t="shared" si="43"/>
        <v>46259</v>
      </c>
      <c r="DY34" s="143" t="str">
        <f t="shared" si="21"/>
        <v>火</v>
      </c>
      <c r="DZ34" s="143" t="s">
        <v>22</v>
      </c>
      <c r="EA34" s="172">
        <v>0.375</v>
      </c>
      <c r="EB34" s="172">
        <v>0.75</v>
      </c>
      <c r="EC34" s="173">
        <v>0.5</v>
      </c>
      <c r="ED34" s="173">
        <v>0.54166666666666663</v>
      </c>
      <c r="EE34" s="146" t="str">
        <f t="shared" si="22"/>
        <v>8h</v>
      </c>
      <c r="EF34" s="173">
        <v>0.375</v>
      </c>
      <c r="EG34" s="173">
        <v>0.75</v>
      </c>
      <c r="EH34" s="173">
        <v>0.5</v>
      </c>
      <c r="EI34" s="173">
        <v>0.54166666666666663</v>
      </c>
      <c r="EJ34" s="147" t="str">
        <f t="shared" si="23"/>
        <v>8h</v>
      </c>
      <c r="EK34" s="327"/>
      <c r="EL34" s="327"/>
      <c r="EM34" s="327"/>
      <c r="EO34" s="157"/>
      <c r="EP34" s="142">
        <f t="shared" si="44"/>
        <v>46290</v>
      </c>
      <c r="EQ34" s="143" t="str">
        <f t="shared" si="24"/>
        <v>金</v>
      </c>
      <c r="ER34" s="143" t="s">
        <v>22</v>
      </c>
      <c r="ES34" s="172">
        <v>0.375</v>
      </c>
      <c r="ET34" s="172">
        <v>0.75</v>
      </c>
      <c r="EU34" s="173">
        <v>0.5</v>
      </c>
      <c r="EV34" s="173">
        <v>0.54166666666666663</v>
      </c>
      <c r="EW34" s="146" t="str">
        <f t="shared" si="25"/>
        <v>8h</v>
      </c>
      <c r="EX34" s="173">
        <v>0.375</v>
      </c>
      <c r="EY34" s="173">
        <v>0.75</v>
      </c>
      <c r="EZ34" s="173">
        <v>0.5</v>
      </c>
      <c r="FA34" s="173">
        <v>0.54166666666666663</v>
      </c>
      <c r="FB34" s="147" t="str">
        <f t="shared" si="26"/>
        <v>8h</v>
      </c>
      <c r="FC34" s="327"/>
      <c r="FD34" s="327"/>
      <c r="FE34" s="327"/>
      <c r="FG34" s="157"/>
      <c r="FH34" s="142">
        <f t="shared" si="45"/>
        <v>46320</v>
      </c>
      <c r="FI34" s="143" t="str">
        <f t="shared" si="27"/>
        <v>日</v>
      </c>
      <c r="FJ34" s="143"/>
      <c r="FK34" s="144"/>
      <c r="FL34" s="144"/>
      <c r="FM34" s="145"/>
      <c r="FN34" s="145"/>
      <c r="FO34" s="146" t="str">
        <f t="shared" si="28"/>
        <v/>
      </c>
      <c r="FP34" s="145"/>
      <c r="FQ34" s="145"/>
      <c r="FR34" s="145"/>
      <c r="FS34" s="145"/>
      <c r="FT34" s="147" t="str">
        <f t="shared" si="29"/>
        <v/>
      </c>
      <c r="FU34" s="327"/>
      <c r="FV34" s="327"/>
      <c r="FW34" s="327"/>
      <c r="FY34" s="157"/>
      <c r="FZ34" s="142">
        <f t="shared" si="46"/>
        <v>46351</v>
      </c>
      <c r="GA34" s="143" t="str">
        <f t="shared" si="30"/>
        <v>水</v>
      </c>
      <c r="GB34" s="143" t="s">
        <v>22</v>
      </c>
      <c r="GC34" s="172">
        <v>0.375</v>
      </c>
      <c r="GD34" s="172">
        <v>0.75</v>
      </c>
      <c r="GE34" s="173">
        <v>0.5</v>
      </c>
      <c r="GF34" s="173">
        <v>0.54166666666666663</v>
      </c>
      <c r="GG34" s="146" t="str">
        <f t="shared" si="31"/>
        <v>8h</v>
      </c>
      <c r="GH34" s="173">
        <v>0.375</v>
      </c>
      <c r="GI34" s="173">
        <v>0.75</v>
      </c>
      <c r="GJ34" s="173">
        <v>0.5</v>
      </c>
      <c r="GK34" s="173">
        <v>0.54166666666666663</v>
      </c>
      <c r="GL34" s="147" t="str">
        <f t="shared" si="32"/>
        <v>8h</v>
      </c>
      <c r="GM34" s="327"/>
      <c r="GN34" s="327"/>
      <c r="GO34" s="327"/>
      <c r="GQ34" s="157"/>
      <c r="GR34" s="142">
        <f t="shared" si="47"/>
        <v>46381</v>
      </c>
      <c r="GS34" s="143" t="str">
        <f t="shared" si="33"/>
        <v>金</v>
      </c>
      <c r="GT34" s="143" t="s">
        <v>22</v>
      </c>
      <c r="GU34" s="172">
        <v>0.375</v>
      </c>
      <c r="GV34" s="172">
        <v>0.75</v>
      </c>
      <c r="GW34" s="173">
        <v>0.5</v>
      </c>
      <c r="GX34" s="173">
        <v>0.54166666666666663</v>
      </c>
      <c r="GY34" s="146" t="str">
        <f t="shared" si="34"/>
        <v>8h</v>
      </c>
      <c r="GZ34" s="173">
        <v>0.375</v>
      </c>
      <c r="HA34" s="173">
        <v>0.75</v>
      </c>
      <c r="HB34" s="173">
        <v>0.5</v>
      </c>
      <c r="HC34" s="173">
        <v>0.54166666666666663</v>
      </c>
      <c r="HD34" s="147" t="str">
        <f t="shared" si="35"/>
        <v>8h</v>
      </c>
      <c r="HE34" s="327"/>
      <c r="HF34" s="327"/>
      <c r="HG34" s="327"/>
    </row>
    <row r="35" spans="1:215" x14ac:dyDescent="0.45">
      <c r="A35" s="157"/>
      <c r="B35" s="142">
        <f t="shared" si="36"/>
        <v>46048</v>
      </c>
      <c r="C35" s="143" t="str">
        <f t="shared" si="0"/>
        <v>月</v>
      </c>
      <c r="D35" s="143" t="s">
        <v>22</v>
      </c>
      <c r="E35" s="172">
        <v>0.375</v>
      </c>
      <c r="F35" s="172">
        <v>0.75</v>
      </c>
      <c r="G35" s="173">
        <v>0.5</v>
      </c>
      <c r="H35" s="173">
        <v>0.54166666666666663</v>
      </c>
      <c r="I35" s="146" t="str">
        <f t="shared" si="1"/>
        <v>8h</v>
      </c>
      <c r="J35" s="173">
        <v>0.375</v>
      </c>
      <c r="K35" s="173">
        <v>0.75</v>
      </c>
      <c r="L35" s="173">
        <v>0.5</v>
      </c>
      <c r="M35" s="173">
        <v>0.54166666666666663</v>
      </c>
      <c r="N35" s="147" t="str">
        <f t="shared" si="2"/>
        <v>8h</v>
      </c>
      <c r="O35" s="327"/>
      <c r="P35" s="327"/>
      <c r="Q35" s="327"/>
      <c r="S35" s="157"/>
      <c r="T35" s="142">
        <f t="shared" si="37"/>
        <v>46079</v>
      </c>
      <c r="U35" s="143" t="str">
        <f t="shared" si="3"/>
        <v>木</v>
      </c>
      <c r="V35" s="143" t="s">
        <v>22</v>
      </c>
      <c r="W35" s="172">
        <v>0.375</v>
      </c>
      <c r="X35" s="172">
        <v>0.75</v>
      </c>
      <c r="Y35" s="173">
        <v>0.5</v>
      </c>
      <c r="Z35" s="173">
        <v>0.54166666666666663</v>
      </c>
      <c r="AA35" s="146" t="str">
        <f t="shared" si="4"/>
        <v>8h</v>
      </c>
      <c r="AB35" s="173">
        <v>0.375</v>
      </c>
      <c r="AC35" s="173">
        <v>0.75</v>
      </c>
      <c r="AD35" s="173">
        <v>0.5</v>
      </c>
      <c r="AE35" s="173">
        <v>0.54166666666666663</v>
      </c>
      <c r="AF35" s="147" t="str">
        <f t="shared" si="5"/>
        <v>8h</v>
      </c>
      <c r="AG35" s="327"/>
      <c r="AH35" s="327"/>
      <c r="AI35" s="327"/>
      <c r="AK35" s="157"/>
      <c r="AL35" s="142">
        <f t="shared" si="38"/>
        <v>46107</v>
      </c>
      <c r="AM35" s="143" t="str">
        <f t="shared" si="6"/>
        <v>木</v>
      </c>
      <c r="AN35" s="143" t="s">
        <v>22</v>
      </c>
      <c r="AO35" s="172">
        <v>0.375</v>
      </c>
      <c r="AP35" s="172">
        <v>0.75</v>
      </c>
      <c r="AQ35" s="173">
        <v>0.5</v>
      </c>
      <c r="AR35" s="173">
        <v>0.54166666666666663</v>
      </c>
      <c r="AS35" s="146" t="str">
        <f t="shared" si="7"/>
        <v>8h</v>
      </c>
      <c r="AT35" s="173">
        <v>0.375</v>
      </c>
      <c r="AU35" s="173">
        <v>0.75</v>
      </c>
      <c r="AV35" s="173">
        <v>0.5</v>
      </c>
      <c r="AW35" s="173">
        <v>0.54166666666666663</v>
      </c>
      <c r="AX35" s="147" t="str">
        <f t="shared" si="8"/>
        <v>8h</v>
      </c>
      <c r="AY35" s="327"/>
      <c r="AZ35" s="327"/>
      <c r="BA35" s="327"/>
      <c r="BC35" s="157"/>
      <c r="BD35" s="142">
        <f t="shared" si="39"/>
        <v>46138</v>
      </c>
      <c r="BE35" s="143" t="str">
        <f t="shared" si="9"/>
        <v>日</v>
      </c>
      <c r="BF35" s="143"/>
      <c r="BG35" s="144"/>
      <c r="BH35" s="144"/>
      <c r="BI35" s="145"/>
      <c r="BJ35" s="145"/>
      <c r="BK35" s="146" t="str">
        <f t="shared" si="10"/>
        <v/>
      </c>
      <c r="BL35" s="145"/>
      <c r="BM35" s="145"/>
      <c r="BN35" s="145"/>
      <c r="BO35" s="145"/>
      <c r="BP35" s="147" t="str">
        <f t="shared" si="11"/>
        <v/>
      </c>
      <c r="BQ35" s="327"/>
      <c r="BR35" s="327"/>
      <c r="BS35" s="327"/>
      <c r="BU35" s="157"/>
      <c r="BV35" s="142">
        <f t="shared" si="40"/>
        <v>46168</v>
      </c>
      <c r="BW35" s="143" t="str">
        <f t="shared" si="12"/>
        <v>火</v>
      </c>
      <c r="BX35" s="143" t="s">
        <v>22</v>
      </c>
      <c r="BY35" s="172">
        <v>0.375</v>
      </c>
      <c r="BZ35" s="172">
        <v>0.75</v>
      </c>
      <c r="CA35" s="173">
        <v>0.5</v>
      </c>
      <c r="CB35" s="173">
        <v>0.54166666666666663</v>
      </c>
      <c r="CC35" s="146" t="str">
        <f t="shared" si="13"/>
        <v>8h</v>
      </c>
      <c r="CD35" s="173">
        <v>0.375</v>
      </c>
      <c r="CE35" s="173">
        <v>0.75</v>
      </c>
      <c r="CF35" s="173">
        <v>0.5</v>
      </c>
      <c r="CG35" s="173">
        <v>0.54166666666666663</v>
      </c>
      <c r="CH35" s="147" t="str">
        <f t="shared" si="14"/>
        <v>8h</v>
      </c>
      <c r="CI35" s="327"/>
      <c r="CJ35" s="327"/>
      <c r="CK35" s="327"/>
      <c r="CM35" s="157"/>
      <c r="CN35" s="142">
        <f t="shared" si="41"/>
        <v>46199</v>
      </c>
      <c r="CO35" s="143" t="str">
        <f t="shared" si="15"/>
        <v>金</v>
      </c>
      <c r="CP35" s="143" t="s">
        <v>22</v>
      </c>
      <c r="CQ35" s="172">
        <v>0.375</v>
      </c>
      <c r="CR35" s="172">
        <v>0.75</v>
      </c>
      <c r="CS35" s="173">
        <v>0.5</v>
      </c>
      <c r="CT35" s="173">
        <v>0.54166666666666663</v>
      </c>
      <c r="CU35" s="146" t="str">
        <f t="shared" si="16"/>
        <v>8h</v>
      </c>
      <c r="CV35" s="173">
        <v>0.375</v>
      </c>
      <c r="CW35" s="173">
        <v>0.75</v>
      </c>
      <c r="CX35" s="173">
        <v>0.5</v>
      </c>
      <c r="CY35" s="173">
        <v>0.54166666666666663</v>
      </c>
      <c r="CZ35" s="147" t="str">
        <f t="shared" si="17"/>
        <v>8h</v>
      </c>
      <c r="DA35" s="327"/>
      <c r="DB35" s="327"/>
      <c r="DC35" s="327"/>
      <c r="DE35" s="157"/>
      <c r="DF35" s="142">
        <f t="shared" si="42"/>
        <v>46229</v>
      </c>
      <c r="DG35" s="143" t="str">
        <f t="shared" si="18"/>
        <v>日</v>
      </c>
      <c r="DH35" s="143"/>
      <c r="DI35" s="144"/>
      <c r="DJ35" s="144"/>
      <c r="DK35" s="145"/>
      <c r="DL35" s="145"/>
      <c r="DM35" s="146" t="str">
        <f t="shared" si="19"/>
        <v/>
      </c>
      <c r="DN35" s="145"/>
      <c r="DO35" s="145"/>
      <c r="DP35" s="145"/>
      <c r="DQ35" s="145"/>
      <c r="DR35" s="147" t="str">
        <f t="shared" si="20"/>
        <v/>
      </c>
      <c r="DS35" s="327"/>
      <c r="DT35" s="327"/>
      <c r="DU35" s="327"/>
      <c r="DW35" s="157"/>
      <c r="DX35" s="142">
        <f t="shared" si="43"/>
        <v>46260</v>
      </c>
      <c r="DY35" s="143" t="str">
        <f t="shared" si="21"/>
        <v>水</v>
      </c>
      <c r="DZ35" s="143" t="s">
        <v>22</v>
      </c>
      <c r="EA35" s="172">
        <v>0.375</v>
      </c>
      <c r="EB35" s="172">
        <v>0.75</v>
      </c>
      <c r="EC35" s="173">
        <v>0.5</v>
      </c>
      <c r="ED35" s="173">
        <v>0.54166666666666663</v>
      </c>
      <c r="EE35" s="146" t="str">
        <f t="shared" si="22"/>
        <v>8h</v>
      </c>
      <c r="EF35" s="173">
        <v>0.375</v>
      </c>
      <c r="EG35" s="173">
        <v>0.75</v>
      </c>
      <c r="EH35" s="173">
        <v>0.5</v>
      </c>
      <c r="EI35" s="173">
        <v>0.54166666666666663</v>
      </c>
      <c r="EJ35" s="147" t="str">
        <f t="shared" si="23"/>
        <v>8h</v>
      </c>
      <c r="EK35" s="327"/>
      <c r="EL35" s="327"/>
      <c r="EM35" s="327"/>
      <c r="EO35" s="157"/>
      <c r="EP35" s="142">
        <f t="shared" si="44"/>
        <v>46291</v>
      </c>
      <c r="EQ35" s="143" t="str">
        <f t="shared" si="24"/>
        <v>土</v>
      </c>
      <c r="ER35" s="143"/>
      <c r="ES35" s="144"/>
      <c r="ET35" s="144"/>
      <c r="EU35" s="145"/>
      <c r="EV35" s="145"/>
      <c r="EW35" s="146" t="str">
        <f t="shared" si="25"/>
        <v/>
      </c>
      <c r="EX35" s="145"/>
      <c r="EY35" s="145"/>
      <c r="EZ35" s="145"/>
      <c r="FA35" s="145"/>
      <c r="FB35" s="147" t="str">
        <f t="shared" si="26"/>
        <v/>
      </c>
      <c r="FC35" s="327"/>
      <c r="FD35" s="327"/>
      <c r="FE35" s="327"/>
      <c r="FG35" s="157"/>
      <c r="FH35" s="142">
        <f t="shared" si="45"/>
        <v>46321</v>
      </c>
      <c r="FI35" s="143" t="str">
        <f t="shared" si="27"/>
        <v>月</v>
      </c>
      <c r="FJ35" s="143" t="s">
        <v>22</v>
      </c>
      <c r="FK35" s="172">
        <v>0.375</v>
      </c>
      <c r="FL35" s="172">
        <v>0.75</v>
      </c>
      <c r="FM35" s="173">
        <v>0.5</v>
      </c>
      <c r="FN35" s="173">
        <v>0.54166666666666663</v>
      </c>
      <c r="FO35" s="146" t="str">
        <f t="shared" si="28"/>
        <v>8h</v>
      </c>
      <c r="FP35" s="173">
        <v>0.375</v>
      </c>
      <c r="FQ35" s="173">
        <v>0.75</v>
      </c>
      <c r="FR35" s="173">
        <v>0.5</v>
      </c>
      <c r="FS35" s="173">
        <v>0.54166666666666663</v>
      </c>
      <c r="FT35" s="147" t="str">
        <f t="shared" si="29"/>
        <v>8h</v>
      </c>
      <c r="FU35" s="327"/>
      <c r="FV35" s="327"/>
      <c r="FW35" s="327"/>
      <c r="FY35" s="157"/>
      <c r="FZ35" s="142">
        <f t="shared" si="46"/>
        <v>46352</v>
      </c>
      <c r="GA35" s="143" t="str">
        <f t="shared" si="30"/>
        <v>木</v>
      </c>
      <c r="GB35" s="143" t="s">
        <v>22</v>
      </c>
      <c r="GC35" s="172">
        <v>0.375</v>
      </c>
      <c r="GD35" s="172">
        <v>0.75</v>
      </c>
      <c r="GE35" s="173">
        <v>0.5</v>
      </c>
      <c r="GF35" s="173">
        <v>0.54166666666666663</v>
      </c>
      <c r="GG35" s="146" t="str">
        <f t="shared" si="31"/>
        <v>8h</v>
      </c>
      <c r="GH35" s="173">
        <v>0.375</v>
      </c>
      <c r="GI35" s="173">
        <v>0.75</v>
      </c>
      <c r="GJ35" s="173">
        <v>0.5</v>
      </c>
      <c r="GK35" s="173">
        <v>0.54166666666666663</v>
      </c>
      <c r="GL35" s="147" t="str">
        <f t="shared" si="32"/>
        <v>8h</v>
      </c>
      <c r="GM35" s="327"/>
      <c r="GN35" s="327"/>
      <c r="GO35" s="327"/>
      <c r="GQ35" s="157"/>
      <c r="GR35" s="142">
        <f t="shared" si="47"/>
        <v>46382</v>
      </c>
      <c r="GS35" s="143" t="str">
        <f t="shared" si="33"/>
        <v>土</v>
      </c>
      <c r="GT35" s="143"/>
      <c r="GU35" s="144"/>
      <c r="GV35" s="144"/>
      <c r="GW35" s="145"/>
      <c r="GX35" s="145"/>
      <c r="GY35" s="146" t="str">
        <f t="shared" si="34"/>
        <v/>
      </c>
      <c r="GZ35" s="145"/>
      <c r="HA35" s="145"/>
      <c r="HB35" s="145"/>
      <c r="HC35" s="145"/>
      <c r="HD35" s="147" t="str">
        <f t="shared" si="35"/>
        <v/>
      </c>
      <c r="HE35" s="327"/>
      <c r="HF35" s="327"/>
      <c r="HG35" s="327"/>
    </row>
    <row r="36" spans="1:215" x14ac:dyDescent="0.45">
      <c r="A36" s="157"/>
      <c r="B36" s="142">
        <f t="shared" si="36"/>
        <v>46049</v>
      </c>
      <c r="C36" s="143" t="str">
        <f t="shared" si="0"/>
        <v>火</v>
      </c>
      <c r="D36" s="143" t="s">
        <v>22</v>
      </c>
      <c r="E36" s="172">
        <v>0.375</v>
      </c>
      <c r="F36" s="172">
        <v>0.75</v>
      </c>
      <c r="G36" s="173">
        <v>0.5</v>
      </c>
      <c r="H36" s="173">
        <v>0.54166666666666663</v>
      </c>
      <c r="I36" s="146" t="str">
        <f t="shared" si="1"/>
        <v>8h</v>
      </c>
      <c r="J36" s="173">
        <v>0.375</v>
      </c>
      <c r="K36" s="173">
        <v>0.75</v>
      </c>
      <c r="L36" s="173">
        <v>0.5</v>
      </c>
      <c r="M36" s="173">
        <v>0.54166666666666663</v>
      </c>
      <c r="N36" s="147" t="str">
        <f t="shared" si="2"/>
        <v>8h</v>
      </c>
      <c r="O36" s="327"/>
      <c r="P36" s="327"/>
      <c r="Q36" s="327"/>
      <c r="S36" s="157"/>
      <c r="T36" s="142">
        <f t="shared" si="37"/>
        <v>46080</v>
      </c>
      <c r="U36" s="143" t="str">
        <f t="shared" si="3"/>
        <v>金</v>
      </c>
      <c r="V36" s="143" t="s">
        <v>22</v>
      </c>
      <c r="W36" s="172">
        <v>0.375</v>
      </c>
      <c r="X36" s="172">
        <v>0.75</v>
      </c>
      <c r="Y36" s="173">
        <v>0.5</v>
      </c>
      <c r="Z36" s="173">
        <v>0.54166666666666663</v>
      </c>
      <c r="AA36" s="146" t="str">
        <f t="shared" si="4"/>
        <v>8h</v>
      </c>
      <c r="AB36" s="173">
        <v>0.375</v>
      </c>
      <c r="AC36" s="173">
        <v>0.75</v>
      </c>
      <c r="AD36" s="173">
        <v>0.5</v>
      </c>
      <c r="AE36" s="173">
        <v>0.54166666666666663</v>
      </c>
      <c r="AF36" s="147" t="str">
        <f t="shared" si="5"/>
        <v>8h</v>
      </c>
      <c r="AG36" s="327"/>
      <c r="AH36" s="327"/>
      <c r="AI36" s="327"/>
      <c r="AK36" s="157"/>
      <c r="AL36" s="142">
        <f t="shared" si="38"/>
        <v>46108</v>
      </c>
      <c r="AM36" s="143" t="str">
        <f t="shared" si="6"/>
        <v>金</v>
      </c>
      <c r="AN36" s="143" t="s">
        <v>22</v>
      </c>
      <c r="AO36" s="172">
        <v>0.375</v>
      </c>
      <c r="AP36" s="172">
        <v>0.75</v>
      </c>
      <c r="AQ36" s="173">
        <v>0.5</v>
      </c>
      <c r="AR36" s="173">
        <v>0.54166666666666663</v>
      </c>
      <c r="AS36" s="146" t="str">
        <f t="shared" si="7"/>
        <v>8h</v>
      </c>
      <c r="AT36" s="173">
        <v>0.375</v>
      </c>
      <c r="AU36" s="173">
        <v>0.75</v>
      </c>
      <c r="AV36" s="173">
        <v>0.5</v>
      </c>
      <c r="AW36" s="173">
        <v>0.54166666666666663</v>
      </c>
      <c r="AX36" s="147" t="str">
        <f t="shared" si="8"/>
        <v>8h</v>
      </c>
      <c r="AY36" s="327"/>
      <c r="AZ36" s="327"/>
      <c r="BA36" s="327"/>
      <c r="BC36" s="157"/>
      <c r="BD36" s="142">
        <f t="shared" si="39"/>
        <v>46139</v>
      </c>
      <c r="BE36" s="143" t="str">
        <f t="shared" si="9"/>
        <v>月</v>
      </c>
      <c r="BF36" s="143" t="s">
        <v>22</v>
      </c>
      <c r="BG36" s="172">
        <v>0.375</v>
      </c>
      <c r="BH36" s="172">
        <v>0.75</v>
      </c>
      <c r="BI36" s="173">
        <v>0.5</v>
      </c>
      <c r="BJ36" s="173">
        <v>0.54166666666666663</v>
      </c>
      <c r="BK36" s="146" t="str">
        <f t="shared" si="10"/>
        <v>8h</v>
      </c>
      <c r="BL36" s="173">
        <v>0.375</v>
      </c>
      <c r="BM36" s="173">
        <v>0.75</v>
      </c>
      <c r="BN36" s="173">
        <v>0.5</v>
      </c>
      <c r="BO36" s="173">
        <v>0.54166666666666663</v>
      </c>
      <c r="BP36" s="147" t="str">
        <f t="shared" si="11"/>
        <v>8h</v>
      </c>
      <c r="BQ36" s="327"/>
      <c r="BR36" s="327"/>
      <c r="BS36" s="327"/>
      <c r="BU36" s="157"/>
      <c r="BV36" s="142">
        <f t="shared" si="40"/>
        <v>46169</v>
      </c>
      <c r="BW36" s="143" t="str">
        <f t="shared" si="12"/>
        <v>水</v>
      </c>
      <c r="BX36" s="143" t="s">
        <v>22</v>
      </c>
      <c r="BY36" s="172">
        <v>0.375</v>
      </c>
      <c r="BZ36" s="172">
        <v>0.75</v>
      </c>
      <c r="CA36" s="173">
        <v>0.5</v>
      </c>
      <c r="CB36" s="173">
        <v>0.54166666666666663</v>
      </c>
      <c r="CC36" s="146" t="str">
        <f t="shared" si="13"/>
        <v>8h</v>
      </c>
      <c r="CD36" s="173">
        <v>0.375</v>
      </c>
      <c r="CE36" s="173">
        <v>0.75</v>
      </c>
      <c r="CF36" s="173">
        <v>0.5</v>
      </c>
      <c r="CG36" s="173">
        <v>0.54166666666666663</v>
      </c>
      <c r="CH36" s="147" t="str">
        <f t="shared" si="14"/>
        <v>8h</v>
      </c>
      <c r="CI36" s="327"/>
      <c r="CJ36" s="327"/>
      <c r="CK36" s="327"/>
      <c r="CM36" s="157"/>
      <c r="CN36" s="142">
        <f t="shared" si="41"/>
        <v>46200</v>
      </c>
      <c r="CO36" s="143" t="str">
        <f t="shared" si="15"/>
        <v>土</v>
      </c>
      <c r="CP36" s="143"/>
      <c r="CQ36" s="144"/>
      <c r="CR36" s="144"/>
      <c r="CS36" s="145"/>
      <c r="CT36" s="145"/>
      <c r="CU36" s="146" t="str">
        <f t="shared" si="16"/>
        <v/>
      </c>
      <c r="CV36" s="145"/>
      <c r="CW36" s="145"/>
      <c r="CX36" s="145"/>
      <c r="CY36" s="145"/>
      <c r="CZ36" s="147" t="str">
        <f t="shared" si="17"/>
        <v/>
      </c>
      <c r="DA36" s="327"/>
      <c r="DB36" s="327"/>
      <c r="DC36" s="327"/>
      <c r="DE36" s="157"/>
      <c r="DF36" s="142">
        <f t="shared" si="42"/>
        <v>46230</v>
      </c>
      <c r="DG36" s="143" t="str">
        <f t="shared" si="18"/>
        <v>月</v>
      </c>
      <c r="DH36" s="143" t="s">
        <v>22</v>
      </c>
      <c r="DI36" s="172">
        <v>0.375</v>
      </c>
      <c r="DJ36" s="172">
        <v>0.75</v>
      </c>
      <c r="DK36" s="173">
        <v>0.5</v>
      </c>
      <c r="DL36" s="173">
        <v>0.54166666666666663</v>
      </c>
      <c r="DM36" s="146" t="str">
        <f t="shared" si="19"/>
        <v>8h</v>
      </c>
      <c r="DN36" s="173">
        <v>0.375</v>
      </c>
      <c r="DO36" s="173">
        <v>0.75</v>
      </c>
      <c r="DP36" s="173">
        <v>0.5</v>
      </c>
      <c r="DQ36" s="173">
        <v>0.54166666666666663</v>
      </c>
      <c r="DR36" s="147" t="str">
        <f t="shared" si="20"/>
        <v>8h</v>
      </c>
      <c r="DS36" s="327"/>
      <c r="DT36" s="327"/>
      <c r="DU36" s="327"/>
      <c r="DW36" s="157"/>
      <c r="DX36" s="142">
        <f t="shared" si="43"/>
        <v>46261</v>
      </c>
      <c r="DY36" s="143" t="str">
        <f t="shared" si="21"/>
        <v>木</v>
      </c>
      <c r="DZ36" s="143" t="s">
        <v>22</v>
      </c>
      <c r="EA36" s="172">
        <v>0.375</v>
      </c>
      <c r="EB36" s="172">
        <v>0.75</v>
      </c>
      <c r="EC36" s="173">
        <v>0.5</v>
      </c>
      <c r="ED36" s="173">
        <v>0.54166666666666663</v>
      </c>
      <c r="EE36" s="146" t="str">
        <f t="shared" si="22"/>
        <v>8h</v>
      </c>
      <c r="EF36" s="173">
        <v>0.375</v>
      </c>
      <c r="EG36" s="173">
        <v>0.75</v>
      </c>
      <c r="EH36" s="173">
        <v>0.5</v>
      </c>
      <c r="EI36" s="173">
        <v>0.54166666666666663</v>
      </c>
      <c r="EJ36" s="147" t="str">
        <f t="shared" si="23"/>
        <v>8h</v>
      </c>
      <c r="EK36" s="327"/>
      <c r="EL36" s="327"/>
      <c r="EM36" s="327"/>
      <c r="EO36" s="157"/>
      <c r="EP36" s="142">
        <f t="shared" si="44"/>
        <v>46292</v>
      </c>
      <c r="EQ36" s="143" t="str">
        <f t="shared" si="24"/>
        <v>日</v>
      </c>
      <c r="ER36" s="143"/>
      <c r="ES36" s="144"/>
      <c r="ET36" s="144"/>
      <c r="EU36" s="145"/>
      <c r="EV36" s="145"/>
      <c r="EW36" s="146" t="str">
        <f t="shared" si="25"/>
        <v/>
      </c>
      <c r="EX36" s="145"/>
      <c r="EY36" s="145"/>
      <c r="EZ36" s="145"/>
      <c r="FA36" s="145"/>
      <c r="FB36" s="147" t="str">
        <f t="shared" si="26"/>
        <v/>
      </c>
      <c r="FC36" s="327"/>
      <c r="FD36" s="327"/>
      <c r="FE36" s="327"/>
      <c r="FG36" s="157"/>
      <c r="FH36" s="142">
        <f t="shared" si="45"/>
        <v>46322</v>
      </c>
      <c r="FI36" s="143" t="str">
        <f t="shared" si="27"/>
        <v>火</v>
      </c>
      <c r="FJ36" s="143" t="s">
        <v>22</v>
      </c>
      <c r="FK36" s="172">
        <v>0.375</v>
      </c>
      <c r="FL36" s="172">
        <v>0.75</v>
      </c>
      <c r="FM36" s="173">
        <v>0.5</v>
      </c>
      <c r="FN36" s="173">
        <v>0.54166666666666663</v>
      </c>
      <c r="FO36" s="146" t="str">
        <f t="shared" si="28"/>
        <v>8h</v>
      </c>
      <c r="FP36" s="173">
        <v>0.375</v>
      </c>
      <c r="FQ36" s="173">
        <v>0.75</v>
      </c>
      <c r="FR36" s="173">
        <v>0.5</v>
      </c>
      <c r="FS36" s="173">
        <v>0.54166666666666663</v>
      </c>
      <c r="FT36" s="147" t="str">
        <f t="shared" si="29"/>
        <v>8h</v>
      </c>
      <c r="FU36" s="327"/>
      <c r="FV36" s="327"/>
      <c r="FW36" s="327"/>
      <c r="FY36" s="157"/>
      <c r="FZ36" s="142">
        <f t="shared" si="46"/>
        <v>46353</v>
      </c>
      <c r="GA36" s="143" t="str">
        <f t="shared" si="30"/>
        <v>金</v>
      </c>
      <c r="GB36" s="143" t="s">
        <v>22</v>
      </c>
      <c r="GC36" s="172">
        <v>0.375</v>
      </c>
      <c r="GD36" s="172">
        <v>0.75</v>
      </c>
      <c r="GE36" s="173">
        <v>0.5</v>
      </c>
      <c r="GF36" s="173">
        <v>0.54166666666666663</v>
      </c>
      <c r="GG36" s="146" t="str">
        <f t="shared" si="31"/>
        <v>8h</v>
      </c>
      <c r="GH36" s="173">
        <v>0.375</v>
      </c>
      <c r="GI36" s="173">
        <v>0.75</v>
      </c>
      <c r="GJ36" s="173">
        <v>0.5</v>
      </c>
      <c r="GK36" s="173">
        <v>0.54166666666666663</v>
      </c>
      <c r="GL36" s="147" t="str">
        <f t="shared" si="32"/>
        <v>8h</v>
      </c>
      <c r="GM36" s="327"/>
      <c r="GN36" s="327"/>
      <c r="GO36" s="327"/>
      <c r="GQ36" s="157"/>
      <c r="GR36" s="142">
        <f t="shared" si="47"/>
        <v>46383</v>
      </c>
      <c r="GS36" s="143" t="str">
        <f t="shared" si="33"/>
        <v>日</v>
      </c>
      <c r="GT36" s="143"/>
      <c r="GU36" s="144"/>
      <c r="GV36" s="144"/>
      <c r="GW36" s="145"/>
      <c r="GX36" s="145"/>
      <c r="GY36" s="146" t="str">
        <f t="shared" si="34"/>
        <v/>
      </c>
      <c r="GZ36" s="145"/>
      <c r="HA36" s="145"/>
      <c r="HB36" s="145"/>
      <c r="HC36" s="145"/>
      <c r="HD36" s="147" t="str">
        <f t="shared" si="35"/>
        <v/>
      </c>
      <c r="HE36" s="327"/>
      <c r="HF36" s="327"/>
      <c r="HG36" s="327"/>
    </row>
    <row r="37" spans="1:215" x14ac:dyDescent="0.45">
      <c r="A37" s="157"/>
      <c r="B37" s="142">
        <f t="shared" si="36"/>
        <v>46050</v>
      </c>
      <c r="C37" s="143" t="str">
        <f t="shared" si="0"/>
        <v>水</v>
      </c>
      <c r="D37" s="143" t="s">
        <v>22</v>
      </c>
      <c r="E37" s="172">
        <v>0.375</v>
      </c>
      <c r="F37" s="172">
        <v>0.75</v>
      </c>
      <c r="G37" s="173">
        <v>0.5</v>
      </c>
      <c r="H37" s="173">
        <v>0.54166666666666663</v>
      </c>
      <c r="I37" s="146" t="str">
        <f t="shared" si="1"/>
        <v>8h</v>
      </c>
      <c r="J37" s="173">
        <v>0.375</v>
      </c>
      <c r="K37" s="173">
        <v>0.75</v>
      </c>
      <c r="L37" s="173">
        <v>0.5</v>
      </c>
      <c r="M37" s="173">
        <v>0.54166666666666663</v>
      </c>
      <c r="N37" s="147" t="str">
        <f t="shared" si="2"/>
        <v>8h</v>
      </c>
      <c r="O37" s="327"/>
      <c r="P37" s="327"/>
      <c r="Q37" s="327"/>
      <c r="S37" s="157"/>
      <c r="T37" s="142">
        <f t="shared" si="37"/>
        <v>46081</v>
      </c>
      <c r="U37" s="143" t="str">
        <f t="shared" si="3"/>
        <v>土</v>
      </c>
      <c r="V37" s="143"/>
      <c r="W37" s="144"/>
      <c r="X37" s="144"/>
      <c r="Y37" s="145"/>
      <c r="Z37" s="145"/>
      <c r="AA37" s="146" t="str">
        <f t="shared" si="4"/>
        <v/>
      </c>
      <c r="AB37" s="145"/>
      <c r="AC37" s="145"/>
      <c r="AD37" s="145"/>
      <c r="AE37" s="145"/>
      <c r="AF37" s="147" t="str">
        <f t="shared" si="5"/>
        <v/>
      </c>
      <c r="AG37" s="327"/>
      <c r="AH37" s="327"/>
      <c r="AI37" s="327"/>
      <c r="AK37" s="157"/>
      <c r="AL37" s="142">
        <f t="shared" si="38"/>
        <v>46109</v>
      </c>
      <c r="AM37" s="143" t="str">
        <f t="shared" si="6"/>
        <v>土</v>
      </c>
      <c r="AN37" s="143"/>
      <c r="AO37" s="144"/>
      <c r="AP37" s="144"/>
      <c r="AQ37" s="145"/>
      <c r="AR37" s="145"/>
      <c r="AS37" s="146" t="str">
        <f t="shared" si="7"/>
        <v/>
      </c>
      <c r="AT37" s="145"/>
      <c r="AU37" s="145"/>
      <c r="AV37" s="145"/>
      <c r="AW37" s="145"/>
      <c r="AX37" s="147" t="str">
        <f t="shared" si="8"/>
        <v/>
      </c>
      <c r="AY37" s="327"/>
      <c r="AZ37" s="327"/>
      <c r="BA37" s="327"/>
      <c r="BC37" s="157"/>
      <c r="BD37" s="142">
        <f t="shared" si="39"/>
        <v>46140</v>
      </c>
      <c r="BE37" s="143" t="str">
        <f t="shared" si="9"/>
        <v>火</v>
      </c>
      <c r="BF37" s="143" t="s">
        <v>22</v>
      </c>
      <c r="BG37" s="172">
        <v>0.375</v>
      </c>
      <c r="BH37" s="172">
        <v>0.75</v>
      </c>
      <c r="BI37" s="173">
        <v>0.5</v>
      </c>
      <c r="BJ37" s="173">
        <v>0.54166666666666663</v>
      </c>
      <c r="BK37" s="146" t="str">
        <f t="shared" si="10"/>
        <v>8h</v>
      </c>
      <c r="BL37" s="173">
        <v>0.375</v>
      </c>
      <c r="BM37" s="173">
        <v>0.75</v>
      </c>
      <c r="BN37" s="173">
        <v>0.5</v>
      </c>
      <c r="BO37" s="173">
        <v>0.54166666666666663</v>
      </c>
      <c r="BP37" s="147" t="str">
        <f t="shared" si="11"/>
        <v>8h</v>
      </c>
      <c r="BQ37" s="327"/>
      <c r="BR37" s="327"/>
      <c r="BS37" s="327"/>
      <c r="BU37" s="157"/>
      <c r="BV37" s="142">
        <f t="shared" si="40"/>
        <v>46170</v>
      </c>
      <c r="BW37" s="143" t="str">
        <f t="shared" si="12"/>
        <v>木</v>
      </c>
      <c r="BX37" s="143" t="s">
        <v>22</v>
      </c>
      <c r="BY37" s="172">
        <v>0.375</v>
      </c>
      <c r="BZ37" s="172">
        <v>0.75</v>
      </c>
      <c r="CA37" s="173">
        <v>0.5</v>
      </c>
      <c r="CB37" s="173">
        <v>0.54166666666666663</v>
      </c>
      <c r="CC37" s="146" t="str">
        <f t="shared" si="13"/>
        <v>8h</v>
      </c>
      <c r="CD37" s="173">
        <v>0.375</v>
      </c>
      <c r="CE37" s="173">
        <v>0.75</v>
      </c>
      <c r="CF37" s="173">
        <v>0.5</v>
      </c>
      <c r="CG37" s="173">
        <v>0.54166666666666663</v>
      </c>
      <c r="CH37" s="147" t="str">
        <f t="shared" si="14"/>
        <v>8h</v>
      </c>
      <c r="CI37" s="327"/>
      <c r="CJ37" s="327"/>
      <c r="CK37" s="327"/>
      <c r="CM37" s="157"/>
      <c r="CN37" s="142">
        <f t="shared" si="41"/>
        <v>46201</v>
      </c>
      <c r="CO37" s="143" t="str">
        <f t="shared" si="15"/>
        <v>日</v>
      </c>
      <c r="CP37" s="143"/>
      <c r="CQ37" s="144"/>
      <c r="CR37" s="144"/>
      <c r="CS37" s="145"/>
      <c r="CT37" s="145"/>
      <c r="CU37" s="146" t="str">
        <f t="shared" si="16"/>
        <v/>
      </c>
      <c r="CV37" s="145"/>
      <c r="CW37" s="145"/>
      <c r="CX37" s="145"/>
      <c r="CY37" s="145"/>
      <c r="CZ37" s="147" t="str">
        <f t="shared" si="17"/>
        <v/>
      </c>
      <c r="DA37" s="327"/>
      <c r="DB37" s="327"/>
      <c r="DC37" s="327"/>
      <c r="DE37" s="157"/>
      <c r="DF37" s="142">
        <f t="shared" si="42"/>
        <v>46231</v>
      </c>
      <c r="DG37" s="143" t="str">
        <f t="shared" si="18"/>
        <v>火</v>
      </c>
      <c r="DH37" s="143" t="s">
        <v>22</v>
      </c>
      <c r="DI37" s="172">
        <v>0.375</v>
      </c>
      <c r="DJ37" s="172">
        <v>0.75</v>
      </c>
      <c r="DK37" s="173">
        <v>0.5</v>
      </c>
      <c r="DL37" s="173">
        <v>0.54166666666666663</v>
      </c>
      <c r="DM37" s="146" t="str">
        <f t="shared" si="19"/>
        <v>8h</v>
      </c>
      <c r="DN37" s="173">
        <v>0.375</v>
      </c>
      <c r="DO37" s="173">
        <v>0.75</v>
      </c>
      <c r="DP37" s="173">
        <v>0.5</v>
      </c>
      <c r="DQ37" s="173">
        <v>0.54166666666666663</v>
      </c>
      <c r="DR37" s="147" t="str">
        <f t="shared" si="20"/>
        <v>8h</v>
      </c>
      <c r="DS37" s="327"/>
      <c r="DT37" s="327"/>
      <c r="DU37" s="327"/>
      <c r="DW37" s="157"/>
      <c r="DX37" s="142">
        <f t="shared" si="43"/>
        <v>46262</v>
      </c>
      <c r="DY37" s="143" t="str">
        <f t="shared" si="21"/>
        <v>金</v>
      </c>
      <c r="DZ37" s="143" t="s">
        <v>22</v>
      </c>
      <c r="EA37" s="172">
        <v>0.375</v>
      </c>
      <c r="EB37" s="172">
        <v>0.75</v>
      </c>
      <c r="EC37" s="173">
        <v>0.5</v>
      </c>
      <c r="ED37" s="173">
        <v>0.54166666666666663</v>
      </c>
      <c r="EE37" s="146" t="str">
        <f t="shared" si="22"/>
        <v>8h</v>
      </c>
      <c r="EF37" s="173">
        <v>0.375</v>
      </c>
      <c r="EG37" s="173">
        <v>0.75</v>
      </c>
      <c r="EH37" s="173">
        <v>0.5</v>
      </c>
      <c r="EI37" s="173">
        <v>0.54166666666666663</v>
      </c>
      <c r="EJ37" s="147" t="str">
        <f t="shared" si="23"/>
        <v>8h</v>
      </c>
      <c r="EK37" s="327"/>
      <c r="EL37" s="327"/>
      <c r="EM37" s="327"/>
      <c r="EO37" s="157"/>
      <c r="EP37" s="142">
        <f t="shared" si="44"/>
        <v>46293</v>
      </c>
      <c r="EQ37" s="143" t="str">
        <f t="shared" si="24"/>
        <v>月</v>
      </c>
      <c r="ER37" s="143" t="s">
        <v>22</v>
      </c>
      <c r="ES37" s="172">
        <v>0.375</v>
      </c>
      <c r="ET37" s="172">
        <v>0.75</v>
      </c>
      <c r="EU37" s="173">
        <v>0.5</v>
      </c>
      <c r="EV37" s="173">
        <v>0.54166666666666663</v>
      </c>
      <c r="EW37" s="146" t="str">
        <f t="shared" si="25"/>
        <v>8h</v>
      </c>
      <c r="EX37" s="173">
        <v>0.375</v>
      </c>
      <c r="EY37" s="173">
        <v>0.75</v>
      </c>
      <c r="EZ37" s="173">
        <v>0.5</v>
      </c>
      <c r="FA37" s="173">
        <v>0.54166666666666663</v>
      </c>
      <c r="FB37" s="147" t="str">
        <f t="shared" si="26"/>
        <v>8h</v>
      </c>
      <c r="FC37" s="327"/>
      <c r="FD37" s="327"/>
      <c r="FE37" s="327"/>
      <c r="FG37" s="157"/>
      <c r="FH37" s="142">
        <f t="shared" si="45"/>
        <v>46323</v>
      </c>
      <c r="FI37" s="143" t="str">
        <f t="shared" si="27"/>
        <v>水</v>
      </c>
      <c r="FJ37" s="143" t="s">
        <v>22</v>
      </c>
      <c r="FK37" s="172">
        <v>0.375</v>
      </c>
      <c r="FL37" s="172">
        <v>0.75</v>
      </c>
      <c r="FM37" s="173">
        <v>0.5</v>
      </c>
      <c r="FN37" s="173">
        <v>0.54166666666666663</v>
      </c>
      <c r="FO37" s="146" t="str">
        <f t="shared" si="28"/>
        <v>8h</v>
      </c>
      <c r="FP37" s="173">
        <v>0.375</v>
      </c>
      <c r="FQ37" s="173">
        <v>0.75</v>
      </c>
      <c r="FR37" s="173">
        <v>0.5</v>
      </c>
      <c r="FS37" s="173">
        <v>0.54166666666666663</v>
      </c>
      <c r="FT37" s="147" t="str">
        <f t="shared" si="29"/>
        <v>8h</v>
      </c>
      <c r="FU37" s="327"/>
      <c r="FV37" s="327"/>
      <c r="FW37" s="327"/>
      <c r="FY37" s="157"/>
      <c r="FZ37" s="142">
        <f t="shared" si="46"/>
        <v>46354</v>
      </c>
      <c r="GA37" s="143" t="str">
        <f t="shared" si="30"/>
        <v>土</v>
      </c>
      <c r="GB37" s="143"/>
      <c r="GC37" s="144"/>
      <c r="GD37" s="144"/>
      <c r="GE37" s="145"/>
      <c r="GF37" s="145"/>
      <c r="GG37" s="146" t="str">
        <f t="shared" si="31"/>
        <v/>
      </c>
      <c r="GH37" s="145"/>
      <c r="GI37" s="145"/>
      <c r="GJ37" s="145"/>
      <c r="GK37" s="145"/>
      <c r="GL37" s="147" t="str">
        <f t="shared" si="32"/>
        <v/>
      </c>
      <c r="GM37" s="327"/>
      <c r="GN37" s="327"/>
      <c r="GO37" s="327"/>
      <c r="GQ37" s="157"/>
      <c r="GR37" s="142">
        <f t="shared" si="47"/>
        <v>46384</v>
      </c>
      <c r="GS37" s="143" t="str">
        <f t="shared" si="33"/>
        <v>月</v>
      </c>
      <c r="GT37" s="143" t="s">
        <v>22</v>
      </c>
      <c r="GU37" s="172">
        <v>0.375</v>
      </c>
      <c r="GV37" s="172">
        <v>0.75</v>
      </c>
      <c r="GW37" s="173">
        <v>0.5</v>
      </c>
      <c r="GX37" s="173">
        <v>0.54166666666666663</v>
      </c>
      <c r="GY37" s="146" t="str">
        <f t="shared" si="34"/>
        <v>8h</v>
      </c>
      <c r="GZ37" s="173">
        <v>0.375</v>
      </c>
      <c r="HA37" s="173">
        <v>0.75</v>
      </c>
      <c r="HB37" s="173">
        <v>0.5</v>
      </c>
      <c r="HC37" s="173">
        <v>0.54166666666666663</v>
      </c>
      <c r="HD37" s="147" t="str">
        <f t="shared" si="35"/>
        <v>8h</v>
      </c>
      <c r="HE37" s="327"/>
      <c r="HF37" s="327"/>
      <c r="HG37" s="327"/>
    </row>
    <row r="38" spans="1:215" x14ac:dyDescent="0.45">
      <c r="A38" s="157"/>
      <c r="B38" s="142">
        <f t="shared" si="36"/>
        <v>46051</v>
      </c>
      <c r="C38" s="143" t="str">
        <f t="shared" si="0"/>
        <v>木</v>
      </c>
      <c r="D38" s="143" t="s">
        <v>22</v>
      </c>
      <c r="E38" s="172">
        <v>0.375</v>
      </c>
      <c r="F38" s="172">
        <v>0.75</v>
      </c>
      <c r="G38" s="173">
        <v>0.5</v>
      </c>
      <c r="H38" s="173">
        <v>0.54166666666666663</v>
      </c>
      <c r="I38" s="146" t="str">
        <f t="shared" si="1"/>
        <v>8h</v>
      </c>
      <c r="J38" s="173">
        <v>0.375</v>
      </c>
      <c r="K38" s="173">
        <v>0.75</v>
      </c>
      <c r="L38" s="173">
        <v>0.5</v>
      </c>
      <c r="M38" s="173">
        <v>0.54166666666666663</v>
      </c>
      <c r="N38" s="147" t="str">
        <f t="shared" si="2"/>
        <v>8h</v>
      </c>
      <c r="O38" s="327"/>
      <c r="P38" s="327"/>
      <c r="Q38" s="327"/>
      <c r="S38" s="157"/>
      <c r="T38" s="142" t="str">
        <f t="shared" si="37"/>
        <v/>
      </c>
      <c r="U38" s="143" t="str">
        <f t="shared" si="3"/>
        <v/>
      </c>
      <c r="V38" s="143"/>
      <c r="W38" s="144"/>
      <c r="X38" s="144"/>
      <c r="Y38" s="145"/>
      <c r="Z38" s="145"/>
      <c r="AA38" s="146" t="str">
        <f t="shared" si="4"/>
        <v/>
      </c>
      <c r="AB38" s="145"/>
      <c r="AC38" s="145"/>
      <c r="AD38" s="145"/>
      <c r="AE38" s="145"/>
      <c r="AF38" s="147" t="str">
        <f t="shared" si="5"/>
        <v/>
      </c>
      <c r="AG38" s="327"/>
      <c r="AH38" s="327"/>
      <c r="AI38" s="327"/>
      <c r="AK38" s="157"/>
      <c r="AL38" s="142">
        <f t="shared" si="38"/>
        <v>46110</v>
      </c>
      <c r="AM38" s="143" t="str">
        <f t="shared" si="6"/>
        <v>日</v>
      </c>
      <c r="AN38" s="143"/>
      <c r="AO38" s="144"/>
      <c r="AP38" s="144"/>
      <c r="AQ38" s="145"/>
      <c r="AR38" s="145"/>
      <c r="AS38" s="146" t="str">
        <f t="shared" si="7"/>
        <v/>
      </c>
      <c r="AT38" s="145"/>
      <c r="AU38" s="145"/>
      <c r="AV38" s="145"/>
      <c r="AW38" s="145"/>
      <c r="AX38" s="147" t="str">
        <f t="shared" si="8"/>
        <v/>
      </c>
      <c r="AY38" s="327"/>
      <c r="AZ38" s="327"/>
      <c r="BA38" s="327"/>
      <c r="BC38" s="157"/>
      <c r="BD38" s="142">
        <f t="shared" si="39"/>
        <v>46141</v>
      </c>
      <c r="BE38" s="143" t="str">
        <f t="shared" si="9"/>
        <v>水</v>
      </c>
      <c r="BF38" s="143"/>
      <c r="BG38" s="144"/>
      <c r="BH38" s="144"/>
      <c r="BI38" s="145"/>
      <c r="BJ38" s="145"/>
      <c r="BK38" s="146" t="str">
        <f t="shared" si="10"/>
        <v/>
      </c>
      <c r="BL38" s="145"/>
      <c r="BM38" s="145"/>
      <c r="BN38" s="145"/>
      <c r="BO38" s="145"/>
      <c r="BP38" s="147" t="str">
        <f t="shared" si="11"/>
        <v/>
      </c>
      <c r="BQ38" s="327"/>
      <c r="BR38" s="327"/>
      <c r="BS38" s="327"/>
      <c r="BU38" s="157"/>
      <c r="BV38" s="142">
        <f t="shared" si="40"/>
        <v>46171</v>
      </c>
      <c r="BW38" s="143" t="str">
        <f t="shared" si="12"/>
        <v>金</v>
      </c>
      <c r="BX38" s="143" t="s">
        <v>22</v>
      </c>
      <c r="BY38" s="172">
        <v>0.375</v>
      </c>
      <c r="BZ38" s="172">
        <v>0.75</v>
      </c>
      <c r="CA38" s="173">
        <v>0.5</v>
      </c>
      <c r="CB38" s="173">
        <v>0.54166666666666663</v>
      </c>
      <c r="CC38" s="146" t="str">
        <f t="shared" si="13"/>
        <v>8h</v>
      </c>
      <c r="CD38" s="173">
        <v>0.375</v>
      </c>
      <c r="CE38" s="173">
        <v>0.75</v>
      </c>
      <c r="CF38" s="173">
        <v>0.5</v>
      </c>
      <c r="CG38" s="173">
        <v>0.54166666666666663</v>
      </c>
      <c r="CH38" s="147" t="str">
        <f t="shared" si="14"/>
        <v>8h</v>
      </c>
      <c r="CI38" s="327"/>
      <c r="CJ38" s="327"/>
      <c r="CK38" s="327"/>
      <c r="CM38" s="157"/>
      <c r="CN38" s="142">
        <f t="shared" si="41"/>
        <v>46202</v>
      </c>
      <c r="CO38" s="143" t="str">
        <f t="shared" si="15"/>
        <v>月</v>
      </c>
      <c r="CP38" s="143" t="s">
        <v>22</v>
      </c>
      <c r="CQ38" s="172">
        <v>0.375</v>
      </c>
      <c r="CR38" s="172">
        <v>0.75</v>
      </c>
      <c r="CS38" s="173">
        <v>0.5</v>
      </c>
      <c r="CT38" s="173">
        <v>0.54166666666666663</v>
      </c>
      <c r="CU38" s="146" t="str">
        <f t="shared" si="16"/>
        <v>8h</v>
      </c>
      <c r="CV38" s="173">
        <v>0.375</v>
      </c>
      <c r="CW38" s="173">
        <v>0.75</v>
      </c>
      <c r="CX38" s="173">
        <v>0.5</v>
      </c>
      <c r="CY38" s="173">
        <v>0.54166666666666663</v>
      </c>
      <c r="CZ38" s="147" t="str">
        <f t="shared" si="17"/>
        <v>8h</v>
      </c>
      <c r="DA38" s="327"/>
      <c r="DB38" s="327"/>
      <c r="DC38" s="327"/>
      <c r="DE38" s="157"/>
      <c r="DF38" s="142">
        <f t="shared" si="42"/>
        <v>46232</v>
      </c>
      <c r="DG38" s="143" t="str">
        <f t="shared" si="18"/>
        <v>水</v>
      </c>
      <c r="DH38" s="143" t="s">
        <v>22</v>
      </c>
      <c r="DI38" s="172">
        <v>0.375</v>
      </c>
      <c r="DJ38" s="172">
        <v>0.75</v>
      </c>
      <c r="DK38" s="173">
        <v>0.5</v>
      </c>
      <c r="DL38" s="173">
        <v>0.54166666666666663</v>
      </c>
      <c r="DM38" s="146" t="str">
        <f t="shared" si="19"/>
        <v>8h</v>
      </c>
      <c r="DN38" s="173">
        <v>0.375</v>
      </c>
      <c r="DO38" s="173">
        <v>0.75</v>
      </c>
      <c r="DP38" s="173">
        <v>0.5</v>
      </c>
      <c r="DQ38" s="173">
        <v>0.54166666666666663</v>
      </c>
      <c r="DR38" s="147" t="str">
        <f t="shared" si="20"/>
        <v>8h</v>
      </c>
      <c r="DS38" s="327"/>
      <c r="DT38" s="327"/>
      <c r="DU38" s="327"/>
      <c r="DW38" s="157"/>
      <c r="DX38" s="142">
        <f t="shared" si="43"/>
        <v>46263</v>
      </c>
      <c r="DY38" s="143" t="str">
        <f t="shared" si="21"/>
        <v>土</v>
      </c>
      <c r="DZ38" s="143"/>
      <c r="EA38" s="144"/>
      <c r="EB38" s="144"/>
      <c r="EC38" s="145"/>
      <c r="ED38" s="145"/>
      <c r="EE38" s="146" t="str">
        <f t="shared" si="22"/>
        <v/>
      </c>
      <c r="EF38" s="145"/>
      <c r="EG38" s="145"/>
      <c r="EH38" s="145"/>
      <c r="EI38" s="145"/>
      <c r="EJ38" s="147" t="str">
        <f t="shared" si="23"/>
        <v/>
      </c>
      <c r="EK38" s="327"/>
      <c r="EL38" s="327"/>
      <c r="EM38" s="327"/>
      <c r="EO38" s="157"/>
      <c r="EP38" s="142">
        <f t="shared" si="44"/>
        <v>46294</v>
      </c>
      <c r="EQ38" s="143" t="str">
        <f t="shared" si="24"/>
        <v>火</v>
      </c>
      <c r="ER38" s="143" t="s">
        <v>22</v>
      </c>
      <c r="ES38" s="172">
        <v>0.375</v>
      </c>
      <c r="ET38" s="172">
        <v>0.75</v>
      </c>
      <c r="EU38" s="173">
        <v>0.5</v>
      </c>
      <c r="EV38" s="173">
        <v>0.54166666666666663</v>
      </c>
      <c r="EW38" s="146" t="str">
        <f t="shared" si="25"/>
        <v>8h</v>
      </c>
      <c r="EX38" s="173">
        <v>0.375</v>
      </c>
      <c r="EY38" s="173">
        <v>0.75</v>
      </c>
      <c r="EZ38" s="173">
        <v>0.5</v>
      </c>
      <c r="FA38" s="173">
        <v>0.54166666666666663</v>
      </c>
      <c r="FB38" s="147" t="str">
        <f t="shared" si="26"/>
        <v>8h</v>
      </c>
      <c r="FC38" s="327"/>
      <c r="FD38" s="327"/>
      <c r="FE38" s="327"/>
      <c r="FG38" s="157"/>
      <c r="FH38" s="142">
        <f t="shared" si="45"/>
        <v>46324</v>
      </c>
      <c r="FI38" s="143" t="str">
        <f t="shared" si="27"/>
        <v>木</v>
      </c>
      <c r="FJ38" s="143" t="s">
        <v>22</v>
      </c>
      <c r="FK38" s="172">
        <v>0.375</v>
      </c>
      <c r="FL38" s="172">
        <v>0.75</v>
      </c>
      <c r="FM38" s="173">
        <v>0.5</v>
      </c>
      <c r="FN38" s="173">
        <v>0.54166666666666663</v>
      </c>
      <c r="FO38" s="146" t="str">
        <f t="shared" si="28"/>
        <v>8h</v>
      </c>
      <c r="FP38" s="173">
        <v>0.375</v>
      </c>
      <c r="FQ38" s="173">
        <v>0.75</v>
      </c>
      <c r="FR38" s="173">
        <v>0.5</v>
      </c>
      <c r="FS38" s="173">
        <v>0.54166666666666663</v>
      </c>
      <c r="FT38" s="147" t="str">
        <f t="shared" si="29"/>
        <v>8h</v>
      </c>
      <c r="FU38" s="327"/>
      <c r="FV38" s="327"/>
      <c r="FW38" s="327"/>
      <c r="FY38" s="157"/>
      <c r="FZ38" s="142">
        <f t="shared" si="46"/>
        <v>46355</v>
      </c>
      <c r="GA38" s="143" t="str">
        <f t="shared" si="30"/>
        <v>日</v>
      </c>
      <c r="GB38" s="143"/>
      <c r="GC38" s="144"/>
      <c r="GD38" s="144"/>
      <c r="GE38" s="145"/>
      <c r="GF38" s="145"/>
      <c r="GG38" s="146" t="str">
        <f t="shared" si="31"/>
        <v/>
      </c>
      <c r="GH38" s="145"/>
      <c r="GI38" s="145"/>
      <c r="GJ38" s="145"/>
      <c r="GK38" s="145"/>
      <c r="GL38" s="147" t="str">
        <f t="shared" si="32"/>
        <v/>
      </c>
      <c r="GM38" s="327"/>
      <c r="GN38" s="327"/>
      <c r="GO38" s="327"/>
      <c r="GQ38" s="157"/>
      <c r="GR38" s="142">
        <f t="shared" si="47"/>
        <v>46385</v>
      </c>
      <c r="GS38" s="143" t="str">
        <f t="shared" si="33"/>
        <v>火</v>
      </c>
      <c r="GT38" s="143"/>
      <c r="GU38" s="144"/>
      <c r="GV38" s="144"/>
      <c r="GW38" s="145"/>
      <c r="GX38" s="145"/>
      <c r="GY38" s="146" t="str">
        <f t="shared" si="34"/>
        <v/>
      </c>
      <c r="GZ38" s="145"/>
      <c r="HA38" s="145"/>
      <c r="HB38" s="145"/>
      <c r="HC38" s="145"/>
      <c r="HD38" s="147" t="str">
        <f t="shared" si="35"/>
        <v/>
      </c>
      <c r="HE38" s="327"/>
      <c r="HF38" s="327"/>
      <c r="HG38" s="327"/>
    </row>
    <row r="39" spans="1:215" x14ac:dyDescent="0.45">
      <c r="A39" s="157"/>
      <c r="B39" s="142">
        <f t="shared" si="36"/>
        <v>46052</v>
      </c>
      <c r="C39" s="143" t="str">
        <f t="shared" si="0"/>
        <v>金</v>
      </c>
      <c r="D39" s="143" t="s">
        <v>22</v>
      </c>
      <c r="E39" s="172">
        <v>0.375</v>
      </c>
      <c r="F39" s="172">
        <v>0.75</v>
      </c>
      <c r="G39" s="173">
        <v>0.5</v>
      </c>
      <c r="H39" s="173">
        <v>0.54166666666666663</v>
      </c>
      <c r="I39" s="146" t="str">
        <f t="shared" si="1"/>
        <v>8h</v>
      </c>
      <c r="J39" s="173">
        <v>0.375</v>
      </c>
      <c r="K39" s="173">
        <v>0.75</v>
      </c>
      <c r="L39" s="173">
        <v>0.5</v>
      </c>
      <c r="M39" s="173">
        <v>0.54166666666666663</v>
      </c>
      <c r="N39" s="147" t="str">
        <f t="shared" si="2"/>
        <v>8h</v>
      </c>
      <c r="O39" s="327"/>
      <c r="P39" s="327"/>
      <c r="Q39" s="327"/>
      <c r="S39" s="157"/>
      <c r="T39" s="142" t="str">
        <f t="shared" si="37"/>
        <v/>
      </c>
      <c r="U39" s="143" t="str">
        <f t="shared" si="3"/>
        <v/>
      </c>
      <c r="V39" s="143"/>
      <c r="W39" s="144"/>
      <c r="X39" s="144"/>
      <c r="Y39" s="145"/>
      <c r="Z39" s="145"/>
      <c r="AA39" s="146" t="str">
        <f t="shared" si="4"/>
        <v/>
      </c>
      <c r="AB39" s="145"/>
      <c r="AC39" s="145"/>
      <c r="AD39" s="145"/>
      <c r="AE39" s="145"/>
      <c r="AF39" s="147" t="str">
        <f t="shared" si="5"/>
        <v/>
      </c>
      <c r="AG39" s="327"/>
      <c r="AH39" s="327"/>
      <c r="AI39" s="327"/>
      <c r="AK39" s="157"/>
      <c r="AL39" s="142">
        <f t="shared" si="38"/>
        <v>46111</v>
      </c>
      <c r="AM39" s="143" t="str">
        <f t="shared" si="6"/>
        <v>月</v>
      </c>
      <c r="AN39" s="143" t="s">
        <v>22</v>
      </c>
      <c r="AO39" s="172">
        <v>0.375</v>
      </c>
      <c r="AP39" s="172">
        <v>0.75</v>
      </c>
      <c r="AQ39" s="173">
        <v>0.5</v>
      </c>
      <c r="AR39" s="173">
        <v>0.54166666666666663</v>
      </c>
      <c r="AS39" s="146" t="str">
        <f t="shared" si="7"/>
        <v>8h</v>
      </c>
      <c r="AT39" s="173">
        <v>0.375</v>
      </c>
      <c r="AU39" s="173">
        <v>0.75</v>
      </c>
      <c r="AV39" s="173">
        <v>0.5</v>
      </c>
      <c r="AW39" s="173">
        <v>0.54166666666666663</v>
      </c>
      <c r="AX39" s="147" t="str">
        <f t="shared" si="8"/>
        <v>8h</v>
      </c>
      <c r="AY39" s="327"/>
      <c r="AZ39" s="327"/>
      <c r="BA39" s="327"/>
      <c r="BC39" s="157"/>
      <c r="BD39" s="142">
        <f t="shared" si="39"/>
        <v>46142</v>
      </c>
      <c r="BE39" s="143" t="str">
        <f t="shared" si="9"/>
        <v>木</v>
      </c>
      <c r="BF39" s="143" t="s">
        <v>22</v>
      </c>
      <c r="BG39" s="172">
        <v>0.375</v>
      </c>
      <c r="BH39" s="172">
        <v>0.75</v>
      </c>
      <c r="BI39" s="173">
        <v>0.5</v>
      </c>
      <c r="BJ39" s="173">
        <v>0.54166666666666663</v>
      </c>
      <c r="BK39" s="146" t="str">
        <f t="shared" si="10"/>
        <v>8h</v>
      </c>
      <c r="BL39" s="173">
        <v>0.375</v>
      </c>
      <c r="BM39" s="173">
        <v>0.75</v>
      </c>
      <c r="BN39" s="173">
        <v>0.5</v>
      </c>
      <c r="BO39" s="173">
        <v>0.54166666666666663</v>
      </c>
      <c r="BP39" s="147" t="str">
        <f t="shared" si="11"/>
        <v>8h</v>
      </c>
      <c r="BQ39" s="327"/>
      <c r="BR39" s="327"/>
      <c r="BS39" s="327"/>
      <c r="BU39" s="157"/>
      <c r="BV39" s="142">
        <f t="shared" si="40"/>
        <v>46172</v>
      </c>
      <c r="BW39" s="143" t="str">
        <f t="shared" si="12"/>
        <v>土</v>
      </c>
      <c r="BX39" s="143"/>
      <c r="BY39" s="144"/>
      <c r="BZ39" s="144"/>
      <c r="CA39" s="145"/>
      <c r="CB39" s="145"/>
      <c r="CC39" s="146" t="str">
        <f t="shared" si="13"/>
        <v/>
      </c>
      <c r="CD39" s="145"/>
      <c r="CE39" s="145"/>
      <c r="CF39" s="145"/>
      <c r="CG39" s="145"/>
      <c r="CH39" s="147" t="str">
        <f t="shared" si="14"/>
        <v/>
      </c>
      <c r="CI39" s="327"/>
      <c r="CJ39" s="327"/>
      <c r="CK39" s="327"/>
      <c r="CM39" s="157"/>
      <c r="CN39" s="142">
        <f t="shared" si="41"/>
        <v>46203</v>
      </c>
      <c r="CO39" s="143" t="str">
        <f t="shared" si="15"/>
        <v>火</v>
      </c>
      <c r="CP39" s="143" t="s">
        <v>22</v>
      </c>
      <c r="CQ39" s="172">
        <v>0.375</v>
      </c>
      <c r="CR39" s="172">
        <v>0.75</v>
      </c>
      <c r="CS39" s="173">
        <v>0.5</v>
      </c>
      <c r="CT39" s="173">
        <v>0.54166666666666663</v>
      </c>
      <c r="CU39" s="146" t="str">
        <f t="shared" si="16"/>
        <v>8h</v>
      </c>
      <c r="CV39" s="173">
        <v>0.375</v>
      </c>
      <c r="CW39" s="173">
        <v>0.75</v>
      </c>
      <c r="CX39" s="173">
        <v>0.5</v>
      </c>
      <c r="CY39" s="173">
        <v>0.54166666666666663</v>
      </c>
      <c r="CZ39" s="147" t="str">
        <f t="shared" si="17"/>
        <v>8h</v>
      </c>
      <c r="DA39" s="327"/>
      <c r="DB39" s="327"/>
      <c r="DC39" s="327"/>
      <c r="DE39" s="157"/>
      <c r="DF39" s="142">
        <f t="shared" si="42"/>
        <v>46233</v>
      </c>
      <c r="DG39" s="143" t="str">
        <f t="shared" si="18"/>
        <v>木</v>
      </c>
      <c r="DH39" s="143" t="s">
        <v>22</v>
      </c>
      <c r="DI39" s="172">
        <v>0.375</v>
      </c>
      <c r="DJ39" s="172">
        <v>0.75</v>
      </c>
      <c r="DK39" s="173">
        <v>0.5</v>
      </c>
      <c r="DL39" s="173">
        <v>0.54166666666666663</v>
      </c>
      <c r="DM39" s="146" t="str">
        <f t="shared" si="19"/>
        <v>8h</v>
      </c>
      <c r="DN39" s="173">
        <v>0.375</v>
      </c>
      <c r="DO39" s="173">
        <v>0.75</v>
      </c>
      <c r="DP39" s="173">
        <v>0.5</v>
      </c>
      <c r="DQ39" s="173">
        <v>0.54166666666666663</v>
      </c>
      <c r="DR39" s="147" t="str">
        <f t="shared" si="20"/>
        <v>8h</v>
      </c>
      <c r="DS39" s="327"/>
      <c r="DT39" s="327"/>
      <c r="DU39" s="327"/>
      <c r="DW39" s="157"/>
      <c r="DX39" s="142">
        <f t="shared" si="43"/>
        <v>46264</v>
      </c>
      <c r="DY39" s="143" t="str">
        <f t="shared" si="21"/>
        <v>日</v>
      </c>
      <c r="DZ39" s="143"/>
      <c r="EA39" s="144"/>
      <c r="EB39" s="144"/>
      <c r="EC39" s="145"/>
      <c r="ED39" s="145"/>
      <c r="EE39" s="146" t="str">
        <f t="shared" si="22"/>
        <v/>
      </c>
      <c r="EF39" s="145"/>
      <c r="EG39" s="145"/>
      <c r="EH39" s="145"/>
      <c r="EI39" s="145"/>
      <c r="EJ39" s="147" t="str">
        <f t="shared" si="23"/>
        <v/>
      </c>
      <c r="EK39" s="327"/>
      <c r="EL39" s="327"/>
      <c r="EM39" s="327"/>
      <c r="EO39" s="157"/>
      <c r="EP39" s="142">
        <f t="shared" si="44"/>
        <v>46295</v>
      </c>
      <c r="EQ39" s="143" t="str">
        <f t="shared" si="24"/>
        <v>水</v>
      </c>
      <c r="ER39" s="143" t="s">
        <v>22</v>
      </c>
      <c r="ES39" s="172">
        <v>0.375</v>
      </c>
      <c r="ET39" s="172">
        <v>0.75</v>
      </c>
      <c r="EU39" s="173">
        <v>0.5</v>
      </c>
      <c r="EV39" s="173">
        <v>0.54166666666666663</v>
      </c>
      <c r="EW39" s="146" t="str">
        <f t="shared" si="25"/>
        <v>8h</v>
      </c>
      <c r="EX39" s="173">
        <v>0.375</v>
      </c>
      <c r="EY39" s="173">
        <v>0.75</v>
      </c>
      <c r="EZ39" s="173">
        <v>0.5</v>
      </c>
      <c r="FA39" s="173">
        <v>0.54166666666666663</v>
      </c>
      <c r="FB39" s="147" t="str">
        <f t="shared" si="26"/>
        <v>8h</v>
      </c>
      <c r="FC39" s="327"/>
      <c r="FD39" s="327"/>
      <c r="FE39" s="327"/>
      <c r="FG39" s="157"/>
      <c r="FH39" s="142">
        <f t="shared" si="45"/>
        <v>46325</v>
      </c>
      <c r="FI39" s="143" t="str">
        <f t="shared" si="27"/>
        <v>金</v>
      </c>
      <c r="FJ39" s="143" t="s">
        <v>22</v>
      </c>
      <c r="FK39" s="172">
        <v>0.375</v>
      </c>
      <c r="FL39" s="172">
        <v>0.75</v>
      </c>
      <c r="FM39" s="173">
        <v>0.5</v>
      </c>
      <c r="FN39" s="173">
        <v>0.54166666666666663</v>
      </c>
      <c r="FO39" s="146" t="str">
        <f t="shared" si="28"/>
        <v>8h</v>
      </c>
      <c r="FP39" s="173">
        <v>0.375</v>
      </c>
      <c r="FQ39" s="173">
        <v>0.75</v>
      </c>
      <c r="FR39" s="173">
        <v>0.5</v>
      </c>
      <c r="FS39" s="173">
        <v>0.54166666666666663</v>
      </c>
      <c r="FT39" s="147" t="str">
        <f t="shared" si="29"/>
        <v>8h</v>
      </c>
      <c r="FU39" s="327"/>
      <c r="FV39" s="327"/>
      <c r="FW39" s="327"/>
      <c r="FY39" s="157"/>
      <c r="FZ39" s="142">
        <f t="shared" si="46"/>
        <v>46356</v>
      </c>
      <c r="GA39" s="143" t="str">
        <f t="shared" si="30"/>
        <v>月</v>
      </c>
      <c r="GB39" s="143" t="s">
        <v>22</v>
      </c>
      <c r="GC39" s="172">
        <v>0.375</v>
      </c>
      <c r="GD39" s="172">
        <v>0.75</v>
      </c>
      <c r="GE39" s="173">
        <v>0.5</v>
      </c>
      <c r="GF39" s="173">
        <v>0.54166666666666663</v>
      </c>
      <c r="GG39" s="146" t="str">
        <f t="shared" si="31"/>
        <v>8h</v>
      </c>
      <c r="GH39" s="173">
        <v>0.375</v>
      </c>
      <c r="GI39" s="173">
        <v>0.75</v>
      </c>
      <c r="GJ39" s="173">
        <v>0.5</v>
      </c>
      <c r="GK39" s="173">
        <v>0.54166666666666663</v>
      </c>
      <c r="GL39" s="147" t="str">
        <f t="shared" si="32"/>
        <v>8h</v>
      </c>
      <c r="GM39" s="327"/>
      <c r="GN39" s="327"/>
      <c r="GO39" s="327"/>
      <c r="GQ39" s="157"/>
      <c r="GR39" s="142">
        <f t="shared" si="47"/>
        <v>46386</v>
      </c>
      <c r="GS39" s="143" t="str">
        <f t="shared" si="33"/>
        <v>水</v>
      </c>
      <c r="GT39" s="143"/>
      <c r="GU39" s="144"/>
      <c r="GV39" s="144"/>
      <c r="GW39" s="145"/>
      <c r="GX39" s="145"/>
      <c r="GY39" s="146" t="str">
        <f t="shared" si="34"/>
        <v/>
      </c>
      <c r="GZ39" s="145"/>
      <c r="HA39" s="145"/>
      <c r="HB39" s="145"/>
      <c r="HC39" s="145"/>
      <c r="HD39" s="147" t="str">
        <f t="shared" si="35"/>
        <v/>
      </c>
      <c r="HE39" s="327"/>
      <c r="HF39" s="327"/>
      <c r="HG39" s="327"/>
    </row>
    <row r="40" spans="1:215" x14ac:dyDescent="0.45">
      <c r="A40" s="157"/>
      <c r="B40" s="148">
        <f t="shared" si="36"/>
        <v>46053</v>
      </c>
      <c r="C40" s="149" t="str">
        <f t="shared" si="0"/>
        <v>土</v>
      </c>
      <c r="D40" s="149"/>
      <c r="E40" s="150"/>
      <c r="F40" s="150"/>
      <c r="G40" s="151"/>
      <c r="H40" s="151"/>
      <c r="I40" s="152" t="str">
        <f t="shared" si="1"/>
        <v/>
      </c>
      <c r="J40" s="151"/>
      <c r="K40" s="151"/>
      <c r="L40" s="151"/>
      <c r="M40" s="151"/>
      <c r="N40" s="153" t="str">
        <f t="shared" si="2"/>
        <v/>
      </c>
      <c r="O40" s="328"/>
      <c r="P40" s="328"/>
      <c r="Q40" s="328"/>
      <c r="S40" s="157"/>
      <c r="T40" s="148" t="str">
        <f t="shared" si="37"/>
        <v/>
      </c>
      <c r="U40" s="149" t="str">
        <f t="shared" si="3"/>
        <v/>
      </c>
      <c r="V40" s="149"/>
      <c r="W40" s="150"/>
      <c r="X40" s="150"/>
      <c r="Y40" s="151"/>
      <c r="Z40" s="151"/>
      <c r="AA40" s="152" t="str">
        <f t="shared" si="4"/>
        <v/>
      </c>
      <c r="AB40" s="151"/>
      <c r="AC40" s="151"/>
      <c r="AD40" s="151"/>
      <c r="AE40" s="151"/>
      <c r="AF40" s="153" t="str">
        <f t="shared" si="5"/>
        <v/>
      </c>
      <c r="AG40" s="328"/>
      <c r="AH40" s="328"/>
      <c r="AI40" s="328"/>
      <c r="AK40" s="157"/>
      <c r="AL40" s="148">
        <f t="shared" si="38"/>
        <v>46112</v>
      </c>
      <c r="AM40" s="149" t="str">
        <f t="shared" si="6"/>
        <v>火</v>
      </c>
      <c r="AN40" s="149" t="s">
        <v>22</v>
      </c>
      <c r="AO40" s="174">
        <v>0.375</v>
      </c>
      <c r="AP40" s="174">
        <v>0.75</v>
      </c>
      <c r="AQ40" s="175">
        <v>0.5</v>
      </c>
      <c r="AR40" s="175">
        <v>0.54166666666666663</v>
      </c>
      <c r="AS40" s="152" t="str">
        <f t="shared" si="7"/>
        <v>8h</v>
      </c>
      <c r="AT40" s="175">
        <v>0.375</v>
      </c>
      <c r="AU40" s="175">
        <v>0.75</v>
      </c>
      <c r="AV40" s="175">
        <v>0.5</v>
      </c>
      <c r="AW40" s="175">
        <v>0.54166666666666663</v>
      </c>
      <c r="AX40" s="153" t="str">
        <f t="shared" si="8"/>
        <v>8h</v>
      </c>
      <c r="AY40" s="328"/>
      <c r="AZ40" s="328"/>
      <c r="BA40" s="328"/>
      <c r="BC40" s="157"/>
      <c r="BD40" s="148" t="str">
        <f t="shared" si="39"/>
        <v/>
      </c>
      <c r="BE40" s="149" t="str">
        <f t="shared" si="9"/>
        <v/>
      </c>
      <c r="BF40" s="149"/>
      <c r="BG40" s="150"/>
      <c r="BH40" s="150"/>
      <c r="BI40" s="151"/>
      <c r="BJ40" s="151"/>
      <c r="BK40" s="152" t="str">
        <f t="shared" si="10"/>
        <v/>
      </c>
      <c r="BL40" s="151"/>
      <c r="BM40" s="151"/>
      <c r="BN40" s="151"/>
      <c r="BO40" s="151"/>
      <c r="BP40" s="153" t="str">
        <f t="shared" si="11"/>
        <v/>
      </c>
      <c r="BQ40" s="328"/>
      <c r="BR40" s="328"/>
      <c r="BS40" s="328"/>
      <c r="BU40" s="157"/>
      <c r="BV40" s="148">
        <f t="shared" si="40"/>
        <v>46173</v>
      </c>
      <c r="BW40" s="149" t="str">
        <f t="shared" si="12"/>
        <v>日</v>
      </c>
      <c r="BX40" s="149"/>
      <c r="BY40" s="150"/>
      <c r="BZ40" s="150"/>
      <c r="CA40" s="151"/>
      <c r="CB40" s="151"/>
      <c r="CC40" s="152" t="str">
        <f t="shared" si="13"/>
        <v/>
      </c>
      <c r="CD40" s="151"/>
      <c r="CE40" s="151"/>
      <c r="CF40" s="151"/>
      <c r="CG40" s="151"/>
      <c r="CH40" s="153" t="str">
        <f t="shared" si="14"/>
        <v/>
      </c>
      <c r="CI40" s="328"/>
      <c r="CJ40" s="328"/>
      <c r="CK40" s="328"/>
      <c r="CM40" s="157"/>
      <c r="CN40" s="148" t="str">
        <f t="shared" si="41"/>
        <v/>
      </c>
      <c r="CO40" s="149" t="str">
        <f t="shared" si="15"/>
        <v/>
      </c>
      <c r="CP40" s="149"/>
      <c r="CQ40" s="150"/>
      <c r="CR40" s="150"/>
      <c r="CS40" s="151"/>
      <c r="CT40" s="151"/>
      <c r="CU40" s="152" t="str">
        <f t="shared" si="16"/>
        <v/>
      </c>
      <c r="CV40" s="151"/>
      <c r="CW40" s="151"/>
      <c r="CX40" s="151"/>
      <c r="CY40" s="151"/>
      <c r="CZ40" s="153" t="str">
        <f t="shared" si="17"/>
        <v/>
      </c>
      <c r="DA40" s="328"/>
      <c r="DB40" s="328"/>
      <c r="DC40" s="328"/>
      <c r="DE40" s="157"/>
      <c r="DF40" s="148">
        <f t="shared" si="42"/>
        <v>46234</v>
      </c>
      <c r="DG40" s="149" t="str">
        <f t="shared" si="18"/>
        <v>金</v>
      </c>
      <c r="DH40" s="149" t="s">
        <v>22</v>
      </c>
      <c r="DI40" s="174">
        <v>0.375</v>
      </c>
      <c r="DJ40" s="174">
        <v>0.75</v>
      </c>
      <c r="DK40" s="175">
        <v>0.5</v>
      </c>
      <c r="DL40" s="175">
        <v>0.54166666666666663</v>
      </c>
      <c r="DM40" s="152" t="str">
        <f t="shared" si="19"/>
        <v>8h</v>
      </c>
      <c r="DN40" s="175">
        <v>0.375</v>
      </c>
      <c r="DO40" s="175">
        <v>0.75</v>
      </c>
      <c r="DP40" s="175">
        <v>0.5</v>
      </c>
      <c r="DQ40" s="175">
        <v>0.54166666666666663</v>
      </c>
      <c r="DR40" s="153" t="str">
        <f t="shared" si="20"/>
        <v>8h</v>
      </c>
      <c r="DS40" s="328"/>
      <c r="DT40" s="328"/>
      <c r="DU40" s="328"/>
      <c r="DW40" s="157"/>
      <c r="DX40" s="148">
        <f t="shared" si="43"/>
        <v>46265</v>
      </c>
      <c r="DY40" s="149" t="str">
        <f t="shared" si="21"/>
        <v>月</v>
      </c>
      <c r="DZ40" s="149" t="s">
        <v>22</v>
      </c>
      <c r="EA40" s="174">
        <v>0.375</v>
      </c>
      <c r="EB40" s="174">
        <v>0.75</v>
      </c>
      <c r="EC40" s="175">
        <v>0.5</v>
      </c>
      <c r="ED40" s="175">
        <v>0.54166666666666663</v>
      </c>
      <c r="EE40" s="152" t="str">
        <f t="shared" si="22"/>
        <v>8h</v>
      </c>
      <c r="EF40" s="175">
        <v>0.375</v>
      </c>
      <c r="EG40" s="175">
        <v>0.75</v>
      </c>
      <c r="EH40" s="175">
        <v>0.5</v>
      </c>
      <c r="EI40" s="175">
        <v>0.54166666666666663</v>
      </c>
      <c r="EJ40" s="153" t="str">
        <f t="shared" si="23"/>
        <v>8h</v>
      </c>
      <c r="EK40" s="328"/>
      <c r="EL40" s="328"/>
      <c r="EM40" s="328"/>
      <c r="EO40" s="157"/>
      <c r="EP40" s="148" t="str">
        <f t="shared" si="44"/>
        <v/>
      </c>
      <c r="EQ40" s="149" t="str">
        <f t="shared" si="24"/>
        <v/>
      </c>
      <c r="ER40" s="149"/>
      <c r="ES40" s="150"/>
      <c r="ET40" s="150"/>
      <c r="EU40" s="151"/>
      <c r="EV40" s="151"/>
      <c r="EW40" s="152" t="str">
        <f t="shared" si="25"/>
        <v/>
      </c>
      <c r="EX40" s="151"/>
      <c r="EY40" s="151"/>
      <c r="EZ40" s="151"/>
      <c r="FA40" s="151"/>
      <c r="FB40" s="153" t="str">
        <f t="shared" si="26"/>
        <v/>
      </c>
      <c r="FC40" s="328"/>
      <c r="FD40" s="328"/>
      <c r="FE40" s="328"/>
      <c r="FG40" s="157"/>
      <c r="FH40" s="148">
        <f t="shared" si="45"/>
        <v>46326</v>
      </c>
      <c r="FI40" s="149" t="str">
        <f t="shared" si="27"/>
        <v>土</v>
      </c>
      <c r="FJ40" s="149"/>
      <c r="FK40" s="150"/>
      <c r="FL40" s="150"/>
      <c r="FM40" s="151"/>
      <c r="FN40" s="151"/>
      <c r="FO40" s="152" t="str">
        <f t="shared" si="28"/>
        <v/>
      </c>
      <c r="FP40" s="151"/>
      <c r="FQ40" s="151"/>
      <c r="FR40" s="151"/>
      <c r="FS40" s="151"/>
      <c r="FT40" s="153" t="str">
        <f t="shared" si="29"/>
        <v/>
      </c>
      <c r="FU40" s="328"/>
      <c r="FV40" s="328"/>
      <c r="FW40" s="328"/>
      <c r="FY40" s="157"/>
      <c r="FZ40" s="148" t="str">
        <f t="shared" si="46"/>
        <v/>
      </c>
      <c r="GA40" s="149" t="str">
        <f t="shared" si="30"/>
        <v/>
      </c>
      <c r="GB40" s="149"/>
      <c r="GC40" s="150"/>
      <c r="GD40" s="150"/>
      <c r="GE40" s="151"/>
      <c r="GF40" s="151"/>
      <c r="GG40" s="152" t="str">
        <f t="shared" si="31"/>
        <v/>
      </c>
      <c r="GH40" s="151"/>
      <c r="GI40" s="151"/>
      <c r="GJ40" s="151"/>
      <c r="GK40" s="151"/>
      <c r="GL40" s="153" t="str">
        <f t="shared" si="32"/>
        <v/>
      </c>
      <c r="GM40" s="328"/>
      <c r="GN40" s="328"/>
      <c r="GO40" s="328"/>
      <c r="GQ40" s="157"/>
      <c r="GR40" s="148">
        <f t="shared" si="47"/>
        <v>46387</v>
      </c>
      <c r="GS40" s="149" t="str">
        <f t="shared" si="33"/>
        <v>木</v>
      </c>
      <c r="GT40" s="149"/>
      <c r="GU40" s="150"/>
      <c r="GV40" s="150"/>
      <c r="GW40" s="151"/>
      <c r="GX40" s="151"/>
      <c r="GY40" s="152" t="str">
        <f t="shared" si="34"/>
        <v/>
      </c>
      <c r="GZ40" s="151"/>
      <c r="HA40" s="151"/>
      <c r="HB40" s="151"/>
      <c r="HC40" s="151"/>
      <c r="HD40" s="153" t="str">
        <f t="shared" si="35"/>
        <v/>
      </c>
      <c r="HE40" s="328"/>
      <c r="HF40" s="328"/>
      <c r="HG40" s="328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79" priority="1" stopIfTrue="1">
      <formula>$B10=""</formula>
    </cfRule>
  </conditionalFormatting>
  <conditionalFormatting sqref="C10:C40">
    <cfRule type="expression" dxfId="478" priority="3" stopIfTrue="1">
      <formula>WEEKDAY(B10,2)=7</formula>
    </cfRule>
    <cfRule type="expression" dxfId="477" priority="4" stopIfTrue="1">
      <formula>WEEKDAY(B10,2)=6</formula>
    </cfRule>
  </conditionalFormatting>
  <conditionalFormatting sqref="T10:AI40">
    <cfRule type="expression" dxfId="476" priority="5" stopIfTrue="1">
      <formula>$T10=""</formula>
    </cfRule>
  </conditionalFormatting>
  <conditionalFormatting sqref="U10:U40">
    <cfRule type="expression" dxfId="475" priority="7" stopIfTrue="1">
      <formula>WEEKDAY(T10,2)=7</formula>
    </cfRule>
    <cfRule type="expression" dxfId="474" priority="8" stopIfTrue="1">
      <formula>WEEKDAY(T10,2)=6</formula>
    </cfRule>
  </conditionalFormatting>
  <conditionalFormatting sqref="AL10:BA40">
    <cfRule type="expression" dxfId="473" priority="9" stopIfTrue="1">
      <formula>$AL10=""</formula>
    </cfRule>
  </conditionalFormatting>
  <conditionalFormatting sqref="AM10:AM40">
    <cfRule type="expression" dxfId="472" priority="11" stopIfTrue="1">
      <formula>WEEKDAY(AL10,2)=7</formula>
    </cfRule>
    <cfRule type="expression" dxfId="471" priority="12" stopIfTrue="1">
      <formula>WEEKDAY(AL10,2)=6</formula>
    </cfRule>
  </conditionalFormatting>
  <conditionalFormatting sqref="BD10:BS40">
    <cfRule type="expression" dxfId="470" priority="13" stopIfTrue="1">
      <formula>$BD10=""</formula>
    </cfRule>
  </conditionalFormatting>
  <conditionalFormatting sqref="BE10:BE40">
    <cfRule type="expression" dxfId="469" priority="15" stopIfTrue="1">
      <formula>WEEKDAY(BD10,2)=7</formula>
    </cfRule>
    <cfRule type="expression" dxfId="468" priority="16" stopIfTrue="1">
      <formula>WEEKDAY(BD10,2)=6</formula>
    </cfRule>
  </conditionalFormatting>
  <conditionalFormatting sqref="BV10:CK40">
    <cfRule type="expression" dxfId="467" priority="17" stopIfTrue="1">
      <formula>$BV10=""</formula>
    </cfRule>
  </conditionalFormatting>
  <conditionalFormatting sqref="BW10:BW40">
    <cfRule type="expression" dxfId="466" priority="19" stopIfTrue="1">
      <formula>WEEKDAY(BV10,2)=7</formula>
    </cfRule>
    <cfRule type="expression" dxfId="465" priority="20" stopIfTrue="1">
      <formula>WEEKDAY(BV10,2)=6</formula>
    </cfRule>
  </conditionalFormatting>
  <conditionalFormatting sqref="CN10:DC40">
    <cfRule type="expression" dxfId="464" priority="21" stopIfTrue="1">
      <formula>$CN10=""</formula>
    </cfRule>
  </conditionalFormatting>
  <conditionalFormatting sqref="CO10:CO40">
    <cfRule type="expression" dxfId="463" priority="23" stopIfTrue="1">
      <formula>WEEKDAY(CN10,2)=7</formula>
    </cfRule>
    <cfRule type="expression" dxfId="462" priority="24" stopIfTrue="1">
      <formula>WEEKDAY(CN10,2)=6</formula>
    </cfRule>
  </conditionalFormatting>
  <conditionalFormatting sqref="DF10:DU40">
    <cfRule type="expression" dxfId="461" priority="25" stopIfTrue="1">
      <formula>$DF10=""</formula>
    </cfRule>
  </conditionalFormatting>
  <conditionalFormatting sqref="DG10:DG40">
    <cfRule type="expression" dxfId="460" priority="27" stopIfTrue="1">
      <formula>WEEKDAY(DF10,2)=7</formula>
    </cfRule>
    <cfRule type="expression" dxfId="459" priority="28" stopIfTrue="1">
      <formula>WEEKDAY(DF10,2)=6</formula>
    </cfRule>
  </conditionalFormatting>
  <conditionalFormatting sqref="DX10:EM40">
    <cfRule type="expression" dxfId="458" priority="29" stopIfTrue="1">
      <formula>$DX10=""</formula>
    </cfRule>
  </conditionalFormatting>
  <conditionalFormatting sqref="DY10:DY40">
    <cfRule type="expression" dxfId="457" priority="31" stopIfTrue="1">
      <formula>WEEKDAY(DX10,2)=7</formula>
    </cfRule>
    <cfRule type="expression" dxfId="456" priority="32" stopIfTrue="1">
      <formula>WEEKDAY(DX10,2)=6</formula>
    </cfRule>
  </conditionalFormatting>
  <conditionalFormatting sqref="EP10:FE40">
    <cfRule type="expression" dxfId="455" priority="33" stopIfTrue="1">
      <formula>$EP10=""</formula>
    </cfRule>
  </conditionalFormatting>
  <conditionalFormatting sqref="EQ10:EQ40">
    <cfRule type="expression" dxfId="454" priority="35" stopIfTrue="1">
      <formula>WEEKDAY(EP10,2)=7</formula>
    </cfRule>
    <cfRule type="expression" dxfId="453" priority="36" stopIfTrue="1">
      <formula>WEEKDAY(EP10,2)=6</formula>
    </cfRule>
  </conditionalFormatting>
  <conditionalFormatting sqref="FH10:FW40">
    <cfRule type="expression" dxfId="452" priority="37" stopIfTrue="1">
      <formula>$FH10=""</formula>
    </cfRule>
  </conditionalFormatting>
  <conditionalFormatting sqref="FI10:FI40">
    <cfRule type="expression" dxfId="451" priority="39" stopIfTrue="1">
      <formula>WEEKDAY(FH10,2)=7</formula>
    </cfRule>
    <cfRule type="expression" dxfId="450" priority="40" stopIfTrue="1">
      <formula>WEEKDAY(FH10,2)=6</formula>
    </cfRule>
  </conditionalFormatting>
  <conditionalFormatting sqref="FZ10:GO40">
    <cfRule type="expression" dxfId="449" priority="41" stopIfTrue="1">
      <formula>$FZ10=""</formula>
    </cfRule>
  </conditionalFormatting>
  <conditionalFormatting sqref="GA10:GA40">
    <cfRule type="expression" dxfId="448" priority="43" stopIfTrue="1">
      <formula>WEEKDAY(FZ10,2)=7</formula>
    </cfRule>
  </conditionalFormatting>
  <conditionalFormatting sqref="GA10:GA40">
    <cfRule type="expression" dxfId="447" priority="44" stopIfTrue="1">
      <formula>WEEKDAY(FZ10,2)=6</formula>
    </cfRule>
  </conditionalFormatting>
  <conditionalFormatting sqref="GR10:HG40">
    <cfRule type="expression" dxfId="446" priority="45" stopIfTrue="1">
      <formula>$GR10=""</formula>
    </cfRule>
  </conditionalFormatting>
  <conditionalFormatting sqref="GS10:GS40">
    <cfRule type="expression" dxfId="445" priority="47" stopIfTrue="1">
      <formula>WEEKDAY(GR10,2)=7</formula>
    </cfRule>
  </conditionalFormatting>
  <conditionalFormatting sqref="GS10:GS40">
    <cfRule type="expression" dxfId="444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9C1457B-355D-4D6A-B107-6F20A3FEEFB4}">
            <xm:f>COUNTIF(祝日!$B:$B,B10)&gt;0</xm:f>
            <x14:dxf>
              <fill>
                <patternFill>
                  <bgColor rgb="FFF25123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4E450BCB-A08A-411F-B0D9-CC1DA286091B}">
            <xm:f>COUNTIF(祝日!$B:$B,T10)&gt;0</xm:f>
            <x14:dxf>
              <fill>
                <patternFill>
                  <bgColor rgb="FFF25123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831292EC-7A07-471C-BAE5-1151CDE19F81}">
            <xm:f>COUNTIF(祝日!$B:$B,AL10)&gt;0</xm:f>
            <x14:dxf>
              <fill>
                <patternFill>
                  <bgColor rgb="FFF25123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119C6B2D-857C-425E-A2D5-097758F79645}">
            <xm:f>COUNTIF(祝日!$B:$B,BD10)&gt;0</xm:f>
            <x14:dxf>
              <fill>
                <patternFill>
                  <bgColor rgb="FFF25123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00153AEA-92C3-4FEE-9456-A48B0F4E19D5}">
            <xm:f>COUNTIF(祝日!$B:$B,BV10)&gt;0</xm:f>
            <x14:dxf>
              <fill>
                <patternFill>
                  <bgColor rgb="FFF25123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EB1ED51-52C4-4B10-A7DC-9872A182AEBC}">
            <xm:f>COUNTIF(祝日!$B:$B,CN10)&gt;0</xm:f>
            <x14:dxf>
              <fill>
                <patternFill>
                  <bgColor rgb="FFF25123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12C54B4-0A88-4E86-A8C6-82CA9AAE3654}">
            <xm:f>COUNTIF(祝日!$B:$B,DF10)&gt;0</xm:f>
            <x14:dxf>
              <fill>
                <patternFill>
                  <bgColor rgb="FFF25123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9502B4C0-059E-4CCE-9FEB-B3018F5DC186}">
            <xm:f>COUNTIF(祝日!$B:$B,DX10)&gt;0</xm:f>
            <x14:dxf>
              <fill>
                <patternFill>
                  <bgColor rgb="FFF25123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0B31AB2-C5CE-4A7C-B049-C3F7C2418275}">
            <xm:f>COUNTIF(祝日!$B:$B,EP10)&gt;0</xm:f>
            <x14:dxf>
              <fill>
                <patternFill>
                  <bgColor rgb="FFF25123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D7081FF3-D5D8-4DD5-94D1-32E63D32DC96}">
            <xm:f>COUNTIF(祝日!$B:$B,FH10)&gt;0</xm:f>
            <x14:dxf>
              <fill>
                <patternFill>
                  <bgColor rgb="FFF25123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A9CC44A9-0D4D-4A7F-A2B4-03B6FB6FAB34}">
            <xm:f>COUNTIF(祝日!$B:$B,FZ10)&gt;0</xm:f>
            <x14:dxf>
              <fill>
                <patternFill>
                  <bgColor rgb="FFF25123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D860AEDF-1C4A-47AA-858E-150D16DE0158}">
            <xm:f>COUNTIF(祝日!$B:$B,GR10)&gt;0</xm:f>
            <x14:dxf>
              <fill>
                <patternFill>
                  <bgColor rgb="FFF25123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75A9-DE7D-4192-B7F1-55BF78202DA0}">
  <sheetPr codeName="Sheet111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11" customWidth="1"/>
    <col min="2" max="4" width="3.69921875" style="111" customWidth="1" outlineLevel="1"/>
    <col min="5" max="17" width="6.69921875" style="111" customWidth="1" outlineLevel="1"/>
    <col min="18" max="18" width="2.69921875" style="111" customWidth="1" outlineLevel="1"/>
    <col min="19" max="19" width="4.19921875" style="111" customWidth="1"/>
    <col min="20" max="22" width="3.69921875" style="111" customWidth="1" outlineLevel="1"/>
    <col min="23" max="35" width="6.69921875" style="111" customWidth="1" outlineLevel="1"/>
    <col min="36" max="36" width="2.69921875" style="111" customWidth="1" outlineLevel="1"/>
    <col min="37" max="37" width="4.19921875" style="111" customWidth="1"/>
    <col min="38" max="40" width="3.69921875" style="111" customWidth="1" outlineLevel="1"/>
    <col min="41" max="53" width="6.69921875" style="111" customWidth="1" outlineLevel="1"/>
    <col min="54" max="54" width="2.69921875" style="111" customWidth="1" outlineLevel="1"/>
    <col min="55" max="55" width="4.19921875" style="111" customWidth="1"/>
    <col min="56" max="58" width="3.69921875" style="111" customWidth="1" outlineLevel="1"/>
    <col min="59" max="71" width="6.69921875" style="111" customWidth="1" outlineLevel="1"/>
    <col min="72" max="72" width="2.69921875" style="111" customWidth="1" outlineLevel="1"/>
    <col min="73" max="73" width="4.19921875" style="111" customWidth="1"/>
    <col min="74" max="76" width="3.69921875" style="111" customWidth="1" outlineLevel="1"/>
    <col min="77" max="89" width="6.69921875" style="111" customWidth="1" outlineLevel="1"/>
    <col min="90" max="90" width="2.69921875" style="111" customWidth="1" outlineLevel="1"/>
    <col min="91" max="91" width="4.19921875" style="111" customWidth="1"/>
    <col min="92" max="94" width="3.69921875" style="111" customWidth="1" outlineLevel="1"/>
    <col min="95" max="107" width="6.69921875" style="111" customWidth="1" outlineLevel="1"/>
    <col min="108" max="108" width="2.69921875" style="111" customWidth="1" outlineLevel="1"/>
    <col min="109" max="109" width="4.19921875" style="111" customWidth="1"/>
    <col min="110" max="112" width="3.69921875" style="111" customWidth="1" outlineLevel="1"/>
    <col min="113" max="125" width="6.69921875" style="111" customWidth="1" outlineLevel="1"/>
    <col min="126" max="126" width="2.69921875" style="111" customWidth="1" outlineLevel="1"/>
    <col min="127" max="127" width="4.19921875" style="111" customWidth="1"/>
    <col min="128" max="130" width="3.69921875" style="111" customWidth="1" outlineLevel="1"/>
    <col min="131" max="143" width="6.69921875" style="111" customWidth="1" outlineLevel="1"/>
    <col min="144" max="144" width="2.69921875" style="111" customWidth="1" outlineLevel="1"/>
    <col min="145" max="145" width="4.19921875" style="111" customWidth="1"/>
    <col min="146" max="148" width="3.69921875" style="111" customWidth="1" outlineLevel="1"/>
    <col min="149" max="161" width="6.69921875" style="111" customWidth="1" outlineLevel="1"/>
    <col min="162" max="162" width="2.69921875" style="111" customWidth="1" outlineLevel="1"/>
    <col min="163" max="163" width="4.19921875" style="111" customWidth="1"/>
    <col min="164" max="166" width="3.69921875" style="111" customWidth="1" outlineLevel="1"/>
    <col min="167" max="179" width="6.69921875" style="111" customWidth="1" outlineLevel="1"/>
    <col min="180" max="180" width="2.69921875" style="111" customWidth="1" outlineLevel="1"/>
    <col min="181" max="181" width="4.19921875" style="111" customWidth="1"/>
    <col min="182" max="184" width="3.69921875" style="111" customWidth="1" outlineLevel="1"/>
    <col min="185" max="197" width="6.69921875" style="111" customWidth="1" outlineLevel="1"/>
    <col min="198" max="198" width="2.69921875" style="111" customWidth="1" outlineLevel="1"/>
    <col min="199" max="199" width="4.19921875" style="111" customWidth="1"/>
    <col min="200" max="202" width="3.69921875" style="111" customWidth="1" outlineLevel="1"/>
    <col min="203" max="215" width="6.69921875" style="111" customWidth="1" outlineLevel="1"/>
    <col min="216" max="216" width="2.69921875" style="111" customWidth="1" outlineLevel="1"/>
    <col min="217" max="16384" width="8.796875" style="111"/>
  </cols>
  <sheetData>
    <row r="1" spans="1:215" x14ac:dyDescent="0.45">
      <c r="A1" s="120"/>
      <c r="B1" s="338">
        <v>46023</v>
      </c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40"/>
      <c r="S1" s="120"/>
      <c r="T1" s="349">
        <v>46054</v>
      </c>
      <c r="U1" s="339"/>
      <c r="V1" s="339"/>
      <c r="W1" s="339"/>
      <c r="X1" s="339"/>
      <c r="Y1" s="339"/>
      <c r="Z1" s="339"/>
      <c r="AA1" s="339"/>
      <c r="AB1" s="339"/>
      <c r="AC1" s="339"/>
      <c r="AD1" s="339"/>
      <c r="AE1" s="339"/>
      <c r="AF1" s="339"/>
      <c r="AG1" s="339"/>
      <c r="AH1" s="339"/>
      <c r="AI1" s="340"/>
      <c r="AK1" s="120"/>
      <c r="AL1" s="349">
        <v>46082</v>
      </c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40"/>
      <c r="BC1" s="120"/>
      <c r="BD1" s="349">
        <v>46113</v>
      </c>
      <c r="BE1" s="339"/>
      <c r="BF1" s="339"/>
      <c r="BG1" s="339"/>
      <c r="BH1" s="339"/>
      <c r="BI1" s="339"/>
      <c r="BJ1" s="339"/>
      <c r="BK1" s="339"/>
      <c r="BL1" s="339"/>
      <c r="BM1" s="339"/>
      <c r="BN1" s="339"/>
      <c r="BO1" s="339"/>
      <c r="BP1" s="339"/>
      <c r="BQ1" s="339"/>
      <c r="BR1" s="339"/>
      <c r="BS1" s="340"/>
      <c r="BU1" s="120"/>
      <c r="BV1" s="349">
        <v>46143</v>
      </c>
      <c r="BW1" s="339"/>
      <c r="BX1" s="339"/>
      <c r="BY1" s="339"/>
      <c r="BZ1" s="339"/>
      <c r="CA1" s="339"/>
      <c r="CB1" s="339"/>
      <c r="CC1" s="339"/>
      <c r="CD1" s="339"/>
      <c r="CE1" s="339"/>
      <c r="CF1" s="339"/>
      <c r="CG1" s="339"/>
      <c r="CH1" s="339"/>
      <c r="CI1" s="339"/>
      <c r="CJ1" s="339"/>
      <c r="CK1" s="340"/>
      <c r="CM1" s="120"/>
      <c r="CN1" s="349">
        <v>46174</v>
      </c>
      <c r="CO1" s="339"/>
      <c r="CP1" s="339"/>
      <c r="CQ1" s="339"/>
      <c r="CR1" s="339"/>
      <c r="CS1" s="339"/>
      <c r="CT1" s="339"/>
      <c r="CU1" s="339"/>
      <c r="CV1" s="339"/>
      <c r="CW1" s="339"/>
      <c r="CX1" s="339"/>
      <c r="CY1" s="339"/>
      <c r="CZ1" s="339"/>
      <c r="DA1" s="339"/>
      <c r="DB1" s="339"/>
      <c r="DC1" s="340"/>
      <c r="DE1" s="120"/>
      <c r="DF1" s="349">
        <v>46204</v>
      </c>
      <c r="DG1" s="339"/>
      <c r="DH1" s="339"/>
      <c r="DI1" s="339"/>
      <c r="DJ1" s="339"/>
      <c r="DK1" s="339"/>
      <c r="DL1" s="339"/>
      <c r="DM1" s="339"/>
      <c r="DN1" s="339"/>
      <c r="DO1" s="339"/>
      <c r="DP1" s="339"/>
      <c r="DQ1" s="339"/>
      <c r="DR1" s="339"/>
      <c r="DS1" s="339"/>
      <c r="DT1" s="339"/>
      <c r="DU1" s="340"/>
      <c r="DW1" s="120"/>
      <c r="DX1" s="349">
        <v>46235</v>
      </c>
      <c r="DY1" s="339"/>
      <c r="DZ1" s="339"/>
      <c r="EA1" s="339"/>
      <c r="EB1" s="339"/>
      <c r="EC1" s="339"/>
      <c r="ED1" s="339"/>
      <c r="EE1" s="339"/>
      <c r="EF1" s="339"/>
      <c r="EG1" s="339"/>
      <c r="EH1" s="339"/>
      <c r="EI1" s="339"/>
      <c r="EJ1" s="339"/>
      <c r="EK1" s="339"/>
      <c r="EL1" s="339"/>
      <c r="EM1" s="340"/>
      <c r="EO1" s="120"/>
      <c r="EP1" s="349">
        <v>46266</v>
      </c>
      <c r="EQ1" s="339"/>
      <c r="ER1" s="339"/>
      <c r="ES1" s="339"/>
      <c r="ET1" s="339"/>
      <c r="EU1" s="339"/>
      <c r="EV1" s="339"/>
      <c r="EW1" s="339"/>
      <c r="EX1" s="339"/>
      <c r="EY1" s="339"/>
      <c r="EZ1" s="339"/>
      <c r="FA1" s="339"/>
      <c r="FB1" s="339"/>
      <c r="FC1" s="339"/>
      <c r="FD1" s="339"/>
      <c r="FE1" s="340"/>
      <c r="FG1" s="120"/>
      <c r="FH1" s="349">
        <v>46296</v>
      </c>
      <c r="FI1" s="339"/>
      <c r="FJ1" s="339"/>
      <c r="FK1" s="339"/>
      <c r="FL1" s="339"/>
      <c r="FM1" s="339"/>
      <c r="FN1" s="339"/>
      <c r="FO1" s="339"/>
      <c r="FP1" s="339"/>
      <c r="FQ1" s="339"/>
      <c r="FR1" s="339"/>
      <c r="FS1" s="339"/>
      <c r="FT1" s="339"/>
      <c r="FU1" s="339"/>
      <c r="FV1" s="339"/>
      <c r="FW1" s="340"/>
      <c r="FY1" s="120"/>
      <c r="FZ1" s="349">
        <v>46327</v>
      </c>
      <c r="GA1" s="339"/>
      <c r="GB1" s="339"/>
      <c r="GC1" s="339"/>
      <c r="GD1" s="339"/>
      <c r="GE1" s="339"/>
      <c r="GF1" s="339"/>
      <c r="GG1" s="339"/>
      <c r="GH1" s="339"/>
      <c r="GI1" s="339"/>
      <c r="GJ1" s="339"/>
      <c r="GK1" s="339"/>
      <c r="GL1" s="339"/>
      <c r="GM1" s="339"/>
      <c r="GN1" s="339"/>
      <c r="GO1" s="340"/>
      <c r="GQ1" s="120"/>
      <c r="GR1" s="349">
        <v>46357</v>
      </c>
      <c r="GS1" s="339"/>
      <c r="GT1" s="339"/>
      <c r="GU1" s="339"/>
      <c r="GV1" s="339"/>
      <c r="GW1" s="339"/>
      <c r="GX1" s="339"/>
      <c r="GY1" s="339"/>
      <c r="GZ1" s="339"/>
      <c r="HA1" s="339"/>
      <c r="HB1" s="339"/>
      <c r="HC1" s="339"/>
      <c r="HD1" s="339"/>
      <c r="HE1" s="339"/>
      <c r="HF1" s="339"/>
      <c r="HG1" s="340"/>
    </row>
    <row r="2" spans="1:215" ht="6" customHeight="1" outlineLevel="1" x14ac:dyDescent="0.45">
      <c r="A2" s="120"/>
      <c r="B2" s="226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7"/>
      <c r="S2" s="120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7"/>
      <c r="AK2" s="120"/>
      <c r="AL2" s="226"/>
      <c r="AM2" s="226"/>
      <c r="AN2" s="226"/>
      <c r="AO2" s="226"/>
      <c r="AP2" s="226"/>
      <c r="AQ2" s="226"/>
      <c r="AR2" s="226"/>
      <c r="AS2" s="226"/>
      <c r="AT2" s="226"/>
      <c r="AU2" s="226"/>
      <c r="AV2" s="226"/>
      <c r="AW2" s="226"/>
      <c r="AX2" s="226"/>
      <c r="AY2" s="226"/>
      <c r="AZ2" s="226"/>
      <c r="BA2" s="227"/>
      <c r="BC2" s="120"/>
      <c r="BD2" s="226"/>
      <c r="BE2" s="226"/>
      <c r="BF2" s="226"/>
      <c r="BG2" s="226"/>
      <c r="BH2" s="226"/>
      <c r="BI2" s="226"/>
      <c r="BJ2" s="226"/>
      <c r="BK2" s="226"/>
      <c r="BL2" s="226"/>
      <c r="BM2" s="226"/>
      <c r="BN2" s="226"/>
      <c r="BO2" s="226"/>
      <c r="BP2" s="226"/>
      <c r="BQ2" s="226"/>
      <c r="BR2" s="226"/>
      <c r="BS2" s="227"/>
      <c r="BU2" s="120"/>
      <c r="BV2" s="226"/>
      <c r="BW2" s="226"/>
      <c r="BX2" s="226"/>
      <c r="BY2" s="226"/>
      <c r="BZ2" s="226"/>
      <c r="CA2" s="226"/>
      <c r="CB2" s="226"/>
      <c r="CC2" s="226"/>
      <c r="CD2" s="226"/>
      <c r="CE2" s="226"/>
      <c r="CF2" s="226"/>
      <c r="CG2" s="226"/>
      <c r="CH2" s="226"/>
      <c r="CI2" s="226"/>
      <c r="CJ2" s="226"/>
      <c r="CK2" s="227"/>
      <c r="CM2" s="120"/>
      <c r="CN2" s="226"/>
      <c r="CO2" s="226"/>
      <c r="CP2" s="226"/>
      <c r="CQ2" s="226"/>
      <c r="CR2" s="226"/>
      <c r="CS2" s="226"/>
      <c r="CT2" s="226"/>
      <c r="CU2" s="226"/>
      <c r="CV2" s="226"/>
      <c r="CW2" s="226"/>
      <c r="CX2" s="226"/>
      <c r="CY2" s="226"/>
      <c r="CZ2" s="226"/>
      <c r="DA2" s="226"/>
      <c r="DB2" s="226"/>
      <c r="DC2" s="227"/>
      <c r="DE2" s="120"/>
      <c r="DF2" s="226"/>
      <c r="DG2" s="226"/>
      <c r="DH2" s="226"/>
      <c r="DI2" s="226"/>
      <c r="DJ2" s="226"/>
      <c r="DK2" s="226"/>
      <c r="DL2" s="226"/>
      <c r="DM2" s="226"/>
      <c r="DN2" s="226"/>
      <c r="DO2" s="226"/>
      <c r="DP2" s="226"/>
      <c r="DQ2" s="226"/>
      <c r="DR2" s="226"/>
      <c r="DS2" s="226"/>
      <c r="DT2" s="226"/>
      <c r="DU2" s="227"/>
      <c r="DW2" s="120"/>
      <c r="DX2" s="226"/>
      <c r="DY2" s="226"/>
      <c r="DZ2" s="226"/>
      <c r="EA2" s="226"/>
      <c r="EB2" s="226"/>
      <c r="EC2" s="226"/>
      <c r="ED2" s="226"/>
      <c r="EE2" s="226"/>
      <c r="EF2" s="226"/>
      <c r="EG2" s="226"/>
      <c r="EH2" s="226"/>
      <c r="EI2" s="226"/>
      <c r="EJ2" s="226"/>
      <c r="EK2" s="226"/>
      <c r="EL2" s="226"/>
      <c r="EM2" s="227"/>
      <c r="EO2" s="120"/>
      <c r="EP2" s="226"/>
      <c r="EQ2" s="226"/>
      <c r="ER2" s="226"/>
      <c r="ES2" s="226"/>
      <c r="ET2" s="226"/>
      <c r="EU2" s="226"/>
      <c r="EV2" s="226"/>
      <c r="EW2" s="226"/>
      <c r="EX2" s="226"/>
      <c r="EY2" s="226"/>
      <c r="EZ2" s="226"/>
      <c r="FA2" s="226"/>
      <c r="FB2" s="226"/>
      <c r="FC2" s="226"/>
      <c r="FD2" s="226"/>
      <c r="FE2" s="227"/>
      <c r="FG2" s="120"/>
      <c r="FH2" s="226"/>
      <c r="FI2" s="226"/>
      <c r="FJ2" s="226"/>
      <c r="FK2" s="226"/>
      <c r="FL2" s="226"/>
      <c r="FM2" s="226"/>
      <c r="FN2" s="226"/>
      <c r="FO2" s="226"/>
      <c r="FP2" s="226"/>
      <c r="FQ2" s="226"/>
      <c r="FR2" s="226"/>
      <c r="FS2" s="226"/>
      <c r="FT2" s="226"/>
      <c r="FU2" s="226"/>
      <c r="FV2" s="226"/>
      <c r="FW2" s="227"/>
      <c r="FY2" s="120"/>
      <c r="FZ2" s="226"/>
      <c r="GA2" s="226"/>
      <c r="GB2" s="226"/>
      <c r="GC2" s="226"/>
      <c r="GD2" s="226"/>
      <c r="GE2" s="226"/>
      <c r="GF2" s="226"/>
      <c r="GG2" s="226"/>
      <c r="GH2" s="226"/>
      <c r="GI2" s="226"/>
      <c r="GJ2" s="226"/>
      <c r="GK2" s="226"/>
      <c r="GL2" s="226"/>
      <c r="GM2" s="226"/>
      <c r="GN2" s="226"/>
      <c r="GO2" s="227"/>
      <c r="GQ2" s="120"/>
      <c r="GR2" s="226"/>
      <c r="GS2" s="226"/>
      <c r="GT2" s="226"/>
      <c r="GU2" s="226"/>
      <c r="GV2" s="226"/>
      <c r="GW2" s="226"/>
      <c r="GX2" s="226"/>
      <c r="GY2" s="226"/>
      <c r="GZ2" s="226"/>
      <c r="HA2" s="226"/>
      <c r="HB2" s="226"/>
      <c r="HC2" s="226"/>
      <c r="HD2" s="226"/>
      <c r="HE2" s="226"/>
      <c r="HF2" s="226"/>
      <c r="HG2" s="227"/>
    </row>
    <row r="3" spans="1:215" outlineLevel="1" x14ac:dyDescent="0.45">
      <c r="A3" s="120"/>
      <c r="B3" s="341" t="s">
        <v>24</v>
      </c>
      <c r="C3" s="341"/>
      <c r="D3" s="341"/>
      <c r="E3" s="250">
        <f>COUNTIF(D10:D40,"出")</f>
        <v>0</v>
      </c>
      <c r="F3" s="226"/>
      <c r="G3" s="344" t="s">
        <v>35</v>
      </c>
      <c r="H3" s="344"/>
      <c r="I3" s="226"/>
      <c r="J3" s="344" t="s">
        <v>36</v>
      </c>
      <c r="K3" s="344"/>
      <c r="L3" s="226"/>
      <c r="M3" s="226"/>
      <c r="N3" s="226"/>
      <c r="O3" s="226"/>
      <c r="P3" s="226"/>
      <c r="Q3" s="227"/>
      <c r="S3" s="120"/>
      <c r="T3" s="341" t="s">
        <v>24</v>
      </c>
      <c r="U3" s="341"/>
      <c r="V3" s="341"/>
      <c r="W3" s="250">
        <f>COUNTIF(V10:V40,"出")</f>
        <v>0</v>
      </c>
      <c r="X3" s="226"/>
      <c r="Y3" s="344" t="s">
        <v>35</v>
      </c>
      <c r="Z3" s="344"/>
      <c r="AA3" s="226"/>
      <c r="AB3" s="344" t="s">
        <v>36</v>
      </c>
      <c r="AC3" s="344"/>
      <c r="AD3" s="226"/>
      <c r="AE3" s="226"/>
      <c r="AF3" s="226"/>
      <c r="AG3" s="226"/>
      <c r="AH3" s="226"/>
      <c r="AI3" s="227"/>
      <c r="AK3" s="120"/>
      <c r="AL3" s="341" t="s">
        <v>24</v>
      </c>
      <c r="AM3" s="341"/>
      <c r="AN3" s="341"/>
      <c r="AO3" s="250">
        <f>COUNTIF(AN10:AN40,"出")</f>
        <v>0</v>
      </c>
      <c r="AP3" s="226"/>
      <c r="AQ3" s="344" t="s">
        <v>35</v>
      </c>
      <c r="AR3" s="344"/>
      <c r="AS3" s="226"/>
      <c r="AT3" s="344" t="s">
        <v>36</v>
      </c>
      <c r="AU3" s="344"/>
      <c r="AV3" s="226"/>
      <c r="AW3" s="226"/>
      <c r="AX3" s="226"/>
      <c r="AY3" s="226"/>
      <c r="AZ3" s="226"/>
      <c r="BA3" s="227"/>
      <c r="BC3" s="120"/>
      <c r="BD3" s="341" t="s">
        <v>24</v>
      </c>
      <c r="BE3" s="341"/>
      <c r="BF3" s="341"/>
      <c r="BG3" s="250">
        <f>COUNTIF(BF10:BF40,"出")</f>
        <v>0</v>
      </c>
      <c r="BH3" s="226"/>
      <c r="BI3" s="344" t="s">
        <v>35</v>
      </c>
      <c r="BJ3" s="344"/>
      <c r="BK3" s="226"/>
      <c r="BL3" s="344" t="s">
        <v>36</v>
      </c>
      <c r="BM3" s="344"/>
      <c r="BN3" s="226"/>
      <c r="BO3" s="226"/>
      <c r="BP3" s="226"/>
      <c r="BQ3" s="226"/>
      <c r="BR3" s="226"/>
      <c r="BS3" s="227"/>
      <c r="BU3" s="120"/>
      <c r="BV3" s="341" t="s">
        <v>24</v>
      </c>
      <c r="BW3" s="341"/>
      <c r="BX3" s="341"/>
      <c r="BY3" s="250">
        <f>COUNTIF(BX10:BX40,"出")</f>
        <v>0</v>
      </c>
      <c r="BZ3" s="226"/>
      <c r="CA3" s="344" t="s">
        <v>35</v>
      </c>
      <c r="CB3" s="344"/>
      <c r="CC3" s="226"/>
      <c r="CD3" s="344" t="s">
        <v>36</v>
      </c>
      <c r="CE3" s="344"/>
      <c r="CF3" s="226"/>
      <c r="CG3" s="226"/>
      <c r="CH3" s="226"/>
      <c r="CI3" s="226"/>
      <c r="CJ3" s="226"/>
      <c r="CK3" s="227"/>
      <c r="CM3" s="120"/>
      <c r="CN3" s="341" t="s">
        <v>24</v>
      </c>
      <c r="CO3" s="341"/>
      <c r="CP3" s="341"/>
      <c r="CQ3" s="250">
        <f>COUNTIF(CP10:CP40,"出")</f>
        <v>0</v>
      </c>
      <c r="CR3" s="226"/>
      <c r="CS3" s="344" t="s">
        <v>35</v>
      </c>
      <c r="CT3" s="344"/>
      <c r="CU3" s="226"/>
      <c r="CV3" s="344" t="s">
        <v>36</v>
      </c>
      <c r="CW3" s="344"/>
      <c r="CX3" s="226"/>
      <c r="CY3" s="226"/>
      <c r="CZ3" s="226"/>
      <c r="DA3" s="226"/>
      <c r="DB3" s="226"/>
      <c r="DC3" s="227"/>
      <c r="DE3" s="120"/>
      <c r="DF3" s="341" t="s">
        <v>24</v>
      </c>
      <c r="DG3" s="341"/>
      <c r="DH3" s="341"/>
      <c r="DI3" s="250">
        <f>COUNTIF(DH10:DH40,"出")</f>
        <v>0</v>
      </c>
      <c r="DJ3" s="226"/>
      <c r="DK3" s="344" t="s">
        <v>35</v>
      </c>
      <c r="DL3" s="344"/>
      <c r="DM3" s="226"/>
      <c r="DN3" s="344" t="s">
        <v>36</v>
      </c>
      <c r="DO3" s="344"/>
      <c r="DP3" s="226"/>
      <c r="DQ3" s="226"/>
      <c r="DR3" s="226"/>
      <c r="DS3" s="226"/>
      <c r="DT3" s="226"/>
      <c r="DU3" s="227"/>
      <c r="DW3" s="120"/>
      <c r="DX3" s="341" t="s">
        <v>24</v>
      </c>
      <c r="DY3" s="341"/>
      <c r="DZ3" s="341"/>
      <c r="EA3" s="250">
        <f>COUNTIF(DZ10:DZ40,"出")</f>
        <v>0</v>
      </c>
      <c r="EB3" s="226"/>
      <c r="EC3" s="344" t="s">
        <v>35</v>
      </c>
      <c r="ED3" s="344"/>
      <c r="EE3" s="226"/>
      <c r="EF3" s="344" t="s">
        <v>36</v>
      </c>
      <c r="EG3" s="344"/>
      <c r="EH3" s="226"/>
      <c r="EI3" s="226"/>
      <c r="EJ3" s="226"/>
      <c r="EK3" s="226"/>
      <c r="EL3" s="226"/>
      <c r="EM3" s="227"/>
      <c r="EO3" s="120"/>
      <c r="EP3" s="341" t="s">
        <v>24</v>
      </c>
      <c r="EQ3" s="341"/>
      <c r="ER3" s="341"/>
      <c r="ES3" s="250">
        <f>COUNTIF(ER10:ER40,"出")</f>
        <v>0</v>
      </c>
      <c r="ET3" s="226"/>
      <c r="EU3" s="344" t="s">
        <v>35</v>
      </c>
      <c r="EV3" s="344"/>
      <c r="EW3" s="226"/>
      <c r="EX3" s="344" t="s">
        <v>36</v>
      </c>
      <c r="EY3" s="344"/>
      <c r="EZ3" s="226"/>
      <c r="FA3" s="226"/>
      <c r="FB3" s="226"/>
      <c r="FC3" s="226"/>
      <c r="FD3" s="226"/>
      <c r="FE3" s="227"/>
      <c r="FG3" s="120"/>
      <c r="FH3" s="341" t="s">
        <v>24</v>
      </c>
      <c r="FI3" s="341"/>
      <c r="FJ3" s="341"/>
      <c r="FK3" s="250">
        <f>COUNTIF(FJ10:FJ40,"出")</f>
        <v>0</v>
      </c>
      <c r="FL3" s="226"/>
      <c r="FM3" s="344" t="s">
        <v>35</v>
      </c>
      <c r="FN3" s="344"/>
      <c r="FO3" s="226"/>
      <c r="FP3" s="344" t="s">
        <v>36</v>
      </c>
      <c r="FQ3" s="344"/>
      <c r="FR3" s="226"/>
      <c r="FS3" s="226"/>
      <c r="FT3" s="226"/>
      <c r="FU3" s="226"/>
      <c r="FV3" s="226"/>
      <c r="FW3" s="227"/>
      <c r="FY3" s="120"/>
      <c r="FZ3" s="341" t="s">
        <v>24</v>
      </c>
      <c r="GA3" s="341"/>
      <c r="GB3" s="341"/>
      <c r="GC3" s="250">
        <f>COUNTIF(GB10:GB40,"出")</f>
        <v>0</v>
      </c>
      <c r="GD3" s="226"/>
      <c r="GE3" s="344" t="s">
        <v>35</v>
      </c>
      <c r="GF3" s="344"/>
      <c r="GG3" s="226"/>
      <c r="GH3" s="344" t="s">
        <v>36</v>
      </c>
      <c r="GI3" s="344"/>
      <c r="GJ3" s="226"/>
      <c r="GK3" s="226"/>
      <c r="GL3" s="226"/>
      <c r="GM3" s="226"/>
      <c r="GN3" s="226"/>
      <c r="GO3" s="227"/>
      <c r="GQ3" s="120"/>
      <c r="GR3" s="341" t="s">
        <v>24</v>
      </c>
      <c r="GS3" s="341"/>
      <c r="GT3" s="341"/>
      <c r="GU3" s="250">
        <f>COUNTIF(GT10:GT40,"出")</f>
        <v>0</v>
      </c>
      <c r="GV3" s="226"/>
      <c r="GW3" s="344" t="s">
        <v>35</v>
      </c>
      <c r="GX3" s="344"/>
      <c r="GY3" s="226"/>
      <c r="GZ3" s="344" t="s">
        <v>36</v>
      </c>
      <c r="HA3" s="344"/>
      <c r="HB3" s="226"/>
      <c r="HC3" s="226"/>
      <c r="HD3" s="226"/>
      <c r="HE3" s="226"/>
      <c r="HF3" s="226"/>
      <c r="HG3" s="227"/>
    </row>
    <row r="4" spans="1:215" outlineLevel="1" x14ac:dyDescent="0.45">
      <c r="A4" s="120"/>
      <c r="B4" s="342" t="s">
        <v>23</v>
      </c>
      <c r="C4" s="342"/>
      <c r="D4" s="342"/>
      <c r="E4" s="251">
        <f>COUNTIF(D10:D40,"リ")</f>
        <v>19</v>
      </c>
      <c r="F4" s="226"/>
      <c r="G4" s="253" t="s">
        <v>3</v>
      </c>
      <c r="H4" s="253" t="s">
        <v>27</v>
      </c>
      <c r="I4" s="226"/>
      <c r="J4" s="253" t="s">
        <v>3</v>
      </c>
      <c r="K4" s="253" t="s">
        <v>27</v>
      </c>
      <c r="L4" s="226"/>
      <c r="M4" s="226"/>
      <c r="N4" s="226"/>
      <c r="O4" s="226"/>
      <c r="P4" s="226"/>
      <c r="Q4" s="227"/>
      <c r="S4" s="120"/>
      <c r="T4" s="342" t="s">
        <v>23</v>
      </c>
      <c r="U4" s="342"/>
      <c r="V4" s="342"/>
      <c r="W4" s="251">
        <f>COUNTIF(V10:V40,"リ")</f>
        <v>18</v>
      </c>
      <c r="X4" s="226"/>
      <c r="Y4" s="253" t="s">
        <v>3</v>
      </c>
      <c r="Z4" s="253" t="s">
        <v>27</v>
      </c>
      <c r="AA4" s="226"/>
      <c r="AB4" s="253" t="s">
        <v>3</v>
      </c>
      <c r="AC4" s="253" t="s">
        <v>27</v>
      </c>
      <c r="AD4" s="226"/>
      <c r="AE4" s="226"/>
      <c r="AF4" s="226"/>
      <c r="AG4" s="226"/>
      <c r="AH4" s="226"/>
      <c r="AI4" s="227"/>
      <c r="AK4" s="120"/>
      <c r="AL4" s="342" t="s">
        <v>23</v>
      </c>
      <c r="AM4" s="342"/>
      <c r="AN4" s="342"/>
      <c r="AO4" s="251">
        <f>COUNTIF(AN10:AN40,"リ")</f>
        <v>21</v>
      </c>
      <c r="AP4" s="226"/>
      <c r="AQ4" s="253" t="s">
        <v>3</v>
      </c>
      <c r="AR4" s="253" t="s">
        <v>27</v>
      </c>
      <c r="AS4" s="226"/>
      <c r="AT4" s="253" t="s">
        <v>3</v>
      </c>
      <c r="AU4" s="253" t="s">
        <v>27</v>
      </c>
      <c r="AV4" s="226"/>
      <c r="AW4" s="226"/>
      <c r="AX4" s="226"/>
      <c r="AY4" s="226"/>
      <c r="AZ4" s="226"/>
      <c r="BA4" s="227"/>
      <c r="BC4" s="120"/>
      <c r="BD4" s="342" t="s">
        <v>23</v>
      </c>
      <c r="BE4" s="342"/>
      <c r="BF4" s="342"/>
      <c r="BG4" s="251">
        <f>COUNTIF(BF10:BF40,"リ")</f>
        <v>21</v>
      </c>
      <c r="BH4" s="226"/>
      <c r="BI4" s="253" t="s">
        <v>3</v>
      </c>
      <c r="BJ4" s="253" t="s">
        <v>27</v>
      </c>
      <c r="BK4" s="226"/>
      <c r="BL4" s="253" t="s">
        <v>3</v>
      </c>
      <c r="BM4" s="253" t="s">
        <v>27</v>
      </c>
      <c r="BN4" s="226"/>
      <c r="BO4" s="226"/>
      <c r="BP4" s="226"/>
      <c r="BQ4" s="226"/>
      <c r="BR4" s="226"/>
      <c r="BS4" s="227"/>
      <c r="BU4" s="120"/>
      <c r="BV4" s="342" t="s">
        <v>23</v>
      </c>
      <c r="BW4" s="342"/>
      <c r="BX4" s="342"/>
      <c r="BY4" s="251">
        <f>COUNTIF(BX10:BX40,"リ")</f>
        <v>18</v>
      </c>
      <c r="BZ4" s="226"/>
      <c r="CA4" s="253" t="s">
        <v>3</v>
      </c>
      <c r="CB4" s="253" t="s">
        <v>27</v>
      </c>
      <c r="CC4" s="226"/>
      <c r="CD4" s="253" t="s">
        <v>3</v>
      </c>
      <c r="CE4" s="253" t="s">
        <v>27</v>
      </c>
      <c r="CF4" s="226"/>
      <c r="CG4" s="226"/>
      <c r="CH4" s="226"/>
      <c r="CI4" s="226"/>
      <c r="CJ4" s="226"/>
      <c r="CK4" s="227"/>
      <c r="CM4" s="120"/>
      <c r="CN4" s="342" t="s">
        <v>23</v>
      </c>
      <c r="CO4" s="342"/>
      <c r="CP4" s="342"/>
      <c r="CQ4" s="251">
        <f>COUNTIF(CP10:CP40,"リ")</f>
        <v>22</v>
      </c>
      <c r="CR4" s="226"/>
      <c r="CS4" s="253" t="s">
        <v>3</v>
      </c>
      <c r="CT4" s="253" t="s">
        <v>27</v>
      </c>
      <c r="CU4" s="226"/>
      <c r="CV4" s="253" t="s">
        <v>3</v>
      </c>
      <c r="CW4" s="253" t="s">
        <v>27</v>
      </c>
      <c r="CX4" s="226"/>
      <c r="CY4" s="226"/>
      <c r="CZ4" s="226"/>
      <c r="DA4" s="226"/>
      <c r="DB4" s="226"/>
      <c r="DC4" s="227"/>
      <c r="DE4" s="120"/>
      <c r="DF4" s="342" t="s">
        <v>23</v>
      </c>
      <c r="DG4" s="342"/>
      <c r="DH4" s="342"/>
      <c r="DI4" s="251">
        <f>COUNTIF(DH10:DH40,"リ")</f>
        <v>22</v>
      </c>
      <c r="DJ4" s="226"/>
      <c r="DK4" s="253" t="s">
        <v>3</v>
      </c>
      <c r="DL4" s="253" t="s">
        <v>27</v>
      </c>
      <c r="DM4" s="226"/>
      <c r="DN4" s="253" t="s">
        <v>3</v>
      </c>
      <c r="DO4" s="253" t="s">
        <v>27</v>
      </c>
      <c r="DP4" s="226"/>
      <c r="DQ4" s="226"/>
      <c r="DR4" s="226"/>
      <c r="DS4" s="226"/>
      <c r="DT4" s="226"/>
      <c r="DU4" s="227"/>
      <c r="DW4" s="120"/>
      <c r="DX4" s="342" t="s">
        <v>23</v>
      </c>
      <c r="DY4" s="342"/>
      <c r="DZ4" s="342"/>
      <c r="EA4" s="251">
        <f>COUNTIF(DZ10:DZ40,"リ")</f>
        <v>20</v>
      </c>
      <c r="EB4" s="226"/>
      <c r="EC4" s="253" t="s">
        <v>3</v>
      </c>
      <c r="ED4" s="253" t="s">
        <v>27</v>
      </c>
      <c r="EE4" s="226"/>
      <c r="EF4" s="253" t="s">
        <v>3</v>
      </c>
      <c r="EG4" s="253" t="s">
        <v>27</v>
      </c>
      <c r="EH4" s="226"/>
      <c r="EI4" s="226"/>
      <c r="EJ4" s="226"/>
      <c r="EK4" s="226"/>
      <c r="EL4" s="226"/>
      <c r="EM4" s="227"/>
      <c r="EO4" s="120"/>
      <c r="EP4" s="342" t="s">
        <v>23</v>
      </c>
      <c r="EQ4" s="342"/>
      <c r="ER4" s="342"/>
      <c r="ES4" s="251">
        <f>COUNTIF(ER10:ER40,"リ")</f>
        <v>19</v>
      </c>
      <c r="ET4" s="226"/>
      <c r="EU4" s="253" t="s">
        <v>3</v>
      </c>
      <c r="EV4" s="253" t="s">
        <v>27</v>
      </c>
      <c r="EW4" s="226"/>
      <c r="EX4" s="253" t="s">
        <v>3</v>
      </c>
      <c r="EY4" s="253" t="s">
        <v>27</v>
      </c>
      <c r="EZ4" s="226"/>
      <c r="FA4" s="226"/>
      <c r="FB4" s="226"/>
      <c r="FC4" s="226"/>
      <c r="FD4" s="226"/>
      <c r="FE4" s="227"/>
      <c r="FG4" s="120"/>
      <c r="FH4" s="342" t="s">
        <v>23</v>
      </c>
      <c r="FI4" s="342"/>
      <c r="FJ4" s="342"/>
      <c r="FK4" s="251">
        <f>COUNTIF(FJ10:FJ40,"リ")</f>
        <v>21</v>
      </c>
      <c r="FL4" s="226"/>
      <c r="FM4" s="253" t="s">
        <v>3</v>
      </c>
      <c r="FN4" s="253" t="s">
        <v>27</v>
      </c>
      <c r="FO4" s="226"/>
      <c r="FP4" s="253" t="s">
        <v>3</v>
      </c>
      <c r="FQ4" s="253" t="s">
        <v>27</v>
      </c>
      <c r="FR4" s="226"/>
      <c r="FS4" s="226"/>
      <c r="FT4" s="226"/>
      <c r="FU4" s="226"/>
      <c r="FV4" s="226"/>
      <c r="FW4" s="227"/>
      <c r="FY4" s="120"/>
      <c r="FZ4" s="342" t="s">
        <v>23</v>
      </c>
      <c r="GA4" s="342"/>
      <c r="GB4" s="342"/>
      <c r="GC4" s="251">
        <f>COUNTIF(GB10:GB40,"リ")</f>
        <v>19</v>
      </c>
      <c r="GD4" s="226"/>
      <c r="GE4" s="253" t="s">
        <v>3</v>
      </c>
      <c r="GF4" s="253" t="s">
        <v>27</v>
      </c>
      <c r="GG4" s="226"/>
      <c r="GH4" s="253" t="s">
        <v>3</v>
      </c>
      <c r="GI4" s="253" t="s">
        <v>27</v>
      </c>
      <c r="GJ4" s="226"/>
      <c r="GK4" s="226"/>
      <c r="GL4" s="226"/>
      <c r="GM4" s="226"/>
      <c r="GN4" s="226"/>
      <c r="GO4" s="227"/>
      <c r="GQ4" s="120"/>
      <c r="GR4" s="342" t="s">
        <v>23</v>
      </c>
      <c r="GS4" s="342"/>
      <c r="GT4" s="342"/>
      <c r="GU4" s="251">
        <f>COUNTIF(GT10:GT40,"リ")</f>
        <v>20</v>
      </c>
      <c r="GV4" s="226"/>
      <c r="GW4" s="253" t="s">
        <v>3</v>
      </c>
      <c r="GX4" s="253" t="s">
        <v>27</v>
      </c>
      <c r="GY4" s="226"/>
      <c r="GZ4" s="253" t="s">
        <v>3</v>
      </c>
      <c r="HA4" s="253" t="s">
        <v>27</v>
      </c>
      <c r="HB4" s="226"/>
      <c r="HC4" s="226"/>
      <c r="HD4" s="226"/>
      <c r="HE4" s="226"/>
      <c r="HF4" s="226"/>
      <c r="HG4" s="227"/>
    </row>
    <row r="5" spans="1:215" outlineLevel="1" x14ac:dyDescent="0.45">
      <c r="A5" s="120"/>
      <c r="B5" s="343" t="s">
        <v>25</v>
      </c>
      <c r="C5" s="343"/>
      <c r="D5" s="343"/>
      <c r="E5" s="252">
        <f>E3/(E3+E4)</f>
        <v>0</v>
      </c>
      <c r="F5" s="226"/>
      <c r="G5" s="254">
        <f>COUNT(F10:F40)</f>
        <v>19</v>
      </c>
      <c r="H5" s="25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26"/>
      <c r="J5" s="254">
        <f>COUNT(J10:J40)</f>
        <v>19</v>
      </c>
      <c r="K5" s="25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26"/>
      <c r="M5" s="226"/>
      <c r="N5" s="226"/>
      <c r="O5" s="226"/>
      <c r="P5" s="226"/>
      <c r="Q5" s="227"/>
      <c r="S5" s="120"/>
      <c r="T5" s="343" t="s">
        <v>25</v>
      </c>
      <c r="U5" s="343"/>
      <c r="V5" s="343"/>
      <c r="W5" s="252">
        <f>W3/(W3+W4)</f>
        <v>0</v>
      </c>
      <c r="X5" s="226"/>
      <c r="Y5" s="254">
        <f>COUNT(X10:X40)</f>
        <v>18</v>
      </c>
      <c r="Z5" s="255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26"/>
      <c r="AB5" s="254">
        <f>COUNT(AB10:AB40)</f>
        <v>18</v>
      </c>
      <c r="AC5" s="255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26"/>
      <c r="AE5" s="226"/>
      <c r="AF5" s="226"/>
      <c r="AG5" s="226"/>
      <c r="AH5" s="226"/>
      <c r="AI5" s="227"/>
      <c r="AK5" s="120"/>
      <c r="AL5" s="343" t="s">
        <v>25</v>
      </c>
      <c r="AM5" s="343"/>
      <c r="AN5" s="343"/>
      <c r="AO5" s="252">
        <f>AO3/(AO3+AO4)</f>
        <v>0</v>
      </c>
      <c r="AP5" s="226"/>
      <c r="AQ5" s="254">
        <f>COUNT(AP10:AP40)</f>
        <v>21</v>
      </c>
      <c r="AR5" s="255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26"/>
      <c r="AT5" s="254">
        <f>COUNT(AT10:AT40)</f>
        <v>21</v>
      </c>
      <c r="AU5" s="255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26"/>
      <c r="AW5" s="226"/>
      <c r="AX5" s="226"/>
      <c r="AY5" s="226"/>
      <c r="AZ5" s="226"/>
      <c r="BA5" s="227"/>
      <c r="BC5" s="120"/>
      <c r="BD5" s="343" t="s">
        <v>25</v>
      </c>
      <c r="BE5" s="343"/>
      <c r="BF5" s="343"/>
      <c r="BG5" s="252">
        <f>BG3/(BG3+BG4)</f>
        <v>0</v>
      </c>
      <c r="BH5" s="226"/>
      <c r="BI5" s="254">
        <f>COUNT(BH10:BH40)</f>
        <v>21</v>
      </c>
      <c r="BJ5" s="255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26"/>
      <c r="BL5" s="254">
        <f>COUNT(BL10:BL40)</f>
        <v>21</v>
      </c>
      <c r="BM5" s="255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26"/>
      <c r="BO5" s="226"/>
      <c r="BP5" s="226"/>
      <c r="BQ5" s="226"/>
      <c r="BR5" s="226"/>
      <c r="BS5" s="227"/>
      <c r="BU5" s="120"/>
      <c r="BV5" s="343" t="s">
        <v>25</v>
      </c>
      <c r="BW5" s="343"/>
      <c r="BX5" s="343"/>
      <c r="BY5" s="252">
        <f>BY3/(BY3+BY4)</f>
        <v>0</v>
      </c>
      <c r="BZ5" s="226"/>
      <c r="CA5" s="254">
        <f>COUNT(BZ10:BZ40)</f>
        <v>18</v>
      </c>
      <c r="CB5" s="255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26"/>
      <c r="CD5" s="254">
        <f>COUNT(CD10:CD40)</f>
        <v>18</v>
      </c>
      <c r="CE5" s="255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26"/>
      <c r="CG5" s="226"/>
      <c r="CH5" s="226"/>
      <c r="CI5" s="226"/>
      <c r="CJ5" s="226"/>
      <c r="CK5" s="227"/>
      <c r="CM5" s="120"/>
      <c r="CN5" s="343" t="s">
        <v>25</v>
      </c>
      <c r="CO5" s="343"/>
      <c r="CP5" s="343"/>
      <c r="CQ5" s="252">
        <f>CQ3/(CQ3+CQ4)</f>
        <v>0</v>
      </c>
      <c r="CR5" s="226"/>
      <c r="CS5" s="254">
        <f>COUNT(CR10:CR40)</f>
        <v>22</v>
      </c>
      <c r="CT5" s="255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26"/>
      <c r="CV5" s="254">
        <f>COUNT(CV10:CV40)</f>
        <v>22</v>
      </c>
      <c r="CW5" s="255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26"/>
      <c r="CY5" s="226"/>
      <c r="CZ5" s="226"/>
      <c r="DA5" s="226"/>
      <c r="DB5" s="226"/>
      <c r="DC5" s="227"/>
      <c r="DE5" s="120"/>
      <c r="DF5" s="343" t="s">
        <v>25</v>
      </c>
      <c r="DG5" s="343"/>
      <c r="DH5" s="343"/>
      <c r="DI5" s="252">
        <f>DI3/(DI3+DI4)</f>
        <v>0</v>
      </c>
      <c r="DJ5" s="226"/>
      <c r="DK5" s="254">
        <f>COUNT(DJ10:DJ40)</f>
        <v>22</v>
      </c>
      <c r="DL5" s="255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26"/>
      <c r="DN5" s="254">
        <f>COUNT(DN10:DN40)</f>
        <v>22</v>
      </c>
      <c r="DO5" s="255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26"/>
      <c r="DQ5" s="226"/>
      <c r="DR5" s="226"/>
      <c r="DS5" s="226"/>
      <c r="DT5" s="226"/>
      <c r="DU5" s="227"/>
      <c r="DW5" s="120"/>
      <c r="DX5" s="343" t="s">
        <v>25</v>
      </c>
      <c r="DY5" s="343"/>
      <c r="DZ5" s="343"/>
      <c r="EA5" s="252">
        <f>EA3/(EA3+EA4)</f>
        <v>0</v>
      </c>
      <c r="EB5" s="226"/>
      <c r="EC5" s="254">
        <f>COUNT(EB10:EB40)</f>
        <v>20</v>
      </c>
      <c r="ED5" s="255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26"/>
      <c r="EF5" s="254">
        <f>COUNT(EF10:EF40)</f>
        <v>20</v>
      </c>
      <c r="EG5" s="255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26"/>
      <c r="EI5" s="226"/>
      <c r="EJ5" s="226"/>
      <c r="EK5" s="226"/>
      <c r="EL5" s="226"/>
      <c r="EM5" s="227"/>
      <c r="EO5" s="120"/>
      <c r="EP5" s="343" t="s">
        <v>25</v>
      </c>
      <c r="EQ5" s="343"/>
      <c r="ER5" s="343"/>
      <c r="ES5" s="252">
        <f>ES3/(ES3+ES4)</f>
        <v>0</v>
      </c>
      <c r="ET5" s="226"/>
      <c r="EU5" s="254">
        <f>COUNT(ET10:ET40)</f>
        <v>19</v>
      </c>
      <c r="EV5" s="255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26"/>
      <c r="EX5" s="254">
        <f>COUNT(EX10:EX40)</f>
        <v>19</v>
      </c>
      <c r="EY5" s="255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26"/>
      <c r="FA5" s="226"/>
      <c r="FB5" s="226"/>
      <c r="FC5" s="226"/>
      <c r="FD5" s="226"/>
      <c r="FE5" s="227"/>
      <c r="FG5" s="120"/>
      <c r="FH5" s="343" t="s">
        <v>25</v>
      </c>
      <c r="FI5" s="343"/>
      <c r="FJ5" s="343"/>
      <c r="FK5" s="252">
        <f>FK3/(FK3+FK4)</f>
        <v>0</v>
      </c>
      <c r="FL5" s="226"/>
      <c r="FM5" s="254">
        <f>COUNT(FL10:FL40)</f>
        <v>21</v>
      </c>
      <c r="FN5" s="255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26"/>
      <c r="FP5" s="254">
        <f>COUNT(FP10:FP40)</f>
        <v>21</v>
      </c>
      <c r="FQ5" s="255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26"/>
      <c r="FS5" s="226"/>
      <c r="FT5" s="226"/>
      <c r="FU5" s="226"/>
      <c r="FV5" s="226"/>
      <c r="FW5" s="227"/>
      <c r="FY5" s="120"/>
      <c r="FZ5" s="343" t="s">
        <v>25</v>
      </c>
      <c r="GA5" s="343"/>
      <c r="GB5" s="343"/>
      <c r="GC5" s="252">
        <f>GC3/(GC3+GC4)</f>
        <v>0</v>
      </c>
      <c r="GD5" s="226"/>
      <c r="GE5" s="254">
        <f>COUNT(GD10:GD40)</f>
        <v>19</v>
      </c>
      <c r="GF5" s="255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26"/>
      <c r="GH5" s="254">
        <f>COUNT(GH10:GH40)</f>
        <v>19</v>
      </c>
      <c r="GI5" s="255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26"/>
      <c r="GK5" s="226"/>
      <c r="GL5" s="226"/>
      <c r="GM5" s="226"/>
      <c r="GN5" s="226"/>
      <c r="GO5" s="227"/>
      <c r="GQ5" s="120"/>
      <c r="GR5" s="343" t="s">
        <v>25</v>
      </c>
      <c r="GS5" s="343"/>
      <c r="GT5" s="343"/>
      <c r="GU5" s="252">
        <f>GU3/(GU3+GU4)</f>
        <v>0</v>
      </c>
      <c r="GV5" s="226"/>
      <c r="GW5" s="254">
        <f>COUNT(GV10:GV40)</f>
        <v>20</v>
      </c>
      <c r="GX5" s="255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26"/>
      <c r="GZ5" s="254">
        <f>COUNT(GZ10:GZ40)</f>
        <v>20</v>
      </c>
      <c r="HA5" s="255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26"/>
      <c r="HC5" s="226"/>
      <c r="HD5" s="226"/>
      <c r="HE5" s="226"/>
      <c r="HF5" s="226"/>
      <c r="HG5" s="227"/>
    </row>
    <row r="6" spans="1:215" ht="6" customHeight="1" outlineLevel="1" thickBot="1" x14ac:dyDescent="0.5">
      <c r="A6" s="120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9"/>
      <c r="S6" s="120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9"/>
      <c r="AK6" s="120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9"/>
      <c r="BC6" s="120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9"/>
      <c r="BU6" s="120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9"/>
      <c r="CM6" s="120"/>
      <c r="CN6" s="228"/>
      <c r="CO6" s="228"/>
      <c r="CP6" s="228"/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9"/>
      <c r="DE6" s="120"/>
      <c r="DF6" s="228"/>
      <c r="DG6" s="228"/>
      <c r="DH6" s="228"/>
      <c r="DI6" s="228"/>
      <c r="DJ6" s="228"/>
      <c r="DK6" s="228"/>
      <c r="DL6" s="228"/>
      <c r="DM6" s="228"/>
      <c r="DN6" s="228"/>
      <c r="DO6" s="228"/>
      <c r="DP6" s="228"/>
      <c r="DQ6" s="228"/>
      <c r="DR6" s="228"/>
      <c r="DS6" s="228"/>
      <c r="DT6" s="228"/>
      <c r="DU6" s="229"/>
      <c r="DW6" s="120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  <c r="EL6" s="228"/>
      <c r="EM6" s="229"/>
      <c r="EO6" s="120"/>
      <c r="EP6" s="228"/>
      <c r="EQ6" s="228"/>
      <c r="ER6" s="228"/>
      <c r="ES6" s="228"/>
      <c r="ET6" s="228"/>
      <c r="EU6" s="228"/>
      <c r="EV6" s="228"/>
      <c r="EW6" s="228"/>
      <c r="EX6" s="228"/>
      <c r="EY6" s="228"/>
      <c r="EZ6" s="228"/>
      <c r="FA6" s="228"/>
      <c r="FB6" s="228"/>
      <c r="FC6" s="228"/>
      <c r="FD6" s="228"/>
      <c r="FE6" s="229"/>
      <c r="FG6" s="120"/>
      <c r="FH6" s="228"/>
      <c r="FI6" s="228"/>
      <c r="FJ6" s="228"/>
      <c r="FK6" s="228"/>
      <c r="FL6" s="228"/>
      <c r="FM6" s="228"/>
      <c r="FN6" s="228"/>
      <c r="FO6" s="228"/>
      <c r="FP6" s="228"/>
      <c r="FQ6" s="228"/>
      <c r="FR6" s="228"/>
      <c r="FS6" s="228"/>
      <c r="FT6" s="228"/>
      <c r="FU6" s="228"/>
      <c r="FV6" s="228"/>
      <c r="FW6" s="229"/>
      <c r="FY6" s="120"/>
      <c r="FZ6" s="228"/>
      <c r="GA6" s="228"/>
      <c r="GB6" s="228"/>
      <c r="GC6" s="228"/>
      <c r="GD6" s="228"/>
      <c r="GE6" s="228"/>
      <c r="GF6" s="228"/>
      <c r="GG6" s="228"/>
      <c r="GH6" s="228"/>
      <c r="GI6" s="228"/>
      <c r="GJ6" s="228"/>
      <c r="GK6" s="228"/>
      <c r="GL6" s="228"/>
      <c r="GM6" s="228"/>
      <c r="GN6" s="228"/>
      <c r="GO6" s="229"/>
      <c r="GQ6" s="120"/>
      <c r="GR6" s="228"/>
      <c r="GS6" s="228"/>
      <c r="GT6" s="228"/>
      <c r="GU6" s="228"/>
      <c r="GV6" s="228"/>
      <c r="GW6" s="228"/>
      <c r="GX6" s="228"/>
      <c r="GY6" s="228"/>
      <c r="GZ6" s="228"/>
      <c r="HA6" s="228"/>
      <c r="HB6" s="228"/>
      <c r="HC6" s="228"/>
      <c r="HD6" s="228"/>
      <c r="HE6" s="228"/>
      <c r="HF6" s="228"/>
      <c r="HG6" s="229"/>
    </row>
    <row r="7" spans="1:215" ht="6" customHeight="1" outlineLevel="1" thickTop="1" x14ac:dyDescent="0.45">
      <c r="A7" s="120"/>
      <c r="S7" s="120"/>
      <c r="AK7" s="120"/>
      <c r="BC7" s="120"/>
      <c r="BU7" s="120"/>
      <c r="CM7" s="120"/>
      <c r="DE7" s="120"/>
      <c r="DW7" s="120"/>
      <c r="EO7" s="120"/>
      <c r="FG7" s="120"/>
      <c r="FY7" s="120"/>
      <c r="GQ7" s="120"/>
    </row>
    <row r="8" spans="1:215" x14ac:dyDescent="0.45">
      <c r="A8" s="332">
        <v>46023</v>
      </c>
      <c r="D8" s="113"/>
      <c r="E8" s="334" t="s">
        <v>26</v>
      </c>
      <c r="F8" s="334"/>
      <c r="G8" s="335" t="s">
        <v>32</v>
      </c>
      <c r="H8" s="335"/>
      <c r="I8" s="113"/>
      <c r="J8" s="336" t="s">
        <v>28</v>
      </c>
      <c r="K8" s="336"/>
      <c r="L8" s="336" t="s">
        <v>32</v>
      </c>
      <c r="M8" s="336"/>
      <c r="N8" s="159"/>
      <c r="O8" s="113"/>
      <c r="P8" s="113"/>
      <c r="Q8" s="113"/>
      <c r="S8" s="332">
        <v>46054</v>
      </c>
      <c r="V8" s="113"/>
      <c r="W8" s="334" t="s">
        <v>26</v>
      </c>
      <c r="X8" s="334"/>
      <c r="Y8" s="335" t="s">
        <v>32</v>
      </c>
      <c r="Z8" s="335"/>
      <c r="AA8" s="113"/>
      <c r="AB8" s="336" t="s">
        <v>28</v>
      </c>
      <c r="AC8" s="336"/>
      <c r="AD8" s="336" t="s">
        <v>32</v>
      </c>
      <c r="AE8" s="336"/>
      <c r="AF8" s="159"/>
      <c r="AG8" s="113"/>
      <c r="AH8" s="113"/>
      <c r="AI8" s="113"/>
      <c r="AK8" s="332">
        <v>46082</v>
      </c>
      <c r="AN8" s="113"/>
      <c r="AO8" s="334" t="s">
        <v>26</v>
      </c>
      <c r="AP8" s="334"/>
      <c r="AQ8" s="335" t="s">
        <v>32</v>
      </c>
      <c r="AR8" s="335"/>
      <c r="AS8" s="113"/>
      <c r="AT8" s="336" t="s">
        <v>28</v>
      </c>
      <c r="AU8" s="336"/>
      <c r="AV8" s="336" t="s">
        <v>32</v>
      </c>
      <c r="AW8" s="336"/>
      <c r="AX8" s="159"/>
      <c r="AY8" s="113"/>
      <c r="AZ8" s="113"/>
      <c r="BA8" s="113"/>
      <c r="BC8" s="332">
        <v>46113</v>
      </c>
      <c r="BF8" s="113"/>
      <c r="BG8" s="334" t="s">
        <v>26</v>
      </c>
      <c r="BH8" s="334"/>
      <c r="BI8" s="335" t="s">
        <v>32</v>
      </c>
      <c r="BJ8" s="335"/>
      <c r="BK8" s="113"/>
      <c r="BL8" s="336" t="s">
        <v>28</v>
      </c>
      <c r="BM8" s="336"/>
      <c r="BN8" s="336" t="s">
        <v>32</v>
      </c>
      <c r="BO8" s="336"/>
      <c r="BP8" s="159"/>
      <c r="BQ8" s="113"/>
      <c r="BR8" s="113"/>
      <c r="BS8" s="113"/>
      <c r="BU8" s="332">
        <v>46143</v>
      </c>
      <c r="BX8" s="113"/>
      <c r="BY8" s="334" t="s">
        <v>26</v>
      </c>
      <c r="BZ8" s="334"/>
      <c r="CA8" s="335" t="s">
        <v>32</v>
      </c>
      <c r="CB8" s="335"/>
      <c r="CC8" s="113"/>
      <c r="CD8" s="336" t="s">
        <v>28</v>
      </c>
      <c r="CE8" s="336"/>
      <c r="CF8" s="336" t="s">
        <v>32</v>
      </c>
      <c r="CG8" s="336"/>
      <c r="CH8" s="159"/>
      <c r="CI8" s="113"/>
      <c r="CJ8" s="113"/>
      <c r="CK8" s="113"/>
      <c r="CM8" s="332">
        <v>46174</v>
      </c>
      <c r="CP8" s="113"/>
      <c r="CQ8" s="334" t="s">
        <v>26</v>
      </c>
      <c r="CR8" s="334"/>
      <c r="CS8" s="335" t="s">
        <v>32</v>
      </c>
      <c r="CT8" s="335"/>
      <c r="CU8" s="113"/>
      <c r="CV8" s="336" t="s">
        <v>28</v>
      </c>
      <c r="CW8" s="336"/>
      <c r="CX8" s="336" t="s">
        <v>32</v>
      </c>
      <c r="CY8" s="336"/>
      <c r="CZ8" s="159"/>
      <c r="DA8" s="113"/>
      <c r="DB8" s="113"/>
      <c r="DC8" s="113"/>
      <c r="DE8" s="332">
        <v>46204</v>
      </c>
      <c r="DH8" s="113"/>
      <c r="DI8" s="334" t="s">
        <v>26</v>
      </c>
      <c r="DJ8" s="334"/>
      <c r="DK8" s="335" t="s">
        <v>32</v>
      </c>
      <c r="DL8" s="335"/>
      <c r="DM8" s="113"/>
      <c r="DN8" s="336" t="s">
        <v>28</v>
      </c>
      <c r="DO8" s="336"/>
      <c r="DP8" s="336" t="s">
        <v>32</v>
      </c>
      <c r="DQ8" s="336"/>
      <c r="DR8" s="159"/>
      <c r="DS8" s="113"/>
      <c r="DT8" s="113"/>
      <c r="DU8" s="113"/>
      <c r="DW8" s="332">
        <v>46235</v>
      </c>
      <c r="DZ8" s="113"/>
      <c r="EA8" s="334" t="s">
        <v>26</v>
      </c>
      <c r="EB8" s="334"/>
      <c r="EC8" s="335" t="s">
        <v>32</v>
      </c>
      <c r="ED8" s="335"/>
      <c r="EE8" s="113"/>
      <c r="EF8" s="336" t="s">
        <v>28</v>
      </c>
      <c r="EG8" s="336"/>
      <c r="EH8" s="336" t="s">
        <v>32</v>
      </c>
      <c r="EI8" s="336"/>
      <c r="EJ8" s="159"/>
      <c r="EK8" s="113"/>
      <c r="EL8" s="113"/>
      <c r="EM8" s="113"/>
      <c r="EO8" s="332">
        <v>46266</v>
      </c>
      <c r="ER8" s="113"/>
      <c r="ES8" s="334" t="s">
        <v>26</v>
      </c>
      <c r="ET8" s="334"/>
      <c r="EU8" s="335" t="s">
        <v>32</v>
      </c>
      <c r="EV8" s="335"/>
      <c r="EW8" s="113"/>
      <c r="EX8" s="336" t="s">
        <v>28</v>
      </c>
      <c r="EY8" s="336"/>
      <c r="EZ8" s="336" t="s">
        <v>32</v>
      </c>
      <c r="FA8" s="336"/>
      <c r="FB8" s="159"/>
      <c r="FC8" s="113"/>
      <c r="FD8" s="113"/>
      <c r="FE8" s="113"/>
      <c r="FG8" s="332">
        <v>46296</v>
      </c>
      <c r="FJ8" s="113"/>
      <c r="FK8" s="334" t="s">
        <v>26</v>
      </c>
      <c r="FL8" s="334"/>
      <c r="FM8" s="335" t="s">
        <v>32</v>
      </c>
      <c r="FN8" s="335"/>
      <c r="FO8" s="113"/>
      <c r="FP8" s="336" t="s">
        <v>28</v>
      </c>
      <c r="FQ8" s="336"/>
      <c r="FR8" s="336" t="s">
        <v>32</v>
      </c>
      <c r="FS8" s="336"/>
      <c r="FT8" s="159"/>
      <c r="FU8" s="113"/>
      <c r="FV8" s="113"/>
      <c r="FW8" s="113"/>
      <c r="FY8" s="332">
        <v>46327</v>
      </c>
      <c r="GB8" s="113"/>
      <c r="GC8" s="334" t="s">
        <v>26</v>
      </c>
      <c r="GD8" s="334"/>
      <c r="GE8" s="335" t="s">
        <v>32</v>
      </c>
      <c r="GF8" s="335"/>
      <c r="GG8" s="113"/>
      <c r="GH8" s="336" t="s">
        <v>28</v>
      </c>
      <c r="GI8" s="336"/>
      <c r="GJ8" s="336" t="s">
        <v>32</v>
      </c>
      <c r="GK8" s="336"/>
      <c r="GL8" s="159"/>
      <c r="GM8" s="113"/>
      <c r="GN8" s="113"/>
      <c r="GO8" s="113"/>
      <c r="GQ8" s="332">
        <v>46357</v>
      </c>
      <c r="GT8" s="113"/>
      <c r="GU8" s="334" t="s">
        <v>26</v>
      </c>
      <c r="GV8" s="334"/>
      <c r="GW8" s="335" t="s">
        <v>32</v>
      </c>
      <c r="GX8" s="335"/>
      <c r="GY8" s="113"/>
      <c r="GZ8" s="336" t="s">
        <v>28</v>
      </c>
      <c r="HA8" s="336"/>
      <c r="HB8" s="336" t="s">
        <v>32</v>
      </c>
      <c r="HC8" s="336"/>
      <c r="HD8" s="159"/>
      <c r="HE8" s="113"/>
      <c r="HF8" s="113"/>
      <c r="HG8" s="113"/>
    </row>
    <row r="9" spans="1:215" x14ac:dyDescent="0.45">
      <c r="A9" s="333"/>
      <c r="B9" s="122"/>
      <c r="C9" s="122"/>
      <c r="D9" s="121" t="s">
        <v>29</v>
      </c>
      <c r="E9" s="121" t="s">
        <v>30</v>
      </c>
      <c r="F9" s="121" t="s">
        <v>31</v>
      </c>
      <c r="G9" s="108" t="s">
        <v>30</v>
      </c>
      <c r="H9" s="108" t="s">
        <v>31</v>
      </c>
      <c r="I9" s="121" t="s">
        <v>27</v>
      </c>
      <c r="J9" s="256" t="s">
        <v>30</v>
      </c>
      <c r="K9" s="256" t="s">
        <v>31</v>
      </c>
      <c r="L9" s="256" t="s">
        <v>30</v>
      </c>
      <c r="M9" s="256" t="s">
        <v>31</v>
      </c>
      <c r="N9" s="256" t="s">
        <v>27</v>
      </c>
      <c r="O9" s="337" t="s">
        <v>33</v>
      </c>
      <c r="P9" s="337"/>
      <c r="Q9" s="337"/>
      <c r="S9" s="333"/>
      <c r="T9" s="122"/>
      <c r="U9" s="122"/>
      <c r="V9" s="121" t="s">
        <v>29</v>
      </c>
      <c r="W9" s="121" t="s">
        <v>30</v>
      </c>
      <c r="X9" s="121" t="s">
        <v>31</v>
      </c>
      <c r="Y9" s="108" t="s">
        <v>30</v>
      </c>
      <c r="Z9" s="108" t="s">
        <v>31</v>
      </c>
      <c r="AA9" s="121" t="s">
        <v>27</v>
      </c>
      <c r="AB9" s="256" t="s">
        <v>30</v>
      </c>
      <c r="AC9" s="256" t="s">
        <v>31</v>
      </c>
      <c r="AD9" s="256" t="s">
        <v>30</v>
      </c>
      <c r="AE9" s="256" t="s">
        <v>31</v>
      </c>
      <c r="AF9" s="256" t="s">
        <v>27</v>
      </c>
      <c r="AG9" s="337" t="s">
        <v>33</v>
      </c>
      <c r="AH9" s="337"/>
      <c r="AI9" s="337"/>
      <c r="AK9" s="333"/>
      <c r="AL9" s="122"/>
      <c r="AM9" s="122"/>
      <c r="AN9" s="121" t="s">
        <v>29</v>
      </c>
      <c r="AO9" s="121" t="s">
        <v>30</v>
      </c>
      <c r="AP9" s="121" t="s">
        <v>31</v>
      </c>
      <c r="AQ9" s="108" t="s">
        <v>30</v>
      </c>
      <c r="AR9" s="108" t="s">
        <v>31</v>
      </c>
      <c r="AS9" s="121" t="s">
        <v>27</v>
      </c>
      <c r="AT9" s="256" t="s">
        <v>30</v>
      </c>
      <c r="AU9" s="256" t="s">
        <v>31</v>
      </c>
      <c r="AV9" s="256" t="s">
        <v>30</v>
      </c>
      <c r="AW9" s="256" t="s">
        <v>31</v>
      </c>
      <c r="AX9" s="256" t="s">
        <v>27</v>
      </c>
      <c r="AY9" s="337" t="s">
        <v>33</v>
      </c>
      <c r="AZ9" s="337"/>
      <c r="BA9" s="337"/>
      <c r="BC9" s="333"/>
      <c r="BD9" s="122"/>
      <c r="BE9" s="122"/>
      <c r="BF9" s="121" t="s">
        <v>29</v>
      </c>
      <c r="BG9" s="121" t="s">
        <v>30</v>
      </c>
      <c r="BH9" s="121" t="s">
        <v>31</v>
      </c>
      <c r="BI9" s="108" t="s">
        <v>30</v>
      </c>
      <c r="BJ9" s="108" t="s">
        <v>31</v>
      </c>
      <c r="BK9" s="121" t="s">
        <v>27</v>
      </c>
      <c r="BL9" s="256" t="s">
        <v>30</v>
      </c>
      <c r="BM9" s="256" t="s">
        <v>31</v>
      </c>
      <c r="BN9" s="256" t="s">
        <v>30</v>
      </c>
      <c r="BO9" s="256" t="s">
        <v>31</v>
      </c>
      <c r="BP9" s="256" t="s">
        <v>27</v>
      </c>
      <c r="BQ9" s="337" t="s">
        <v>33</v>
      </c>
      <c r="BR9" s="337"/>
      <c r="BS9" s="337"/>
      <c r="BU9" s="333"/>
      <c r="BV9" s="122"/>
      <c r="BW9" s="122"/>
      <c r="BX9" s="121" t="s">
        <v>29</v>
      </c>
      <c r="BY9" s="121" t="s">
        <v>30</v>
      </c>
      <c r="BZ9" s="121" t="s">
        <v>31</v>
      </c>
      <c r="CA9" s="108" t="s">
        <v>30</v>
      </c>
      <c r="CB9" s="108" t="s">
        <v>31</v>
      </c>
      <c r="CC9" s="121" t="s">
        <v>27</v>
      </c>
      <c r="CD9" s="256" t="s">
        <v>30</v>
      </c>
      <c r="CE9" s="256" t="s">
        <v>31</v>
      </c>
      <c r="CF9" s="256" t="s">
        <v>30</v>
      </c>
      <c r="CG9" s="256" t="s">
        <v>31</v>
      </c>
      <c r="CH9" s="256" t="s">
        <v>27</v>
      </c>
      <c r="CI9" s="337" t="s">
        <v>33</v>
      </c>
      <c r="CJ9" s="337"/>
      <c r="CK9" s="337"/>
      <c r="CM9" s="333"/>
      <c r="CN9" s="122"/>
      <c r="CO9" s="122"/>
      <c r="CP9" s="121" t="s">
        <v>29</v>
      </c>
      <c r="CQ9" s="121" t="s">
        <v>30</v>
      </c>
      <c r="CR9" s="121" t="s">
        <v>31</v>
      </c>
      <c r="CS9" s="108" t="s">
        <v>30</v>
      </c>
      <c r="CT9" s="108" t="s">
        <v>31</v>
      </c>
      <c r="CU9" s="121" t="s">
        <v>27</v>
      </c>
      <c r="CV9" s="256" t="s">
        <v>30</v>
      </c>
      <c r="CW9" s="256" t="s">
        <v>31</v>
      </c>
      <c r="CX9" s="256" t="s">
        <v>30</v>
      </c>
      <c r="CY9" s="256" t="s">
        <v>31</v>
      </c>
      <c r="CZ9" s="256" t="s">
        <v>27</v>
      </c>
      <c r="DA9" s="337" t="s">
        <v>33</v>
      </c>
      <c r="DB9" s="337"/>
      <c r="DC9" s="337"/>
      <c r="DE9" s="333"/>
      <c r="DF9" s="122"/>
      <c r="DG9" s="122"/>
      <c r="DH9" s="121" t="s">
        <v>29</v>
      </c>
      <c r="DI9" s="121" t="s">
        <v>30</v>
      </c>
      <c r="DJ9" s="121" t="s">
        <v>31</v>
      </c>
      <c r="DK9" s="108" t="s">
        <v>30</v>
      </c>
      <c r="DL9" s="108" t="s">
        <v>31</v>
      </c>
      <c r="DM9" s="121" t="s">
        <v>27</v>
      </c>
      <c r="DN9" s="256" t="s">
        <v>30</v>
      </c>
      <c r="DO9" s="256" t="s">
        <v>31</v>
      </c>
      <c r="DP9" s="256" t="s">
        <v>30</v>
      </c>
      <c r="DQ9" s="256" t="s">
        <v>31</v>
      </c>
      <c r="DR9" s="256" t="s">
        <v>27</v>
      </c>
      <c r="DS9" s="337" t="s">
        <v>33</v>
      </c>
      <c r="DT9" s="337"/>
      <c r="DU9" s="337"/>
      <c r="DW9" s="333"/>
      <c r="DX9" s="122"/>
      <c r="DY9" s="122"/>
      <c r="DZ9" s="121" t="s">
        <v>29</v>
      </c>
      <c r="EA9" s="121" t="s">
        <v>30</v>
      </c>
      <c r="EB9" s="121" t="s">
        <v>31</v>
      </c>
      <c r="EC9" s="108" t="s">
        <v>30</v>
      </c>
      <c r="ED9" s="108" t="s">
        <v>31</v>
      </c>
      <c r="EE9" s="121" t="s">
        <v>27</v>
      </c>
      <c r="EF9" s="256" t="s">
        <v>30</v>
      </c>
      <c r="EG9" s="256" t="s">
        <v>31</v>
      </c>
      <c r="EH9" s="256" t="s">
        <v>30</v>
      </c>
      <c r="EI9" s="256" t="s">
        <v>31</v>
      </c>
      <c r="EJ9" s="256" t="s">
        <v>27</v>
      </c>
      <c r="EK9" s="337" t="s">
        <v>33</v>
      </c>
      <c r="EL9" s="337"/>
      <c r="EM9" s="337"/>
      <c r="EO9" s="333"/>
      <c r="EP9" s="122"/>
      <c r="EQ9" s="122"/>
      <c r="ER9" s="121" t="s">
        <v>29</v>
      </c>
      <c r="ES9" s="121" t="s">
        <v>30</v>
      </c>
      <c r="ET9" s="121" t="s">
        <v>31</v>
      </c>
      <c r="EU9" s="108" t="s">
        <v>30</v>
      </c>
      <c r="EV9" s="108" t="s">
        <v>31</v>
      </c>
      <c r="EW9" s="121" t="s">
        <v>27</v>
      </c>
      <c r="EX9" s="256" t="s">
        <v>30</v>
      </c>
      <c r="EY9" s="256" t="s">
        <v>31</v>
      </c>
      <c r="EZ9" s="256" t="s">
        <v>30</v>
      </c>
      <c r="FA9" s="256" t="s">
        <v>31</v>
      </c>
      <c r="FB9" s="256" t="s">
        <v>27</v>
      </c>
      <c r="FC9" s="337" t="s">
        <v>33</v>
      </c>
      <c r="FD9" s="337"/>
      <c r="FE9" s="337"/>
      <c r="FG9" s="333"/>
      <c r="FH9" s="122"/>
      <c r="FI9" s="122"/>
      <c r="FJ9" s="121" t="s">
        <v>29</v>
      </c>
      <c r="FK9" s="121" t="s">
        <v>30</v>
      </c>
      <c r="FL9" s="121" t="s">
        <v>31</v>
      </c>
      <c r="FM9" s="108" t="s">
        <v>30</v>
      </c>
      <c r="FN9" s="108" t="s">
        <v>31</v>
      </c>
      <c r="FO9" s="121" t="s">
        <v>27</v>
      </c>
      <c r="FP9" s="256" t="s">
        <v>30</v>
      </c>
      <c r="FQ9" s="256" t="s">
        <v>31</v>
      </c>
      <c r="FR9" s="256" t="s">
        <v>30</v>
      </c>
      <c r="FS9" s="256" t="s">
        <v>31</v>
      </c>
      <c r="FT9" s="256" t="s">
        <v>27</v>
      </c>
      <c r="FU9" s="337" t="s">
        <v>33</v>
      </c>
      <c r="FV9" s="337"/>
      <c r="FW9" s="337"/>
      <c r="FY9" s="333"/>
      <c r="FZ9" s="122"/>
      <c r="GA9" s="122"/>
      <c r="GB9" s="121" t="s">
        <v>29</v>
      </c>
      <c r="GC9" s="121" t="s">
        <v>30</v>
      </c>
      <c r="GD9" s="121" t="s">
        <v>31</v>
      </c>
      <c r="GE9" s="108" t="s">
        <v>30</v>
      </c>
      <c r="GF9" s="108" t="s">
        <v>31</v>
      </c>
      <c r="GG9" s="121" t="s">
        <v>27</v>
      </c>
      <c r="GH9" s="256" t="s">
        <v>30</v>
      </c>
      <c r="GI9" s="256" t="s">
        <v>31</v>
      </c>
      <c r="GJ9" s="256" t="s">
        <v>30</v>
      </c>
      <c r="GK9" s="256" t="s">
        <v>31</v>
      </c>
      <c r="GL9" s="256" t="s">
        <v>27</v>
      </c>
      <c r="GM9" s="337" t="s">
        <v>33</v>
      </c>
      <c r="GN9" s="337"/>
      <c r="GO9" s="337"/>
      <c r="GQ9" s="333"/>
      <c r="GR9" s="122"/>
      <c r="GS9" s="122"/>
      <c r="GT9" s="121" t="s">
        <v>29</v>
      </c>
      <c r="GU9" s="121" t="s">
        <v>30</v>
      </c>
      <c r="GV9" s="121" t="s">
        <v>31</v>
      </c>
      <c r="GW9" s="108" t="s">
        <v>30</v>
      </c>
      <c r="GX9" s="108" t="s">
        <v>31</v>
      </c>
      <c r="GY9" s="121" t="s">
        <v>27</v>
      </c>
      <c r="GZ9" s="256" t="s">
        <v>30</v>
      </c>
      <c r="HA9" s="256" t="s">
        <v>31</v>
      </c>
      <c r="HB9" s="256" t="s">
        <v>30</v>
      </c>
      <c r="HC9" s="256" t="s">
        <v>31</v>
      </c>
      <c r="HD9" s="256" t="s">
        <v>27</v>
      </c>
      <c r="HE9" s="337" t="s">
        <v>33</v>
      </c>
      <c r="HF9" s="337"/>
      <c r="HG9" s="337"/>
    </row>
    <row r="10" spans="1:215" x14ac:dyDescent="0.45">
      <c r="A10" s="347" t="s">
        <v>34</v>
      </c>
      <c r="B10" s="123">
        <f>A8</f>
        <v>46023</v>
      </c>
      <c r="C10" s="124" t="str">
        <f t="shared" ref="C10:C40" si="0">TEXT(B10,"aaa")</f>
        <v>木</v>
      </c>
      <c r="D10" s="124"/>
      <c r="E10" s="125"/>
      <c r="F10" s="125"/>
      <c r="G10" s="109"/>
      <c r="H10" s="109"/>
      <c r="I10" s="12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7"/>
      <c r="K10" s="257"/>
      <c r="L10" s="257"/>
      <c r="M10" s="257"/>
      <c r="N10" s="25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45"/>
      <c r="P10" s="345"/>
      <c r="Q10" s="345"/>
      <c r="S10" s="131"/>
      <c r="T10" s="123">
        <f>S8</f>
        <v>46054</v>
      </c>
      <c r="U10" s="124" t="str">
        <f t="shared" ref="U10:U40" si="3">TEXT(T10,"aaa")</f>
        <v>日</v>
      </c>
      <c r="V10" s="124"/>
      <c r="W10" s="125"/>
      <c r="X10" s="125"/>
      <c r="Y10" s="109"/>
      <c r="Z10" s="109"/>
      <c r="AA10" s="12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57"/>
      <c r="AC10" s="257"/>
      <c r="AD10" s="257"/>
      <c r="AE10" s="257"/>
      <c r="AF10" s="25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45"/>
      <c r="AH10" s="345"/>
      <c r="AI10" s="345"/>
      <c r="AK10" s="131"/>
      <c r="AL10" s="123">
        <f>AK8</f>
        <v>46082</v>
      </c>
      <c r="AM10" s="124" t="str">
        <f t="shared" ref="AM10:AM40" si="6">TEXT(AL10,"aaa")</f>
        <v>日</v>
      </c>
      <c r="AN10" s="124"/>
      <c r="AO10" s="125"/>
      <c r="AP10" s="125"/>
      <c r="AQ10" s="109"/>
      <c r="AR10" s="109"/>
      <c r="AS10" s="12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57"/>
      <c r="AU10" s="257"/>
      <c r="AV10" s="257"/>
      <c r="AW10" s="257"/>
      <c r="AX10" s="25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45"/>
      <c r="AZ10" s="345"/>
      <c r="BA10" s="345"/>
      <c r="BC10" s="131"/>
      <c r="BD10" s="123">
        <f>BC8</f>
        <v>46113</v>
      </c>
      <c r="BE10" s="124" t="str">
        <f t="shared" ref="BE10:BE40" si="9">TEXT(BD10,"aaa")</f>
        <v>水</v>
      </c>
      <c r="BF10" s="124" t="s">
        <v>22</v>
      </c>
      <c r="BG10" s="259">
        <v>0.375</v>
      </c>
      <c r="BH10" s="259">
        <v>0.75</v>
      </c>
      <c r="BI10" s="260">
        <v>0.5</v>
      </c>
      <c r="BJ10" s="260">
        <v>0.54166666666666663</v>
      </c>
      <c r="BK10" s="12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61">
        <v>0.375</v>
      </c>
      <c r="BM10" s="261">
        <v>0.75</v>
      </c>
      <c r="BN10" s="261">
        <v>0.5</v>
      </c>
      <c r="BO10" s="261">
        <v>0.54166666666666663</v>
      </c>
      <c r="BP10" s="25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45"/>
      <c r="BR10" s="345"/>
      <c r="BS10" s="345"/>
      <c r="BU10" s="131"/>
      <c r="BV10" s="123">
        <f>BU8</f>
        <v>46143</v>
      </c>
      <c r="BW10" s="124" t="str">
        <f t="shared" ref="BW10:BW40" si="12">TEXT(BV10,"aaa")</f>
        <v>金</v>
      </c>
      <c r="BX10" s="124" t="s">
        <v>22</v>
      </c>
      <c r="BY10" s="259">
        <v>0.375</v>
      </c>
      <c r="BZ10" s="259">
        <v>0.75</v>
      </c>
      <c r="CA10" s="260">
        <v>0.5</v>
      </c>
      <c r="CB10" s="260">
        <v>0.54166666666666663</v>
      </c>
      <c r="CC10" s="12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61">
        <v>0.375</v>
      </c>
      <c r="CE10" s="261">
        <v>0.75</v>
      </c>
      <c r="CF10" s="261">
        <v>0.5</v>
      </c>
      <c r="CG10" s="261">
        <v>0.54166666666666663</v>
      </c>
      <c r="CH10" s="25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45"/>
      <c r="CJ10" s="345"/>
      <c r="CK10" s="345"/>
      <c r="CM10" s="131"/>
      <c r="CN10" s="123">
        <f>CM8</f>
        <v>46174</v>
      </c>
      <c r="CO10" s="124" t="str">
        <f t="shared" ref="CO10:CO40" si="15">TEXT(CN10,"aaa")</f>
        <v>月</v>
      </c>
      <c r="CP10" s="124" t="s">
        <v>22</v>
      </c>
      <c r="CQ10" s="259">
        <v>0.375</v>
      </c>
      <c r="CR10" s="259">
        <v>0.75</v>
      </c>
      <c r="CS10" s="260">
        <v>0.5</v>
      </c>
      <c r="CT10" s="260">
        <v>0.54166666666666663</v>
      </c>
      <c r="CU10" s="12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61">
        <v>0.375</v>
      </c>
      <c r="CW10" s="261">
        <v>0.75</v>
      </c>
      <c r="CX10" s="261">
        <v>0.5</v>
      </c>
      <c r="CY10" s="261">
        <v>0.54166666666666663</v>
      </c>
      <c r="CZ10" s="25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45"/>
      <c r="DB10" s="345"/>
      <c r="DC10" s="345"/>
      <c r="DE10" s="131"/>
      <c r="DF10" s="123">
        <f>DE8</f>
        <v>46204</v>
      </c>
      <c r="DG10" s="124" t="str">
        <f t="shared" ref="DG10:DG40" si="18">TEXT(DF10,"aaa")</f>
        <v>水</v>
      </c>
      <c r="DH10" s="124" t="s">
        <v>22</v>
      </c>
      <c r="DI10" s="259">
        <v>0.375</v>
      </c>
      <c r="DJ10" s="259">
        <v>0.75</v>
      </c>
      <c r="DK10" s="260">
        <v>0.5</v>
      </c>
      <c r="DL10" s="260">
        <v>0.54166666666666663</v>
      </c>
      <c r="DM10" s="12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61">
        <v>0.375</v>
      </c>
      <c r="DO10" s="261">
        <v>0.75</v>
      </c>
      <c r="DP10" s="261">
        <v>0.5</v>
      </c>
      <c r="DQ10" s="261">
        <v>0.54166666666666663</v>
      </c>
      <c r="DR10" s="25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45"/>
      <c r="DT10" s="345"/>
      <c r="DU10" s="345"/>
      <c r="DW10" s="131"/>
      <c r="DX10" s="123">
        <f>DW8</f>
        <v>46235</v>
      </c>
      <c r="DY10" s="124" t="str">
        <f t="shared" ref="DY10:DY40" si="21">TEXT(DX10,"aaa")</f>
        <v>土</v>
      </c>
      <c r="DZ10" s="124"/>
      <c r="EA10" s="125"/>
      <c r="EB10" s="125"/>
      <c r="EC10" s="109"/>
      <c r="ED10" s="109"/>
      <c r="EE10" s="12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57"/>
      <c r="EG10" s="257"/>
      <c r="EH10" s="257"/>
      <c r="EI10" s="257"/>
      <c r="EJ10" s="25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45"/>
      <c r="EL10" s="345"/>
      <c r="EM10" s="345"/>
      <c r="EO10" s="131"/>
      <c r="EP10" s="123">
        <f>EO8</f>
        <v>46266</v>
      </c>
      <c r="EQ10" s="124" t="str">
        <f t="shared" ref="EQ10:EQ40" si="24">TEXT(EP10,"aaa")</f>
        <v>火</v>
      </c>
      <c r="ER10" s="124" t="s">
        <v>22</v>
      </c>
      <c r="ES10" s="259">
        <v>0.375</v>
      </c>
      <c r="ET10" s="259">
        <v>0.75</v>
      </c>
      <c r="EU10" s="260">
        <v>0.5</v>
      </c>
      <c r="EV10" s="260">
        <v>0.54166666666666663</v>
      </c>
      <c r="EW10" s="12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61">
        <v>0.375</v>
      </c>
      <c r="EY10" s="261">
        <v>0.75</v>
      </c>
      <c r="EZ10" s="261">
        <v>0.5</v>
      </c>
      <c r="FA10" s="261">
        <v>0.54166666666666663</v>
      </c>
      <c r="FB10" s="25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45"/>
      <c r="FD10" s="345"/>
      <c r="FE10" s="345"/>
      <c r="FG10" s="131"/>
      <c r="FH10" s="123">
        <f>FG8</f>
        <v>46296</v>
      </c>
      <c r="FI10" s="124" t="str">
        <f t="shared" ref="FI10:FI40" si="27">TEXT(FH10,"aaa")</f>
        <v>木</v>
      </c>
      <c r="FJ10" s="124" t="s">
        <v>22</v>
      </c>
      <c r="FK10" s="259">
        <v>0.375</v>
      </c>
      <c r="FL10" s="259">
        <v>0.75</v>
      </c>
      <c r="FM10" s="260">
        <v>0.5</v>
      </c>
      <c r="FN10" s="260">
        <v>0.54166666666666663</v>
      </c>
      <c r="FO10" s="12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61">
        <v>0.375</v>
      </c>
      <c r="FQ10" s="261">
        <v>0.75</v>
      </c>
      <c r="FR10" s="261">
        <v>0.5</v>
      </c>
      <c r="FS10" s="261">
        <v>0.54166666666666663</v>
      </c>
      <c r="FT10" s="25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45"/>
      <c r="FV10" s="345"/>
      <c r="FW10" s="345"/>
      <c r="FY10" s="131"/>
      <c r="FZ10" s="123">
        <f>FY8</f>
        <v>46327</v>
      </c>
      <c r="GA10" s="124" t="str">
        <f t="shared" ref="GA10:GA40" si="30">TEXT(FZ10,"aaa")</f>
        <v>日</v>
      </c>
      <c r="GB10" s="124"/>
      <c r="GC10" s="125"/>
      <c r="GD10" s="125"/>
      <c r="GE10" s="109"/>
      <c r="GF10" s="109"/>
      <c r="GG10" s="12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57"/>
      <c r="GI10" s="257"/>
      <c r="GJ10" s="257"/>
      <c r="GK10" s="257"/>
      <c r="GL10" s="25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45"/>
      <c r="GN10" s="345"/>
      <c r="GO10" s="345"/>
      <c r="GQ10" s="131"/>
      <c r="GR10" s="123">
        <f>GQ8</f>
        <v>46357</v>
      </c>
      <c r="GS10" s="124" t="str">
        <f t="shared" ref="GS10:GS40" si="33">TEXT(GR10,"aaa")</f>
        <v>火</v>
      </c>
      <c r="GT10" s="124" t="s">
        <v>22</v>
      </c>
      <c r="GU10" s="259">
        <v>0.375</v>
      </c>
      <c r="GV10" s="259">
        <v>0.75</v>
      </c>
      <c r="GW10" s="260">
        <v>0.5</v>
      </c>
      <c r="GX10" s="260">
        <v>0.54166666666666663</v>
      </c>
      <c r="GY10" s="12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61">
        <v>0.375</v>
      </c>
      <c r="HA10" s="261">
        <v>0.75</v>
      </c>
      <c r="HB10" s="261">
        <v>0.5</v>
      </c>
      <c r="HC10" s="261">
        <v>0.54166666666666663</v>
      </c>
      <c r="HD10" s="25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45"/>
      <c r="HF10" s="345"/>
      <c r="HG10" s="345"/>
    </row>
    <row r="11" spans="1:215" x14ac:dyDescent="0.45">
      <c r="A11" s="348"/>
      <c r="B11" s="123">
        <f t="shared" ref="B11:B40" si="36">IF(B10="","",IF(B10+1&lt;=EOMONTH($A$8,0),B10+1,""))</f>
        <v>46024</v>
      </c>
      <c r="C11" s="124" t="str">
        <f t="shared" si="0"/>
        <v>金</v>
      </c>
      <c r="D11" s="124"/>
      <c r="E11" s="125"/>
      <c r="F11" s="125"/>
      <c r="G11" s="109"/>
      <c r="H11" s="109"/>
      <c r="I11" s="126" t="str">
        <f t="shared" si="1"/>
        <v/>
      </c>
      <c r="J11" s="257"/>
      <c r="K11" s="257"/>
      <c r="L11" s="257"/>
      <c r="M11" s="257"/>
      <c r="N11" s="258" t="str">
        <f t="shared" si="2"/>
        <v/>
      </c>
      <c r="O11" s="345"/>
      <c r="P11" s="345"/>
      <c r="Q11" s="345"/>
      <c r="S11" s="120"/>
      <c r="T11" s="123">
        <f t="shared" ref="T11:T40" si="37">IF(T10="","",IF(T10+1&lt;=EOMONTH($S$8,0),T10+1,""))</f>
        <v>46055</v>
      </c>
      <c r="U11" s="124" t="str">
        <f t="shared" si="3"/>
        <v>月</v>
      </c>
      <c r="V11" s="124" t="s">
        <v>22</v>
      </c>
      <c r="W11" s="259">
        <v>0.375</v>
      </c>
      <c r="X11" s="259">
        <v>0.75</v>
      </c>
      <c r="Y11" s="260">
        <v>0.5</v>
      </c>
      <c r="Z11" s="260">
        <v>0.54166666666666663</v>
      </c>
      <c r="AA11" s="126" t="str">
        <f t="shared" si="4"/>
        <v>8h</v>
      </c>
      <c r="AB11" s="261">
        <v>0.375</v>
      </c>
      <c r="AC11" s="261">
        <v>0.75</v>
      </c>
      <c r="AD11" s="261">
        <v>0.5</v>
      </c>
      <c r="AE11" s="261">
        <v>0.54166666666666663</v>
      </c>
      <c r="AF11" s="258" t="str">
        <f t="shared" si="5"/>
        <v>8h</v>
      </c>
      <c r="AG11" s="345"/>
      <c r="AH11" s="345"/>
      <c r="AI11" s="345"/>
      <c r="AK11" s="120"/>
      <c r="AL11" s="123">
        <f t="shared" ref="AL11:AL40" si="38">IF(AL10="","",IF(AL10+1&lt;=EOMONTH($AK$8,0),AL10+1,""))</f>
        <v>46083</v>
      </c>
      <c r="AM11" s="124" t="str">
        <f t="shared" si="6"/>
        <v>月</v>
      </c>
      <c r="AN11" s="124" t="s">
        <v>22</v>
      </c>
      <c r="AO11" s="259">
        <v>0.375</v>
      </c>
      <c r="AP11" s="259">
        <v>0.75</v>
      </c>
      <c r="AQ11" s="260">
        <v>0.5</v>
      </c>
      <c r="AR11" s="260">
        <v>0.54166666666666663</v>
      </c>
      <c r="AS11" s="126" t="str">
        <f t="shared" si="7"/>
        <v>8h</v>
      </c>
      <c r="AT11" s="261">
        <v>0.375</v>
      </c>
      <c r="AU11" s="261">
        <v>0.75</v>
      </c>
      <c r="AV11" s="261">
        <v>0.5</v>
      </c>
      <c r="AW11" s="261">
        <v>0.54166666666666663</v>
      </c>
      <c r="AX11" s="258" t="str">
        <f t="shared" si="8"/>
        <v>8h</v>
      </c>
      <c r="AY11" s="345"/>
      <c r="AZ11" s="345"/>
      <c r="BA11" s="345"/>
      <c r="BC11" s="120"/>
      <c r="BD11" s="123">
        <f t="shared" ref="BD11:BD40" si="39">IF(BD10="","",IF(BD10+1&lt;=EOMONTH($BC$8,0),BD10+1,""))</f>
        <v>46114</v>
      </c>
      <c r="BE11" s="124" t="str">
        <f t="shared" si="9"/>
        <v>木</v>
      </c>
      <c r="BF11" s="124" t="s">
        <v>22</v>
      </c>
      <c r="BG11" s="259">
        <v>0.375</v>
      </c>
      <c r="BH11" s="259">
        <v>0.75</v>
      </c>
      <c r="BI11" s="260">
        <v>0.5</v>
      </c>
      <c r="BJ11" s="260">
        <v>0.54166666666666663</v>
      </c>
      <c r="BK11" s="126" t="str">
        <f t="shared" si="10"/>
        <v>8h</v>
      </c>
      <c r="BL11" s="261">
        <v>0.375</v>
      </c>
      <c r="BM11" s="261">
        <v>0.75</v>
      </c>
      <c r="BN11" s="261">
        <v>0.5</v>
      </c>
      <c r="BO11" s="261">
        <v>0.54166666666666663</v>
      </c>
      <c r="BP11" s="258" t="str">
        <f t="shared" si="11"/>
        <v>8h</v>
      </c>
      <c r="BQ11" s="345"/>
      <c r="BR11" s="345"/>
      <c r="BS11" s="345"/>
      <c r="BU11" s="120"/>
      <c r="BV11" s="123">
        <f t="shared" ref="BV11:BV40" si="40">IF(BV10="","",IF(BV10+1&lt;=EOMONTH($BU$8,0),BV10+1,""))</f>
        <v>46144</v>
      </c>
      <c r="BW11" s="124" t="str">
        <f t="shared" si="12"/>
        <v>土</v>
      </c>
      <c r="BX11" s="124"/>
      <c r="BY11" s="125"/>
      <c r="BZ11" s="125"/>
      <c r="CA11" s="109"/>
      <c r="CB11" s="109"/>
      <c r="CC11" s="126" t="str">
        <f t="shared" si="13"/>
        <v/>
      </c>
      <c r="CD11" s="257"/>
      <c r="CE11" s="257"/>
      <c r="CF11" s="257"/>
      <c r="CG11" s="257"/>
      <c r="CH11" s="258" t="str">
        <f t="shared" si="14"/>
        <v/>
      </c>
      <c r="CI11" s="345"/>
      <c r="CJ11" s="345"/>
      <c r="CK11" s="345"/>
      <c r="CM11" s="120"/>
      <c r="CN11" s="123">
        <f t="shared" ref="CN11:CN40" si="41">IF(CN10="","",IF(CN10+1&lt;=EOMONTH($CM$8,0),CN10+1,""))</f>
        <v>46175</v>
      </c>
      <c r="CO11" s="124" t="str">
        <f t="shared" si="15"/>
        <v>火</v>
      </c>
      <c r="CP11" s="124" t="s">
        <v>22</v>
      </c>
      <c r="CQ11" s="259">
        <v>0.375</v>
      </c>
      <c r="CR11" s="259">
        <v>0.75</v>
      </c>
      <c r="CS11" s="260">
        <v>0.5</v>
      </c>
      <c r="CT11" s="260">
        <v>0.54166666666666663</v>
      </c>
      <c r="CU11" s="126" t="str">
        <f t="shared" si="16"/>
        <v>8h</v>
      </c>
      <c r="CV11" s="261">
        <v>0.375</v>
      </c>
      <c r="CW11" s="261">
        <v>0.75</v>
      </c>
      <c r="CX11" s="261">
        <v>0.5</v>
      </c>
      <c r="CY11" s="261">
        <v>0.54166666666666663</v>
      </c>
      <c r="CZ11" s="258" t="str">
        <f t="shared" si="17"/>
        <v>8h</v>
      </c>
      <c r="DA11" s="345"/>
      <c r="DB11" s="345"/>
      <c r="DC11" s="345"/>
      <c r="DE11" s="120"/>
      <c r="DF11" s="123">
        <f t="shared" ref="DF11:DF40" si="42">IF(DF10="","",IF(DF10+1&lt;=EOMONTH($DE$8,0),DF10+1,""))</f>
        <v>46205</v>
      </c>
      <c r="DG11" s="124" t="str">
        <f t="shared" si="18"/>
        <v>木</v>
      </c>
      <c r="DH11" s="124" t="s">
        <v>22</v>
      </c>
      <c r="DI11" s="259">
        <v>0.375</v>
      </c>
      <c r="DJ11" s="259">
        <v>0.75</v>
      </c>
      <c r="DK11" s="260">
        <v>0.5</v>
      </c>
      <c r="DL11" s="260">
        <v>0.54166666666666663</v>
      </c>
      <c r="DM11" s="126" t="str">
        <f t="shared" si="19"/>
        <v>8h</v>
      </c>
      <c r="DN11" s="261">
        <v>0.375</v>
      </c>
      <c r="DO11" s="261">
        <v>0.75</v>
      </c>
      <c r="DP11" s="261">
        <v>0.5</v>
      </c>
      <c r="DQ11" s="261">
        <v>0.54166666666666663</v>
      </c>
      <c r="DR11" s="258" t="str">
        <f t="shared" si="20"/>
        <v>8h</v>
      </c>
      <c r="DS11" s="345"/>
      <c r="DT11" s="345"/>
      <c r="DU11" s="345"/>
      <c r="DW11" s="120"/>
      <c r="DX11" s="123">
        <f t="shared" ref="DX11:DX40" si="43">IF(DX10="","",IF(DX10+1&lt;=EOMONTH($DW$8,0),DX10+1,""))</f>
        <v>46236</v>
      </c>
      <c r="DY11" s="124" t="str">
        <f t="shared" si="21"/>
        <v>日</v>
      </c>
      <c r="DZ11" s="124"/>
      <c r="EA11" s="125"/>
      <c r="EB11" s="125"/>
      <c r="EC11" s="109"/>
      <c r="ED11" s="109"/>
      <c r="EE11" s="126" t="str">
        <f t="shared" si="22"/>
        <v/>
      </c>
      <c r="EF11" s="257"/>
      <c r="EG11" s="257"/>
      <c r="EH11" s="257"/>
      <c r="EI11" s="257"/>
      <c r="EJ11" s="258" t="str">
        <f t="shared" si="23"/>
        <v/>
      </c>
      <c r="EK11" s="345"/>
      <c r="EL11" s="345"/>
      <c r="EM11" s="345"/>
      <c r="EO11" s="120"/>
      <c r="EP11" s="123">
        <f t="shared" ref="EP11:EP40" si="44">IF(EP10="","",IF(EP10+1&lt;=EOMONTH($EO$8,0),EP10+1,""))</f>
        <v>46267</v>
      </c>
      <c r="EQ11" s="124" t="str">
        <f t="shared" si="24"/>
        <v>水</v>
      </c>
      <c r="ER11" s="124" t="s">
        <v>22</v>
      </c>
      <c r="ES11" s="259">
        <v>0.375</v>
      </c>
      <c r="ET11" s="259">
        <v>0.75</v>
      </c>
      <c r="EU11" s="260">
        <v>0.5</v>
      </c>
      <c r="EV11" s="260">
        <v>0.54166666666666663</v>
      </c>
      <c r="EW11" s="126" t="str">
        <f t="shared" si="25"/>
        <v>8h</v>
      </c>
      <c r="EX11" s="261">
        <v>0.375</v>
      </c>
      <c r="EY11" s="261">
        <v>0.75</v>
      </c>
      <c r="EZ11" s="261">
        <v>0.5</v>
      </c>
      <c r="FA11" s="261">
        <v>0.54166666666666663</v>
      </c>
      <c r="FB11" s="258" t="str">
        <f t="shared" si="26"/>
        <v>8h</v>
      </c>
      <c r="FC11" s="345"/>
      <c r="FD11" s="345"/>
      <c r="FE11" s="345"/>
      <c r="FG11" s="120"/>
      <c r="FH11" s="123">
        <f t="shared" ref="FH11:FH40" si="45">IF(FH10="","",IF(FH10+1&lt;=EOMONTH($FG$8,0),FH10+1,""))</f>
        <v>46297</v>
      </c>
      <c r="FI11" s="124" t="str">
        <f t="shared" si="27"/>
        <v>金</v>
      </c>
      <c r="FJ11" s="124" t="s">
        <v>22</v>
      </c>
      <c r="FK11" s="259">
        <v>0.375</v>
      </c>
      <c r="FL11" s="259">
        <v>0.75</v>
      </c>
      <c r="FM11" s="260">
        <v>0.5</v>
      </c>
      <c r="FN11" s="260">
        <v>0.54166666666666663</v>
      </c>
      <c r="FO11" s="126" t="str">
        <f t="shared" si="28"/>
        <v>8h</v>
      </c>
      <c r="FP11" s="261">
        <v>0.375</v>
      </c>
      <c r="FQ11" s="261">
        <v>0.75</v>
      </c>
      <c r="FR11" s="261">
        <v>0.5</v>
      </c>
      <c r="FS11" s="261">
        <v>0.54166666666666663</v>
      </c>
      <c r="FT11" s="258" t="str">
        <f t="shared" si="29"/>
        <v>8h</v>
      </c>
      <c r="FU11" s="345"/>
      <c r="FV11" s="345"/>
      <c r="FW11" s="345"/>
      <c r="FY11" s="120"/>
      <c r="FZ11" s="123">
        <f t="shared" ref="FZ11:FZ40" si="46">IF(FZ10="","",IF(FZ10+1&lt;=EOMONTH($FY$8,0),FZ10+1,""))</f>
        <v>46328</v>
      </c>
      <c r="GA11" s="124" t="str">
        <f t="shared" si="30"/>
        <v>月</v>
      </c>
      <c r="GB11" s="124" t="s">
        <v>22</v>
      </c>
      <c r="GC11" s="259">
        <v>0.375</v>
      </c>
      <c r="GD11" s="259">
        <v>0.75</v>
      </c>
      <c r="GE11" s="260">
        <v>0.5</v>
      </c>
      <c r="GF11" s="260">
        <v>0.54166666666666663</v>
      </c>
      <c r="GG11" s="126" t="str">
        <f t="shared" si="31"/>
        <v>8h</v>
      </c>
      <c r="GH11" s="261">
        <v>0.375</v>
      </c>
      <c r="GI11" s="261">
        <v>0.75</v>
      </c>
      <c r="GJ11" s="261">
        <v>0.5</v>
      </c>
      <c r="GK11" s="261">
        <v>0.54166666666666663</v>
      </c>
      <c r="GL11" s="258" t="str">
        <f t="shared" si="32"/>
        <v>8h</v>
      </c>
      <c r="GM11" s="345"/>
      <c r="GN11" s="345"/>
      <c r="GO11" s="345"/>
      <c r="GQ11" s="120"/>
      <c r="GR11" s="123">
        <f t="shared" ref="GR11:GR40" si="47">IF(GR10="","",IF(GR10+1&lt;=EOMONTH($GQ$8,0),GR10+1,""))</f>
        <v>46358</v>
      </c>
      <c r="GS11" s="124" t="str">
        <f t="shared" si="33"/>
        <v>水</v>
      </c>
      <c r="GT11" s="124" t="s">
        <v>22</v>
      </c>
      <c r="GU11" s="259">
        <v>0.375</v>
      </c>
      <c r="GV11" s="259">
        <v>0.75</v>
      </c>
      <c r="GW11" s="260">
        <v>0.5</v>
      </c>
      <c r="GX11" s="260">
        <v>0.54166666666666663</v>
      </c>
      <c r="GY11" s="126" t="str">
        <f t="shared" si="34"/>
        <v>8h</v>
      </c>
      <c r="GZ11" s="261">
        <v>0.375</v>
      </c>
      <c r="HA11" s="261">
        <v>0.75</v>
      </c>
      <c r="HB11" s="261">
        <v>0.5</v>
      </c>
      <c r="HC11" s="261">
        <v>0.54166666666666663</v>
      </c>
      <c r="HD11" s="258" t="str">
        <f t="shared" si="35"/>
        <v>8h</v>
      </c>
      <c r="HE11" s="345"/>
      <c r="HF11" s="345"/>
      <c r="HG11" s="345"/>
    </row>
    <row r="12" spans="1:215" x14ac:dyDescent="0.45">
      <c r="A12" s="348"/>
      <c r="B12" s="123">
        <f t="shared" si="36"/>
        <v>46025</v>
      </c>
      <c r="C12" s="124" t="str">
        <f t="shared" si="0"/>
        <v>土</v>
      </c>
      <c r="D12" s="124"/>
      <c r="E12" s="125"/>
      <c r="F12" s="125"/>
      <c r="G12" s="109"/>
      <c r="H12" s="109"/>
      <c r="I12" s="126" t="str">
        <f t="shared" si="1"/>
        <v/>
      </c>
      <c r="J12" s="257"/>
      <c r="K12" s="257"/>
      <c r="L12" s="257"/>
      <c r="M12" s="257"/>
      <c r="N12" s="258" t="str">
        <f t="shared" si="2"/>
        <v/>
      </c>
      <c r="O12" s="345"/>
      <c r="P12" s="345"/>
      <c r="Q12" s="345"/>
      <c r="S12" s="120"/>
      <c r="T12" s="123">
        <f t="shared" si="37"/>
        <v>46056</v>
      </c>
      <c r="U12" s="124" t="str">
        <f t="shared" si="3"/>
        <v>火</v>
      </c>
      <c r="V12" s="124" t="s">
        <v>22</v>
      </c>
      <c r="W12" s="259">
        <v>0.375</v>
      </c>
      <c r="X12" s="259">
        <v>0.75</v>
      </c>
      <c r="Y12" s="260">
        <v>0.5</v>
      </c>
      <c r="Z12" s="260">
        <v>0.54166666666666663</v>
      </c>
      <c r="AA12" s="126" t="str">
        <f t="shared" si="4"/>
        <v>8h</v>
      </c>
      <c r="AB12" s="261">
        <v>0.375</v>
      </c>
      <c r="AC12" s="261">
        <v>0.75</v>
      </c>
      <c r="AD12" s="261">
        <v>0.5</v>
      </c>
      <c r="AE12" s="261">
        <v>0.54166666666666663</v>
      </c>
      <c r="AF12" s="258" t="str">
        <f t="shared" si="5"/>
        <v>8h</v>
      </c>
      <c r="AG12" s="345"/>
      <c r="AH12" s="345"/>
      <c r="AI12" s="345"/>
      <c r="AK12" s="120"/>
      <c r="AL12" s="123">
        <f t="shared" si="38"/>
        <v>46084</v>
      </c>
      <c r="AM12" s="124" t="str">
        <f t="shared" si="6"/>
        <v>火</v>
      </c>
      <c r="AN12" s="124" t="s">
        <v>22</v>
      </c>
      <c r="AO12" s="259">
        <v>0.375</v>
      </c>
      <c r="AP12" s="259">
        <v>0.75</v>
      </c>
      <c r="AQ12" s="260">
        <v>0.5</v>
      </c>
      <c r="AR12" s="260">
        <v>0.54166666666666663</v>
      </c>
      <c r="AS12" s="126" t="str">
        <f t="shared" si="7"/>
        <v>8h</v>
      </c>
      <c r="AT12" s="261">
        <v>0.375</v>
      </c>
      <c r="AU12" s="261">
        <v>0.75</v>
      </c>
      <c r="AV12" s="261">
        <v>0.5</v>
      </c>
      <c r="AW12" s="261">
        <v>0.54166666666666663</v>
      </c>
      <c r="AX12" s="258" t="str">
        <f t="shared" si="8"/>
        <v>8h</v>
      </c>
      <c r="AY12" s="345"/>
      <c r="AZ12" s="345"/>
      <c r="BA12" s="345"/>
      <c r="BC12" s="120"/>
      <c r="BD12" s="123">
        <f t="shared" si="39"/>
        <v>46115</v>
      </c>
      <c r="BE12" s="124" t="str">
        <f t="shared" si="9"/>
        <v>金</v>
      </c>
      <c r="BF12" s="124" t="s">
        <v>22</v>
      </c>
      <c r="BG12" s="259">
        <v>0.375</v>
      </c>
      <c r="BH12" s="259">
        <v>0.75</v>
      </c>
      <c r="BI12" s="260">
        <v>0.5</v>
      </c>
      <c r="BJ12" s="260">
        <v>0.54166666666666663</v>
      </c>
      <c r="BK12" s="126" t="str">
        <f t="shared" si="10"/>
        <v>8h</v>
      </c>
      <c r="BL12" s="261">
        <v>0.375</v>
      </c>
      <c r="BM12" s="261">
        <v>0.75</v>
      </c>
      <c r="BN12" s="261">
        <v>0.5</v>
      </c>
      <c r="BO12" s="261">
        <v>0.54166666666666663</v>
      </c>
      <c r="BP12" s="258" t="str">
        <f t="shared" si="11"/>
        <v>8h</v>
      </c>
      <c r="BQ12" s="345"/>
      <c r="BR12" s="345"/>
      <c r="BS12" s="345"/>
      <c r="BU12" s="120"/>
      <c r="BV12" s="123">
        <f t="shared" si="40"/>
        <v>46145</v>
      </c>
      <c r="BW12" s="124" t="str">
        <f t="shared" si="12"/>
        <v>日</v>
      </c>
      <c r="BX12" s="124"/>
      <c r="BY12" s="125"/>
      <c r="BZ12" s="125"/>
      <c r="CA12" s="109"/>
      <c r="CB12" s="109"/>
      <c r="CC12" s="126" t="str">
        <f t="shared" si="13"/>
        <v/>
      </c>
      <c r="CD12" s="257"/>
      <c r="CE12" s="257"/>
      <c r="CF12" s="257"/>
      <c r="CG12" s="257"/>
      <c r="CH12" s="258" t="str">
        <f t="shared" si="14"/>
        <v/>
      </c>
      <c r="CI12" s="345"/>
      <c r="CJ12" s="345"/>
      <c r="CK12" s="345"/>
      <c r="CM12" s="120"/>
      <c r="CN12" s="123">
        <f t="shared" si="41"/>
        <v>46176</v>
      </c>
      <c r="CO12" s="124" t="str">
        <f t="shared" si="15"/>
        <v>水</v>
      </c>
      <c r="CP12" s="124" t="s">
        <v>22</v>
      </c>
      <c r="CQ12" s="259">
        <v>0.375</v>
      </c>
      <c r="CR12" s="259">
        <v>0.75</v>
      </c>
      <c r="CS12" s="260">
        <v>0.5</v>
      </c>
      <c r="CT12" s="260">
        <v>0.54166666666666663</v>
      </c>
      <c r="CU12" s="126" t="str">
        <f t="shared" si="16"/>
        <v>8h</v>
      </c>
      <c r="CV12" s="261">
        <v>0.375</v>
      </c>
      <c r="CW12" s="261">
        <v>0.75</v>
      </c>
      <c r="CX12" s="261">
        <v>0.5</v>
      </c>
      <c r="CY12" s="261">
        <v>0.54166666666666663</v>
      </c>
      <c r="CZ12" s="258" t="str">
        <f t="shared" si="17"/>
        <v>8h</v>
      </c>
      <c r="DA12" s="345"/>
      <c r="DB12" s="345"/>
      <c r="DC12" s="345"/>
      <c r="DE12" s="120"/>
      <c r="DF12" s="123">
        <f t="shared" si="42"/>
        <v>46206</v>
      </c>
      <c r="DG12" s="124" t="str">
        <f t="shared" si="18"/>
        <v>金</v>
      </c>
      <c r="DH12" s="124" t="s">
        <v>22</v>
      </c>
      <c r="DI12" s="259">
        <v>0.375</v>
      </c>
      <c r="DJ12" s="259">
        <v>0.75</v>
      </c>
      <c r="DK12" s="260">
        <v>0.5</v>
      </c>
      <c r="DL12" s="260">
        <v>0.54166666666666663</v>
      </c>
      <c r="DM12" s="126" t="str">
        <f t="shared" si="19"/>
        <v>8h</v>
      </c>
      <c r="DN12" s="261">
        <v>0.375</v>
      </c>
      <c r="DO12" s="261">
        <v>0.75</v>
      </c>
      <c r="DP12" s="261">
        <v>0.5</v>
      </c>
      <c r="DQ12" s="261">
        <v>0.54166666666666663</v>
      </c>
      <c r="DR12" s="258" t="str">
        <f t="shared" si="20"/>
        <v>8h</v>
      </c>
      <c r="DS12" s="345"/>
      <c r="DT12" s="345"/>
      <c r="DU12" s="345"/>
      <c r="DW12" s="120"/>
      <c r="DX12" s="123">
        <f t="shared" si="43"/>
        <v>46237</v>
      </c>
      <c r="DY12" s="124" t="str">
        <f t="shared" si="21"/>
        <v>月</v>
      </c>
      <c r="DZ12" s="124" t="s">
        <v>22</v>
      </c>
      <c r="EA12" s="259">
        <v>0.375</v>
      </c>
      <c r="EB12" s="259">
        <v>0.75</v>
      </c>
      <c r="EC12" s="260">
        <v>0.5</v>
      </c>
      <c r="ED12" s="260">
        <v>0.54166666666666663</v>
      </c>
      <c r="EE12" s="126" t="str">
        <f t="shared" si="22"/>
        <v>8h</v>
      </c>
      <c r="EF12" s="261">
        <v>0.375</v>
      </c>
      <c r="EG12" s="261">
        <v>0.75</v>
      </c>
      <c r="EH12" s="261">
        <v>0.5</v>
      </c>
      <c r="EI12" s="261">
        <v>0.54166666666666663</v>
      </c>
      <c r="EJ12" s="258" t="str">
        <f t="shared" si="23"/>
        <v>8h</v>
      </c>
      <c r="EK12" s="345"/>
      <c r="EL12" s="345"/>
      <c r="EM12" s="345"/>
      <c r="EO12" s="120"/>
      <c r="EP12" s="123">
        <f t="shared" si="44"/>
        <v>46268</v>
      </c>
      <c r="EQ12" s="124" t="str">
        <f t="shared" si="24"/>
        <v>木</v>
      </c>
      <c r="ER12" s="124" t="s">
        <v>22</v>
      </c>
      <c r="ES12" s="259">
        <v>0.375</v>
      </c>
      <c r="ET12" s="259">
        <v>0.75</v>
      </c>
      <c r="EU12" s="260">
        <v>0.5</v>
      </c>
      <c r="EV12" s="260">
        <v>0.54166666666666663</v>
      </c>
      <c r="EW12" s="126" t="str">
        <f t="shared" si="25"/>
        <v>8h</v>
      </c>
      <c r="EX12" s="261">
        <v>0.375</v>
      </c>
      <c r="EY12" s="261">
        <v>0.75</v>
      </c>
      <c r="EZ12" s="261">
        <v>0.5</v>
      </c>
      <c r="FA12" s="261">
        <v>0.54166666666666663</v>
      </c>
      <c r="FB12" s="258" t="str">
        <f t="shared" si="26"/>
        <v>8h</v>
      </c>
      <c r="FC12" s="345"/>
      <c r="FD12" s="345"/>
      <c r="FE12" s="345"/>
      <c r="FG12" s="120"/>
      <c r="FH12" s="123">
        <f t="shared" si="45"/>
        <v>46298</v>
      </c>
      <c r="FI12" s="124" t="str">
        <f t="shared" si="27"/>
        <v>土</v>
      </c>
      <c r="FJ12" s="124"/>
      <c r="FK12" s="125"/>
      <c r="FL12" s="125"/>
      <c r="FM12" s="109"/>
      <c r="FN12" s="109"/>
      <c r="FO12" s="126" t="str">
        <f t="shared" si="28"/>
        <v/>
      </c>
      <c r="FP12" s="257"/>
      <c r="FQ12" s="257"/>
      <c r="FR12" s="257"/>
      <c r="FS12" s="257"/>
      <c r="FT12" s="258" t="str">
        <f t="shared" si="29"/>
        <v/>
      </c>
      <c r="FU12" s="345"/>
      <c r="FV12" s="345"/>
      <c r="FW12" s="345"/>
      <c r="FY12" s="120"/>
      <c r="FZ12" s="123">
        <f t="shared" si="46"/>
        <v>46329</v>
      </c>
      <c r="GA12" s="124" t="str">
        <f t="shared" si="30"/>
        <v>火</v>
      </c>
      <c r="GB12" s="124"/>
      <c r="GC12" s="125"/>
      <c r="GD12" s="125"/>
      <c r="GE12" s="109"/>
      <c r="GF12" s="109"/>
      <c r="GG12" s="126" t="str">
        <f t="shared" si="31"/>
        <v/>
      </c>
      <c r="GH12" s="257"/>
      <c r="GI12" s="257"/>
      <c r="GJ12" s="257"/>
      <c r="GK12" s="257"/>
      <c r="GL12" s="258" t="str">
        <f t="shared" si="32"/>
        <v/>
      </c>
      <c r="GM12" s="345"/>
      <c r="GN12" s="345"/>
      <c r="GO12" s="345"/>
      <c r="GQ12" s="120"/>
      <c r="GR12" s="123">
        <f t="shared" si="47"/>
        <v>46359</v>
      </c>
      <c r="GS12" s="124" t="str">
        <f t="shared" si="33"/>
        <v>木</v>
      </c>
      <c r="GT12" s="124" t="s">
        <v>22</v>
      </c>
      <c r="GU12" s="259">
        <v>0.375</v>
      </c>
      <c r="GV12" s="259">
        <v>0.75</v>
      </c>
      <c r="GW12" s="260">
        <v>0.5</v>
      </c>
      <c r="GX12" s="260">
        <v>0.54166666666666663</v>
      </c>
      <c r="GY12" s="126" t="str">
        <f t="shared" si="34"/>
        <v>8h</v>
      </c>
      <c r="GZ12" s="261">
        <v>0.375</v>
      </c>
      <c r="HA12" s="261">
        <v>0.75</v>
      </c>
      <c r="HB12" s="261">
        <v>0.5</v>
      </c>
      <c r="HC12" s="261">
        <v>0.54166666666666663</v>
      </c>
      <c r="HD12" s="258" t="str">
        <f t="shared" si="35"/>
        <v>8h</v>
      </c>
      <c r="HE12" s="345"/>
      <c r="HF12" s="345"/>
      <c r="HG12" s="345"/>
    </row>
    <row r="13" spans="1:215" x14ac:dyDescent="0.45">
      <c r="A13" s="348"/>
      <c r="B13" s="123">
        <f t="shared" si="36"/>
        <v>46026</v>
      </c>
      <c r="C13" s="124" t="str">
        <f t="shared" si="0"/>
        <v>日</v>
      </c>
      <c r="D13" s="124"/>
      <c r="E13" s="125"/>
      <c r="F13" s="125"/>
      <c r="G13" s="109"/>
      <c r="H13" s="109"/>
      <c r="I13" s="126" t="str">
        <f t="shared" si="1"/>
        <v/>
      </c>
      <c r="J13" s="257"/>
      <c r="K13" s="257"/>
      <c r="L13" s="257"/>
      <c r="M13" s="257"/>
      <c r="N13" s="258" t="str">
        <f t="shared" si="2"/>
        <v/>
      </c>
      <c r="O13" s="345"/>
      <c r="P13" s="345"/>
      <c r="Q13" s="345"/>
      <c r="S13" s="120"/>
      <c r="T13" s="123">
        <f t="shared" si="37"/>
        <v>46057</v>
      </c>
      <c r="U13" s="124" t="str">
        <f t="shared" si="3"/>
        <v>水</v>
      </c>
      <c r="V13" s="124" t="s">
        <v>22</v>
      </c>
      <c r="W13" s="259">
        <v>0.375</v>
      </c>
      <c r="X13" s="259">
        <v>0.75</v>
      </c>
      <c r="Y13" s="260">
        <v>0.5</v>
      </c>
      <c r="Z13" s="260">
        <v>0.54166666666666663</v>
      </c>
      <c r="AA13" s="126" t="str">
        <f t="shared" si="4"/>
        <v>8h</v>
      </c>
      <c r="AB13" s="261">
        <v>0.375</v>
      </c>
      <c r="AC13" s="261">
        <v>0.75</v>
      </c>
      <c r="AD13" s="261">
        <v>0.5</v>
      </c>
      <c r="AE13" s="261">
        <v>0.54166666666666663</v>
      </c>
      <c r="AF13" s="258" t="str">
        <f t="shared" si="5"/>
        <v>8h</v>
      </c>
      <c r="AG13" s="345"/>
      <c r="AH13" s="345"/>
      <c r="AI13" s="345"/>
      <c r="AK13" s="120"/>
      <c r="AL13" s="123">
        <f t="shared" si="38"/>
        <v>46085</v>
      </c>
      <c r="AM13" s="124" t="str">
        <f t="shared" si="6"/>
        <v>水</v>
      </c>
      <c r="AN13" s="124" t="s">
        <v>22</v>
      </c>
      <c r="AO13" s="259">
        <v>0.375</v>
      </c>
      <c r="AP13" s="259">
        <v>0.75</v>
      </c>
      <c r="AQ13" s="260">
        <v>0.5</v>
      </c>
      <c r="AR13" s="260">
        <v>0.54166666666666663</v>
      </c>
      <c r="AS13" s="126" t="str">
        <f t="shared" si="7"/>
        <v>8h</v>
      </c>
      <c r="AT13" s="261">
        <v>0.375</v>
      </c>
      <c r="AU13" s="261">
        <v>0.75</v>
      </c>
      <c r="AV13" s="261">
        <v>0.5</v>
      </c>
      <c r="AW13" s="261">
        <v>0.54166666666666663</v>
      </c>
      <c r="AX13" s="258" t="str">
        <f t="shared" si="8"/>
        <v>8h</v>
      </c>
      <c r="AY13" s="345"/>
      <c r="AZ13" s="345"/>
      <c r="BA13" s="345"/>
      <c r="BC13" s="120"/>
      <c r="BD13" s="123">
        <f t="shared" si="39"/>
        <v>46116</v>
      </c>
      <c r="BE13" s="124" t="str">
        <f t="shared" si="9"/>
        <v>土</v>
      </c>
      <c r="BF13" s="124"/>
      <c r="BG13" s="125"/>
      <c r="BH13" s="125"/>
      <c r="BI13" s="109"/>
      <c r="BJ13" s="109"/>
      <c r="BK13" s="126" t="str">
        <f t="shared" si="10"/>
        <v/>
      </c>
      <c r="BL13" s="257"/>
      <c r="BM13" s="257"/>
      <c r="BN13" s="257"/>
      <c r="BO13" s="257"/>
      <c r="BP13" s="258" t="str">
        <f t="shared" si="11"/>
        <v/>
      </c>
      <c r="BQ13" s="345"/>
      <c r="BR13" s="345"/>
      <c r="BS13" s="345"/>
      <c r="BU13" s="120"/>
      <c r="BV13" s="123">
        <f t="shared" si="40"/>
        <v>46146</v>
      </c>
      <c r="BW13" s="124" t="str">
        <f t="shared" si="12"/>
        <v>月</v>
      </c>
      <c r="BX13" s="124"/>
      <c r="BY13" s="125"/>
      <c r="BZ13" s="125"/>
      <c r="CA13" s="109"/>
      <c r="CB13" s="109"/>
      <c r="CC13" s="126" t="str">
        <f t="shared" si="13"/>
        <v/>
      </c>
      <c r="CD13" s="257"/>
      <c r="CE13" s="257"/>
      <c r="CF13" s="257"/>
      <c r="CG13" s="257"/>
      <c r="CH13" s="258" t="str">
        <f t="shared" si="14"/>
        <v/>
      </c>
      <c r="CI13" s="345"/>
      <c r="CJ13" s="345"/>
      <c r="CK13" s="345"/>
      <c r="CM13" s="120"/>
      <c r="CN13" s="123">
        <f t="shared" si="41"/>
        <v>46177</v>
      </c>
      <c r="CO13" s="124" t="str">
        <f t="shared" si="15"/>
        <v>木</v>
      </c>
      <c r="CP13" s="124" t="s">
        <v>22</v>
      </c>
      <c r="CQ13" s="259">
        <v>0.375</v>
      </c>
      <c r="CR13" s="259">
        <v>0.75</v>
      </c>
      <c r="CS13" s="260">
        <v>0.5</v>
      </c>
      <c r="CT13" s="260">
        <v>0.54166666666666663</v>
      </c>
      <c r="CU13" s="126" t="str">
        <f t="shared" si="16"/>
        <v>8h</v>
      </c>
      <c r="CV13" s="261">
        <v>0.375</v>
      </c>
      <c r="CW13" s="261">
        <v>0.75</v>
      </c>
      <c r="CX13" s="261">
        <v>0.5</v>
      </c>
      <c r="CY13" s="261">
        <v>0.54166666666666663</v>
      </c>
      <c r="CZ13" s="258" t="str">
        <f t="shared" si="17"/>
        <v>8h</v>
      </c>
      <c r="DA13" s="345"/>
      <c r="DB13" s="345"/>
      <c r="DC13" s="345"/>
      <c r="DE13" s="120"/>
      <c r="DF13" s="123">
        <f t="shared" si="42"/>
        <v>46207</v>
      </c>
      <c r="DG13" s="124" t="str">
        <f t="shared" si="18"/>
        <v>土</v>
      </c>
      <c r="DH13" s="124"/>
      <c r="DI13" s="125"/>
      <c r="DJ13" s="125"/>
      <c r="DK13" s="109"/>
      <c r="DL13" s="109"/>
      <c r="DM13" s="126" t="str">
        <f t="shared" si="19"/>
        <v/>
      </c>
      <c r="DN13" s="257"/>
      <c r="DO13" s="257"/>
      <c r="DP13" s="257"/>
      <c r="DQ13" s="257"/>
      <c r="DR13" s="258" t="str">
        <f t="shared" si="20"/>
        <v/>
      </c>
      <c r="DS13" s="345"/>
      <c r="DT13" s="345"/>
      <c r="DU13" s="345"/>
      <c r="DW13" s="120"/>
      <c r="DX13" s="123">
        <f t="shared" si="43"/>
        <v>46238</v>
      </c>
      <c r="DY13" s="124" t="str">
        <f t="shared" si="21"/>
        <v>火</v>
      </c>
      <c r="DZ13" s="124" t="s">
        <v>22</v>
      </c>
      <c r="EA13" s="259">
        <v>0.375</v>
      </c>
      <c r="EB13" s="259">
        <v>0.75</v>
      </c>
      <c r="EC13" s="260">
        <v>0.5</v>
      </c>
      <c r="ED13" s="260">
        <v>0.54166666666666663</v>
      </c>
      <c r="EE13" s="126" t="str">
        <f t="shared" si="22"/>
        <v>8h</v>
      </c>
      <c r="EF13" s="261">
        <v>0.375</v>
      </c>
      <c r="EG13" s="261">
        <v>0.75</v>
      </c>
      <c r="EH13" s="261">
        <v>0.5</v>
      </c>
      <c r="EI13" s="261">
        <v>0.54166666666666663</v>
      </c>
      <c r="EJ13" s="258" t="str">
        <f t="shared" si="23"/>
        <v>8h</v>
      </c>
      <c r="EK13" s="345"/>
      <c r="EL13" s="345"/>
      <c r="EM13" s="345"/>
      <c r="EO13" s="120"/>
      <c r="EP13" s="123">
        <f t="shared" si="44"/>
        <v>46269</v>
      </c>
      <c r="EQ13" s="124" t="str">
        <f t="shared" si="24"/>
        <v>金</v>
      </c>
      <c r="ER13" s="124" t="s">
        <v>22</v>
      </c>
      <c r="ES13" s="259">
        <v>0.375</v>
      </c>
      <c r="ET13" s="259">
        <v>0.75</v>
      </c>
      <c r="EU13" s="260">
        <v>0.5</v>
      </c>
      <c r="EV13" s="260">
        <v>0.54166666666666663</v>
      </c>
      <c r="EW13" s="126" t="str">
        <f t="shared" si="25"/>
        <v>8h</v>
      </c>
      <c r="EX13" s="261">
        <v>0.375</v>
      </c>
      <c r="EY13" s="261">
        <v>0.75</v>
      </c>
      <c r="EZ13" s="261">
        <v>0.5</v>
      </c>
      <c r="FA13" s="261">
        <v>0.54166666666666663</v>
      </c>
      <c r="FB13" s="258" t="str">
        <f t="shared" si="26"/>
        <v>8h</v>
      </c>
      <c r="FC13" s="345"/>
      <c r="FD13" s="345"/>
      <c r="FE13" s="345"/>
      <c r="FG13" s="120"/>
      <c r="FH13" s="123">
        <f t="shared" si="45"/>
        <v>46299</v>
      </c>
      <c r="FI13" s="124" t="str">
        <f t="shared" si="27"/>
        <v>日</v>
      </c>
      <c r="FJ13" s="124"/>
      <c r="FK13" s="125"/>
      <c r="FL13" s="125"/>
      <c r="FM13" s="109"/>
      <c r="FN13" s="109"/>
      <c r="FO13" s="126" t="str">
        <f t="shared" si="28"/>
        <v/>
      </c>
      <c r="FP13" s="257"/>
      <c r="FQ13" s="257"/>
      <c r="FR13" s="257"/>
      <c r="FS13" s="257"/>
      <c r="FT13" s="258" t="str">
        <f t="shared" si="29"/>
        <v/>
      </c>
      <c r="FU13" s="345"/>
      <c r="FV13" s="345"/>
      <c r="FW13" s="345"/>
      <c r="FY13" s="120"/>
      <c r="FZ13" s="123">
        <f t="shared" si="46"/>
        <v>46330</v>
      </c>
      <c r="GA13" s="124" t="str">
        <f t="shared" si="30"/>
        <v>水</v>
      </c>
      <c r="GB13" s="124" t="s">
        <v>22</v>
      </c>
      <c r="GC13" s="259">
        <v>0.375</v>
      </c>
      <c r="GD13" s="259">
        <v>0.75</v>
      </c>
      <c r="GE13" s="260">
        <v>0.5</v>
      </c>
      <c r="GF13" s="260">
        <v>0.54166666666666663</v>
      </c>
      <c r="GG13" s="126" t="str">
        <f t="shared" si="31"/>
        <v>8h</v>
      </c>
      <c r="GH13" s="261">
        <v>0.375</v>
      </c>
      <c r="GI13" s="261">
        <v>0.75</v>
      </c>
      <c r="GJ13" s="261">
        <v>0.5</v>
      </c>
      <c r="GK13" s="261">
        <v>0.54166666666666663</v>
      </c>
      <c r="GL13" s="258" t="str">
        <f t="shared" si="32"/>
        <v>8h</v>
      </c>
      <c r="GM13" s="345"/>
      <c r="GN13" s="345"/>
      <c r="GO13" s="345"/>
      <c r="GQ13" s="120"/>
      <c r="GR13" s="123">
        <f t="shared" si="47"/>
        <v>46360</v>
      </c>
      <c r="GS13" s="124" t="str">
        <f t="shared" si="33"/>
        <v>金</v>
      </c>
      <c r="GT13" s="124" t="s">
        <v>22</v>
      </c>
      <c r="GU13" s="259">
        <v>0.375</v>
      </c>
      <c r="GV13" s="259">
        <v>0.75</v>
      </c>
      <c r="GW13" s="260">
        <v>0.5</v>
      </c>
      <c r="GX13" s="260">
        <v>0.54166666666666663</v>
      </c>
      <c r="GY13" s="126" t="str">
        <f t="shared" si="34"/>
        <v>8h</v>
      </c>
      <c r="GZ13" s="261">
        <v>0.375</v>
      </c>
      <c r="HA13" s="261">
        <v>0.75</v>
      </c>
      <c r="HB13" s="261">
        <v>0.5</v>
      </c>
      <c r="HC13" s="261">
        <v>0.54166666666666663</v>
      </c>
      <c r="HD13" s="258" t="str">
        <f t="shared" si="35"/>
        <v>8h</v>
      </c>
      <c r="HE13" s="345"/>
      <c r="HF13" s="345"/>
      <c r="HG13" s="345"/>
    </row>
    <row r="14" spans="1:215" x14ac:dyDescent="0.45">
      <c r="A14" s="348"/>
      <c r="B14" s="123">
        <f t="shared" si="36"/>
        <v>46027</v>
      </c>
      <c r="C14" s="124" t="str">
        <f t="shared" si="0"/>
        <v>月</v>
      </c>
      <c r="D14" s="124" t="s">
        <v>22</v>
      </c>
      <c r="E14" s="259">
        <v>0.375</v>
      </c>
      <c r="F14" s="259">
        <v>0.75</v>
      </c>
      <c r="G14" s="260">
        <v>0.5</v>
      </c>
      <c r="H14" s="260">
        <v>0.54166666666666663</v>
      </c>
      <c r="I14" s="126" t="str">
        <f t="shared" si="1"/>
        <v>8h</v>
      </c>
      <c r="J14" s="261">
        <v>0.375</v>
      </c>
      <c r="K14" s="261">
        <v>0.75</v>
      </c>
      <c r="L14" s="261">
        <v>0.5</v>
      </c>
      <c r="M14" s="261">
        <v>0.54166666666666663</v>
      </c>
      <c r="N14" s="258" t="str">
        <f t="shared" si="2"/>
        <v>8h</v>
      </c>
      <c r="O14" s="345"/>
      <c r="P14" s="345"/>
      <c r="Q14" s="345"/>
      <c r="S14" s="120"/>
      <c r="T14" s="123">
        <f t="shared" si="37"/>
        <v>46058</v>
      </c>
      <c r="U14" s="124" t="str">
        <f t="shared" si="3"/>
        <v>木</v>
      </c>
      <c r="V14" s="124" t="s">
        <v>22</v>
      </c>
      <c r="W14" s="259">
        <v>0.375</v>
      </c>
      <c r="X14" s="259">
        <v>0.75</v>
      </c>
      <c r="Y14" s="260">
        <v>0.5</v>
      </c>
      <c r="Z14" s="260">
        <v>0.54166666666666663</v>
      </c>
      <c r="AA14" s="126" t="str">
        <f t="shared" si="4"/>
        <v>8h</v>
      </c>
      <c r="AB14" s="261">
        <v>0.375</v>
      </c>
      <c r="AC14" s="261">
        <v>0.75</v>
      </c>
      <c r="AD14" s="261">
        <v>0.5</v>
      </c>
      <c r="AE14" s="261">
        <v>0.54166666666666663</v>
      </c>
      <c r="AF14" s="258" t="str">
        <f t="shared" si="5"/>
        <v>8h</v>
      </c>
      <c r="AG14" s="345"/>
      <c r="AH14" s="345"/>
      <c r="AI14" s="345"/>
      <c r="AK14" s="120"/>
      <c r="AL14" s="123">
        <f t="shared" si="38"/>
        <v>46086</v>
      </c>
      <c r="AM14" s="124" t="str">
        <f t="shared" si="6"/>
        <v>木</v>
      </c>
      <c r="AN14" s="124" t="s">
        <v>22</v>
      </c>
      <c r="AO14" s="259">
        <v>0.375</v>
      </c>
      <c r="AP14" s="259">
        <v>0.75</v>
      </c>
      <c r="AQ14" s="260">
        <v>0.5</v>
      </c>
      <c r="AR14" s="260">
        <v>0.54166666666666663</v>
      </c>
      <c r="AS14" s="126" t="str">
        <f t="shared" si="7"/>
        <v>8h</v>
      </c>
      <c r="AT14" s="261">
        <v>0.375</v>
      </c>
      <c r="AU14" s="261">
        <v>0.75</v>
      </c>
      <c r="AV14" s="261">
        <v>0.5</v>
      </c>
      <c r="AW14" s="261">
        <v>0.54166666666666663</v>
      </c>
      <c r="AX14" s="258" t="str">
        <f t="shared" si="8"/>
        <v>8h</v>
      </c>
      <c r="AY14" s="345"/>
      <c r="AZ14" s="345"/>
      <c r="BA14" s="345"/>
      <c r="BC14" s="120"/>
      <c r="BD14" s="123">
        <f t="shared" si="39"/>
        <v>46117</v>
      </c>
      <c r="BE14" s="124" t="str">
        <f t="shared" si="9"/>
        <v>日</v>
      </c>
      <c r="BF14" s="124"/>
      <c r="BG14" s="125"/>
      <c r="BH14" s="125"/>
      <c r="BI14" s="109"/>
      <c r="BJ14" s="109"/>
      <c r="BK14" s="126" t="str">
        <f t="shared" si="10"/>
        <v/>
      </c>
      <c r="BL14" s="257"/>
      <c r="BM14" s="257"/>
      <c r="BN14" s="257"/>
      <c r="BO14" s="257"/>
      <c r="BP14" s="258" t="str">
        <f t="shared" si="11"/>
        <v/>
      </c>
      <c r="BQ14" s="345"/>
      <c r="BR14" s="345"/>
      <c r="BS14" s="345"/>
      <c r="BU14" s="120"/>
      <c r="BV14" s="123">
        <f t="shared" si="40"/>
        <v>46147</v>
      </c>
      <c r="BW14" s="124" t="str">
        <f t="shared" si="12"/>
        <v>火</v>
      </c>
      <c r="BX14" s="124"/>
      <c r="BY14" s="125"/>
      <c r="BZ14" s="125"/>
      <c r="CA14" s="109"/>
      <c r="CB14" s="109"/>
      <c r="CC14" s="126" t="str">
        <f t="shared" si="13"/>
        <v/>
      </c>
      <c r="CD14" s="257"/>
      <c r="CE14" s="257"/>
      <c r="CF14" s="257"/>
      <c r="CG14" s="257"/>
      <c r="CH14" s="258" t="str">
        <f t="shared" si="14"/>
        <v/>
      </c>
      <c r="CI14" s="345"/>
      <c r="CJ14" s="345"/>
      <c r="CK14" s="345"/>
      <c r="CM14" s="120"/>
      <c r="CN14" s="123">
        <f t="shared" si="41"/>
        <v>46178</v>
      </c>
      <c r="CO14" s="124" t="str">
        <f t="shared" si="15"/>
        <v>金</v>
      </c>
      <c r="CP14" s="124" t="s">
        <v>22</v>
      </c>
      <c r="CQ14" s="259">
        <v>0.375</v>
      </c>
      <c r="CR14" s="259">
        <v>0.75</v>
      </c>
      <c r="CS14" s="260">
        <v>0.5</v>
      </c>
      <c r="CT14" s="260">
        <v>0.54166666666666663</v>
      </c>
      <c r="CU14" s="126" t="str">
        <f t="shared" si="16"/>
        <v>8h</v>
      </c>
      <c r="CV14" s="261">
        <v>0.375</v>
      </c>
      <c r="CW14" s="261">
        <v>0.75</v>
      </c>
      <c r="CX14" s="261">
        <v>0.5</v>
      </c>
      <c r="CY14" s="261">
        <v>0.54166666666666663</v>
      </c>
      <c r="CZ14" s="258" t="str">
        <f t="shared" si="17"/>
        <v>8h</v>
      </c>
      <c r="DA14" s="345"/>
      <c r="DB14" s="345"/>
      <c r="DC14" s="345"/>
      <c r="DE14" s="120"/>
      <c r="DF14" s="123">
        <f t="shared" si="42"/>
        <v>46208</v>
      </c>
      <c r="DG14" s="124" t="str">
        <f t="shared" si="18"/>
        <v>日</v>
      </c>
      <c r="DH14" s="124"/>
      <c r="DI14" s="125"/>
      <c r="DJ14" s="125"/>
      <c r="DK14" s="109"/>
      <c r="DL14" s="109"/>
      <c r="DM14" s="126" t="str">
        <f t="shared" si="19"/>
        <v/>
      </c>
      <c r="DN14" s="257"/>
      <c r="DO14" s="257"/>
      <c r="DP14" s="257"/>
      <c r="DQ14" s="257"/>
      <c r="DR14" s="258" t="str">
        <f t="shared" si="20"/>
        <v/>
      </c>
      <c r="DS14" s="345"/>
      <c r="DT14" s="345"/>
      <c r="DU14" s="345"/>
      <c r="DW14" s="120"/>
      <c r="DX14" s="123">
        <f t="shared" si="43"/>
        <v>46239</v>
      </c>
      <c r="DY14" s="124" t="str">
        <f t="shared" si="21"/>
        <v>水</v>
      </c>
      <c r="DZ14" s="124" t="s">
        <v>22</v>
      </c>
      <c r="EA14" s="259">
        <v>0.375</v>
      </c>
      <c r="EB14" s="259">
        <v>0.75</v>
      </c>
      <c r="EC14" s="260">
        <v>0.5</v>
      </c>
      <c r="ED14" s="260">
        <v>0.54166666666666663</v>
      </c>
      <c r="EE14" s="126" t="str">
        <f t="shared" si="22"/>
        <v>8h</v>
      </c>
      <c r="EF14" s="261">
        <v>0.375</v>
      </c>
      <c r="EG14" s="261">
        <v>0.75</v>
      </c>
      <c r="EH14" s="261">
        <v>0.5</v>
      </c>
      <c r="EI14" s="261">
        <v>0.54166666666666663</v>
      </c>
      <c r="EJ14" s="258" t="str">
        <f t="shared" si="23"/>
        <v>8h</v>
      </c>
      <c r="EK14" s="345"/>
      <c r="EL14" s="345"/>
      <c r="EM14" s="345"/>
      <c r="EO14" s="120"/>
      <c r="EP14" s="123">
        <f t="shared" si="44"/>
        <v>46270</v>
      </c>
      <c r="EQ14" s="124" t="str">
        <f t="shared" si="24"/>
        <v>土</v>
      </c>
      <c r="ER14" s="124"/>
      <c r="ES14" s="125"/>
      <c r="ET14" s="125"/>
      <c r="EU14" s="109"/>
      <c r="EV14" s="109"/>
      <c r="EW14" s="126" t="str">
        <f t="shared" si="25"/>
        <v/>
      </c>
      <c r="EX14" s="257"/>
      <c r="EY14" s="257"/>
      <c r="EZ14" s="257"/>
      <c r="FA14" s="257"/>
      <c r="FB14" s="258" t="str">
        <f t="shared" si="26"/>
        <v/>
      </c>
      <c r="FC14" s="345"/>
      <c r="FD14" s="345"/>
      <c r="FE14" s="345"/>
      <c r="FG14" s="120"/>
      <c r="FH14" s="123">
        <f t="shared" si="45"/>
        <v>46300</v>
      </c>
      <c r="FI14" s="124" t="str">
        <f t="shared" si="27"/>
        <v>月</v>
      </c>
      <c r="FJ14" s="124" t="s">
        <v>22</v>
      </c>
      <c r="FK14" s="259">
        <v>0.375</v>
      </c>
      <c r="FL14" s="259">
        <v>0.75</v>
      </c>
      <c r="FM14" s="260">
        <v>0.5</v>
      </c>
      <c r="FN14" s="260">
        <v>0.54166666666666663</v>
      </c>
      <c r="FO14" s="126" t="str">
        <f t="shared" si="28"/>
        <v>8h</v>
      </c>
      <c r="FP14" s="261">
        <v>0.375</v>
      </c>
      <c r="FQ14" s="261">
        <v>0.75</v>
      </c>
      <c r="FR14" s="261">
        <v>0.5</v>
      </c>
      <c r="FS14" s="261">
        <v>0.54166666666666663</v>
      </c>
      <c r="FT14" s="258" t="str">
        <f t="shared" si="29"/>
        <v>8h</v>
      </c>
      <c r="FU14" s="345"/>
      <c r="FV14" s="345"/>
      <c r="FW14" s="345"/>
      <c r="FY14" s="120"/>
      <c r="FZ14" s="123">
        <f t="shared" si="46"/>
        <v>46331</v>
      </c>
      <c r="GA14" s="124" t="str">
        <f t="shared" si="30"/>
        <v>木</v>
      </c>
      <c r="GB14" s="124" t="s">
        <v>22</v>
      </c>
      <c r="GC14" s="259">
        <v>0.375</v>
      </c>
      <c r="GD14" s="259">
        <v>0.75</v>
      </c>
      <c r="GE14" s="260">
        <v>0.5</v>
      </c>
      <c r="GF14" s="260">
        <v>0.54166666666666663</v>
      </c>
      <c r="GG14" s="126" t="str">
        <f t="shared" si="31"/>
        <v>8h</v>
      </c>
      <c r="GH14" s="261">
        <v>0.375</v>
      </c>
      <c r="GI14" s="261">
        <v>0.75</v>
      </c>
      <c r="GJ14" s="261">
        <v>0.5</v>
      </c>
      <c r="GK14" s="261">
        <v>0.54166666666666663</v>
      </c>
      <c r="GL14" s="258" t="str">
        <f t="shared" si="32"/>
        <v>8h</v>
      </c>
      <c r="GM14" s="345"/>
      <c r="GN14" s="345"/>
      <c r="GO14" s="345"/>
      <c r="GQ14" s="120"/>
      <c r="GR14" s="123">
        <f t="shared" si="47"/>
        <v>46361</v>
      </c>
      <c r="GS14" s="124" t="str">
        <f t="shared" si="33"/>
        <v>土</v>
      </c>
      <c r="GT14" s="124"/>
      <c r="GU14" s="125"/>
      <c r="GV14" s="125"/>
      <c r="GW14" s="109"/>
      <c r="GX14" s="109"/>
      <c r="GY14" s="126" t="str">
        <f t="shared" si="34"/>
        <v/>
      </c>
      <c r="GZ14" s="257"/>
      <c r="HA14" s="257"/>
      <c r="HB14" s="257"/>
      <c r="HC14" s="257"/>
      <c r="HD14" s="258" t="str">
        <f t="shared" si="35"/>
        <v/>
      </c>
      <c r="HE14" s="345"/>
      <c r="HF14" s="345"/>
      <c r="HG14" s="345"/>
    </row>
    <row r="15" spans="1:215" x14ac:dyDescent="0.45">
      <c r="A15" s="348"/>
      <c r="B15" s="123">
        <f t="shared" si="36"/>
        <v>46028</v>
      </c>
      <c r="C15" s="124" t="str">
        <f t="shared" si="0"/>
        <v>火</v>
      </c>
      <c r="D15" s="124" t="s">
        <v>22</v>
      </c>
      <c r="E15" s="259">
        <v>0.375</v>
      </c>
      <c r="F15" s="259">
        <v>0.75</v>
      </c>
      <c r="G15" s="260">
        <v>0.5</v>
      </c>
      <c r="H15" s="260">
        <v>0.54166666666666663</v>
      </c>
      <c r="I15" s="126" t="str">
        <f t="shared" si="1"/>
        <v>8h</v>
      </c>
      <c r="J15" s="261">
        <v>0.375</v>
      </c>
      <c r="K15" s="261">
        <v>0.75</v>
      </c>
      <c r="L15" s="261">
        <v>0.5</v>
      </c>
      <c r="M15" s="261">
        <v>0.54166666666666663</v>
      </c>
      <c r="N15" s="258" t="str">
        <f t="shared" si="2"/>
        <v>8h</v>
      </c>
      <c r="O15" s="345"/>
      <c r="P15" s="345"/>
      <c r="Q15" s="345"/>
      <c r="S15" s="120"/>
      <c r="T15" s="123">
        <f t="shared" si="37"/>
        <v>46059</v>
      </c>
      <c r="U15" s="124" t="str">
        <f t="shared" si="3"/>
        <v>金</v>
      </c>
      <c r="V15" s="124" t="s">
        <v>22</v>
      </c>
      <c r="W15" s="259">
        <v>0.375</v>
      </c>
      <c r="X15" s="259">
        <v>0.75</v>
      </c>
      <c r="Y15" s="260">
        <v>0.5</v>
      </c>
      <c r="Z15" s="260">
        <v>0.54166666666666663</v>
      </c>
      <c r="AA15" s="126" t="str">
        <f t="shared" si="4"/>
        <v>8h</v>
      </c>
      <c r="AB15" s="261">
        <v>0.375</v>
      </c>
      <c r="AC15" s="261">
        <v>0.75</v>
      </c>
      <c r="AD15" s="261">
        <v>0.5</v>
      </c>
      <c r="AE15" s="261">
        <v>0.54166666666666663</v>
      </c>
      <c r="AF15" s="258" t="str">
        <f t="shared" si="5"/>
        <v>8h</v>
      </c>
      <c r="AG15" s="345"/>
      <c r="AH15" s="345"/>
      <c r="AI15" s="345"/>
      <c r="AK15" s="120"/>
      <c r="AL15" s="123">
        <f t="shared" si="38"/>
        <v>46087</v>
      </c>
      <c r="AM15" s="124" t="str">
        <f t="shared" si="6"/>
        <v>金</v>
      </c>
      <c r="AN15" s="124" t="s">
        <v>22</v>
      </c>
      <c r="AO15" s="259">
        <v>0.375</v>
      </c>
      <c r="AP15" s="259">
        <v>0.75</v>
      </c>
      <c r="AQ15" s="260">
        <v>0.5</v>
      </c>
      <c r="AR15" s="260">
        <v>0.54166666666666663</v>
      </c>
      <c r="AS15" s="126" t="str">
        <f t="shared" si="7"/>
        <v>8h</v>
      </c>
      <c r="AT15" s="261">
        <v>0.375</v>
      </c>
      <c r="AU15" s="261">
        <v>0.75</v>
      </c>
      <c r="AV15" s="261">
        <v>0.5</v>
      </c>
      <c r="AW15" s="261">
        <v>0.54166666666666663</v>
      </c>
      <c r="AX15" s="258" t="str">
        <f t="shared" si="8"/>
        <v>8h</v>
      </c>
      <c r="AY15" s="345"/>
      <c r="AZ15" s="345"/>
      <c r="BA15" s="345"/>
      <c r="BC15" s="120"/>
      <c r="BD15" s="123">
        <f t="shared" si="39"/>
        <v>46118</v>
      </c>
      <c r="BE15" s="124" t="str">
        <f t="shared" si="9"/>
        <v>月</v>
      </c>
      <c r="BF15" s="124" t="s">
        <v>22</v>
      </c>
      <c r="BG15" s="259">
        <v>0.375</v>
      </c>
      <c r="BH15" s="259">
        <v>0.75</v>
      </c>
      <c r="BI15" s="260">
        <v>0.5</v>
      </c>
      <c r="BJ15" s="260">
        <v>0.54166666666666663</v>
      </c>
      <c r="BK15" s="126" t="str">
        <f t="shared" si="10"/>
        <v>8h</v>
      </c>
      <c r="BL15" s="261">
        <v>0.375</v>
      </c>
      <c r="BM15" s="261">
        <v>0.75</v>
      </c>
      <c r="BN15" s="261">
        <v>0.5</v>
      </c>
      <c r="BO15" s="261">
        <v>0.54166666666666663</v>
      </c>
      <c r="BP15" s="258" t="str">
        <f t="shared" si="11"/>
        <v>8h</v>
      </c>
      <c r="BQ15" s="345"/>
      <c r="BR15" s="345"/>
      <c r="BS15" s="345"/>
      <c r="BU15" s="120"/>
      <c r="BV15" s="123">
        <f t="shared" si="40"/>
        <v>46148</v>
      </c>
      <c r="BW15" s="124" t="str">
        <f t="shared" si="12"/>
        <v>水</v>
      </c>
      <c r="BX15" s="124"/>
      <c r="BY15" s="125"/>
      <c r="BZ15" s="125"/>
      <c r="CA15" s="109"/>
      <c r="CB15" s="109"/>
      <c r="CC15" s="126" t="str">
        <f t="shared" si="13"/>
        <v/>
      </c>
      <c r="CD15" s="257"/>
      <c r="CE15" s="257"/>
      <c r="CF15" s="257"/>
      <c r="CG15" s="257"/>
      <c r="CH15" s="258" t="str">
        <f t="shared" si="14"/>
        <v/>
      </c>
      <c r="CI15" s="345"/>
      <c r="CJ15" s="345"/>
      <c r="CK15" s="345"/>
      <c r="CM15" s="120"/>
      <c r="CN15" s="123">
        <f t="shared" si="41"/>
        <v>46179</v>
      </c>
      <c r="CO15" s="124" t="str">
        <f t="shared" si="15"/>
        <v>土</v>
      </c>
      <c r="CP15" s="124"/>
      <c r="CQ15" s="125"/>
      <c r="CR15" s="125"/>
      <c r="CS15" s="109"/>
      <c r="CT15" s="109"/>
      <c r="CU15" s="126" t="str">
        <f t="shared" si="16"/>
        <v/>
      </c>
      <c r="CV15" s="257"/>
      <c r="CW15" s="257"/>
      <c r="CX15" s="257"/>
      <c r="CY15" s="257"/>
      <c r="CZ15" s="258" t="str">
        <f t="shared" si="17"/>
        <v/>
      </c>
      <c r="DA15" s="345"/>
      <c r="DB15" s="345"/>
      <c r="DC15" s="345"/>
      <c r="DE15" s="120"/>
      <c r="DF15" s="123">
        <f t="shared" si="42"/>
        <v>46209</v>
      </c>
      <c r="DG15" s="124" t="str">
        <f t="shared" si="18"/>
        <v>月</v>
      </c>
      <c r="DH15" s="124" t="s">
        <v>22</v>
      </c>
      <c r="DI15" s="259">
        <v>0.375</v>
      </c>
      <c r="DJ15" s="259">
        <v>0.75</v>
      </c>
      <c r="DK15" s="260">
        <v>0.5</v>
      </c>
      <c r="DL15" s="260">
        <v>0.54166666666666663</v>
      </c>
      <c r="DM15" s="126" t="str">
        <f t="shared" si="19"/>
        <v>8h</v>
      </c>
      <c r="DN15" s="261">
        <v>0.375</v>
      </c>
      <c r="DO15" s="261">
        <v>0.75</v>
      </c>
      <c r="DP15" s="261">
        <v>0.5</v>
      </c>
      <c r="DQ15" s="261">
        <v>0.54166666666666663</v>
      </c>
      <c r="DR15" s="258" t="str">
        <f t="shared" si="20"/>
        <v>8h</v>
      </c>
      <c r="DS15" s="345"/>
      <c r="DT15" s="345"/>
      <c r="DU15" s="345"/>
      <c r="DW15" s="120"/>
      <c r="DX15" s="123">
        <f t="shared" si="43"/>
        <v>46240</v>
      </c>
      <c r="DY15" s="124" t="str">
        <f t="shared" si="21"/>
        <v>木</v>
      </c>
      <c r="DZ15" s="124" t="s">
        <v>22</v>
      </c>
      <c r="EA15" s="259">
        <v>0.375</v>
      </c>
      <c r="EB15" s="259">
        <v>0.75</v>
      </c>
      <c r="EC15" s="260">
        <v>0.5</v>
      </c>
      <c r="ED15" s="260">
        <v>0.54166666666666663</v>
      </c>
      <c r="EE15" s="126" t="str">
        <f t="shared" si="22"/>
        <v>8h</v>
      </c>
      <c r="EF15" s="261">
        <v>0.375</v>
      </c>
      <c r="EG15" s="261">
        <v>0.75</v>
      </c>
      <c r="EH15" s="261">
        <v>0.5</v>
      </c>
      <c r="EI15" s="261">
        <v>0.54166666666666663</v>
      </c>
      <c r="EJ15" s="258" t="str">
        <f t="shared" si="23"/>
        <v>8h</v>
      </c>
      <c r="EK15" s="345"/>
      <c r="EL15" s="345"/>
      <c r="EM15" s="345"/>
      <c r="EO15" s="120"/>
      <c r="EP15" s="123">
        <f t="shared" si="44"/>
        <v>46271</v>
      </c>
      <c r="EQ15" s="124" t="str">
        <f t="shared" si="24"/>
        <v>日</v>
      </c>
      <c r="ER15" s="124"/>
      <c r="ES15" s="125"/>
      <c r="ET15" s="125"/>
      <c r="EU15" s="109"/>
      <c r="EV15" s="109"/>
      <c r="EW15" s="126" t="str">
        <f t="shared" si="25"/>
        <v/>
      </c>
      <c r="EX15" s="257"/>
      <c r="EY15" s="257"/>
      <c r="EZ15" s="257"/>
      <c r="FA15" s="257"/>
      <c r="FB15" s="258" t="str">
        <f t="shared" si="26"/>
        <v/>
      </c>
      <c r="FC15" s="345"/>
      <c r="FD15" s="345"/>
      <c r="FE15" s="345"/>
      <c r="FG15" s="120"/>
      <c r="FH15" s="123">
        <f t="shared" si="45"/>
        <v>46301</v>
      </c>
      <c r="FI15" s="124" t="str">
        <f t="shared" si="27"/>
        <v>火</v>
      </c>
      <c r="FJ15" s="124" t="s">
        <v>22</v>
      </c>
      <c r="FK15" s="259">
        <v>0.375</v>
      </c>
      <c r="FL15" s="259">
        <v>0.75</v>
      </c>
      <c r="FM15" s="260">
        <v>0.5</v>
      </c>
      <c r="FN15" s="260">
        <v>0.54166666666666663</v>
      </c>
      <c r="FO15" s="126" t="str">
        <f t="shared" si="28"/>
        <v>8h</v>
      </c>
      <c r="FP15" s="261">
        <v>0.375</v>
      </c>
      <c r="FQ15" s="261">
        <v>0.75</v>
      </c>
      <c r="FR15" s="261">
        <v>0.5</v>
      </c>
      <c r="FS15" s="261">
        <v>0.54166666666666663</v>
      </c>
      <c r="FT15" s="258" t="str">
        <f t="shared" si="29"/>
        <v>8h</v>
      </c>
      <c r="FU15" s="345"/>
      <c r="FV15" s="345"/>
      <c r="FW15" s="345"/>
      <c r="FY15" s="120"/>
      <c r="FZ15" s="123">
        <f t="shared" si="46"/>
        <v>46332</v>
      </c>
      <c r="GA15" s="124" t="str">
        <f t="shared" si="30"/>
        <v>金</v>
      </c>
      <c r="GB15" s="124" t="s">
        <v>22</v>
      </c>
      <c r="GC15" s="259">
        <v>0.375</v>
      </c>
      <c r="GD15" s="259">
        <v>0.75</v>
      </c>
      <c r="GE15" s="260">
        <v>0.5</v>
      </c>
      <c r="GF15" s="260">
        <v>0.54166666666666663</v>
      </c>
      <c r="GG15" s="126" t="str">
        <f t="shared" si="31"/>
        <v>8h</v>
      </c>
      <c r="GH15" s="261">
        <v>0.375</v>
      </c>
      <c r="GI15" s="261">
        <v>0.75</v>
      </c>
      <c r="GJ15" s="261">
        <v>0.5</v>
      </c>
      <c r="GK15" s="261">
        <v>0.54166666666666663</v>
      </c>
      <c r="GL15" s="258" t="str">
        <f t="shared" si="32"/>
        <v>8h</v>
      </c>
      <c r="GM15" s="345"/>
      <c r="GN15" s="345"/>
      <c r="GO15" s="345"/>
      <c r="GQ15" s="120"/>
      <c r="GR15" s="123">
        <f t="shared" si="47"/>
        <v>46362</v>
      </c>
      <c r="GS15" s="124" t="str">
        <f t="shared" si="33"/>
        <v>日</v>
      </c>
      <c r="GT15" s="124"/>
      <c r="GU15" s="125"/>
      <c r="GV15" s="125"/>
      <c r="GW15" s="109"/>
      <c r="GX15" s="109"/>
      <c r="GY15" s="126" t="str">
        <f t="shared" si="34"/>
        <v/>
      </c>
      <c r="GZ15" s="257"/>
      <c r="HA15" s="257"/>
      <c r="HB15" s="257"/>
      <c r="HC15" s="257"/>
      <c r="HD15" s="258" t="str">
        <f t="shared" si="35"/>
        <v/>
      </c>
      <c r="HE15" s="345"/>
      <c r="HF15" s="345"/>
      <c r="HG15" s="345"/>
    </row>
    <row r="16" spans="1:215" x14ac:dyDescent="0.45">
      <c r="A16" s="120"/>
      <c r="B16" s="123">
        <f t="shared" si="36"/>
        <v>46029</v>
      </c>
      <c r="C16" s="124" t="str">
        <f t="shared" si="0"/>
        <v>水</v>
      </c>
      <c r="D16" s="124" t="s">
        <v>22</v>
      </c>
      <c r="E16" s="259">
        <v>0.375</v>
      </c>
      <c r="F16" s="259">
        <v>0.75</v>
      </c>
      <c r="G16" s="260">
        <v>0.5</v>
      </c>
      <c r="H16" s="260">
        <v>0.54166666666666663</v>
      </c>
      <c r="I16" s="126" t="str">
        <f t="shared" si="1"/>
        <v>8h</v>
      </c>
      <c r="J16" s="261">
        <v>0.375</v>
      </c>
      <c r="K16" s="261">
        <v>0.75</v>
      </c>
      <c r="L16" s="261">
        <v>0.5</v>
      </c>
      <c r="M16" s="261">
        <v>0.54166666666666663</v>
      </c>
      <c r="N16" s="258" t="str">
        <f t="shared" si="2"/>
        <v>8h</v>
      </c>
      <c r="O16" s="345"/>
      <c r="P16" s="345"/>
      <c r="Q16" s="345"/>
      <c r="S16" s="120"/>
      <c r="T16" s="123">
        <f t="shared" si="37"/>
        <v>46060</v>
      </c>
      <c r="U16" s="124" t="str">
        <f t="shared" si="3"/>
        <v>土</v>
      </c>
      <c r="V16" s="124"/>
      <c r="W16" s="125"/>
      <c r="X16" s="125"/>
      <c r="Y16" s="109"/>
      <c r="Z16" s="109"/>
      <c r="AA16" s="126" t="str">
        <f t="shared" si="4"/>
        <v/>
      </c>
      <c r="AB16" s="257"/>
      <c r="AC16" s="257"/>
      <c r="AD16" s="257"/>
      <c r="AE16" s="257"/>
      <c r="AF16" s="258" t="str">
        <f t="shared" si="5"/>
        <v/>
      </c>
      <c r="AG16" s="345"/>
      <c r="AH16" s="345"/>
      <c r="AI16" s="345"/>
      <c r="AK16" s="120"/>
      <c r="AL16" s="123">
        <f t="shared" si="38"/>
        <v>46088</v>
      </c>
      <c r="AM16" s="124" t="str">
        <f t="shared" si="6"/>
        <v>土</v>
      </c>
      <c r="AN16" s="124"/>
      <c r="AO16" s="125"/>
      <c r="AP16" s="125"/>
      <c r="AQ16" s="109"/>
      <c r="AR16" s="109"/>
      <c r="AS16" s="126" t="str">
        <f t="shared" si="7"/>
        <v/>
      </c>
      <c r="AT16" s="257"/>
      <c r="AU16" s="257"/>
      <c r="AV16" s="257"/>
      <c r="AW16" s="257"/>
      <c r="AX16" s="258" t="str">
        <f t="shared" si="8"/>
        <v/>
      </c>
      <c r="AY16" s="345"/>
      <c r="AZ16" s="345"/>
      <c r="BA16" s="345"/>
      <c r="BC16" s="120"/>
      <c r="BD16" s="123">
        <f t="shared" si="39"/>
        <v>46119</v>
      </c>
      <c r="BE16" s="124" t="str">
        <f t="shared" si="9"/>
        <v>火</v>
      </c>
      <c r="BF16" s="124" t="s">
        <v>22</v>
      </c>
      <c r="BG16" s="259">
        <v>0.375</v>
      </c>
      <c r="BH16" s="259">
        <v>0.75</v>
      </c>
      <c r="BI16" s="260">
        <v>0.5</v>
      </c>
      <c r="BJ16" s="260">
        <v>0.54166666666666663</v>
      </c>
      <c r="BK16" s="126" t="str">
        <f t="shared" si="10"/>
        <v>8h</v>
      </c>
      <c r="BL16" s="261">
        <v>0.375</v>
      </c>
      <c r="BM16" s="261">
        <v>0.75</v>
      </c>
      <c r="BN16" s="261">
        <v>0.5</v>
      </c>
      <c r="BO16" s="261">
        <v>0.54166666666666663</v>
      </c>
      <c r="BP16" s="258" t="str">
        <f t="shared" si="11"/>
        <v>8h</v>
      </c>
      <c r="BQ16" s="345"/>
      <c r="BR16" s="345"/>
      <c r="BS16" s="345"/>
      <c r="BU16" s="120"/>
      <c r="BV16" s="123">
        <f t="shared" si="40"/>
        <v>46149</v>
      </c>
      <c r="BW16" s="124" t="str">
        <f t="shared" si="12"/>
        <v>木</v>
      </c>
      <c r="BX16" s="124" t="s">
        <v>22</v>
      </c>
      <c r="BY16" s="259">
        <v>0.375</v>
      </c>
      <c r="BZ16" s="259">
        <v>0.75</v>
      </c>
      <c r="CA16" s="260">
        <v>0.5</v>
      </c>
      <c r="CB16" s="260">
        <v>0.54166666666666663</v>
      </c>
      <c r="CC16" s="126" t="str">
        <f t="shared" si="13"/>
        <v>8h</v>
      </c>
      <c r="CD16" s="261">
        <v>0.375</v>
      </c>
      <c r="CE16" s="261">
        <v>0.75</v>
      </c>
      <c r="CF16" s="261">
        <v>0.5</v>
      </c>
      <c r="CG16" s="261">
        <v>0.54166666666666663</v>
      </c>
      <c r="CH16" s="258" t="str">
        <f t="shared" si="14"/>
        <v>8h</v>
      </c>
      <c r="CI16" s="345"/>
      <c r="CJ16" s="345"/>
      <c r="CK16" s="345"/>
      <c r="CM16" s="120"/>
      <c r="CN16" s="123">
        <f t="shared" si="41"/>
        <v>46180</v>
      </c>
      <c r="CO16" s="124" t="str">
        <f t="shared" si="15"/>
        <v>日</v>
      </c>
      <c r="CP16" s="124"/>
      <c r="CQ16" s="125"/>
      <c r="CR16" s="125"/>
      <c r="CS16" s="109"/>
      <c r="CT16" s="109"/>
      <c r="CU16" s="126" t="str">
        <f t="shared" si="16"/>
        <v/>
      </c>
      <c r="CV16" s="257"/>
      <c r="CW16" s="257"/>
      <c r="CX16" s="257"/>
      <c r="CY16" s="257"/>
      <c r="CZ16" s="258" t="str">
        <f t="shared" si="17"/>
        <v/>
      </c>
      <c r="DA16" s="345"/>
      <c r="DB16" s="345"/>
      <c r="DC16" s="345"/>
      <c r="DE16" s="120"/>
      <c r="DF16" s="123">
        <f t="shared" si="42"/>
        <v>46210</v>
      </c>
      <c r="DG16" s="124" t="str">
        <f t="shared" si="18"/>
        <v>火</v>
      </c>
      <c r="DH16" s="124" t="s">
        <v>22</v>
      </c>
      <c r="DI16" s="259">
        <v>0.375</v>
      </c>
      <c r="DJ16" s="259">
        <v>0.75</v>
      </c>
      <c r="DK16" s="260">
        <v>0.5</v>
      </c>
      <c r="DL16" s="260">
        <v>0.54166666666666663</v>
      </c>
      <c r="DM16" s="126" t="str">
        <f t="shared" si="19"/>
        <v>8h</v>
      </c>
      <c r="DN16" s="261">
        <v>0.375</v>
      </c>
      <c r="DO16" s="261">
        <v>0.75</v>
      </c>
      <c r="DP16" s="261">
        <v>0.5</v>
      </c>
      <c r="DQ16" s="261">
        <v>0.54166666666666663</v>
      </c>
      <c r="DR16" s="258" t="str">
        <f t="shared" si="20"/>
        <v>8h</v>
      </c>
      <c r="DS16" s="345"/>
      <c r="DT16" s="345"/>
      <c r="DU16" s="345"/>
      <c r="DW16" s="120"/>
      <c r="DX16" s="123">
        <f t="shared" si="43"/>
        <v>46241</v>
      </c>
      <c r="DY16" s="124" t="str">
        <f t="shared" si="21"/>
        <v>金</v>
      </c>
      <c r="DZ16" s="124" t="s">
        <v>22</v>
      </c>
      <c r="EA16" s="259">
        <v>0.375</v>
      </c>
      <c r="EB16" s="259">
        <v>0.75</v>
      </c>
      <c r="EC16" s="260">
        <v>0.5</v>
      </c>
      <c r="ED16" s="260">
        <v>0.54166666666666663</v>
      </c>
      <c r="EE16" s="126" t="str">
        <f t="shared" si="22"/>
        <v>8h</v>
      </c>
      <c r="EF16" s="261">
        <v>0.375</v>
      </c>
      <c r="EG16" s="261">
        <v>0.75</v>
      </c>
      <c r="EH16" s="261">
        <v>0.5</v>
      </c>
      <c r="EI16" s="261">
        <v>0.54166666666666663</v>
      </c>
      <c r="EJ16" s="258" t="str">
        <f t="shared" si="23"/>
        <v>8h</v>
      </c>
      <c r="EK16" s="345"/>
      <c r="EL16" s="345"/>
      <c r="EM16" s="345"/>
      <c r="EO16" s="120"/>
      <c r="EP16" s="123">
        <f t="shared" si="44"/>
        <v>46272</v>
      </c>
      <c r="EQ16" s="124" t="str">
        <f t="shared" si="24"/>
        <v>月</v>
      </c>
      <c r="ER16" s="124" t="s">
        <v>22</v>
      </c>
      <c r="ES16" s="259">
        <v>0.375</v>
      </c>
      <c r="ET16" s="259">
        <v>0.75</v>
      </c>
      <c r="EU16" s="260">
        <v>0.5</v>
      </c>
      <c r="EV16" s="260">
        <v>0.54166666666666663</v>
      </c>
      <c r="EW16" s="126" t="str">
        <f t="shared" si="25"/>
        <v>8h</v>
      </c>
      <c r="EX16" s="261">
        <v>0.375</v>
      </c>
      <c r="EY16" s="261">
        <v>0.75</v>
      </c>
      <c r="EZ16" s="261">
        <v>0.5</v>
      </c>
      <c r="FA16" s="261">
        <v>0.54166666666666663</v>
      </c>
      <c r="FB16" s="258" t="str">
        <f t="shared" si="26"/>
        <v>8h</v>
      </c>
      <c r="FC16" s="345"/>
      <c r="FD16" s="345"/>
      <c r="FE16" s="345"/>
      <c r="FG16" s="120"/>
      <c r="FH16" s="123">
        <f t="shared" si="45"/>
        <v>46302</v>
      </c>
      <c r="FI16" s="124" t="str">
        <f t="shared" si="27"/>
        <v>水</v>
      </c>
      <c r="FJ16" s="124" t="s">
        <v>22</v>
      </c>
      <c r="FK16" s="259">
        <v>0.375</v>
      </c>
      <c r="FL16" s="259">
        <v>0.75</v>
      </c>
      <c r="FM16" s="260">
        <v>0.5</v>
      </c>
      <c r="FN16" s="260">
        <v>0.54166666666666663</v>
      </c>
      <c r="FO16" s="126" t="str">
        <f t="shared" si="28"/>
        <v>8h</v>
      </c>
      <c r="FP16" s="261">
        <v>0.375</v>
      </c>
      <c r="FQ16" s="261">
        <v>0.75</v>
      </c>
      <c r="FR16" s="261">
        <v>0.5</v>
      </c>
      <c r="FS16" s="261">
        <v>0.54166666666666663</v>
      </c>
      <c r="FT16" s="258" t="str">
        <f t="shared" si="29"/>
        <v>8h</v>
      </c>
      <c r="FU16" s="345"/>
      <c r="FV16" s="345"/>
      <c r="FW16" s="345"/>
      <c r="FY16" s="120"/>
      <c r="FZ16" s="123">
        <f t="shared" si="46"/>
        <v>46333</v>
      </c>
      <c r="GA16" s="124" t="str">
        <f t="shared" si="30"/>
        <v>土</v>
      </c>
      <c r="GB16" s="124"/>
      <c r="GC16" s="125"/>
      <c r="GD16" s="125"/>
      <c r="GE16" s="109"/>
      <c r="GF16" s="109"/>
      <c r="GG16" s="126" t="str">
        <f t="shared" si="31"/>
        <v/>
      </c>
      <c r="GH16" s="257"/>
      <c r="GI16" s="257"/>
      <c r="GJ16" s="257"/>
      <c r="GK16" s="257"/>
      <c r="GL16" s="258" t="str">
        <f t="shared" si="32"/>
        <v/>
      </c>
      <c r="GM16" s="345"/>
      <c r="GN16" s="345"/>
      <c r="GO16" s="345"/>
      <c r="GQ16" s="120"/>
      <c r="GR16" s="123">
        <f t="shared" si="47"/>
        <v>46363</v>
      </c>
      <c r="GS16" s="124" t="str">
        <f t="shared" si="33"/>
        <v>月</v>
      </c>
      <c r="GT16" s="124" t="s">
        <v>22</v>
      </c>
      <c r="GU16" s="259">
        <v>0.375</v>
      </c>
      <c r="GV16" s="259">
        <v>0.75</v>
      </c>
      <c r="GW16" s="260">
        <v>0.5</v>
      </c>
      <c r="GX16" s="260">
        <v>0.54166666666666663</v>
      </c>
      <c r="GY16" s="126" t="str">
        <f t="shared" si="34"/>
        <v>8h</v>
      </c>
      <c r="GZ16" s="261">
        <v>0.375</v>
      </c>
      <c r="HA16" s="261">
        <v>0.75</v>
      </c>
      <c r="HB16" s="261">
        <v>0.5</v>
      </c>
      <c r="HC16" s="261">
        <v>0.54166666666666663</v>
      </c>
      <c r="HD16" s="258" t="str">
        <f t="shared" si="35"/>
        <v>8h</v>
      </c>
      <c r="HE16" s="345"/>
      <c r="HF16" s="345"/>
      <c r="HG16" s="345"/>
    </row>
    <row r="17" spans="1:215" x14ac:dyDescent="0.45">
      <c r="A17" s="120"/>
      <c r="B17" s="123">
        <f t="shared" si="36"/>
        <v>46030</v>
      </c>
      <c r="C17" s="124" t="str">
        <f t="shared" si="0"/>
        <v>木</v>
      </c>
      <c r="D17" s="124" t="s">
        <v>22</v>
      </c>
      <c r="E17" s="259">
        <v>0.375</v>
      </c>
      <c r="F17" s="259">
        <v>0.75</v>
      </c>
      <c r="G17" s="260">
        <v>0.5</v>
      </c>
      <c r="H17" s="260">
        <v>0.54166666666666663</v>
      </c>
      <c r="I17" s="126" t="str">
        <f t="shared" si="1"/>
        <v>8h</v>
      </c>
      <c r="J17" s="261">
        <v>0.375</v>
      </c>
      <c r="K17" s="261">
        <v>0.75</v>
      </c>
      <c r="L17" s="261">
        <v>0.5</v>
      </c>
      <c r="M17" s="261">
        <v>0.54166666666666663</v>
      </c>
      <c r="N17" s="258" t="str">
        <f t="shared" si="2"/>
        <v>8h</v>
      </c>
      <c r="O17" s="345"/>
      <c r="P17" s="345"/>
      <c r="Q17" s="345"/>
      <c r="S17" s="120"/>
      <c r="T17" s="123">
        <f t="shared" si="37"/>
        <v>46061</v>
      </c>
      <c r="U17" s="124" t="str">
        <f t="shared" si="3"/>
        <v>日</v>
      </c>
      <c r="V17" s="124"/>
      <c r="W17" s="125"/>
      <c r="X17" s="125"/>
      <c r="Y17" s="109"/>
      <c r="Z17" s="109"/>
      <c r="AA17" s="126" t="str">
        <f t="shared" si="4"/>
        <v/>
      </c>
      <c r="AB17" s="257"/>
      <c r="AC17" s="257"/>
      <c r="AD17" s="257"/>
      <c r="AE17" s="257"/>
      <c r="AF17" s="258" t="str">
        <f t="shared" si="5"/>
        <v/>
      </c>
      <c r="AG17" s="345"/>
      <c r="AH17" s="345"/>
      <c r="AI17" s="345"/>
      <c r="AK17" s="120"/>
      <c r="AL17" s="123">
        <f t="shared" si="38"/>
        <v>46089</v>
      </c>
      <c r="AM17" s="124" t="str">
        <f t="shared" si="6"/>
        <v>日</v>
      </c>
      <c r="AN17" s="124"/>
      <c r="AO17" s="125"/>
      <c r="AP17" s="125"/>
      <c r="AQ17" s="109"/>
      <c r="AR17" s="109"/>
      <c r="AS17" s="126" t="str">
        <f t="shared" si="7"/>
        <v/>
      </c>
      <c r="AT17" s="257"/>
      <c r="AU17" s="257"/>
      <c r="AV17" s="257"/>
      <c r="AW17" s="257"/>
      <c r="AX17" s="258" t="str">
        <f t="shared" si="8"/>
        <v/>
      </c>
      <c r="AY17" s="345"/>
      <c r="AZ17" s="345"/>
      <c r="BA17" s="345"/>
      <c r="BC17" s="120"/>
      <c r="BD17" s="123">
        <f t="shared" si="39"/>
        <v>46120</v>
      </c>
      <c r="BE17" s="124" t="str">
        <f t="shared" si="9"/>
        <v>水</v>
      </c>
      <c r="BF17" s="124" t="s">
        <v>22</v>
      </c>
      <c r="BG17" s="259">
        <v>0.375</v>
      </c>
      <c r="BH17" s="259">
        <v>0.75</v>
      </c>
      <c r="BI17" s="260">
        <v>0.5</v>
      </c>
      <c r="BJ17" s="260">
        <v>0.54166666666666663</v>
      </c>
      <c r="BK17" s="126" t="str">
        <f t="shared" si="10"/>
        <v>8h</v>
      </c>
      <c r="BL17" s="261">
        <v>0.375</v>
      </c>
      <c r="BM17" s="261">
        <v>0.75</v>
      </c>
      <c r="BN17" s="261">
        <v>0.5</v>
      </c>
      <c r="BO17" s="261">
        <v>0.54166666666666663</v>
      </c>
      <c r="BP17" s="258" t="str">
        <f t="shared" si="11"/>
        <v>8h</v>
      </c>
      <c r="BQ17" s="345"/>
      <c r="BR17" s="345"/>
      <c r="BS17" s="345"/>
      <c r="BU17" s="120"/>
      <c r="BV17" s="123">
        <f t="shared" si="40"/>
        <v>46150</v>
      </c>
      <c r="BW17" s="124" t="str">
        <f t="shared" si="12"/>
        <v>金</v>
      </c>
      <c r="BX17" s="124" t="s">
        <v>22</v>
      </c>
      <c r="BY17" s="259">
        <v>0.375</v>
      </c>
      <c r="BZ17" s="259">
        <v>0.75</v>
      </c>
      <c r="CA17" s="260">
        <v>0.5</v>
      </c>
      <c r="CB17" s="260">
        <v>0.54166666666666663</v>
      </c>
      <c r="CC17" s="126" t="str">
        <f t="shared" si="13"/>
        <v>8h</v>
      </c>
      <c r="CD17" s="261">
        <v>0.375</v>
      </c>
      <c r="CE17" s="261">
        <v>0.75</v>
      </c>
      <c r="CF17" s="261">
        <v>0.5</v>
      </c>
      <c r="CG17" s="261">
        <v>0.54166666666666663</v>
      </c>
      <c r="CH17" s="258" t="str">
        <f t="shared" si="14"/>
        <v>8h</v>
      </c>
      <c r="CI17" s="345"/>
      <c r="CJ17" s="345"/>
      <c r="CK17" s="345"/>
      <c r="CM17" s="120"/>
      <c r="CN17" s="123">
        <f t="shared" si="41"/>
        <v>46181</v>
      </c>
      <c r="CO17" s="124" t="str">
        <f t="shared" si="15"/>
        <v>月</v>
      </c>
      <c r="CP17" s="124" t="s">
        <v>22</v>
      </c>
      <c r="CQ17" s="259">
        <v>0.375</v>
      </c>
      <c r="CR17" s="259">
        <v>0.75</v>
      </c>
      <c r="CS17" s="260">
        <v>0.5</v>
      </c>
      <c r="CT17" s="260">
        <v>0.54166666666666663</v>
      </c>
      <c r="CU17" s="126" t="str">
        <f t="shared" si="16"/>
        <v>8h</v>
      </c>
      <c r="CV17" s="261">
        <v>0.375</v>
      </c>
      <c r="CW17" s="261">
        <v>0.75</v>
      </c>
      <c r="CX17" s="261">
        <v>0.5</v>
      </c>
      <c r="CY17" s="261">
        <v>0.54166666666666663</v>
      </c>
      <c r="CZ17" s="258" t="str">
        <f t="shared" si="17"/>
        <v>8h</v>
      </c>
      <c r="DA17" s="345"/>
      <c r="DB17" s="345"/>
      <c r="DC17" s="345"/>
      <c r="DE17" s="120"/>
      <c r="DF17" s="123">
        <f t="shared" si="42"/>
        <v>46211</v>
      </c>
      <c r="DG17" s="124" t="str">
        <f t="shared" si="18"/>
        <v>水</v>
      </c>
      <c r="DH17" s="124" t="s">
        <v>22</v>
      </c>
      <c r="DI17" s="259">
        <v>0.375</v>
      </c>
      <c r="DJ17" s="259">
        <v>0.75</v>
      </c>
      <c r="DK17" s="260">
        <v>0.5</v>
      </c>
      <c r="DL17" s="260">
        <v>0.54166666666666663</v>
      </c>
      <c r="DM17" s="126" t="str">
        <f t="shared" si="19"/>
        <v>8h</v>
      </c>
      <c r="DN17" s="261">
        <v>0.375</v>
      </c>
      <c r="DO17" s="261">
        <v>0.75</v>
      </c>
      <c r="DP17" s="261">
        <v>0.5</v>
      </c>
      <c r="DQ17" s="261">
        <v>0.54166666666666663</v>
      </c>
      <c r="DR17" s="258" t="str">
        <f t="shared" si="20"/>
        <v>8h</v>
      </c>
      <c r="DS17" s="345"/>
      <c r="DT17" s="345"/>
      <c r="DU17" s="345"/>
      <c r="DW17" s="120"/>
      <c r="DX17" s="123">
        <f t="shared" si="43"/>
        <v>46242</v>
      </c>
      <c r="DY17" s="124" t="str">
        <f t="shared" si="21"/>
        <v>土</v>
      </c>
      <c r="DZ17" s="124"/>
      <c r="EA17" s="125"/>
      <c r="EB17" s="125"/>
      <c r="EC17" s="109"/>
      <c r="ED17" s="109"/>
      <c r="EE17" s="126" t="str">
        <f t="shared" si="22"/>
        <v/>
      </c>
      <c r="EF17" s="257"/>
      <c r="EG17" s="257"/>
      <c r="EH17" s="257"/>
      <c r="EI17" s="257"/>
      <c r="EJ17" s="258" t="str">
        <f t="shared" si="23"/>
        <v/>
      </c>
      <c r="EK17" s="345"/>
      <c r="EL17" s="345"/>
      <c r="EM17" s="345"/>
      <c r="EO17" s="120"/>
      <c r="EP17" s="123">
        <f t="shared" si="44"/>
        <v>46273</v>
      </c>
      <c r="EQ17" s="124" t="str">
        <f t="shared" si="24"/>
        <v>火</v>
      </c>
      <c r="ER17" s="124" t="s">
        <v>22</v>
      </c>
      <c r="ES17" s="259">
        <v>0.375</v>
      </c>
      <c r="ET17" s="259">
        <v>0.75</v>
      </c>
      <c r="EU17" s="260">
        <v>0.5</v>
      </c>
      <c r="EV17" s="260">
        <v>0.54166666666666663</v>
      </c>
      <c r="EW17" s="126" t="str">
        <f t="shared" si="25"/>
        <v>8h</v>
      </c>
      <c r="EX17" s="261">
        <v>0.375</v>
      </c>
      <c r="EY17" s="261">
        <v>0.75</v>
      </c>
      <c r="EZ17" s="261">
        <v>0.5</v>
      </c>
      <c r="FA17" s="261">
        <v>0.54166666666666663</v>
      </c>
      <c r="FB17" s="258" t="str">
        <f t="shared" si="26"/>
        <v>8h</v>
      </c>
      <c r="FC17" s="345"/>
      <c r="FD17" s="345"/>
      <c r="FE17" s="345"/>
      <c r="FG17" s="120"/>
      <c r="FH17" s="123">
        <f t="shared" si="45"/>
        <v>46303</v>
      </c>
      <c r="FI17" s="124" t="str">
        <f t="shared" si="27"/>
        <v>木</v>
      </c>
      <c r="FJ17" s="124" t="s">
        <v>22</v>
      </c>
      <c r="FK17" s="259">
        <v>0.375</v>
      </c>
      <c r="FL17" s="259">
        <v>0.75</v>
      </c>
      <c r="FM17" s="260">
        <v>0.5</v>
      </c>
      <c r="FN17" s="260">
        <v>0.54166666666666663</v>
      </c>
      <c r="FO17" s="126" t="str">
        <f t="shared" si="28"/>
        <v>8h</v>
      </c>
      <c r="FP17" s="261">
        <v>0.375</v>
      </c>
      <c r="FQ17" s="261">
        <v>0.75</v>
      </c>
      <c r="FR17" s="261">
        <v>0.5</v>
      </c>
      <c r="FS17" s="261">
        <v>0.54166666666666663</v>
      </c>
      <c r="FT17" s="258" t="str">
        <f t="shared" si="29"/>
        <v>8h</v>
      </c>
      <c r="FU17" s="345"/>
      <c r="FV17" s="345"/>
      <c r="FW17" s="345"/>
      <c r="FY17" s="120"/>
      <c r="FZ17" s="123">
        <f t="shared" si="46"/>
        <v>46334</v>
      </c>
      <c r="GA17" s="124" t="str">
        <f t="shared" si="30"/>
        <v>日</v>
      </c>
      <c r="GB17" s="124"/>
      <c r="GC17" s="125"/>
      <c r="GD17" s="125"/>
      <c r="GE17" s="109"/>
      <c r="GF17" s="109"/>
      <c r="GG17" s="126" t="str">
        <f t="shared" si="31"/>
        <v/>
      </c>
      <c r="GH17" s="257"/>
      <c r="GI17" s="257"/>
      <c r="GJ17" s="257"/>
      <c r="GK17" s="257"/>
      <c r="GL17" s="258" t="str">
        <f t="shared" si="32"/>
        <v/>
      </c>
      <c r="GM17" s="345"/>
      <c r="GN17" s="345"/>
      <c r="GO17" s="345"/>
      <c r="GQ17" s="120"/>
      <c r="GR17" s="123">
        <f t="shared" si="47"/>
        <v>46364</v>
      </c>
      <c r="GS17" s="124" t="str">
        <f t="shared" si="33"/>
        <v>火</v>
      </c>
      <c r="GT17" s="124" t="s">
        <v>22</v>
      </c>
      <c r="GU17" s="259">
        <v>0.375</v>
      </c>
      <c r="GV17" s="259">
        <v>0.75</v>
      </c>
      <c r="GW17" s="260">
        <v>0.5</v>
      </c>
      <c r="GX17" s="260">
        <v>0.54166666666666663</v>
      </c>
      <c r="GY17" s="126" t="str">
        <f t="shared" si="34"/>
        <v>8h</v>
      </c>
      <c r="GZ17" s="261">
        <v>0.375</v>
      </c>
      <c r="HA17" s="261">
        <v>0.75</v>
      </c>
      <c r="HB17" s="261">
        <v>0.5</v>
      </c>
      <c r="HC17" s="261">
        <v>0.54166666666666663</v>
      </c>
      <c r="HD17" s="258" t="str">
        <f t="shared" si="35"/>
        <v>8h</v>
      </c>
      <c r="HE17" s="345"/>
      <c r="HF17" s="345"/>
      <c r="HG17" s="345"/>
    </row>
    <row r="18" spans="1:215" x14ac:dyDescent="0.45">
      <c r="A18" s="120"/>
      <c r="B18" s="123">
        <f t="shared" si="36"/>
        <v>46031</v>
      </c>
      <c r="C18" s="124" t="str">
        <f t="shared" si="0"/>
        <v>金</v>
      </c>
      <c r="D18" s="124" t="s">
        <v>22</v>
      </c>
      <c r="E18" s="259">
        <v>0.375</v>
      </c>
      <c r="F18" s="259">
        <v>0.75</v>
      </c>
      <c r="G18" s="260">
        <v>0.5</v>
      </c>
      <c r="H18" s="260">
        <v>0.54166666666666663</v>
      </c>
      <c r="I18" s="126" t="str">
        <f t="shared" si="1"/>
        <v>8h</v>
      </c>
      <c r="J18" s="261">
        <v>0.375</v>
      </c>
      <c r="K18" s="261">
        <v>0.75</v>
      </c>
      <c r="L18" s="261">
        <v>0.5</v>
      </c>
      <c r="M18" s="261">
        <v>0.54166666666666663</v>
      </c>
      <c r="N18" s="258" t="str">
        <f t="shared" si="2"/>
        <v>8h</v>
      </c>
      <c r="O18" s="345"/>
      <c r="P18" s="345"/>
      <c r="Q18" s="345"/>
      <c r="S18" s="120"/>
      <c r="T18" s="123">
        <f t="shared" si="37"/>
        <v>46062</v>
      </c>
      <c r="U18" s="124" t="str">
        <f t="shared" si="3"/>
        <v>月</v>
      </c>
      <c r="V18" s="124" t="s">
        <v>22</v>
      </c>
      <c r="W18" s="259">
        <v>0.375</v>
      </c>
      <c r="X18" s="259">
        <v>0.75</v>
      </c>
      <c r="Y18" s="260">
        <v>0.5</v>
      </c>
      <c r="Z18" s="260">
        <v>0.54166666666666663</v>
      </c>
      <c r="AA18" s="126" t="str">
        <f t="shared" si="4"/>
        <v>8h</v>
      </c>
      <c r="AB18" s="261">
        <v>0.375</v>
      </c>
      <c r="AC18" s="261">
        <v>0.75</v>
      </c>
      <c r="AD18" s="261">
        <v>0.5</v>
      </c>
      <c r="AE18" s="261">
        <v>0.54166666666666663</v>
      </c>
      <c r="AF18" s="258" t="str">
        <f t="shared" si="5"/>
        <v>8h</v>
      </c>
      <c r="AG18" s="345"/>
      <c r="AH18" s="345"/>
      <c r="AI18" s="345"/>
      <c r="AK18" s="120"/>
      <c r="AL18" s="123">
        <f t="shared" si="38"/>
        <v>46090</v>
      </c>
      <c r="AM18" s="124" t="str">
        <f t="shared" si="6"/>
        <v>月</v>
      </c>
      <c r="AN18" s="124" t="s">
        <v>22</v>
      </c>
      <c r="AO18" s="259">
        <v>0.375</v>
      </c>
      <c r="AP18" s="259">
        <v>0.75</v>
      </c>
      <c r="AQ18" s="260">
        <v>0.5</v>
      </c>
      <c r="AR18" s="260">
        <v>0.54166666666666663</v>
      </c>
      <c r="AS18" s="126" t="str">
        <f t="shared" si="7"/>
        <v>8h</v>
      </c>
      <c r="AT18" s="261">
        <v>0.375</v>
      </c>
      <c r="AU18" s="261">
        <v>0.75</v>
      </c>
      <c r="AV18" s="261">
        <v>0.5</v>
      </c>
      <c r="AW18" s="261">
        <v>0.54166666666666663</v>
      </c>
      <c r="AX18" s="258" t="str">
        <f t="shared" si="8"/>
        <v>8h</v>
      </c>
      <c r="AY18" s="345"/>
      <c r="AZ18" s="345"/>
      <c r="BA18" s="345"/>
      <c r="BC18" s="120"/>
      <c r="BD18" s="123">
        <f t="shared" si="39"/>
        <v>46121</v>
      </c>
      <c r="BE18" s="124" t="str">
        <f t="shared" si="9"/>
        <v>木</v>
      </c>
      <c r="BF18" s="124" t="s">
        <v>22</v>
      </c>
      <c r="BG18" s="259">
        <v>0.375</v>
      </c>
      <c r="BH18" s="259">
        <v>0.75</v>
      </c>
      <c r="BI18" s="260">
        <v>0.5</v>
      </c>
      <c r="BJ18" s="260">
        <v>0.54166666666666663</v>
      </c>
      <c r="BK18" s="126" t="str">
        <f t="shared" si="10"/>
        <v>8h</v>
      </c>
      <c r="BL18" s="261">
        <v>0.375</v>
      </c>
      <c r="BM18" s="261">
        <v>0.75</v>
      </c>
      <c r="BN18" s="261">
        <v>0.5</v>
      </c>
      <c r="BO18" s="261">
        <v>0.54166666666666663</v>
      </c>
      <c r="BP18" s="258" t="str">
        <f t="shared" si="11"/>
        <v>8h</v>
      </c>
      <c r="BQ18" s="345"/>
      <c r="BR18" s="345"/>
      <c r="BS18" s="345"/>
      <c r="BU18" s="120"/>
      <c r="BV18" s="123">
        <f t="shared" si="40"/>
        <v>46151</v>
      </c>
      <c r="BW18" s="124" t="str">
        <f t="shared" si="12"/>
        <v>土</v>
      </c>
      <c r="BX18" s="124"/>
      <c r="BY18" s="125"/>
      <c r="BZ18" s="125"/>
      <c r="CA18" s="109"/>
      <c r="CB18" s="109"/>
      <c r="CC18" s="126" t="str">
        <f t="shared" si="13"/>
        <v/>
      </c>
      <c r="CD18" s="257"/>
      <c r="CE18" s="257"/>
      <c r="CF18" s="257"/>
      <c r="CG18" s="257"/>
      <c r="CH18" s="258" t="str">
        <f t="shared" si="14"/>
        <v/>
      </c>
      <c r="CI18" s="345"/>
      <c r="CJ18" s="345"/>
      <c r="CK18" s="345"/>
      <c r="CM18" s="120"/>
      <c r="CN18" s="123">
        <f t="shared" si="41"/>
        <v>46182</v>
      </c>
      <c r="CO18" s="124" t="str">
        <f t="shared" si="15"/>
        <v>火</v>
      </c>
      <c r="CP18" s="124" t="s">
        <v>22</v>
      </c>
      <c r="CQ18" s="259">
        <v>0.375</v>
      </c>
      <c r="CR18" s="259">
        <v>0.75</v>
      </c>
      <c r="CS18" s="260">
        <v>0.5</v>
      </c>
      <c r="CT18" s="260">
        <v>0.54166666666666663</v>
      </c>
      <c r="CU18" s="126" t="str">
        <f t="shared" si="16"/>
        <v>8h</v>
      </c>
      <c r="CV18" s="261">
        <v>0.375</v>
      </c>
      <c r="CW18" s="261">
        <v>0.75</v>
      </c>
      <c r="CX18" s="261">
        <v>0.5</v>
      </c>
      <c r="CY18" s="261">
        <v>0.54166666666666663</v>
      </c>
      <c r="CZ18" s="258" t="str">
        <f t="shared" si="17"/>
        <v>8h</v>
      </c>
      <c r="DA18" s="345"/>
      <c r="DB18" s="345"/>
      <c r="DC18" s="345"/>
      <c r="DE18" s="120"/>
      <c r="DF18" s="123">
        <f t="shared" si="42"/>
        <v>46212</v>
      </c>
      <c r="DG18" s="124" t="str">
        <f t="shared" si="18"/>
        <v>木</v>
      </c>
      <c r="DH18" s="124" t="s">
        <v>22</v>
      </c>
      <c r="DI18" s="259">
        <v>0.375</v>
      </c>
      <c r="DJ18" s="259">
        <v>0.75</v>
      </c>
      <c r="DK18" s="260">
        <v>0.5</v>
      </c>
      <c r="DL18" s="260">
        <v>0.54166666666666663</v>
      </c>
      <c r="DM18" s="126" t="str">
        <f t="shared" si="19"/>
        <v>8h</v>
      </c>
      <c r="DN18" s="261">
        <v>0.375</v>
      </c>
      <c r="DO18" s="261">
        <v>0.75</v>
      </c>
      <c r="DP18" s="261">
        <v>0.5</v>
      </c>
      <c r="DQ18" s="261">
        <v>0.54166666666666663</v>
      </c>
      <c r="DR18" s="258" t="str">
        <f t="shared" si="20"/>
        <v>8h</v>
      </c>
      <c r="DS18" s="345"/>
      <c r="DT18" s="345"/>
      <c r="DU18" s="345"/>
      <c r="DW18" s="120"/>
      <c r="DX18" s="123">
        <f t="shared" si="43"/>
        <v>46243</v>
      </c>
      <c r="DY18" s="124" t="str">
        <f t="shared" si="21"/>
        <v>日</v>
      </c>
      <c r="DZ18" s="124"/>
      <c r="EA18" s="125"/>
      <c r="EB18" s="125"/>
      <c r="EC18" s="109"/>
      <c r="ED18" s="109"/>
      <c r="EE18" s="126" t="str">
        <f t="shared" si="22"/>
        <v/>
      </c>
      <c r="EF18" s="257"/>
      <c r="EG18" s="257"/>
      <c r="EH18" s="257"/>
      <c r="EI18" s="257"/>
      <c r="EJ18" s="258" t="str">
        <f t="shared" si="23"/>
        <v/>
      </c>
      <c r="EK18" s="345"/>
      <c r="EL18" s="345"/>
      <c r="EM18" s="345"/>
      <c r="EO18" s="120"/>
      <c r="EP18" s="123">
        <f t="shared" si="44"/>
        <v>46274</v>
      </c>
      <c r="EQ18" s="124" t="str">
        <f t="shared" si="24"/>
        <v>水</v>
      </c>
      <c r="ER18" s="124" t="s">
        <v>22</v>
      </c>
      <c r="ES18" s="259">
        <v>0.375</v>
      </c>
      <c r="ET18" s="259">
        <v>0.75</v>
      </c>
      <c r="EU18" s="260">
        <v>0.5</v>
      </c>
      <c r="EV18" s="260">
        <v>0.54166666666666663</v>
      </c>
      <c r="EW18" s="126" t="str">
        <f t="shared" si="25"/>
        <v>8h</v>
      </c>
      <c r="EX18" s="261">
        <v>0.375</v>
      </c>
      <c r="EY18" s="261">
        <v>0.75</v>
      </c>
      <c r="EZ18" s="261">
        <v>0.5</v>
      </c>
      <c r="FA18" s="261">
        <v>0.54166666666666663</v>
      </c>
      <c r="FB18" s="258" t="str">
        <f t="shared" si="26"/>
        <v>8h</v>
      </c>
      <c r="FC18" s="345"/>
      <c r="FD18" s="345"/>
      <c r="FE18" s="345"/>
      <c r="FG18" s="120"/>
      <c r="FH18" s="123">
        <f t="shared" si="45"/>
        <v>46304</v>
      </c>
      <c r="FI18" s="124" t="str">
        <f t="shared" si="27"/>
        <v>金</v>
      </c>
      <c r="FJ18" s="124" t="s">
        <v>22</v>
      </c>
      <c r="FK18" s="259">
        <v>0.375</v>
      </c>
      <c r="FL18" s="259">
        <v>0.75</v>
      </c>
      <c r="FM18" s="260">
        <v>0.5</v>
      </c>
      <c r="FN18" s="260">
        <v>0.54166666666666663</v>
      </c>
      <c r="FO18" s="126" t="str">
        <f t="shared" si="28"/>
        <v>8h</v>
      </c>
      <c r="FP18" s="261">
        <v>0.375</v>
      </c>
      <c r="FQ18" s="261">
        <v>0.75</v>
      </c>
      <c r="FR18" s="261">
        <v>0.5</v>
      </c>
      <c r="FS18" s="261">
        <v>0.54166666666666663</v>
      </c>
      <c r="FT18" s="258" t="str">
        <f t="shared" si="29"/>
        <v>8h</v>
      </c>
      <c r="FU18" s="345"/>
      <c r="FV18" s="345"/>
      <c r="FW18" s="345"/>
      <c r="FY18" s="120"/>
      <c r="FZ18" s="123">
        <f t="shared" si="46"/>
        <v>46335</v>
      </c>
      <c r="GA18" s="124" t="str">
        <f t="shared" si="30"/>
        <v>月</v>
      </c>
      <c r="GB18" s="124" t="s">
        <v>22</v>
      </c>
      <c r="GC18" s="259">
        <v>0.375</v>
      </c>
      <c r="GD18" s="259">
        <v>0.75</v>
      </c>
      <c r="GE18" s="260">
        <v>0.5</v>
      </c>
      <c r="GF18" s="260">
        <v>0.54166666666666663</v>
      </c>
      <c r="GG18" s="126" t="str">
        <f t="shared" si="31"/>
        <v>8h</v>
      </c>
      <c r="GH18" s="261">
        <v>0.375</v>
      </c>
      <c r="GI18" s="261">
        <v>0.75</v>
      </c>
      <c r="GJ18" s="261">
        <v>0.5</v>
      </c>
      <c r="GK18" s="261">
        <v>0.54166666666666663</v>
      </c>
      <c r="GL18" s="258" t="str">
        <f t="shared" si="32"/>
        <v>8h</v>
      </c>
      <c r="GM18" s="345"/>
      <c r="GN18" s="345"/>
      <c r="GO18" s="345"/>
      <c r="GQ18" s="120"/>
      <c r="GR18" s="123">
        <f t="shared" si="47"/>
        <v>46365</v>
      </c>
      <c r="GS18" s="124" t="str">
        <f t="shared" si="33"/>
        <v>水</v>
      </c>
      <c r="GT18" s="124" t="s">
        <v>22</v>
      </c>
      <c r="GU18" s="259">
        <v>0.375</v>
      </c>
      <c r="GV18" s="259">
        <v>0.75</v>
      </c>
      <c r="GW18" s="260">
        <v>0.5</v>
      </c>
      <c r="GX18" s="260">
        <v>0.54166666666666663</v>
      </c>
      <c r="GY18" s="126" t="str">
        <f t="shared" si="34"/>
        <v>8h</v>
      </c>
      <c r="GZ18" s="261">
        <v>0.375</v>
      </c>
      <c r="HA18" s="261">
        <v>0.75</v>
      </c>
      <c r="HB18" s="261">
        <v>0.5</v>
      </c>
      <c r="HC18" s="261">
        <v>0.54166666666666663</v>
      </c>
      <c r="HD18" s="258" t="str">
        <f t="shared" si="35"/>
        <v>8h</v>
      </c>
      <c r="HE18" s="345"/>
      <c r="HF18" s="345"/>
      <c r="HG18" s="345"/>
    </row>
    <row r="19" spans="1:215" x14ac:dyDescent="0.45">
      <c r="A19" s="120"/>
      <c r="B19" s="123">
        <f t="shared" si="36"/>
        <v>46032</v>
      </c>
      <c r="C19" s="124" t="str">
        <f t="shared" si="0"/>
        <v>土</v>
      </c>
      <c r="D19" s="124"/>
      <c r="E19" s="125"/>
      <c r="F19" s="125"/>
      <c r="G19" s="109"/>
      <c r="H19" s="109"/>
      <c r="I19" s="126" t="str">
        <f t="shared" si="1"/>
        <v/>
      </c>
      <c r="J19" s="257"/>
      <c r="K19" s="257"/>
      <c r="L19" s="257"/>
      <c r="M19" s="257"/>
      <c r="N19" s="258" t="str">
        <f t="shared" si="2"/>
        <v/>
      </c>
      <c r="O19" s="345"/>
      <c r="P19" s="345"/>
      <c r="Q19" s="345"/>
      <c r="S19" s="120"/>
      <c r="T19" s="123">
        <f t="shared" si="37"/>
        <v>46063</v>
      </c>
      <c r="U19" s="124" t="str">
        <f t="shared" si="3"/>
        <v>火</v>
      </c>
      <c r="V19" s="124" t="s">
        <v>22</v>
      </c>
      <c r="W19" s="259">
        <v>0.375</v>
      </c>
      <c r="X19" s="259">
        <v>0.75</v>
      </c>
      <c r="Y19" s="260">
        <v>0.5</v>
      </c>
      <c r="Z19" s="260">
        <v>0.54166666666666663</v>
      </c>
      <c r="AA19" s="126" t="str">
        <f t="shared" si="4"/>
        <v>8h</v>
      </c>
      <c r="AB19" s="261">
        <v>0.375</v>
      </c>
      <c r="AC19" s="261">
        <v>0.75</v>
      </c>
      <c r="AD19" s="261">
        <v>0.5</v>
      </c>
      <c r="AE19" s="261">
        <v>0.54166666666666663</v>
      </c>
      <c r="AF19" s="258" t="str">
        <f t="shared" si="5"/>
        <v>8h</v>
      </c>
      <c r="AG19" s="345"/>
      <c r="AH19" s="345"/>
      <c r="AI19" s="345"/>
      <c r="AK19" s="120"/>
      <c r="AL19" s="123">
        <f t="shared" si="38"/>
        <v>46091</v>
      </c>
      <c r="AM19" s="124" t="str">
        <f t="shared" si="6"/>
        <v>火</v>
      </c>
      <c r="AN19" s="124" t="s">
        <v>22</v>
      </c>
      <c r="AO19" s="259">
        <v>0.375</v>
      </c>
      <c r="AP19" s="259">
        <v>0.75</v>
      </c>
      <c r="AQ19" s="260">
        <v>0.5</v>
      </c>
      <c r="AR19" s="260">
        <v>0.54166666666666663</v>
      </c>
      <c r="AS19" s="126" t="str">
        <f t="shared" si="7"/>
        <v>8h</v>
      </c>
      <c r="AT19" s="261">
        <v>0.375</v>
      </c>
      <c r="AU19" s="261">
        <v>0.75</v>
      </c>
      <c r="AV19" s="261">
        <v>0.5</v>
      </c>
      <c r="AW19" s="261">
        <v>0.54166666666666663</v>
      </c>
      <c r="AX19" s="258" t="str">
        <f t="shared" si="8"/>
        <v>8h</v>
      </c>
      <c r="AY19" s="345"/>
      <c r="AZ19" s="345"/>
      <c r="BA19" s="345"/>
      <c r="BC19" s="120"/>
      <c r="BD19" s="123">
        <f t="shared" si="39"/>
        <v>46122</v>
      </c>
      <c r="BE19" s="124" t="str">
        <f t="shared" si="9"/>
        <v>金</v>
      </c>
      <c r="BF19" s="124" t="s">
        <v>22</v>
      </c>
      <c r="BG19" s="259">
        <v>0.375</v>
      </c>
      <c r="BH19" s="259">
        <v>0.75</v>
      </c>
      <c r="BI19" s="260">
        <v>0.5</v>
      </c>
      <c r="BJ19" s="260">
        <v>0.54166666666666663</v>
      </c>
      <c r="BK19" s="126" t="str">
        <f t="shared" si="10"/>
        <v>8h</v>
      </c>
      <c r="BL19" s="261">
        <v>0.375</v>
      </c>
      <c r="BM19" s="261">
        <v>0.75</v>
      </c>
      <c r="BN19" s="261">
        <v>0.5</v>
      </c>
      <c r="BO19" s="261">
        <v>0.54166666666666663</v>
      </c>
      <c r="BP19" s="258" t="str">
        <f t="shared" si="11"/>
        <v>8h</v>
      </c>
      <c r="BQ19" s="345"/>
      <c r="BR19" s="345"/>
      <c r="BS19" s="345"/>
      <c r="BU19" s="120"/>
      <c r="BV19" s="123">
        <f t="shared" si="40"/>
        <v>46152</v>
      </c>
      <c r="BW19" s="124" t="str">
        <f t="shared" si="12"/>
        <v>日</v>
      </c>
      <c r="BX19" s="124"/>
      <c r="BY19" s="125"/>
      <c r="BZ19" s="125"/>
      <c r="CA19" s="109"/>
      <c r="CB19" s="109"/>
      <c r="CC19" s="126" t="str">
        <f t="shared" si="13"/>
        <v/>
      </c>
      <c r="CD19" s="257"/>
      <c r="CE19" s="257"/>
      <c r="CF19" s="257"/>
      <c r="CG19" s="257"/>
      <c r="CH19" s="258" t="str">
        <f t="shared" si="14"/>
        <v/>
      </c>
      <c r="CI19" s="345"/>
      <c r="CJ19" s="345"/>
      <c r="CK19" s="345"/>
      <c r="CM19" s="120"/>
      <c r="CN19" s="123">
        <f t="shared" si="41"/>
        <v>46183</v>
      </c>
      <c r="CO19" s="124" t="str">
        <f t="shared" si="15"/>
        <v>水</v>
      </c>
      <c r="CP19" s="124" t="s">
        <v>22</v>
      </c>
      <c r="CQ19" s="259">
        <v>0.375</v>
      </c>
      <c r="CR19" s="259">
        <v>0.75</v>
      </c>
      <c r="CS19" s="260">
        <v>0.5</v>
      </c>
      <c r="CT19" s="260">
        <v>0.54166666666666663</v>
      </c>
      <c r="CU19" s="126" t="str">
        <f t="shared" si="16"/>
        <v>8h</v>
      </c>
      <c r="CV19" s="261">
        <v>0.375</v>
      </c>
      <c r="CW19" s="261">
        <v>0.75</v>
      </c>
      <c r="CX19" s="261">
        <v>0.5</v>
      </c>
      <c r="CY19" s="261">
        <v>0.54166666666666663</v>
      </c>
      <c r="CZ19" s="258" t="str">
        <f t="shared" si="17"/>
        <v>8h</v>
      </c>
      <c r="DA19" s="345"/>
      <c r="DB19" s="345"/>
      <c r="DC19" s="345"/>
      <c r="DE19" s="120"/>
      <c r="DF19" s="123">
        <f t="shared" si="42"/>
        <v>46213</v>
      </c>
      <c r="DG19" s="124" t="str">
        <f t="shared" si="18"/>
        <v>金</v>
      </c>
      <c r="DH19" s="124" t="s">
        <v>22</v>
      </c>
      <c r="DI19" s="259">
        <v>0.375</v>
      </c>
      <c r="DJ19" s="259">
        <v>0.75</v>
      </c>
      <c r="DK19" s="260">
        <v>0.5</v>
      </c>
      <c r="DL19" s="260">
        <v>0.54166666666666663</v>
      </c>
      <c r="DM19" s="126" t="str">
        <f t="shared" si="19"/>
        <v>8h</v>
      </c>
      <c r="DN19" s="261">
        <v>0.375</v>
      </c>
      <c r="DO19" s="261">
        <v>0.75</v>
      </c>
      <c r="DP19" s="261">
        <v>0.5</v>
      </c>
      <c r="DQ19" s="261">
        <v>0.54166666666666663</v>
      </c>
      <c r="DR19" s="258" t="str">
        <f t="shared" si="20"/>
        <v>8h</v>
      </c>
      <c r="DS19" s="345"/>
      <c r="DT19" s="345"/>
      <c r="DU19" s="345"/>
      <c r="DW19" s="120"/>
      <c r="DX19" s="123">
        <f t="shared" si="43"/>
        <v>46244</v>
      </c>
      <c r="DY19" s="124" t="str">
        <f t="shared" si="21"/>
        <v>月</v>
      </c>
      <c r="DZ19" s="124" t="s">
        <v>22</v>
      </c>
      <c r="EA19" s="259">
        <v>0.375</v>
      </c>
      <c r="EB19" s="259">
        <v>0.75</v>
      </c>
      <c r="EC19" s="260">
        <v>0.5</v>
      </c>
      <c r="ED19" s="260">
        <v>0.54166666666666663</v>
      </c>
      <c r="EE19" s="126" t="str">
        <f t="shared" si="22"/>
        <v>8h</v>
      </c>
      <c r="EF19" s="261">
        <v>0.375</v>
      </c>
      <c r="EG19" s="261">
        <v>0.75</v>
      </c>
      <c r="EH19" s="261">
        <v>0.5</v>
      </c>
      <c r="EI19" s="261">
        <v>0.54166666666666663</v>
      </c>
      <c r="EJ19" s="258" t="str">
        <f t="shared" si="23"/>
        <v>8h</v>
      </c>
      <c r="EK19" s="345"/>
      <c r="EL19" s="345"/>
      <c r="EM19" s="345"/>
      <c r="EO19" s="120"/>
      <c r="EP19" s="123">
        <f t="shared" si="44"/>
        <v>46275</v>
      </c>
      <c r="EQ19" s="124" t="str">
        <f t="shared" si="24"/>
        <v>木</v>
      </c>
      <c r="ER19" s="124" t="s">
        <v>22</v>
      </c>
      <c r="ES19" s="259">
        <v>0.375</v>
      </c>
      <c r="ET19" s="259">
        <v>0.75</v>
      </c>
      <c r="EU19" s="260">
        <v>0.5</v>
      </c>
      <c r="EV19" s="260">
        <v>0.54166666666666663</v>
      </c>
      <c r="EW19" s="126" t="str">
        <f t="shared" si="25"/>
        <v>8h</v>
      </c>
      <c r="EX19" s="261">
        <v>0.375</v>
      </c>
      <c r="EY19" s="261">
        <v>0.75</v>
      </c>
      <c r="EZ19" s="261">
        <v>0.5</v>
      </c>
      <c r="FA19" s="261">
        <v>0.54166666666666663</v>
      </c>
      <c r="FB19" s="258" t="str">
        <f t="shared" si="26"/>
        <v>8h</v>
      </c>
      <c r="FC19" s="345"/>
      <c r="FD19" s="345"/>
      <c r="FE19" s="345"/>
      <c r="FG19" s="120"/>
      <c r="FH19" s="123">
        <f t="shared" si="45"/>
        <v>46305</v>
      </c>
      <c r="FI19" s="124" t="str">
        <f t="shared" si="27"/>
        <v>土</v>
      </c>
      <c r="FJ19" s="124"/>
      <c r="FK19" s="125"/>
      <c r="FL19" s="125"/>
      <c r="FM19" s="109"/>
      <c r="FN19" s="109"/>
      <c r="FO19" s="126" t="str">
        <f t="shared" si="28"/>
        <v/>
      </c>
      <c r="FP19" s="257"/>
      <c r="FQ19" s="257"/>
      <c r="FR19" s="257"/>
      <c r="FS19" s="257"/>
      <c r="FT19" s="258" t="str">
        <f t="shared" si="29"/>
        <v/>
      </c>
      <c r="FU19" s="345"/>
      <c r="FV19" s="345"/>
      <c r="FW19" s="345"/>
      <c r="FY19" s="120"/>
      <c r="FZ19" s="123">
        <f t="shared" si="46"/>
        <v>46336</v>
      </c>
      <c r="GA19" s="124" t="str">
        <f t="shared" si="30"/>
        <v>火</v>
      </c>
      <c r="GB19" s="124" t="s">
        <v>22</v>
      </c>
      <c r="GC19" s="259">
        <v>0.375</v>
      </c>
      <c r="GD19" s="259">
        <v>0.75</v>
      </c>
      <c r="GE19" s="260">
        <v>0.5</v>
      </c>
      <c r="GF19" s="260">
        <v>0.54166666666666663</v>
      </c>
      <c r="GG19" s="126" t="str">
        <f t="shared" si="31"/>
        <v>8h</v>
      </c>
      <c r="GH19" s="261">
        <v>0.375</v>
      </c>
      <c r="GI19" s="261">
        <v>0.75</v>
      </c>
      <c r="GJ19" s="261">
        <v>0.5</v>
      </c>
      <c r="GK19" s="261">
        <v>0.54166666666666663</v>
      </c>
      <c r="GL19" s="258" t="str">
        <f t="shared" si="32"/>
        <v>8h</v>
      </c>
      <c r="GM19" s="345"/>
      <c r="GN19" s="345"/>
      <c r="GO19" s="345"/>
      <c r="GQ19" s="120"/>
      <c r="GR19" s="123">
        <f t="shared" si="47"/>
        <v>46366</v>
      </c>
      <c r="GS19" s="124" t="str">
        <f t="shared" si="33"/>
        <v>木</v>
      </c>
      <c r="GT19" s="124" t="s">
        <v>22</v>
      </c>
      <c r="GU19" s="259">
        <v>0.375</v>
      </c>
      <c r="GV19" s="259">
        <v>0.75</v>
      </c>
      <c r="GW19" s="260">
        <v>0.5</v>
      </c>
      <c r="GX19" s="260">
        <v>0.54166666666666663</v>
      </c>
      <c r="GY19" s="126" t="str">
        <f t="shared" si="34"/>
        <v>8h</v>
      </c>
      <c r="GZ19" s="261">
        <v>0.375</v>
      </c>
      <c r="HA19" s="261">
        <v>0.75</v>
      </c>
      <c r="HB19" s="261">
        <v>0.5</v>
      </c>
      <c r="HC19" s="261">
        <v>0.54166666666666663</v>
      </c>
      <c r="HD19" s="258" t="str">
        <f t="shared" si="35"/>
        <v>8h</v>
      </c>
      <c r="HE19" s="345"/>
      <c r="HF19" s="345"/>
      <c r="HG19" s="345"/>
    </row>
    <row r="20" spans="1:215" x14ac:dyDescent="0.45">
      <c r="A20" s="120"/>
      <c r="B20" s="123">
        <f t="shared" si="36"/>
        <v>46033</v>
      </c>
      <c r="C20" s="124" t="str">
        <f t="shared" si="0"/>
        <v>日</v>
      </c>
      <c r="D20" s="124"/>
      <c r="E20" s="125"/>
      <c r="F20" s="125"/>
      <c r="G20" s="109"/>
      <c r="H20" s="109"/>
      <c r="I20" s="126" t="str">
        <f t="shared" si="1"/>
        <v/>
      </c>
      <c r="J20" s="257"/>
      <c r="K20" s="257"/>
      <c r="L20" s="257"/>
      <c r="M20" s="257"/>
      <c r="N20" s="258" t="str">
        <f t="shared" si="2"/>
        <v/>
      </c>
      <c r="O20" s="345"/>
      <c r="P20" s="345"/>
      <c r="Q20" s="345"/>
      <c r="S20" s="120"/>
      <c r="T20" s="123">
        <f t="shared" si="37"/>
        <v>46064</v>
      </c>
      <c r="U20" s="124" t="str">
        <f t="shared" si="3"/>
        <v>水</v>
      </c>
      <c r="V20" s="124"/>
      <c r="W20" s="125"/>
      <c r="X20" s="125"/>
      <c r="Y20" s="109"/>
      <c r="Z20" s="109"/>
      <c r="AA20" s="126" t="str">
        <f t="shared" si="4"/>
        <v/>
      </c>
      <c r="AB20" s="257"/>
      <c r="AC20" s="257"/>
      <c r="AD20" s="257"/>
      <c r="AE20" s="257"/>
      <c r="AF20" s="258" t="str">
        <f t="shared" si="5"/>
        <v/>
      </c>
      <c r="AG20" s="345"/>
      <c r="AH20" s="345"/>
      <c r="AI20" s="345"/>
      <c r="AK20" s="120"/>
      <c r="AL20" s="123">
        <f t="shared" si="38"/>
        <v>46092</v>
      </c>
      <c r="AM20" s="124" t="str">
        <f t="shared" si="6"/>
        <v>水</v>
      </c>
      <c r="AN20" s="124" t="s">
        <v>22</v>
      </c>
      <c r="AO20" s="259">
        <v>0.375</v>
      </c>
      <c r="AP20" s="259">
        <v>0.75</v>
      </c>
      <c r="AQ20" s="260">
        <v>0.5</v>
      </c>
      <c r="AR20" s="260">
        <v>0.54166666666666663</v>
      </c>
      <c r="AS20" s="126" t="str">
        <f t="shared" si="7"/>
        <v>8h</v>
      </c>
      <c r="AT20" s="261">
        <v>0.375</v>
      </c>
      <c r="AU20" s="261">
        <v>0.75</v>
      </c>
      <c r="AV20" s="261">
        <v>0.5</v>
      </c>
      <c r="AW20" s="261">
        <v>0.54166666666666663</v>
      </c>
      <c r="AX20" s="258" t="str">
        <f t="shared" si="8"/>
        <v>8h</v>
      </c>
      <c r="AY20" s="345"/>
      <c r="AZ20" s="345"/>
      <c r="BA20" s="345"/>
      <c r="BC20" s="120"/>
      <c r="BD20" s="123">
        <f t="shared" si="39"/>
        <v>46123</v>
      </c>
      <c r="BE20" s="124" t="str">
        <f t="shared" si="9"/>
        <v>土</v>
      </c>
      <c r="BF20" s="124"/>
      <c r="BG20" s="125"/>
      <c r="BH20" s="125"/>
      <c r="BI20" s="109"/>
      <c r="BJ20" s="109"/>
      <c r="BK20" s="126" t="str">
        <f t="shared" si="10"/>
        <v/>
      </c>
      <c r="BL20" s="257"/>
      <c r="BM20" s="257"/>
      <c r="BN20" s="257"/>
      <c r="BO20" s="257"/>
      <c r="BP20" s="258" t="str">
        <f t="shared" si="11"/>
        <v/>
      </c>
      <c r="BQ20" s="345"/>
      <c r="BR20" s="345"/>
      <c r="BS20" s="345"/>
      <c r="BU20" s="120"/>
      <c r="BV20" s="123">
        <f t="shared" si="40"/>
        <v>46153</v>
      </c>
      <c r="BW20" s="124" t="str">
        <f t="shared" si="12"/>
        <v>月</v>
      </c>
      <c r="BX20" s="124" t="s">
        <v>22</v>
      </c>
      <c r="BY20" s="259">
        <v>0.375</v>
      </c>
      <c r="BZ20" s="259">
        <v>0.75</v>
      </c>
      <c r="CA20" s="260">
        <v>0.5</v>
      </c>
      <c r="CB20" s="260">
        <v>0.54166666666666663</v>
      </c>
      <c r="CC20" s="126" t="str">
        <f t="shared" si="13"/>
        <v>8h</v>
      </c>
      <c r="CD20" s="261">
        <v>0.375</v>
      </c>
      <c r="CE20" s="261">
        <v>0.75</v>
      </c>
      <c r="CF20" s="261">
        <v>0.5</v>
      </c>
      <c r="CG20" s="261">
        <v>0.54166666666666663</v>
      </c>
      <c r="CH20" s="258" t="str">
        <f t="shared" si="14"/>
        <v>8h</v>
      </c>
      <c r="CI20" s="345"/>
      <c r="CJ20" s="345"/>
      <c r="CK20" s="345"/>
      <c r="CM20" s="120"/>
      <c r="CN20" s="123">
        <f t="shared" si="41"/>
        <v>46184</v>
      </c>
      <c r="CO20" s="124" t="str">
        <f t="shared" si="15"/>
        <v>木</v>
      </c>
      <c r="CP20" s="124" t="s">
        <v>22</v>
      </c>
      <c r="CQ20" s="259">
        <v>0.375</v>
      </c>
      <c r="CR20" s="259">
        <v>0.75</v>
      </c>
      <c r="CS20" s="260">
        <v>0.5</v>
      </c>
      <c r="CT20" s="260">
        <v>0.54166666666666663</v>
      </c>
      <c r="CU20" s="126" t="str">
        <f t="shared" si="16"/>
        <v>8h</v>
      </c>
      <c r="CV20" s="261">
        <v>0.375</v>
      </c>
      <c r="CW20" s="261">
        <v>0.75</v>
      </c>
      <c r="CX20" s="261">
        <v>0.5</v>
      </c>
      <c r="CY20" s="261">
        <v>0.54166666666666663</v>
      </c>
      <c r="CZ20" s="258" t="str">
        <f t="shared" si="17"/>
        <v>8h</v>
      </c>
      <c r="DA20" s="345"/>
      <c r="DB20" s="345"/>
      <c r="DC20" s="345"/>
      <c r="DE20" s="120"/>
      <c r="DF20" s="123">
        <f t="shared" si="42"/>
        <v>46214</v>
      </c>
      <c r="DG20" s="124" t="str">
        <f t="shared" si="18"/>
        <v>土</v>
      </c>
      <c r="DH20" s="124"/>
      <c r="DI20" s="125"/>
      <c r="DJ20" s="125"/>
      <c r="DK20" s="109"/>
      <c r="DL20" s="109"/>
      <c r="DM20" s="126" t="str">
        <f t="shared" si="19"/>
        <v/>
      </c>
      <c r="DN20" s="257"/>
      <c r="DO20" s="257"/>
      <c r="DP20" s="257"/>
      <c r="DQ20" s="257"/>
      <c r="DR20" s="258" t="str">
        <f t="shared" si="20"/>
        <v/>
      </c>
      <c r="DS20" s="345"/>
      <c r="DT20" s="345"/>
      <c r="DU20" s="345"/>
      <c r="DW20" s="120"/>
      <c r="DX20" s="123">
        <f t="shared" si="43"/>
        <v>46245</v>
      </c>
      <c r="DY20" s="124" t="str">
        <f t="shared" si="21"/>
        <v>火</v>
      </c>
      <c r="DZ20" s="124"/>
      <c r="EA20" s="125"/>
      <c r="EB20" s="125"/>
      <c r="EC20" s="109"/>
      <c r="ED20" s="109"/>
      <c r="EE20" s="126" t="str">
        <f t="shared" si="22"/>
        <v/>
      </c>
      <c r="EF20" s="257"/>
      <c r="EG20" s="257"/>
      <c r="EH20" s="257"/>
      <c r="EI20" s="257"/>
      <c r="EJ20" s="258" t="str">
        <f t="shared" si="23"/>
        <v/>
      </c>
      <c r="EK20" s="345"/>
      <c r="EL20" s="345"/>
      <c r="EM20" s="345"/>
      <c r="EO20" s="120"/>
      <c r="EP20" s="123">
        <f t="shared" si="44"/>
        <v>46276</v>
      </c>
      <c r="EQ20" s="124" t="str">
        <f t="shared" si="24"/>
        <v>金</v>
      </c>
      <c r="ER20" s="124" t="s">
        <v>22</v>
      </c>
      <c r="ES20" s="259">
        <v>0.375</v>
      </c>
      <c r="ET20" s="259">
        <v>0.75</v>
      </c>
      <c r="EU20" s="260">
        <v>0.5</v>
      </c>
      <c r="EV20" s="260">
        <v>0.54166666666666663</v>
      </c>
      <c r="EW20" s="126" t="str">
        <f t="shared" si="25"/>
        <v>8h</v>
      </c>
      <c r="EX20" s="261">
        <v>0.375</v>
      </c>
      <c r="EY20" s="261">
        <v>0.75</v>
      </c>
      <c r="EZ20" s="261">
        <v>0.5</v>
      </c>
      <c r="FA20" s="261">
        <v>0.54166666666666663</v>
      </c>
      <c r="FB20" s="258" t="str">
        <f t="shared" si="26"/>
        <v>8h</v>
      </c>
      <c r="FC20" s="345"/>
      <c r="FD20" s="345"/>
      <c r="FE20" s="345"/>
      <c r="FG20" s="120"/>
      <c r="FH20" s="123">
        <f t="shared" si="45"/>
        <v>46306</v>
      </c>
      <c r="FI20" s="124" t="str">
        <f t="shared" si="27"/>
        <v>日</v>
      </c>
      <c r="FJ20" s="124"/>
      <c r="FK20" s="125"/>
      <c r="FL20" s="125"/>
      <c r="FM20" s="109"/>
      <c r="FN20" s="109"/>
      <c r="FO20" s="126" t="str">
        <f t="shared" si="28"/>
        <v/>
      </c>
      <c r="FP20" s="257"/>
      <c r="FQ20" s="257"/>
      <c r="FR20" s="257"/>
      <c r="FS20" s="257"/>
      <c r="FT20" s="258" t="str">
        <f t="shared" si="29"/>
        <v/>
      </c>
      <c r="FU20" s="345"/>
      <c r="FV20" s="345"/>
      <c r="FW20" s="345"/>
      <c r="FY20" s="120"/>
      <c r="FZ20" s="123">
        <f t="shared" si="46"/>
        <v>46337</v>
      </c>
      <c r="GA20" s="124" t="str">
        <f t="shared" si="30"/>
        <v>水</v>
      </c>
      <c r="GB20" s="124" t="s">
        <v>22</v>
      </c>
      <c r="GC20" s="259">
        <v>0.375</v>
      </c>
      <c r="GD20" s="259">
        <v>0.75</v>
      </c>
      <c r="GE20" s="260">
        <v>0.5</v>
      </c>
      <c r="GF20" s="260">
        <v>0.54166666666666663</v>
      </c>
      <c r="GG20" s="126" t="str">
        <f t="shared" si="31"/>
        <v>8h</v>
      </c>
      <c r="GH20" s="261">
        <v>0.375</v>
      </c>
      <c r="GI20" s="261">
        <v>0.75</v>
      </c>
      <c r="GJ20" s="261">
        <v>0.5</v>
      </c>
      <c r="GK20" s="261">
        <v>0.54166666666666663</v>
      </c>
      <c r="GL20" s="258" t="str">
        <f t="shared" si="32"/>
        <v>8h</v>
      </c>
      <c r="GM20" s="345"/>
      <c r="GN20" s="345"/>
      <c r="GO20" s="345"/>
      <c r="GQ20" s="120"/>
      <c r="GR20" s="123">
        <f t="shared" si="47"/>
        <v>46367</v>
      </c>
      <c r="GS20" s="124" t="str">
        <f t="shared" si="33"/>
        <v>金</v>
      </c>
      <c r="GT20" s="124" t="s">
        <v>22</v>
      </c>
      <c r="GU20" s="259">
        <v>0.375</v>
      </c>
      <c r="GV20" s="259">
        <v>0.75</v>
      </c>
      <c r="GW20" s="260">
        <v>0.5</v>
      </c>
      <c r="GX20" s="260">
        <v>0.54166666666666663</v>
      </c>
      <c r="GY20" s="126" t="str">
        <f t="shared" si="34"/>
        <v>8h</v>
      </c>
      <c r="GZ20" s="261">
        <v>0.375</v>
      </c>
      <c r="HA20" s="261">
        <v>0.75</v>
      </c>
      <c r="HB20" s="261">
        <v>0.5</v>
      </c>
      <c r="HC20" s="261">
        <v>0.54166666666666663</v>
      </c>
      <c r="HD20" s="258" t="str">
        <f t="shared" si="35"/>
        <v>8h</v>
      </c>
      <c r="HE20" s="345"/>
      <c r="HF20" s="345"/>
      <c r="HG20" s="345"/>
    </row>
    <row r="21" spans="1:215" x14ac:dyDescent="0.45">
      <c r="A21" s="120"/>
      <c r="B21" s="123">
        <f t="shared" si="36"/>
        <v>46034</v>
      </c>
      <c r="C21" s="124" t="str">
        <f t="shared" si="0"/>
        <v>月</v>
      </c>
      <c r="D21" s="124"/>
      <c r="E21" s="125"/>
      <c r="F21" s="125"/>
      <c r="G21" s="109"/>
      <c r="H21" s="109"/>
      <c r="I21" s="126" t="str">
        <f t="shared" si="1"/>
        <v/>
      </c>
      <c r="J21" s="257"/>
      <c r="K21" s="257"/>
      <c r="L21" s="257"/>
      <c r="M21" s="257"/>
      <c r="N21" s="258" t="str">
        <f t="shared" si="2"/>
        <v/>
      </c>
      <c r="O21" s="345"/>
      <c r="P21" s="345"/>
      <c r="Q21" s="345"/>
      <c r="S21" s="120"/>
      <c r="T21" s="123">
        <f t="shared" si="37"/>
        <v>46065</v>
      </c>
      <c r="U21" s="124" t="str">
        <f t="shared" si="3"/>
        <v>木</v>
      </c>
      <c r="V21" s="124" t="s">
        <v>22</v>
      </c>
      <c r="W21" s="259">
        <v>0.375</v>
      </c>
      <c r="X21" s="259">
        <v>0.75</v>
      </c>
      <c r="Y21" s="260">
        <v>0.5</v>
      </c>
      <c r="Z21" s="260">
        <v>0.54166666666666663</v>
      </c>
      <c r="AA21" s="126" t="str">
        <f t="shared" si="4"/>
        <v>8h</v>
      </c>
      <c r="AB21" s="261">
        <v>0.375</v>
      </c>
      <c r="AC21" s="261">
        <v>0.75</v>
      </c>
      <c r="AD21" s="261">
        <v>0.5</v>
      </c>
      <c r="AE21" s="261">
        <v>0.54166666666666663</v>
      </c>
      <c r="AF21" s="258" t="str">
        <f t="shared" si="5"/>
        <v>8h</v>
      </c>
      <c r="AG21" s="345"/>
      <c r="AH21" s="345"/>
      <c r="AI21" s="345"/>
      <c r="AK21" s="120"/>
      <c r="AL21" s="123">
        <f t="shared" si="38"/>
        <v>46093</v>
      </c>
      <c r="AM21" s="124" t="str">
        <f t="shared" si="6"/>
        <v>木</v>
      </c>
      <c r="AN21" s="124" t="s">
        <v>22</v>
      </c>
      <c r="AO21" s="259">
        <v>0.375</v>
      </c>
      <c r="AP21" s="259">
        <v>0.75</v>
      </c>
      <c r="AQ21" s="260">
        <v>0.5</v>
      </c>
      <c r="AR21" s="260">
        <v>0.54166666666666663</v>
      </c>
      <c r="AS21" s="126" t="str">
        <f t="shared" si="7"/>
        <v>8h</v>
      </c>
      <c r="AT21" s="261">
        <v>0.375</v>
      </c>
      <c r="AU21" s="261">
        <v>0.75</v>
      </c>
      <c r="AV21" s="261">
        <v>0.5</v>
      </c>
      <c r="AW21" s="261">
        <v>0.54166666666666663</v>
      </c>
      <c r="AX21" s="258" t="str">
        <f t="shared" si="8"/>
        <v>8h</v>
      </c>
      <c r="AY21" s="345"/>
      <c r="AZ21" s="345"/>
      <c r="BA21" s="345"/>
      <c r="BC21" s="120"/>
      <c r="BD21" s="123">
        <f t="shared" si="39"/>
        <v>46124</v>
      </c>
      <c r="BE21" s="124" t="str">
        <f t="shared" si="9"/>
        <v>日</v>
      </c>
      <c r="BF21" s="124"/>
      <c r="BG21" s="125"/>
      <c r="BH21" s="125"/>
      <c r="BI21" s="109"/>
      <c r="BJ21" s="109"/>
      <c r="BK21" s="126" t="str">
        <f t="shared" si="10"/>
        <v/>
      </c>
      <c r="BL21" s="257"/>
      <c r="BM21" s="257"/>
      <c r="BN21" s="257"/>
      <c r="BO21" s="257"/>
      <c r="BP21" s="258" t="str">
        <f t="shared" si="11"/>
        <v/>
      </c>
      <c r="BQ21" s="345"/>
      <c r="BR21" s="345"/>
      <c r="BS21" s="345"/>
      <c r="BU21" s="120"/>
      <c r="BV21" s="123">
        <f t="shared" si="40"/>
        <v>46154</v>
      </c>
      <c r="BW21" s="124" t="str">
        <f t="shared" si="12"/>
        <v>火</v>
      </c>
      <c r="BX21" s="124" t="s">
        <v>22</v>
      </c>
      <c r="BY21" s="259">
        <v>0.375</v>
      </c>
      <c r="BZ21" s="259">
        <v>0.75</v>
      </c>
      <c r="CA21" s="260">
        <v>0.5</v>
      </c>
      <c r="CB21" s="260">
        <v>0.54166666666666663</v>
      </c>
      <c r="CC21" s="126" t="str">
        <f t="shared" si="13"/>
        <v>8h</v>
      </c>
      <c r="CD21" s="261">
        <v>0.375</v>
      </c>
      <c r="CE21" s="261">
        <v>0.75</v>
      </c>
      <c r="CF21" s="261">
        <v>0.5</v>
      </c>
      <c r="CG21" s="261">
        <v>0.54166666666666663</v>
      </c>
      <c r="CH21" s="258" t="str">
        <f t="shared" si="14"/>
        <v>8h</v>
      </c>
      <c r="CI21" s="345"/>
      <c r="CJ21" s="345"/>
      <c r="CK21" s="345"/>
      <c r="CM21" s="120"/>
      <c r="CN21" s="123">
        <f t="shared" si="41"/>
        <v>46185</v>
      </c>
      <c r="CO21" s="124" t="str">
        <f t="shared" si="15"/>
        <v>金</v>
      </c>
      <c r="CP21" s="124" t="s">
        <v>22</v>
      </c>
      <c r="CQ21" s="259">
        <v>0.375</v>
      </c>
      <c r="CR21" s="259">
        <v>0.75</v>
      </c>
      <c r="CS21" s="260">
        <v>0.5</v>
      </c>
      <c r="CT21" s="260">
        <v>0.54166666666666663</v>
      </c>
      <c r="CU21" s="126" t="str">
        <f t="shared" si="16"/>
        <v>8h</v>
      </c>
      <c r="CV21" s="261">
        <v>0.375</v>
      </c>
      <c r="CW21" s="261">
        <v>0.75</v>
      </c>
      <c r="CX21" s="261">
        <v>0.5</v>
      </c>
      <c r="CY21" s="261">
        <v>0.54166666666666663</v>
      </c>
      <c r="CZ21" s="258" t="str">
        <f t="shared" si="17"/>
        <v>8h</v>
      </c>
      <c r="DA21" s="345"/>
      <c r="DB21" s="345"/>
      <c r="DC21" s="345"/>
      <c r="DE21" s="120"/>
      <c r="DF21" s="123">
        <f t="shared" si="42"/>
        <v>46215</v>
      </c>
      <c r="DG21" s="124" t="str">
        <f t="shared" si="18"/>
        <v>日</v>
      </c>
      <c r="DH21" s="124"/>
      <c r="DI21" s="125"/>
      <c r="DJ21" s="125"/>
      <c r="DK21" s="109"/>
      <c r="DL21" s="109"/>
      <c r="DM21" s="126" t="str">
        <f t="shared" si="19"/>
        <v/>
      </c>
      <c r="DN21" s="257"/>
      <c r="DO21" s="257"/>
      <c r="DP21" s="257"/>
      <c r="DQ21" s="257"/>
      <c r="DR21" s="258" t="str">
        <f t="shared" si="20"/>
        <v/>
      </c>
      <c r="DS21" s="345"/>
      <c r="DT21" s="345"/>
      <c r="DU21" s="345"/>
      <c r="DW21" s="120"/>
      <c r="DX21" s="123">
        <f t="shared" si="43"/>
        <v>46246</v>
      </c>
      <c r="DY21" s="124" t="str">
        <f t="shared" si="21"/>
        <v>水</v>
      </c>
      <c r="DZ21" s="124" t="s">
        <v>22</v>
      </c>
      <c r="EA21" s="259">
        <v>0.375</v>
      </c>
      <c r="EB21" s="259">
        <v>0.75</v>
      </c>
      <c r="EC21" s="260">
        <v>0.5</v>
      </c>
      <c r="ED21" s="260">
        <v>0.54166666666666663</v>
      </c>
      <c r="EE21" s="126" t="str">
        <f t="shared" si="22"/>
        <v>8h</v>
      </c>
      <c r="EF21" s="261">
        <v>0.375</v>
      </c>
      <c r="EG21" s="261">
        <v>0.75</v>
      </c>
      <c r="EH21" s="261">
        <v>0.5</v>
      </c>
      <c r="EI21" s="261">
        <v>0.54166666666666663</v>
      </c>
      <c r="EJ21" s="258" t="str">
        <f t="shared" si="23"/>
        <v>8h</v>
      </c>
      <c r="EK21" s="345"/>
      <c r="EL21" s="345"/>
      <c r="EM21" s="345"/>
      <c r="EO21" s="120"/>
      <c r="EP21" s="123">
        <f t="shared" si="44"/>
        <v>46277</v>
      </c>
      <c r="EQ21" s="124" t="str">
        <f t="shared" si="24"/>
        <v>土</v>
      </c>
      <c r="ER21" s="124"/>
      <c r="ES21" s="125"/>
      <c r="ET21" s="125"/>
      <c r="EU21" s="109"/>
      <c r="EV21" s="109"/>
      <c r="EW21" s="126" t="str">
        <f t="shared" si="25"/>
        <v/>
      </c>
      <c r="EX21" s="257"/>
      <c r="EY21" s="257"/>
      <c r="EZ21" s="257"/>
      <c r="FA21" s="257"/>
      <c r="FB21" s="258" t="str">
        <f t="shared" si="26"/>
        <v/>
      </c>
      <c r="FC21" s="345"/>
      <c r="FD21" s="345"/>
      <c r="FE21" s="345"/>
      <c r="FG21" s="120"/>
      <c r="FH21" s="123">
        <f t="shared" si="45"/>
        <v>46307</v>
      </c>
      <c r="FI21" s="124" t="str">
        <f t="shared" si="27"/>
        <v>月</v>
      </c>
      <c r="FJ21" s="124"/>
      <c r="FK21" s="125"/>
      <c r="FL21" s="125"/>
      <c r="FM21" s="109"/>
      <c r="FN21" s="109"/>
      <c r="FO21" s="126" t="str">
        <f t="shared" si="28"/>
        <v/>
      </c>
      <c r="FP21" s="257"/>
      <c r="FQ21" s="257"/>
      <c r="FR21" s="257"/>
      <c r="FS21" s="257"/>
      <c r="FT21" s="258" t="str">
        <f t="shared" si="29"/>
        <v/>
      </c>
      <c r="FU21" s="345"/>
      <c r="FV21" s="345"/>
      <c r="FW21" s="345"/>
      <c r="FY21" s="120"/>
      <c r="FZ21" s="123">
        <f t="shared" si="46"/>
        <v>46338</v>
      </c>
      <c r="GA21" s="124" t="str">
        <f t="shared" si="30"/>
        <v>木</v>
      </c>
      <c r="GB21" s="124" t="s">
        <v>22</v>
      </c>
      <c r="GC21" s="259">
        <v>0.375</v>
      </c>
      <c r="GD21" s="259">
        <v>0.75</v>
      </c>
      <c r="GE21" s="260">
        <v>0.5</v>
      </c>
      <c r="GF21" s="260">
        <v>0.54166666666666663</v>
      </c>
      <c r="GG21" s="126" t="str">
        <f t="shared" si="31"/>
        <v>8h</v>
      </c>
      <c r="GH21" s="261">
        <v>0.375</v>
      </c>
      <c r="GI21" s="261">
        <v>0.75</v>
      </c>
      <c r="GJ21" s="261">
        <v>0.5</v>
      </c>
      <c r="GK21" s="261">
        <v>0.54166666666666663</v>
      </c>
      <c r="GL21" s="258" t="str">
        <f t="shared" si="32"/>
        <v>8h</v>
      </c>
      <c r="GM21" s="345"/>
      <c r="GN21" s="345"/>
      <c r="GO21" s="345"/>
      <c r="GQ21" s="120"/>
      <c r="GR21" s="123">
        <f t="shared" si="47"/>
        <v>46368</v>
      </c>
      <c r="GS21" s="124" t="str">
        <f t="shared" si="33"/>
        <v>土</v>
      </c>
      <c r="GT21" s="124"/>
      <c r="GU21" s="125"/>
      <c r="GV21" s="125"/>
      <c r="GW21" s="109"/>
      <c r="GX21" s="109"/>
      <c r="GY21" s="126" t="str">
        <f t="shared" si="34"/>
        <v/>
      </c>
      <c r="GZ21" s="257"/>
      <c r="HA21" s="257"/>
      <c r="HB21" s="257"/>
      <c r="HC21" s="257"/>
      <c r="HD21" s="258" t="str">
        <f t="shared" si="35"/>
        <v/>
      </c>
      <c r="HE21" s="345"/>
      <c r="HF21" s="345"/>
      <c r="HG21" s="345"/>
    </row>
    <row r="22" spans="1:215" x14ac:dyDescent="0.45">
      <c r="A22" s="120"/>
      <c r="B22" s="123">
        <f t="shared" si="36"/>
        <v>46035</v>
      </c>
      <c r="C22" s="124" t="str">
        <f t="shared" si="0"/>
        <v>火</v>
      </c>
      <c r="D22" s="124" t="s">
        <v>22</v>
      </c>
      <c r="E22" s="259">
        <v>0.375</v>
      </c>
      <c r="F22" s="259">
        <v>0.75</v>
      </c>
      <c r="G22" s="260">
        <v>0.5</v>
      </c>
      <c r="H22" s="260">
        <v>0.54166666666666663</v>
      </c>
      <c r="I22" s="126" t="str">
        <f t="shared" si="1"/>
        <v>8h</v>
      </c>
      <c r="J22" s="261">
        <v>0.375</v>
      </c>
      <c r="K22" s="261">
        <v>0.75</v>
      </c>
      <c r="L22" s="261">
        <v>0.5</v>
      </c>
      <c r="M22" s="261">
        <v>0.54166666666666663</v>
      </c>
      <c r="N22" s="258" t="str">
        <f t="shared" si="2"/>
        <v>8h</v>
      </c>
      <c r="O22" s="345"/>
      <c r="P22" s="345"/>
      <c r="Q22" s="345"/>
      <c r="S22" s="120"/>
      <c r="T22" s="123">
        <f t="shared" si="37"/>
        <v>46066</v>
      </c>
      <c r="U22" s="124" t="str">
        <f t="shared" si="3"/>
        <v>金</v>
      </c>
      <c r="V22" s="124" t="s">
        <v>22</v>
      </c>
      <c r="W22" s="259">
        <v>0.375</v>
      </c>
      <c r="X22" s="259">
        <v>0.75</v>
      </c>
      <c r="Y22" s="260">
        <v>0.5</v>
      </c>
      <c r="Z22" s="260">
        <v>0.54166666666666663</v>
      </c>
      <c r="AA22" s="126" t="str">
        <f t="shared" si="4"/>
        <v>8h</v>
      </c>
      <c r="AB22" s="261">
        <v>0.375</v>
      </c>
      <c r="AC22" s="261">
        <v>0.75</v>
      </c>
      <c r="AD22" s="261">
        <v>0.5</v>
      </c>
      <c r="AE22" s="261">
        <v>0.54166666666666663</v>
      </c>
      <c r="AF22" s="258" t="str">
        <f t="shared" si="5"/>
        <v>8h</v>
      </c>
      <c r="AG22" s="345"/>
      <c r="AH22" s="345"/>
      <c r="AI22" s="345"/>
      <c r="AK22" s="120"/>
      <c r="AL22" s="123">
        <f t="shared" si="38"/>
        <v>46094</v>
      </c>
      <c r="AM22" s="124" t="str">
        <f t="shared" si="6"/>
        <v>金</v>
      </c>
      <c r="AN22" s="124" t="s">
        <v>22</v>
      </c>
      <c r="AO22" s="259">
        <v>0.375</v>
      </c>
      <c r="AP22" s="259">
        <v>0.75</v>
      </c>
      <c r="AQ22" s="260">
        <v>0.5</v>
      </c>
      <c r="AR22" s="260">
        <v>0.54166666666666663</v>
      </c>
      <c r="AS22" s="126" t="str">
        <f t="shared" si="7"/>
        <v>8h</v>
      </c>
      <c r="AT22" s="261">
        <v>0.375</v>
      </c>
      <c r="AU22" s="261">
        <v>0.75</v>
      </c>
      <c r="AV22" s="261">
        <v>0.5</v>
      </c>
      <c r="AW22" s="261">
        <v>0.54166666666666663</v>
      </c>
      <c r="AX22" s="258" t="str">
        <f t="shared" si="8"/>
        <v>8h</v>
      </c>
      <c r="AY22" s="345"/>
      <c r="AZ22" s="345"/>
      <c r="BA22" s="345"/>
      <c r="BC22" s="120"/>
      <c r="BD22" s="123">
        <f t="shared" si="39"/>
        <v>46125</v>
      </c>
      <c r="BE22" s="124" t="str">
        <f t="shared" si="9"/>
        <v>月</v>
      </c>
      <c r="BF22" s="124" t="s">
        <v>22</v>
      </c>
      <c r="BG22" s="259">
        <v>0.375</v>
      </c>
      <c r="BH22" s="259">
        <v>0.75</v>
      </c>
      <c r="BI22" s="260">
        <v>0.5</v>
      </c>
      <c r="BJ22" s="260">
        <v>0.54166666666666663</v>
      </c>
      <c r="BK22" s="126" t="str">
        <f t="shared" si="10"/>
        <v>8h</v>
      </c>
      <c r="BL22" s="261">
        <v>0.375</v>
      </c>
      <c r="BM22" s="261">
        <v>0.75</v>
      </c>
      <c r="BN22" s="261">
        <v>0.5</v>
      </c>
      <c r="BO22" s="261">
        <v>0.54166666666666663</v>
      </c>
      <c r="BP22" s="258" t="str">
        <f t="shared" si="11"/>
        <v>8h</v>
      </c>
      <c r="BQ22" s="345"/>
      <c r="BR22" s="345"/>
      <c r="BS22" s="345"/>
      <c r="BU22" s="120"/>
      <c r="BV22" s="123">
        <f t="shared" si="40"/>
        <v>46155</v>
      </c>
      <c r="BW22" s="124" t="str">
        <f t="shared" si="12"/>
        <v>水</v>
      </c>
      <c r="BX22" s="124" t="s">
        <v>22</v>
      </c>
      <c r="BY22" s="259">
        <v>0.375</v>
      </c>
      <c r="BZ22" s="259">
        <v>0.75</v>
      </c>
      <c r="CA22" s="260">
        <v>0.5</v>
      </c>
      <c r="CB22" s="260">
        <v>0.54166666666666663</v>
      </c>
      <c r="CC22" s="126" t="str">
        <f t="shared" si="13"/>
        <v>8h</v>
      </c>
      <c r="CD22" s="261">
        <v>0.375</v>
      </c>
      <c r="CE22" s="261">
        <v>0.75</v>
      </c>
      <c r="CF22" s="261">
        <v>0.5</v>
      </c>
      <c r="CG22" s="261">
        <v>0.54166666666666663</v>
      </c>
      <c r="CH22" s="258" t="str">
        <f t="shared" si="14"/>
        <v>8h</v>
      </c>
      <c r="CI22" s="345"/>
      <c r="CJ22" s="345"/>
      <c r="CK22" s="345"/>
      <c r="CM22" s="120"/>
      <c r="CN22" s="123">
        <f t="shared" si="41"/>
        <v>46186</v>
      </c>
      <c r="CO22" s="124" t="str">
        <f t="shared" si="15"/>
        <v>土</v>
      </c>
      <c r="CP22" s="124"/>
      <c r="CQ22" s="125"/>
      <c r="CR22" s="125"/>
      <c r="CS22" s="109"/>
      <c r="CT22" s="109"/>
      <c r="CU22" s="126" t="str">
        <f t="shared" si="16"/>
        <v/>
      </c>
      <c r="CV22" s="257"/>
      <c r="CW22" s="257"/>
      <c r="CX22" s="257"/>
      <c r="CY22" s="257"/>
      <c r="CZ22" s="258" t="str">
        <f t="shared" si="17"/>
        <v/>
      </c>
      <c r="DA22" s="345"/>
      <c r="DB22" s="345"/>
      <c r="DC22" s="345"/>
      <c r="DE22" s="120"/>
      <c r="DF22" s="123">
        <f t="shared" si="42"/>
        <v>46216</v>
      </c>
      <c r="DG22" s="124" t="str">
        <f t="shared" si="18"/>
        <v>月</v>
      </c>
      <c r="DH22" s="124" t="s">
        <v>22</v>
      </c>
      <c r="DI22" s="259">
        <v>0.375</v>
      </c>
      <c r="DJ22" s="259">
        <v>0.75</v>
      </c>
      <c r="DK22" s="260">
        <v>0.5</v>
      </c>
      <c r="DL22" s="260">
        <v>0.54166666666666663</v>
      </c>
      <c r="DM22" s="126" t="str">
        <f t="shared" si="19"/>
        <v>8h</v>
      </c>
      <c r="DN22" s="261">
        <v>0.375</v>
      </c>
      <c r="DO22" s="261">
        <v>0.75</v>
      </c>
      <c r="DP22" s="261">
        <v>0.5</v>
      </c>
      <c r="DQ22" s="261">
        <v>0.54166666666666663</v>
      </c>
      <c r="DR22" s="258" t="str">
        <f t="shared" si="20"/>
        <v>8h</v>
      </c>
      <c r="DS22" s="345"/>
      <c r="DT22" s="345"/>
      <c r="DU22" s="345"/>
      <c r="DW22" s="120"/>
      <c r="DX22" s="123">
        <f t="shared" si="43"/>
        <v>46247</v>
      </c>
      <c r="DY22" s="124" t="str">
        <f t="shared" si="21"/>
        <v>木</v>
      </c>
      <c r="DZ22" s="124" t="s">
        <v>22</v>
      </c>
      <c r="EA22" s="259">
        <v>0.375</v>
      </c>
      <c r="EB22" s="259">
        <v>0.75</v>
      </c>
      <c r="EC22" s="260">
        <v>0.5</v>
      </c>
      <c r="ED22" s="260">
        <v>0.54166666666666663</v>
      </c>
      <c r="EE22" s="126" t="str">
        <f t="shared" si="22"/>
        <v>8h</v>
      </c>
      <c r="EF22" s="261">
        <v>0.375</v>
      </c>
      <c r="EG22" s="261">
        <v>0.75</v>
      </c>
      <c r="EH22" s="261">
        <v>0.5</v>
      </c>
      <c r="EI22" s="261">
        <v>0.54166666666666663</v>
      </c>
      <c r="EJ22" s="258" t="str">
        <f t="shared" si="23"/>
        <v>8h</v>
      </c>
      <c r="EK22" s="345"/>
      <c r="EL22" s="345"/>
      <c r="EM22" s="345"/>
      <c r="EO22" s="120"/>
      <c r="EP22" s="123">
        <f t="shared" si="44"/>
        <v>46278</v>
      </c>
      <c r="EQ22" s="124" t="str">
        <f t="shared" si="24"/>
        <v>日</v>
      </c>
      <c r="ER22" s="124"/>
      <c r="ES22" s="125"/>
      <c r="ET22" s="125"/>
      <c r="EU22" s="109"/>
      <c r="EV22" s="109"/>
      <c r="EW22" s="126" t="str">
        <f t="shared" si="25"/>
        <v/>
      </c>
      <c r="EX22" s="257"/>
      <c r="EY22" s="257"/>
      <c r="EZ22" s="257"/>
      <c r="FA22" s="257"/>
      <c r="FB22" s="258" t="str">
        <f t="shared" si="26"/>
        <v/>
      </c>
      <c r="FC22" s="345"/>
      <c r="FD22" s="345"/>
      <c r="FE22" s="345"/>
      <c r="FG22" s="120"/>
      <c r="FH22" s="123">
        <f t="shared" si="45"/>
        <v>46308</v>
      </c>
      <c r="FI22" s="124" t="str">
        <f t="shared" si="27"/>
        <v>火</v>
      </c>
      <c r="FJ22" s="124" t="s">
        <v>22</v>
      </c>
      <c r="FK22" s="259">
        <v>0.375</v>
      </c>
      <c r="FL22" s="259">
        <v>0.75</v>
      </c>
      <c r="FM22" s="260">
        <v>0.5</v>
      </c>
      <c r="FN22" s="260">
        <v>0.54166666666666663</v>
      </c>
      <c r="FO22" s="126" t="str">
        <f t="shared" si="28"/>
        <v>8h</v>
      </c>
      <c r="FP22" s="261">
        <v>0.375</v>
      </c>
      <c r="FQ22" s="261">
        <v>0.75</v>
      </c>
      <c r="FR22" s="261">
        <v>0.5</v>
      </c>
      <c r="FS22" s="261">
        <v>0.54166666666666663</v>
      </c>
      <c r="FT22" s="258" t="str">
        <f t="shared" si="29"/>
        <v>8h</v>
      </c>
      <c r="FU22" s="345"/>
      <c r="FV22" s="345"/>
      <c r="FW22" s="345"/>
      <c r="FY22" s="120"/>
      <c r="FZ22" s="123">
        <f t="shared" si="46"/>
        <v>46339</v>
      </c>
      <c r="GA22" s="124" t="str">
        <f t="shared" si="30"/>
        <v>金</v>
      </c>
      <c r="GB22" s="124" t="s">
        <v>22</v>
      </c>
      <c r="GC22" s="259">
        <v>0.375</v>
      </c>
      <c r="GD22" s="259">
        <v>0.75</v>
      </c>
      <c r="GE22" s="260">
        <v>0.5</v>
      </c>
      <c r="GF22" s="260">
        <v>0.54166666666666663</v>
      </c>
      <c r="GG22" s="126" t="str">
        <f t="shared" si="31"/>
        <v>8h</v>
      </c>
      <c r="GH22" s="261">
        <v>0.375</v>
      </c>
      <c r="GI22" s="261">
        <v>0.75</v>
      </c>
      <c r="GJ22" s="261">
        <v>0.5</v>
      </c>
      <c r="GK22" s="261">
        <v>0.54166666666666663</v>
      </c>
      <c r="GL22" s="258" t="str">
        <f t="shared" si="32"/>
        <v>8h</v>
      </c>
      <c r="GM22" s="345"/>
      <c r="GN22" s="345"/>
      <c r="GO22" s="345"/>
      <c r="GQ22" s="120"/>
      <c r="GR22" s="123">
        <f t="shared" si="47"/>
        <v>46369</v>
      </c>
      <c r="GS22" s="124" t="str">
        <f t="shared" si="33"/>
        <v>日</v>
      </c>
      <c r="GT22" s="124"/>
      <c r="GU22" s="125"/>
      <c r="GV22" s="125"/>
      <c r="GW22" s="109"/>
      <c r="GX22" s="109"/>
      <c r="GY22" s="126" t="str">
        <f t="shared" si="34"/>
        <v/>
      </c>
      <c r="GZ22" s="257"/>
      <c r="HA22" s="257"/>
      <c r="HB22" s="257"/>
      <c r="HC22" s="257"/>
      <c r="HD22" s="258" t="str">
        <f t="shared" si="35"/>
        <v/>
      </c>
      <c r="HE22" s="345"/>
      <c r="HF22" s="345"/>
      <c r="HG22" s="345"/>
    </row>
    <row r="23" spans="1:215" x14ac:dyDescent="0.45">
      <c r="A23" s="120"/>
      <c r="B23" s="123">
        <f t="shared" si="36"/>
        <v>46036</v>
      </c>
      <c r="C23" s="124" t="str">
        <f t="shared" si="0"/>
        <v>水</v>
      </c>
      <c r="D23" s="124" t="s">
        <v>22</v>
      </c>
      <c r="E23" s="259">
        <v>0.375</v>
      </c>
      <c r="F23" s="259">
        <v>0.75</v>
      </c>
      <c r="G23" s="260">
        <v>0.5</v>
      </c>
      <c r="H23" s="260">
        <v>0.54166666666666663</v>
      </c>
      <c r="I23" s="126" t="str">
        <f t="shared" si="1"/>
        <v>8h</v>
      </c>
      <c r="J23" s="261">
        <v>0.375</v>
      </c>
      <c r="K23" s="261">
        <v>0.75</v>
      </c>
      <c r="L23" s="261">
        <v>0.5</v>
      </c>
      <c r="M23" s="261">
        <v>0.54166666666666663</v>
      </c>
      <c r="N23" s="258" t="str">
        <f t="shared" si="2"/>
        <v>8h</v>
      </c>
      <c r="O23" s="345"/>
      <c r="P23" s="345"/>
      <c r="Q23" s="345"/>
      <c r="S23" s="120"/>
      <c r="T23" s="123">
        <f t="shared" si="37"/>
        <v>46067</v>
      </c>
      <c r="U23" s="124" t="str">
        <f t="shared" si="3"/>
        <v>土</v>
      </c>
      <c r="V23" s="124"/>
      <c r="W23" s="125"/>
      <c r="X23" s="125"/>
      <c r="Y23" s="109"/>
      <c r="Z23" s="109"/>
      <c r="AA23" s="126" t="str">
        <f t="shared" si="4"/>
        <v/>
      </c>
      <c r="AB23" s="257"/>
      <c r="AC23" s="257"/>
      <c r="AD23" s="257"/>
      <c r="AE23" s="257"/>
      <c r="AF23" s="258" t="str">
        <f t="shared" si="5"/>
        <v/>
      </c>
      <c r="AG23" s="345"/>
      <c r="AH23" s="345"/>
      <c r="AI23" s="345"/>
      <c r="AK23" s="120"/>
      <c r="AL23" s="123">
        <f t="shared" si="38"/>
        <v>46095</v>
      </c>
      <c r="AM23" s="124" t="str">
        <f t="shared" si="6"/>
        <v>土</v>
      </c>
      <c r="AN23" s="124"/>
      <c r="AO23" s="125"/>
      <c r="AP23" s="125"/>
      <c r="AQ23" s="109"/>
      <c r="AR23" s="109"/>
      <c r="AS23" s="126" t="str">
        <f t="shared" si="7"/>
        <v/>
      </c>
      <c r="AT23" s="257"/>
      <c r="AU23" s="257"/>
      <c r="AV23" s="257"/>
      <c r="AW23" s="257"/>
      <c r="AX23" s="258" t="str">
        <f t="shared" si="8"/>
        <v/>
      </c>
      <c r="AY23" s="345"/>
      <c r="AZ23" s="345"/>
      <c r="BA23" s="345"/>
      <c r="BC23" s="120"/>
      <c r="BD23" s="123">
        <f t="shared" si="39"/>
        <v>46126</v>
      </c>
      <c r="BE23" s="124" t="str">
        <f t="shared" si="9"/>
        <v>火</v>
      </c>
      <c r="BF23" s="124" t="s">
        <v>22</v>
      </c>
      <c r="BG23" s="259">
        <v>0.375</v>
      </c>
      <c r="BH23" s="259">
        <v>0.75</v>
      </c>
      <c r="BI23" s="260">
        <v>0.5</v>
      </c>
      <c r="BJ23" s="260">
        <v>0.54166666666666663</v>
      </c>
      <c r="BK23" s="126" t="str">
        <f t="shared" si="10"/>
        <v>8h</v>
      </c>
      <c r="BL23" s="261">
        <v>0.375</v>
      </c>
      <c r="BM23" s="261">
        <v>0.75</v>
      </c>
      <c r="BN23" s="261">
        <v>0.5</v>
      </c>
      <c r="BO23" s="261">
        <v>0.54166666666666663</v>
      </c>
      <c r="BP23" s="258" t="str">
        <f t="shared" si="11"/>
        <v>8h</v>
      </c>
      <c r="BQ23" s="345"/>
      <c r="BR23" s="345"/>
      <c r="BS23" s="345"/>
      <c r="BU23" s="120"/>
      <c r="BV23" s="123">
        <f t="shared" si="40"/>
        <v>46156</v>
      </c>
      <c r="BW23" s="124" t="str">
        <f t="shared" si="12"/>
        <v>木</v>
      </c>
      <c r="BX23" s="124" t="s">
        <v>22</v>
      </c>
      <c r="BY23" s="259">
        <v>0.375</v>
      </c>
      <c r="BZ23" s="259">
        <v>0.75</v>
      </c>
      <c r="CA23" s="260">
        <v>0.5</v>
      </c>
      <c r="CB23" s="260">
        <v>0.54166666666666663</v>
      </c>
      <c r="CC23" s="126" t="str">
        <f t="shared" si="13"/>
        <v>8h</v>
      </c>
      <c r="CD23" s="261">
        <v>0.375</v>
      </c>
      <c r="CE23" s="261">
        <v>0.75</v>
      </c>
      <c r="CF23" s="261">
        <v>0.5</v>
      </c>
      <c r="CG23" s="261">
        <v>0.54166666666666663</v>
      </c>
      <c r="CH23" s="258" t="str">
        <f t="shared" si="14"/>
        <v>8h</v>
      </c>
      <c r="CI23" s="345"/>
      <c r="CJ23" s="345"/>
      <c r="CK23" s="345"/>
      <c r="CM23" s="120"/>
      <c r="CN23" s="123">
        <f t="shared" si="41"/>
        <v>46187</v>
      </c>
      <c r="CO23" s="124" t="str">
        <f t="shared" si="15"/>
        <v>日</v>
      </c>
      <c r="CP23" s="124"/>
      <c r="CQ23" s="125"/>
      <c r="CR23" s="125"/>
      <c r="CS23" s="109"/>
      <c r="CT23" s="109"/>
      <c r="CU23" s="126" t="str">
        <f t="shared" si="16"/>
        <v/>
      </c>
      <c r="CV23" s="257"/>
      <c r="CW23" s="257"/>
      <c r="CX23" s="257"/>
      <c r="CY23" s="257"/>
      <c r="CZ23" s="258" t="str">
        <f t="shared" si="17"/>
        <v/>
      </c>
      <c r="DA23" s="345"/>
      <c r="DB23" s="345"/>
      <c r="DC23" s="345"/>
      <c r="DE23" s="120"/>
      <c r="DF23" s="123">
        <f t="shared" si="42"/>
        <v>46217</v>
      </c>
      <c r="DG23" s="124" t="str">
        <f t="shared" si="18"/>
        <v>火</v>
      </c>
      <c r="DH23" s="124" t="s">
        <v>22</v>
      </c>
      <c r="DI23" s="259">
        <v>0.375</v>
      </c>
      <c r="DJ23" s="259">
        <v>0.75</v>
      </c>
      <c r="DK23" s="260">
        <v>0.5</v>
      </c>
      <c r="DL23" s="260">
        <v>0.54166666666666663</v>
      </c>
      <c r="DM23" s="126" t="str">
        <f t="shared" si="19"/>
        <v>8h</v>
      </c>
      <c r="DN23" s="261">
        <v>0.375</v>
      </c>
      <c r="DO23" s="261">
        <v>0.75</v>
      </c>
      <c r="DP23" s="261">
        <v>0.5</v>
      </c>
      <c r="DQ23" s="261">
        <v>0.54166666666666663</v>
      </c>
      <c r="DR23" s="258" t="str">
        <f t="shared" si="20"/>
        <v>8h</v>
      </c>
      <c r="DS23" s="345"/>
      <c r="DT23" s="345"/>
      <c r="DU23" s="345"/>
      <c r="DW23" s="120"/>
      <c r="DX23" s="123">
        <f t="shared" si="43"/>
        <v>46248</v>
      </c>
      <c r="DY23" s="124" t="str">
        <f t="shared" si="21"/>
        <v>金</v>
      </c>
      <c r="DZ23" s="124" t="s">
        <v>22</v>
      </c>
      <c r="EA23" s="259">
        <v>0.375</v>
      </c>
      <c r="EB23" s="259">
        <v>0.75</v>
      </c>
      <c r="EC23" s="260">
        <v>0.5</v>
      </c>
      <c r="ED23" s="260">
        <v>0.54166666666666663</v>
      </c>
      <c r="EE23" s="126" t="str">
        <f t="shared" si="22"/>
        <v>8h</v>
      </c>
      <c r="EF23" s="261">
        <v>0.375</v>
      </c>
      <c r="EG23" s="261">
        <v>0.75</v>
      </c>
      <c r="EH23" s="261">
        <v>0.5</v>
      </c>
      <c r="EI23" s="261">
        <v>0.54166666666666663</v>
      </c>
      <c r="EJ23" s="258" t="str">
        <f t="shared" si="23"/>
        <v>8h</v>
      </c>
      <c r="EK23" s="345"/>
      <c r="EL23" s="345"/>
      <c r="EM23" s="345"/>
      <c r="EO23" s="120"/>
      <c r="EP23" s="123">
        <f t="shared" si="44"/>
        <v>46279</v>
      </c>
      <c r="EQ23" s="124" t="str">
        <f t="shared" si="24"/>
        <v>月</v>
      </c>
      <c r="ER23" s="124" t="s">
        <v>22</v>
      </c>
      <c r="ES23" s="259">
        <v>0.375</v>
      </c>
      <c r="ET23" s="259">
        <v>0.75</v>
      </c>
      <c r="EU23" s="260">
        <v>0.5</v>
      </c>
      <c r="EV23" s="260">
        <v>0.54166666666666663</v>
      </c>
      <c r="EW23" s="126" t="str">
        <f t="shared" si="25"/>
        <v>8h</v>
      </c>
      <c r="EX23" s="261">
        <v>0.375</v>
      </c>
      <c r="EY23" s="261">
        <v>0.75</v>
      </c>
      <c r="EZ23" s="261">
        <v>0.5</v>
      </c>
      <c r="FA23" s="261">
        <v>0.54166666666666663</v>
      </c>
      <c r="FB23" s="258" t="str">
        <f t="shared" si="26"/>
        <v>8h</v>
      </c>
      <c r="FC23" s="345"/>
      <c r="FD23" s="345"/>
      <c r="FE23" s="345"/>
      <c r="FG23" s="120"/>
      <c r="FH23" s="123">
        <f t="shared" si="45"/>
        <v>46309</v>
      </c>
      <c r="FI23" s="124" t="str">
        <f t="shared" si="27"/>
        <v>水</v>
      </c>
      <c r="FJ23" s="124" t="s">
        <v>22</v>
      </c>
      <c r="FK23" s="259">
        <v>0.375</v>
      </c>
      <c r="FL23" s="259">
        <v>0.75</v>
      </c>
      <c r="FM23" s="260">
        <v>0.5</v>
      </c>
      <c r="FN23" s="260">
        <v>0.54166666666666663</v>
      </c>
      <c r="FO23" s="126" t="str">
        <f t="shared" si="28"/>
        <v>8h</v>
      </c>
      <c r="FP23" s="261">
        <v>0.375</v>
      </c>
      <c r="FQ23" s="261">
        <v>0.75</v>
      </c>
      <c r="FR23" s="261">
        <v>0.5</v>
      </c>
      <c r="FS23" s="261">
        <v>0.54166666666666663</v>
      </c>
      <c r="FT23" s="258" t="str">
        <f t="shared" si="29"/>
        <v>8h</v>
      </c>
      <c r="FU23" s="345"/>
      <c r="FV23" s="345"/>
      <c r="FW23" s="345"/>
      <c r="FY23" s="120"/>
      <c r="FZ23" s="123">
        <f t="shared" si="46"/>
        <v>46340</v>
      </c>
      <c r="GA23" s="124" t="str">
        <f t="shared" si="30"/>
        <v>土</v>
      </c>
      <c r="GB23" s="124"/>
      <c r="GC23" s="125"/>
      <c r="GD23" s="125"/>
      <c r="GE23" s="109"/>
      <c r="GF23" s="109"/>
      <c r="GG23" s="126" t="str">
        <f t="shared" si="31"/>
        <v/>
      </c>
      <c r="GH23" s="257"/>
      <c r="GI23" s="257"/>
      <c r="GJ23" s="257"/>
      <c r="GK23" s="257"/>
      <c r="GL23" s="258" t="str">
        <f t="shared" si="32"/>
        <v/>
      </c>
      <c r="GM23" s="345"/>
      <c r="GN23" s="345"/>
      <c r="GO23" s="345"/>
      <c r="GQ23" s="120"/>
      <c r="GR23" s="123">
        <f t="shared" si="47"/>
        <v>46370</v>
      </c>
      <c r="GS23" s="124" t="str">
        <f t="shared" si="33"/>
        <v>月</v>
      </c>
      <c r="GT23" s="124" t="s">
        <v>22</v>
      </c>
      <c r="GU23" s="259">
        <v>0.375</v>
      </c>
      <c r="GV23" s="259">
        <v>0.75</v>
      </c>
      <c r="GW23" s="260">
        <v>0.5</v>
      </c>
      <c r="GX23" s="260">
        <v>0.54166666666666663</v>
      </c>
      <c r="GY23" s="126" t="str">
        <f t="shared" si="34"/>
        <v>8h</v>
      </c>
      <c r="GZ23" s="261">
        <v>0.375</v>
      </c>
      <c r="HA23" s="261">
        <v>0.75</v>
      </c>
      <c r="HB23" s="261">
        <v>0.5</v>
      </c>
      <c r="HC23" s="261">
        <v>0.54166666666666663</v>
      </c>
      <c r="HD23" s="258" t="str">
        <f t="shared" si="35"/>
        <v>8h</v>
      </c>
      <c r="HE23" s="345"/>
      <c r="HF23" s="345"/>
      <c r="HG23" s="345"/>
    </row>
    <row r="24" spans="1:215" x14ac:dyDescent="0.45">
      <c r="A24" s="120"/>
      <c r="B24" s="123">
        <f t="shared" si="36"/>
        <v>46037</v>
      </c>
      <c r="C24" s="124" t="str">
        <f t="shared" si="0"/>
        <v>木</v>
      </c>
      <c r="D24" s="124" t="s">
        <v>22</v>
      </c>
      <c r="E24" s="259">
        <v>0.375</v>
      </c>
      <c r="F24" s="259">
        <v>0.75</v>
      </c>
      <c r="G24" s="260">
        <v>0.5</v>
      </c>
      <c r="H24" s="260">
        <v>0.54166666666666663</v>
      </c>
      <c r="I24" s="126" t="str">
        <f t="shared" si="1"/>
        <v>8h</v>
      </c>
      <c r="J24" s="261">
        <v>0.375</v>
      </c>
      <c r="K24" s="261">
        <v>0.75</v>
      </c>
      <c r="L24" s="261">
        <v>0.5</v>
      </c>
      <c r="M24" s="261">
        <v>0.54166666666666663</v>
      </c>
      <c r="N24" s="258" t="str">
        <f t="shared" si="2"/>
        <v>8h</v>
      </c>
      <c r="O24" s="345"/>
      <c r="P24" s="345"/>
      <c r="Q24" s="345"/>
      <c r="S24" s="120"/>
      <c r="T24" s="123">
        <f t="shared" si="37"/>
        <v>46068</v>
      </c>
      <c r="U24" s="124" t="str">
        <f t="shared" si="3"/>
        <v>日</v>
      </c>
      <c r="V24" s="124"/>
      <c r="W24" s="125"/>
      <c r="X24" s="125"/>
      <c r="Y24" s="109"/>
      <c r="Z24" s="109"/>
      <c r="AA24" s="126" t="str">
        <f t="shared" si="4"/>
        <v/>
      </c>
      <c r="AB24" s="257"/>
      <c r="AC24" s="257"/>
      <c r="AD24" s="257"/>
      <c r="AE24" s="257"/>
      <c r="AF24" s="258" t="str">
        <f t="shared" si="5"/>
        <v/>
      </c>
      <c r="AG24" s="345"/>
      <c r="AH24" s="345"/>
      <c r="AI24" s="345"/>
      <c r="AK24" s="120"/>
      <c r="AL24" s="123">
        <f t="shared" si="38"/>
        <v>46096</v>
      </c>
      <c r="AM24" s="124" t="str">
        <f t="shared" si="6"/>
        <v>日</v>
      </c>
      <c r="AN24" s="124"/>
      <c r="AO24" s="125"/>
      <c r="AP24" s="125"/>
      <c r="AQ24" s="109"/>
      <c r="AR24" s="109"/>
      <c r="AS24" s="126" t="str">
        <f t="shared" si="7"/>
        <v/>
      </c>
      <c r="AT24" s="257"/>
      <c r="AU24" s="257"/>
      <c r="AV24" s="257"/>
      <c r="AW24" s="257"/>
      <c r="AX24" s="258" t="str">
        <f t="shared" si="8"/>
        <v/>
      </c>
      <c r="AY24" s="345"/>
      <c r="AZ24" s="345"/>
      <c r="BA24" s="345"/>
      <c r="BC24" s="120"/>
      <c r="BD24" s="123">
        <f t="shared" si="39"/>
        <v>46127</v>
      </c>
      <c r="BE24" s="124" t="str">
        <f t="shared" si="9"/>
        <v>水</v>
      </c>
      <c r="BF24" s="124" t="s">
        <v>22</v>
      </c>
      <c r="BG24" s="259">
        <v>0.375</v>
      </c>
      <c r="BH24" s="259">
        <v>0.75</v>
      </c>
      <c r="BI24" s="260">
        <v>0.5</v>
      </c>
      <c r="BJ24" s="260">
        <v>0.54166666666666663</v>
      </c>
      <c r="BK24" s="126" t="str">
        <f t="shared" si="10"/>
        <v>8h</v>
      </c>
      <c r="BL24" s="261">
        <v>0.375</v>
      </c>
      <c r="BM24" s="261">
        <v>0.75</v>
      </c>
      <c r="BN24" s="261">
        <v>0.5</v>
      </c>
      <c r="BO24" s="261">
        <v>0.54166666666666663</v>
      </c>
      <c r="BP24" s="258" t="str">
        <f t="shared" si="11"/>
        <v>8h</v>
      </c>
      <c r="BQ24" s="345"/>
      <c r="BR24" s="345"/>
      <c r="BS24" s="345"/>
      <c r="BU24" s="120"/>
      <c r="BV24" s="123">
        <f t="shared" si="40"/>
        <v>46157</v>
      </c>
      <c r="BW24" s="124" t="str">
        <f t="shared" si="12"/>
        <v>金</v>
      </c>
      <c r="BX24" s="124" t="s">
        <v>22</v>
      </c>
      <c r="BY24" s="259">
        <v>0.375</v>
      </c>
      <c r="BZ24" s="259">
        <v>0.75</v>
      </c>
      <c r="CA24" s="260">
        <v>0.5</v>
      </c>
      <c r="CB24" s="260">
        <v>0.54166666666666663</v>
      </c>
      <c r="CC24" s="126" t="str">
        <f t="shared" si="13"/>
        <v>8h</v>
      </c>
      <c r="CD24" s="261">
        <v>0.375</v>
      </c>
      <c r="CE24" s="261">
        <v>0.75</v>
      </c>
      <c r="CF24" s="261">
        <v>0.5</v>
      </c>
      <c r="CG24" s="261">
        <v>0.54166666666666663</v>
      </c>
      <c r="CH24" s="258" t="str">
        <f t="shared" si="14"/>
        <v>8h</v>
      </c>
      <c r="CI24" s="345"/>
      <c r="CJ24" s="345"/>
      <c r="CK24" s="345"/>
      <c r="CM24" s="120"/>
      <c r="CN24" s="123">
        <f t="shared" si="41"/>
        <v>46188</v>
      </c>
      <c r="CO24" s="124" t="str">
        <f t="shared" si="15"/>
        <v>月</v>
      </c>
      <c r="CP24" s="124" t="s">
        <v>22</v>
      </c>
      <c r="CQ24" s="259">
        <v>0.375</v>
      </c>
      <c r="CR24" s="259">
        <v>0.75</v>
      </c>
      <c r="CS24" s="260">
        <v>0.5</v>
      </c>
      <c r="CT24" s="260">
        <v>0.54166666666666663</v>
      </c>
      <c r="CU24" s="126" t="str">
        <f t="shared" si="16"/>
        <v>8h</v>
      </c>
      <c r="CV24" s="261">
        <v>0.375</v>
      </c>
      <c r="CW24" s="261">
        <v>0.75</v>
      </c>
      <c r="CX24" s="261">
        <v>0.5</v>
      </c>
      <c r="CY24" s="261">
        <v>0.54166666666666663</v>
      </c>
      <c r="CZ24" s="258" t="str">
        <f t="shared" si="17"/>
        <v>8h</v>
      </c>
      <c r="DA24" s="345"/>
      <c r="DB24" s="345"/>
      <c r="DC24" s="345"/>
      <c r="DE24" s="120"/>
      <c r="DF24" s="123">
        <f t="shared" si="42"/>
        <v>46218</v>
      </c>
      <c r="DG24" s="124" t="str">
        <f t="shared" si="18"/>
        <v>水</v>
      </c>
      <c r="DH24" s="124" t="s">
        <v>22</v>
      </c>
      <c r="DI24" s="259">
        <v>0.375</v>
      </c>
      <c r="DJ24" s="259">
        <v>0.75</v>
      </c>
      <c r="DK24" s="260">
        <v>0.5</v>
      </c>
      <c r="DL24" s="260">
        <v>0.54166666666666663</v>
      </c>
      <c r="DM24" s="126" t="str">
        <f t="shared" si="19"/>
        <v>8h</v>
      </c>
      <c r="DN24" s="261">
        <v>0.375</v>
      </c>
      <c r="DO24" s="261">
        <v>0.75</v>
      </c>
      <c r="DP24" s="261">
        <v>0.5</v>
      </c>
      <c r="DQ24" s="261">
        <v>0.54166666666666663</v>
      </c>
      <c r="DR24" s="258" t="str">
        <f t="shared" si="20"/>
        <v>8h</v>
      </c>
      <c r="DS24" s="345"/>
      <c r="DT24" s="345"/>
      <c r="DU24" s="345"/>
      <c r="DW24" s="120"/>
      <c r="DX24" s="123">
        <f t="shared" si="43"/>
        <v>46249</v>
      </c>
      <c r="DY24" s="124" t="str">
        <f t="shared" si="21"/>
        <v>土</v>
      </c>
      <c r="DZ24" s="124"/>
      <c r="EA24" s="125"/>
      <c r="EB24" s="125"/>
      <c r="EC24" s="109"/>
      <c r="ED24" s="109"/>
      <c r="EE24" s="126" t="str">
        <f t="shared" si="22"/>
        <v/>
      </c>
      <c r="EF24" s="257"/>
      <c r="EG24" s="257"/>
      <c r="EH24" s="257"/>
      <c r="EI24" s="257"/>
      <c r="EJ24" s="258" t="str">
        <f t="shared" si="23"/>
        <v/>
      </c>
      <c r="EK24" s="345"/>
      <c r="EL24" s="345"/>
      <c r="EM24" s="345"/>
      <c r="EO24" s="120"/>
      <c r="EP24" s="123">
        <f t="shared" si="44"/>
        <v>46280</v>
      </c>
      <c r="EQ24" s="124" t="str">
        <f t="shared" si="24"/>
        <v>火</v>
      </c>
      <c r="ER24" s="124" t="s">
        <v>22</v>
      </c>
      <c r="ES24" s="259">
        <v>0.375</v>
      </c>
      <c r="ET24" s="259">
        <v>0.75</v>
      </c>
      <c r="EU24" s="260">
        <v>0.5</v>
      </c>
      <c r="EV24" s="260">
        <v>0.54166666666666663</v>
      </c>
      <c r="EW24" s="126" t="str">
        <f t="shared" si="25"/>
        <v>8h</v>
      </c>
      <c r="EX24" s="261">
        <v>0.375</v>
      </c>
      <c r="EY24" s="261">
        <v>0.75</v>
      </c>
      <c r="EZ24" s="261">
        <v>0.5</v>
      </c>
      <c r="FA24" s="261">
        <v>0.54166666666666663</v>
      </c>
      <c r="FB24" s="258" t="str">
        <f t="shared" si="26"/>
        <v>8h</v>
      </c>
      <c r="FC24" s="345"/>
      <c r="FD24" s="345"/>
      <c r="FE24" s="345"/>
      <c r="FG24" s="120"/>
      <c r="FH24" s="123">
        <f t="shared" si="45"/>
        <v>46310</v>
      </c>
      <c r="FI24" s="124" t="str">
        <f t="shared" si="27"/>
        <v>木</v>
      </c>
      <c r="FJ24" s="124" t="s">
        <v>22</v>
      </c>
      <c r="FK24" s="259">
        <v>0.375</v>
      </c>
      <c r="FL24" s="259">
        <v>0.75</v>
      </c>
      <c r="FM24" s="260">
        <v>0.5</v>
      </c>
      <c r="FN24" s="260">
        <v>0.54166666666666663</v>
      </c>
      <c r="FO24" s="126" t="str">
        <f t="shared" si="28"/>
        <v>8h</v>
      </c>
      <c r="FP24" s="261">
        <v>0.375</v>
      </c>
      <c r="FQ24" s="261">
        <v>0.75</v>
      </c>
      <c r="FR24" s="261">
        <v>0.5</v>
      </c>
      <c r="FS24" s="261">
        <v>0.54166666666666663</v>
      </c>
      <c r="FT24" s="258" t="str">
        <f t="shared" si="29"/>
        <v>8h</v>
      </c>
      <c r="FU24" s="345"/>
      <c r="FV24" s="345"/>
      <c r="FW24" s="345"/>
      <c r="FY24" s="120"/>
      <c r="FZ24" s="123">
        <f t="shared" si="46"/>
        <v>46341</v>
      </c>
      <c r="GA24" s="124" t="str">
        <f t="shared" si="30"/>
        <v>日</v>
      </c>
      <c r="GB24" s="124"/>
      <c r="GC24" s="125"/>
      <c r="GD24" s="125"/>
      <c r="GE24" s="109"/>
      <c r="GF24" s="109"/>
      <c r="GG24" s="126" t="str">
        <f t="shared" si="31"/>
        <v/>
      </c>
      <c r="GH24" s="257"/>
      <c r="GI24" s="257"/>
      <c r="GJ24" s="257"/>
      <c r="GK24" s="257"/>
      <c r="GL24" s="258" t="str">
        <f t="shared" si="32"/>
        <v/>
      </c>
      <c r="GM24" s="345"/>
      <c r="GN24" s="345"/>
      <c r="GO24" s="345"/>
      <c r="GQ24" s="120"/>
      <c r="GR24" s="123">
        <f t="shared" si="47"/>
        <v>46371</v>
      </c>
      <c r="GS24" s="124" t="str">
        <f t="shared" si="33"/>
        <v>火</v>
      </c>
      <c r="GT24" s="124" t="s">
        <v>22</v>
      </c>
      <c r="GU24" s="259">
        <v>0.375</v>
      </c>
      <c r="GV24" s="259">
        <v>0.75</v>
      </c>
      <c r="GW24" s="260">
        <v>0.5</v>
      </c>
      <c r="GX24" s="260">
        <v>0.54166666666666663</v>
      </c>
      <c r="GY24" s="126" t="str">
        <f t="shared" si="34"/>
        <v>8h</v>
      </c>
      <c r="GZ24" s="261">
        <v>0.375</v>
      </c>
      <c r="HA24" s="261">
        <v>0.75</v>
      </c>
      <c r="HB24" s="261">
        <v>0.5</v>
      </c>
      <c r="HC24" s="261">
        <v>0.54166666666666663</v>
      </c>
      <c r="HD24" s="258" t="str">
        <f t="shared" si="35"/>
        <v>8h</v>
      </c>
      <c r="HE24" s="345"/>
      <c r="HF24" s="345"/>
      <c r="HG24" s="345"/>
    </row>
    <row r="25" spans="1:215" x14ac:dyDescent="0.45">
      <c r="A25" s="120"/>
      <c r="B25" s="123">
        <f t="shared" si="36"/>
        <v>46038</v>
      </c>
      <c r="C25" s="124" t="str">
        <f t="shared" si="0"/>
        <v>金</v>
      </c>
      <c r="D25" s="124" t="s">
        <v>22</v>
      </c>
      <c r="E25" s="259">
        <v>0.375</v>
      </c>
      <c r="F25" s="259">
        <v>0.75</v>
      </c>
      <c r="G25" s="260">
        <v>0.5</v>
      </c>
      <c r="H25" s="260">
        <v>0.54166666666666663</v>
      </c>
      <c r="I25" s="126" t="str">
        <f t="shared" si="1"/>
        <v>8h</v>
      </c>
      <c r="J25" s="261">
        <v>0.375</v>
      </c>
      <c r="K25" s="261">
        <v>0.75</v>
      </c>
      <c r="L25" s="261">
        <v>0.5</v>
      </c>
      <c r="M25" s="261">
        <v>0.54166666666666663</v>
      </c>
      <c r="N25" s="258" t="str">
        <f t="shared" si="2"/>
        <v>8h</v>
      </c>
      <c r="O25" s="345"/>
      <c r="P25" s="345"/>
      <c r="Q25" s="345"/>
      <c r="S25" s="120"/>
      <c r="T25" s="123">
        <f t="shared" si="37"/>
        <v>46069</v>
      </c>
      <c r="U25" s="124" t="str">
        <f t="shared" si="3"/>
        <v>月</v>
      </c>
      <c r="V25" s="124" t="s">
        <v>22</v>
      </c>
      <c r="W25" s="259">
        <v>0.375</v>
      </c>
      <c r="X25" s="259">
        <v>0.75</v>
      </c>
      <c r="Y25" s="260">
        <v>0.5</v>
      </c>
      <c r="Z25" s="260">
        <v>0.54166666666666663</v>
      </c>
      <c r="AA25" s="126" t="str">
        <f t="shared" si="4"/>
        <v>8h</v>
      </c>
      <c r="AB25" s="261">
        <v>0.375</v>
      </c>
      <c r="AC25" s="261">
        <v>0.75</v>
      </c>
      <c r="AD25" s="261">
        <v>0.5</v>
      </c>
      <c r="AE25" s="261">
        <v>0.54166666666666663</v>
      </c>
      <c r="AF25" s="258" t="str">
        <f t="shared" si="5"/>
        <v>8h</v>
      </c>
      <c r="AG25" s="345"/>
      <c r="AH25" s="345"/>
      <c r="AI25" s="345"/>
      <c r="AK25" s="120"/>
      <c r="AL25" s="123">
        <f t="shared" si="38"/>
        <v>46097</v>
      </c>
      <c r="AM25" s="124" t="str">
        <f t="shared" si="6"/>
        <v>月</v>
      </c>
      <c r="AN25" s="124" t="s">
        <v>22</v>
      </c>
      <c r="AO25" s="259">
        <v>0.375</v>
      </c>
      <c r="AP25" s="259">
        <v>0.75</v>
      </c>
      <c r="AQ25" s="260">
        <v>0.5</v>
      </c>
      <c r="AR25" s="260">
        <v>0.54166666666666663</v>
      </c>
      <c r="AS25" s="126" t="str">
        <f t="shared" si="7"/>
        <v>8h</v>
      </c>
      <c r="AT25" s="261">
        <v>0.375</v>
      </c>
      <c r="AU25" s="261">
        <v>0.75</v>
      </c>
      <c r="AV25" s="261">
        <v>0.5</v>
      </c>
      <c r="AW25" s="261">
        <v>0.54166666666666663</v>
      </c>
      <c r="AX25" s="258" t="str">
        <f t="shared" si="8"/>
        <v>8h</v>
      </c>
      <c r="AY25" s="345"/>
      <c r="AZ25" s="345"/>
      <c r="BA25" s="345"/>
      <c r="BC25" s="120"/>
      <c r="BD25" s="123">
        <f t="shared" si="39"/>
        <v>46128</v>
      </c>
      <c r="BE25" s="124" t="str">
        <f t="shared" si="9"/>
        <v>木</v>
      </c>
      <c r="BF25" s="124" t="s">
        <v>22</v>
      </c>
      <c r="BG25" s="259">
        <v>0.375</v>
      </c>
      <c r="BH25" s="259">
        <v>0.75</v>
      </c>
      <c r="BI25" s="260">
        <v>0.5</v>
      </c>
      <c r="BJ25" s="260">
        <v>0.54166666666666663</v>
      </c>
      <c r="BK25" s="126" t="str">
        <f t="shared" si="10"/>
        <v>8h</v>
      </c>
      <c r="BL25" s="261">
        <v>0.375</v>
      </c>
      <c r="BM25" s="261">
        <v>0.75</v>
      </c>
      <c r="BN25" s="261">
        <v>0.5</v>
      </c>
      <c r="BO25" s="261">
        <v>0.54166666666666663</v>
      </c>
      <c r="BP25" s="258" t="str">
        <f t="shared" si="11"/>
        <v>8h</v>
      </c>
      <c r="BQ25" s="345"/>
      <c r="BR25" s="345"/>
      <c r="BS25" s="345"/>
      <c r="BU25" s="120"/>
      <c r="BV25" s="123">
        <f t="shared" si="40"/>
        <v>46158</v>
      </c>
      <c r="BW25" s="124" t="str">
        <f t="shared" si="12"/>
        <v>土</v>
      </c>
      <c r="BX25" s="124"/>
      <c r="BY25" s="125"/>
      <c r="BZ25" s="125"/>
      <c r="CA25" s="109"/>
      <c r="CB25" s="109"/>
      <c r="CC25" s="126" t="str">
        <f t="shared" si="13"/>
        <v/>
      </c>
      <c r="CD25" s="257"/>
      <c r="CE25" s="257"/>
      <c r="CF25" s="257"/>
      <c r="CG25" s="257"/>
      <c r="CH25" s="258" t="str">
        <f t="shared" si="14"/>
        <v/>
      </c>
      <c r="CI25" s="345"/>
      <c r="CJ25" s="345"/>
      <c r="CK25" s="345"/>
      <c r="CM25" s="120"/>
      <c r="CN25" s="123">
        <f t="shared" si="41"/>
        <v>46189</v>
      </c>
      <c r="CO25" s="124" t="str">
        <f t="shared" si="15"/>
        <v>火</v>
      </c>
      <c r="CP25" s="124" t="s">
        <v>22</v>
      </c>
      <c r="CQ25" s="259">
        <v>0.375</v>
      </c>
      <c r="CR25" s="259">
        <v>0.75</v>
      </c>
      <c r="CS25" s="260">
        <v>0.5</v>
      </c>
      <c r="CT25" s="260">
        <v>0.54166666666666663</v>
      </c>
      <c r="CU25" s="126" t="str">
        <f t="shared" si="16"/>
        <v>8h</v>
      </c>
      <c r="CV25" s="261">
        <v>0.375</v>
      </c>
      <c r="CW25" s="261">
        <v>0.75</v>
      </c>
      <c r="CX25" s="261">
        <v>0.5</v>
      </c>
      <c r="CY25" s="261">
        <v>0.54166666666666663</v>
      </c>
      <c r="CZ25" s="258" t="str">
        <f t="shared" si="17"/>
        <v>8h</v>
      </c>
      <c r="DA25" s="345"/>
      <c r="DB25" s="345"/>
      <c r="DC25" s="345"/>
      <c r="DE25" s="120"/>
      <c r="DF25" s="123">
        <f t="shared" si="42"/>
        <v>46219</v>
      </c>
      <c r="DG25" s="124" t="str">
        <f t="shared" si="18"/>
        <v>木</v>
      </c>
      <c r="DH25" s="124" t="s">
        <v>22</v>
      </c>
      <c r="DI25" s="259">
        <v>0.375</v>
      </c>
      <c r="DJ25" s="259">
        <v>0.75</v>
      </c>
      <c r="DK25" s="260">
        <v>0.5</v>
      </c>
      <c r="DL25" s="260">
        <v>0.54166666666666663</v>
      </c>
      <c r="DM25" s="126" t="str">
        <f t="shared" si="19"/>
        <v>8h</v>
      </c>
      <c r="DN25" s="261">
        <v>0.375</v>
      </c>
      <c r="DO25" s="261">
        <v>0.75</v>
      </c>
      <c r="DP25" s="261">
        <v>0.5</v>
      </c>
      <c r="DQ25" s="261">
        <v>0.54166666666666663</v>
      </c>
      <c r="DR25" s="258" t="str">
        <f t="shared" si="20"/>
        <v>8h</v>
      </c>
      <c r="DS25" s="345"/>
      <c r="DT25" s="345"/>
      <c r="DU25" s="345"/>
      <c r="DW25" s="120"/>
      <c r="DX25" s="123">
        <f t="shared" si="43"/>
        <v>46250</v>
      </c>
      <c r="DY25" s="124" t="str">
        <f t="shared" si="21"/>
        <v>日</v>
      </c>
      <c r="DZ25" s="124"/>
      <c r="EA25" s="125"/>
      <c r="EB25" s="125"/>
      <c r="EC25" s="109"/>
      <c r="ED25" s="109"/>
      <c r="EE25" s="126" t="str">
        <f t="shared" si="22"/>
        <v/>
      </c>
      <c r="EF25" s="257"/>
      <c r="EG25" s="257"/>
      <c r="EH25" s="257"/>
      <c r="EI25" s="257"/>
      <c r="EJ25" s="258" t="str">
        <f t="shared" si="23"/>
        <v/>
      </c>
      <c r="EK25" s="345"/>
      <c r="EL25" s="345"/>
      <c r="EM25" s="345"/>
      <c r="EO25" s="120"/>
      <c r="EP25" s="123">
        <f t="shared" si="44"/>
        <v>46281</v>
      </c>
      <c r="EQ25" s="124" t="str">
        <f t="shared" si="24"/>
        <v>水</v>
      </c>
      <c r="ER25" s="124" t="s">
        <v>22</v>
      </c>
      <c r="ES25" s="259">
        <v>0.375</v>
      </c>
      <c r="ET25" s="259">
        <v>0.75</v>
      </c>
      <c r="EU25" s="260">
        <v>0.5</v>
      </c>
      <c r="EV25" s="260">
        <v>0.54166666666666663</v>
      </c>
      <c r="EW25" s="126" t="str">
        <f t="shared" si="25"/>
        <v>8h</v>
      </c>
      <c r="EX25" s="261">
        <v>0.375</v>
      </c>
      <c r="EY25" s="261">
        <v>0.75</v>
      </c>
      <c r="EZ25" s="261">
        <v>0.5</v>
      </c>
      <c r="FA25" s="261">
        <v>0.54166666666666663</v>
      </c>
      <c r="FB25" s="258" t="str">
        <f t="shared" si="26"/>
        <v>8h</v>
      </c>
      <c r="FC25" s="345"/>
      <c r="FD25" s="345"/>
      <c r="FE25" s="345"/>
      <c r="FG25" s="120"/>
      <c r="FH25" s="123">
        <f t="shared" si="45"/>
        <v>46311</v>
      </c>
      <c r="FI25" s="124" t="str">
        <f t="shared" si="27"/>
        <v>金</v>
      </c>
      <c r="FJ25" s="124" t="s">
        <v>22</v>
      </c>
      <c r="FK25" s="259">
        <v>0.375</v>
      </c>
      <c r="FL25" s="259">
        <v>0.75</v>
      </c>
      <c r="FM25" s="260">
        <v>0.5</v>
      </c>
      <c r="FN25" s="260">
        <v>0.54166666666666663</v>
      </c>
      <c r="FO25" s="126" t="str">
        <f t="shared" si="28"/>
        <v>8h</v>
      </c>
      <c r="FP25" s="261">
        <v>0.375</v>
      </c>
      <c r="FQ25" s="261">
        <v>0.75</v>
      </c>
      <c r="FR25" s="261">
        <v>0.5</v>
      </c>
      <c r="FS25" s="261">
        <v>0.54166666666666663</v>
      </c>
      <c r="FT25" s="258" t="str">
        <f t="shared" si="29"/>
        <v>8h</v>
      </c>
      <c r="FU25" s="345"/>
      <c r="FV25" s="345"/>
      <c r="FW25" s="345"/>
      <c r="FY25" s="120"/>
      <c r="FZ25" s="123">
        <f t="shared" si="46"/>
        <v>46342</v>
      </c>
      <c r="GA25" s="124" t="str">
        <f t="shared" si="30"/>
        <v>月</v>
      </c>
      <c r="GB25" s="124" t="s">
        <v>22</v>
      </c>
      <c r="GC25" s="259">
        <v>0.375</v>
      </c>
      <c r="GD25" s="259">
        <v>0.75</v>
      </c>
      <c r="GE25" s="260">
        <v>0.5</v>
      </c>
      <c r="GF25" s="260">
        <v>0.54166666666666663</v>
      </c>
      <c r="GG25" s="126" t="str">
        <f t="shared" si="31"/>
        <v>8h</v>
      </c>
      <c r="GH25" s="261">
        <v>0.375</v>
      </c>
      <c r="GI25" s="261">
        <v>0.75</v>
      </c>
      <c r="GJ25" s="261">
        <v>0.5</v>
      </c>
      <c r="GK25" s="261">
        <v>0.54166666666666663</v>
      </c>
      <c r="GL25" s="258" t="str">
        <f t="shared" si="32"/>
        <v>8h</v>
      </c>
      <c r="GM25" s="345"/>
      <c r="GN25" s="345"/>
      <c r="GO25" s="345"/>
      <c r="GQ25" s="120"/>
      <c r="GR25" s="123">
        <f t="shared" si="47"/>
        <v>46372</v>
      </c>
      <c r="GS25" s="124" t="str">
        <f t="shared" si="33"/>
        <v>水</v>
      </c>
      <c r="GT25" s="124" t="s">
        <v>22</v>
      </c>
      <c r="GU25" s="259">
        <v>0.375</v>
      </c>
      <c r="GV25" s="259">
        <v>0.75</v>
      </c>
      <c r="GW25" s="260">
        <v>0.5</v>
      </c>
      <c r="GX25" s="260">
        <v>0.54166666666666663</v>
      </c>
      <c r="GY25" s="126" t="str">
        <f t="shared" si="34"/>
        <v>8h</v>
      </c>
      <c r="GZ25" s="261">
        <v>0.375</v>
      </c>
      <c r="HA25" s="261">
        <v>0.75</v>
      </c>
      <c r="HB25" s="261">
        <v>0.5</v>
      </c>
      <c r="HC25" s="261">
        <v>0.54166666666666663</v>
      </c>
      <c r="HD25" s="258" t="str">
        <f t="shared" si="35"/>
        <v>8h</v>
      </c>
      <c r="HE25" s="345"/>
      <c r="HF25" s="345"/>
      <c r="HG25" s="345"/>
    </row>
    <row r="26" spans="1:215" x14ac:dyDescent="0.45">
      <c r="A26" s="120"/>
      <c r="B26" s="123">
        <f t="shared" si="36"/>
        <v>46039</v>
      </c>
      <c r="C26" s="124" t="str">
        <f t="shared" si="0"/>
        <v>土</v>
      </c>
      <c r="D26" s="124"/>
      <c r="E26" s="125"/>
      <c r="F26" s="125"/>
      <c r="G26" s="109"/>
      <c r="H26" s="109"/>
      <c r="I26" s="126" t="str">
        <f t="shared" si="1"/>
        <v/>
      </c>
      <c r="J26" s="257"/>
      <c r="K26" s="257"/>
      <c r="L26" s="257"/>
      <c r="M26" s="257"/>
      <c r="N26" s="258" t="str">
        <f t="shared" si="2"/>
        <v/>
      </c>
      <c r="O26" s="345"/>
      <c r="P26" s="345"/>
      <c r="Q26" s="345"/>
      <c r="S26" s="120"/>
      <c r="T26" s="123">
        <f t="shared" si="37"/>
        <v>46070</v>
      </c>
      <c r="U26" s="124" t="str">
        <f t="shared" si="3"/>
        <v>火</v>
      </c>
      <c r="V26" s="124" t="s">
        <v>22</v>
      </c>
      <c r="W26" s="259">
        <v>0.375</v>
      </c>
      <c r="X26" s="259">
        <v>0.75</v>
      </c>
      <c r="Y26" s="260">
        <v>0.5</v>
      </c>
      <c r="Z26" s="260">
        <v>0.54166666666666663</v>
      </c>
      <c r="AA26" s="126" t="str">
        <f t="shared" si="4"/>
        <v>8h</v>
      </c>
      <c r="AB26" s="261">
        <v>0.375</v>
      </c>
      <c r="AC26" s="261">
        <v>0.75</v>
      </c>
      <c r="AD26" s="261">
        <v>0.5</v>
      </c>
      <c r="AE26" s="261">
        <v>0.54166666666666663</v>
      </c>
      <c r="AF26" s="258" t="str">
        <f t="shared" si="5"/>
        <v>8h</v>
      </c>
      <c r="AG26" s="345"/>
      <c r="AH26" s="345"/>
      <c r="AI26" s="345"/>
      <c r="AK26" s="120"/>
      <c r="AL26" s="123">
        <f t="shared" si="38"/>
        <v>46098</v>
      </c>
      <c r="AM26" s="124" t="str">
        <f t="shared" si="6"/>
        <v>火</v>
      </c>
      <c r="AN26" s="124" t="s">
        <v>22</v>
      </c>
      <c r="AO26" s="259">
        <v>0.375</v>
      </c>
      <c r="AP26" s="259">
        <v>0.75</v>
      </c>
      <c r="AQ26" s="260">
        <v>0.5</v>
      </c>
      <c r="AR26" s="260">
        <v>0.54166666666666663</v>
      </c>
      <c r="AS26" s="126" t="str">
        <f t="shared" si="7"/>
        <v>8h</v>
      </c>
      <c r="AT26" s="261">
        <v>0.375</v>
      </c>
      <c r="AU26" s="261">
        <v>0.75</v>
      </c>
      <c r="AV26" s="261">
        <v>0.5</v>
      </c>
      <c r="AW26" s="261">
        <v>0.54166666666666663</v>
      </c>
      <c r="AX26" s="258" t="str">
        <f t="shared" si="8"/>
        <v>8h</v>
      </c>
      <c r="AY26" s="345"/>
      <c r="AZ26" s="345"/>
      <c r="BA26" s="345"/>
      <c r="BC26" s="120"/>
      <c r="BD26" s="123">
        <f t="shared" si="39"/>
        <v>46129</v>
      </c>
      <c r="BE26" s="124" t="str">
        <f t="shared" si="9"/>
        <v>金</v>
      </c>
      <c r="BF26" s="124" t="s">
        <v>22</v>
      </c>
      <c r="BG26" s="259">
        <v>0.375</v>
      </c>
      <c r="BH26" s="259">
        <v>0.75</v>
      </c>
      <c r="BI26" s="260">
        <v>0.5</v>
      </c>
      <c r="BJ26" s="260">
        <v>0.54166666666666663</v>
      </c>
      <c r="BK26" s="126" t="str">
        <f t="shared" si="10"/>
        <v>8h</v>
      </c>
      <c r="BL26" s="261">
        <v>0.375</v>
      </c>
      <c r="BM26" s="261">
        <v>0.75</v>
      </c>
      <c r="BN26" s="261">
        <v>0.5</v>
      </c>
      <c r="BO26" s="261">
        <v>0.54166666666666663</v>
      </c>
      <c r="BP26" s="258" t="str">
        <f t="shared" si="11"/>
        <v>8h</v>
      </c>
      <c r="BQ26" s="345"/>
      <c r="BR26" s="345"/>
      <c r="BS26" s="345"/>
      <c r="BU26" s="120"/>
      <c r="BV26" s="123">
        <f t="shared" si="40"/>
        <v>46159</v>
      </c>
      <c r="BW26" s="124" t="str">
        <f t="shared" si="12"/>
        <v>日</v>
      </c>
      <c r="BX26" s="124"/>
      <c r="BY26" s="125"/>
      <c r="BZ26" s="125"/>
      <c r="CA26" s="109"/>
      <c r="CB26" s="109"/>
      <c r="CC26" s="126" t="str">
        <f t="shared" si="13"/>
        <v/>
      </c>
      <c r="CD26" s="257"/>
      <c r="CE26" s="257"/>
      <c r="CF26" s="257"/>
      <c r="CG26" s="257"/>
      <c r="CH26" s="258" t="str">
        <f t="shared" si="14"/>
        <v/>
      </c>
      <c r="CI26" s="345"/>
      <c r="CJ26" s="345"/>
      <c r="CK26" s="345"/>
      <c r="CM26" s="120"/>
      <c r="CN26" s="123">
        <f t="shared" si="41"/>
        <v>46190</v>
      </c>
      <c r="CO26" s="124" t="str">
        <f t="shared" si="15"/>
        <v>水</v>
      </c>
      <c r="CP26" s="124" t="s">
        <v>22</v>
      </c>
      <c r="CQ26" s="259">
        <v>0.375</v>
      </c>
      <c r="CR26" s="259">
        <v>0.75</v>
      </c>
      <c r="CS26" s="260">
        <v>0.5</v>
      </c>
      <c r="CT26" s="260">
        <v>0.54166666666666663</v>
      </c>
      <c r="CU26" s="126" t="str">
        <f t="shared" si="16"/>
        <v>8h</v>
      </c>
      <c r="CV26" s="261">
        <v>0.375</v>
      </c>
      <c r="CW26" s="261">
        <v>0.75</v>
      </c>
      <c r="CX26" s="261">
        <v>0.5</v>
      </c>
      <c r="CY26" s="261">
        <v>0.54166666666666663</v>
      </c>
      <c r="CZ26" s="258" t="str">
        <f t="shared" si="17"/>
        <v>8h</v>
      </c>
      <c r="DA26" s="345"/>
      <c r="DB26" s="345"/>
      <c r="DC26" s="345"/>
      <c r="DE26" s="120"/>
      <c r="DF26" s="123">
        <f t="shared" si="42"/>
        <v>46220</v>
      </c>
      <c r="DG26" s="124" t="str">
        <f t="shared" si="18"/>
        <v>金</v>
      </c>
      <c r="DH26" s="124" t="s">
        <v>22</v>
      </c>
      <c r="DI26" s="259">
        <v>0.375</v>
      </c>
      <c r="DJ26" s="259">
        <v>0.75</v>
      </c>
      <c r="DK26" s="260">
        <v>0.5</v>
      </c>
      <c r="DL26" s="260">
        <v>0.54166666666666663</v>
      </c>
      <c r="DM26" s="126" t="str">
        <f t="shared" si="19"/>
        <v>8h</v>
      </c>
      <c r="DN26" s="261">
        <v>0.375</v>
      </c>
      <c r="DO26" s="261">
        <v>0.75</v>
      </c>
      <c r="DP26" s="261">
        <v>0.5</v>
      </c>
      <c r="DQ26" s="261">
        <v>0.54166666666666663</v>
      </c>
      <c r="DR26" s="258" t="str">
        <f t="shared" si="20"/>
        <v>8h</v>
      </c>
      <c r="DS26" s="345"/>
      <c r="DT26" s="345"/>
      <c r="DU26" s="345"/>
      <c r="DW26" s="120"/>
      <c r="DX26" s="123">
        <f t="shared" si="43"/>
        <v>46251</v>
      </c>
      <c r="DY26" s="124" t="str">
        <f t="shared" si="21"/>
        <v>月</v>
      </c>
      <c r="DZ26" s="124" t="s">
        <v>22</v>
      </c>
      <c r="EA26" s="259">
        <v>0.375</v>
      </c>
      <c r="EB26" s="259">
        <v>0.75</v>
      </c>
      <c r="EC26" s="260">
        <v>0.5</v>
      </c>
      <c r="ED26" s="260">
        <v>0.54166666666666663</v>
      </c>
      <c r="EE26" s="126" t="str">
        <f t="shared" si="22"/>
        <v>8h</v>
      </c>
      <c r="EF26" s="261">
        <v>0.375</v>
      </c>
      <c r="EG26" s="261">
        <v>0.75</v>
      </c>
      <c r="EH26" s="261">
        <v>0.5</v>
      </c>
      <c r="EI26" s="261">
        <v>0.54166666666666663</v>
      </c>
      <c r="EJ26" s="258" t="str">
        <f t="shared" si="23"/>
        <v>8h</v>
      </c>
      <c r="EK26" s="345"/>
      <c r="EL26" s="345"/>
      <c r="EM26" s="345"/>
      <c r="EO26" s="120"/>
      <c r="EP26" s="123">
        <f t="shared" si="44"/>
        <v>46282</v>
      </c>
      <c r="EQ26" s="124" t="str">
        <f t="shared" si="24"/>
        <v>木</v>
      </c>
      <c r="ER26" s="124" t="s">
        <v>22</v>
      </c>
      <c r="ES26" s="259">
        <v>0.375</v>
      </c>
      <c r="ET26" s="259">
        <v>0.75</v>
      </c>
      <c r="EU26" s="260">
        <v>0.5</v>
      </c>
      <c r="EV26" s="260">
        <v>0.54166666666666663</v>
      </c>
      <c r="EW26" s="126" t="str">
        <f t="shared" si="25"/>
        <v>8h</v>
      </c>
      <c r="EX26" s="261">
        <v>0.375</v>
      </c>
      <c r="EY26" s="261">
        <v>0.75</v>
      </c>
      <c r="EZ26" s="261">
        <v>0.5</v>
      </c>
      <c r="FA26" s="261">
        <v>0.54166666666666663</v>
      </c>
      <c r="FB26" s="258" t="str">
        <f t="shared" si="26"/>
        <v>8h</v>
      </c>
      <c r="FC26" s="345"/>
      <c r="FD26" s="345"/>
      <c r="FE26" s="345"/>
      <c r="FG26" s="120"/>
      <c r="FH26" s="123">
        <f t="shared" si="45"/>
        <v>46312</v>
      </c>
      <c r="FI26" s="124" t="str">
        <f t="shared" si="27"/>
        <v>土</v>
      </c>
      <c r="FJ26" s="124"/>
      <c r="FK26" s="125"/>
      <c r="FL26" s="125"/>
      <c r="FM26" s="109"/>
      <c r="FN26" s="109"/>
      <c r="FO26" s="126" t="str">
        <f t="shared" si="28"/>
        <v/>
      </c>
      <c r="FP26" s="257"/>
      <c r="FQ26" s="257"/>
      <c r="FR26" s="257"/>
      <c r="FS26" s="257"/>
      <c r="FT26" s="258" t="str">
        <f t="shared" si="29"/>
        <v/>
      </c>
      <c r="FU26" s="345"/>
      <c r="FV26" s="345"/>
      <c r="FW26" s="345"/>
      <c r="FY26" s="120"/>
      <c r="FZ26" s="123">
        <f t="shared" si="46"/>
        <v>46343</v>
      </c>
      <c r="GA26" s="124" t="str">
        <f t="shared" si="30"/>
        <v>火</v>
      </c>
      <c r="GB26" s="124" t="s">
        <v>22</v>
      </c>
      <c r="GC26" s="259">
        <v>0.375</v>
      </c>
      <c r="GD26" s="259">
        <v>0.75</v>
      </c>
      <c r="GE26" s="260">
        <v>0.5</v>
      </c>
      <c r="GF26" s="260">
        <v>0.54166666666666663</v>
      </c>
      <c r="GG26" s="126" t="str">
        <f t="shared" si="31"/>
        <v>8h</v>
      </c>
      <c r="GH26" s="261">
        <v>0.375</v>
      </c>
      <c r="GI26" s="261">
        <v>0.75</v>
      </c>
      <c r="GJ26" s="261">
        <v>0.5</v>
      </c>
      <c r="GK26" s="261">
        <v>0.54166666666666663</v>
      </c>
      <c r="GL26" s="258" t="str">
        <f t="shared" si="32"/>
        <v>8h</v>
      </c>
      <c r="GM26" s="345"/>
      <c r="GN26" s="345"/>
      <c r="GO26" s="345"/>
      <c r="GQ26" s="120"/>
      <c r="GR26" s="123">
        <f t="shared" si="47"/>
        <v>46373</v>
      </c>
      <c r="GS26" s="124" t="str">
        <f t="shared" si="33"/>
        <v>木</v>
      </c>
      <c r="GT26" s="124" t="s">
        <v>22</v>
      </c>
      <c r="GU26" s="259">
        <v>0.375</v>
      </c>
      <c r="GV26" s="259">
        <v>0.75</v>
      </c>
      <c r="GW26" s="260">
        <v>0.5</v>
      </c>
      <c r="GX26" s="260">
        <v>0.54166666666666663</v>
      </c>
      <c r="GY26" s="126" t="str">
        <f t="shared" si="34"/>
        <v>8h</v>
      </c>
      <c r="GZ26" s="261">
        <v>0.375</v>
      </c>
      <c r="HA26" s="261">
        <v>0.75</v>
      </c>
      <c r="HB26" s="261">
        <v>0.5</v>
      </c>
      <c r="HC26" s="261">
        <v>0.54166666666666663</v>
      </c>
      <c r="HD26" s="258" t="str">
        <f t="shared" si="35"/>
        <v>8h</v>
      </c>
      <c r="HE26" s="345"/>
      <c r="HF26" s="345"/>
      <c r="HG26" s="345"/>
    </row>
    <row r="27" spans="1:215" x14ac:dyDescent="0.45">
      <c r="A27" s="120"/>
      <c r="B27" s="123">
        <f t="shared" si="36"/>
        <v>46040</v>
      </c>
      <c r="C27" s="124" t="str">
        <f t="shared" si="0"/>
        <v>日</v>
      </c>
      <c r="D27" s="124"/>
      <c r="E27" s="125"/>
      <c r="F27" s="125"/>
      <c r="G27" s="109"/>
      <c r="H27" s="109"/>
      <c r="I27" s="126" t="str">
        <f t="shared" si="1"/>
        <v/>
      </c>
      <c r="J27" s="257"/>
      <c r="K27" s="257"/>
      <c r="L27" s="257"/>
      <c r="M27" s="257"/>
      <c r="N27" s="258" t="str">
        <f t="shared" si="2"/>
        <v/>
      </c>
      <c r="O27" s="345"/>
      <c r="P27" s="345"/>
      <c r="Q27" s="345"/>
      <c r="S27" s="120"/>
      <c r="T27" s="123">
        <f t="shared" si="37"/>
        <v>46071</v>
      </c>
      <c r="U27" s="124" t="str">
        <f t="shared" si="3"/>
        <v>水</v>
      </c>
      <c r="V27" s="124" t="s">
        <v>22</v>
      </c>
      <c r="W27" s="259">
        <v>0.375</v>
      </c>
      <c r="X27" s="259">
        <v>0.75</v>
      </c>
      <c r="Y27" s="260">
        <v>0.5</v>
      </c>
      <c r="Z27" s="260">
        <v>0.54166666666666663</v>
      </c>
      <c r="AA27" s="126" t="str">
        <f t="shared" si="4"/>
        <v>8h</v>
      </c>
      <c r="AB27" s="261">
        <v>0.375</v>
      </c>
      <c r="AC27" s="261">
        <v>0.75</v>
      </c>
      <c r="AD27" s="261">
        <v>0.5</v>
      </c>
      <c r="AE27" s="261">
        <v>0.54166666666666663</v>
      </c>
      <c r="AF27" s="258" t="str">
        <f t="shared" si="5"/>
        <v>8h</v>
      </c>
      <c r="AG27" s="345"/>
      <c r="AH27" s="345"/>
      <c r="AI27" s="345"/>
      <c r="AK27" s="120"/>
      <c r="AL27" s="123">
        <f t="shared" si="38"/>
        <v>46099</v>
      </c>
      <c r="AM27" s="124" t="str">
        <f t="shared" si="6"/>
        <v>水</v>
      </c>
      <c r="AN27" s="124" t="s">
        <v>22</v>
      </c>
      <c r="AO27" s="259">
        <v>0.375</v>
      </c>
      <c r="AP27" s="259">
        <v>0.75</v>
      </c>
      <c r="AQ27" s="260">
        <v>0.5</v>
      </c>
      <c r="AR27" s="260">
        <v>0.54166666666666663</v>
      </c>
      <c r="AS27" s="126" t="str">
        <f t="shared" si="7"/>
        <v>8h</v>
      </c>
      <c r="AT27" s="261">
        <v>0.375</v>
      </c>
      <c r="AU27" s="261">
        <v>0.75</v>
      </c>
      <c r="AV27" s="261">
        <v>0.5</v>
      </c>
      <c r="AW27" s="261">
        <v>0.54166666666666663</v>
      </c>
      <c r="AX27" s="258" t="str">
        <f t="shared" si="8"/>
        <v>8h</v>
      </c>
      <c r="AY27" s="345"/>
      <c r="AZ27" s="345"/>
      <c r="BA27" s="345"/>
      <c r="BC27" s="120"/>
      <c r="BD27" s="123">
        <f t="shared" si="39"/>
        <v>46130</v>
      </c>
      <c r="BE27" s="124" t="str">
        <f t="shared" si="9"/>
        <v>土</v>
      </c>
      <c r="BF27" s="124"/>
      <c r="BG27" s="125"/>
      <c r="BH27" s="125"/>
      <c r="BI27" s="109"/>
      <c r="BJ27" s="109"/>
      <c r="BK27" s="126" t="str">
        <f t="shared" si="10"/>
        <v/>
      </c>
      <c r="BL27" s="257"/>
      <c r="BM27" s="257"/>
      <c r="BN27" s="257"/>
      <c r="BO27" s="257"/>
      <c r="BP27" s="258" t="str">
        <f t="shared" si="11"/>
        <v/>
      </c>
      <c r="BQ27" s="345"/>
      <c r="BR27" s="345"/>
      <c r="BS27" s="345"/>
      <c r="BU27" s="120"/>
      <c r="BV27" s="123">
        <f t="shared" si="40"/>
        <v>46160</v>
      </c>
      <c r="BW27" s="124" t="str">
        <f t="shared" si="12"/>
        <v>月</v>
      </c>
      <c r="BX27" s="124" t="s">
        <v>22</v>
      </c>
      <c r="BY27" s="259">
        <v>0.375</v>
      </c>
      <c r="BZ27" s="259">
        <v>0.75</v>
      </c>
      <c r="CA27" s="260">
        <v>0.5</v>
      </c>
      <c r="CB27" s="260">
        <v>0.54166666666666663</v>
      </c>
      <c r="CC27" s="126" t="str">
        <f t="shared" si="13"/>
        <v>8h</v>
      </c>
      <c r="CD27" s="261">
        <v>0.375</v>
      </c>
      <c r="CE27" s="261">
        <v>0.75</v>
      </c>
      <c r="CF27" s="261">
        <v>0.5</v>
      </c>
      <c r="CG27" s="261">
        <v>0.54166666666666663</v>
      </c>
      <c r="CH27" s="258" t="str">
        <f t="shared" si="14"/>
        <v>8h</v>
      </c>
      <c r="CI27" s="345"/>
      <c r="CJ27" s="345"/>
      <c r="CK27" s="345"/>
      <c r="CM27" s="120"/>
      <c r="CN27" s="123">
        <f t="shared" si="41"/>
        <v>46191</v>
      </c>
      <c r="CO27" s="124" t="str">
        <f t="shared" si="15"/>
        <v>木</v>
      </c>
      <c r="CP27" s="124" t="s">
        <v>22</v>
      </c>
      <c r="CQ27" s="259">
        <v>0.375</v>
      </c>
      <c r="CR27" s="259">
        <v>0.75</v>
      </c>
      <c r="CS27" s="260">
        <v>0.5</v>
      </c>
      <c r="CT27" s="260">
        <v>0.54166666666666663</v>
      </c>
      <c r="CU27" s="126" t="str">
        <f t="shared" si="16"/>
        <v>8h</v>
      </c>
      <c r="CV27" s="261">
        <v>0.375</v>
      </c>
      <c r="CW27" s="261">
        <v>0.75</v>
      </c>
      <c r="CX27" s="261">
        <v>0.5</v>
      </c>
      <c r="CY27" s="261">
        <v>0.54166666666666663</v>
      </c>
      <c r="CZ27" s="258" t="str">
        <f t="shared" si="17"/>
        <v>8h</v>
      </c>
      <c r="DA27" s="345"/>
      <c r="DB27" s="345"/>
      <c r="DC27" s="345"/>
      <c r="DE27" s="120"/>
      <c r="DF27" s="123">
        <f t="shared" si="42"/>
        <v>46221</v>
      </c>
      <c r="DG27" s="124" t="str">
        <f t="shared" si="18"/>
        <v>土</v>
      </c>
      <c r="DH27" s="124"/>
      <c r="DI27" s="125"/>
      <c r="DJ27" s="125"/>
      <c r="DK27" s="109"/>
      <c r="DL27" s="109"/>
      <c r="DM27" s="126" t="str">
        <f t="shared" si="19"/>
        <v/>
      </c>
      <c r="DN27" s="257"/>
      <c r="DO27" s="257"/>
      <c r="DP27" s="257"/>
      <c r="DQ27" s="257"/>
      <c r="DR27" s="258" t="str">
        <f t="shared" si="20"/>
        <v/>
      </c>
      <c r="DS27" s="345"/>
      <c r="DT27" s="345"/>
      <c r="DU27" s="345"/>
      <c r="DW27" s="120"/>
      <c r="DX27" s="123">
        <f t="shared" si="43"/>
        <v>46252</v>
      </c>
      <c r="DY27" s="124" t="str">
        <f t="shared" si="21"/>
        <v>火</v>
      </c>
      <c r="DZ27" s="124" t="s">
        <v>22</v>
      </c>
      <c r="EA27" s="259">
        <v>0.375</v>
      </c>
      <c r="EB27" s="259">
        <v>0.75</v>
      </c>
      <c r="EC27" s="260">
        <v>0.5</v>
      </c>
      <c r="ED27" s="260">
        <v>0.54166666666666663</v>
      </c>
      <c r="EE27" s="126" t="str">
        <f t="shared" si="22"/>
        <v>8h</v>
      </c>
      <c r="EF27" s="261">
        <v>0.375</v>
      </c>
      <c r="EG27" s="261">
        <v>0.75</v>
      </c>
      <c r="EH27" s="261">
        <v>0.5</v>
      </c>
      <c r="EI27" s="261">
        <v>0.54166666666666663</v>
      </c>
      <c r="EJ27" s="258" t="str">
        <f t="shared" si="23"/>
        <v>8h</v>
      </c>
      <c r="EK27" s="345"/>
      <c r="EL27" s="345"/>
      <c r="EM27" s="345"/>
      <c r="EO27" s="120"/>
      <c r="EP27" s="123">
        <f t="shared" si="44"/>
        <v>46283</v>
      </c>
      <c r="EQ27" s="124" t="str">
        <f t="shared" si="24"/>
        <v>金</v>
      </c>
      <c r="ER27" s="124" t="s">
        <v>22</v>
      </c>
      <c r="ES27" s="259">
        <v>0.375</v>
      </c>
      <c r="ET27" s="259">
        <v>0.75</v>
      </c>
      <c r="EU27" s="260">
        <v>0.5</v>
      </c>
      <c r="EV27" s="260">
        <v>0.54166666666666663</v>
      </c>
      <c r="EW27" s="126" t="str">
        <f t="shared" si="25"/>
        <v>8h</v>
      </c>
      <c r="EX27" s="261">
        <v>0.375</v>
      </c>
      <c r="EY27" s="261">
        <v>0.75</v>
      </c>
      <c r="EZ27" s="261">
        <v>0.5</v>
      </c>
      <c r="FA27" s="261">
        <v>0.54166666666666663</v>
      </c>
      <c r="FB27" s="258" t="str">
        <f t="shared" si="26"/>
        <v>8h</v>
      </c>
      <c r="FC27" s="345"/>
      <c r="FD27" s="345"/>
      <c r="FE27" s="345"/>
      <c r="FG27" s="120"/>
      <c r="FH27" s="123">
        <f t="shared" si="45"/>
        <v>46313</v>
      </c>
      <c r="FI27" s="124" t="str">
        <f t="shared" si="27"/>
        <v>日</v>
      </c>
      <c r="FJ27" s="124"/>
      <c r="FK27" s="125"/>
      <c r="FL27" s="125"/>
      <c r="FM27" s="109"/>
      <c r="FN27" s="109"/>
      <c r="FO27" s="126" t="str">
        <f t="shared" si="28"/>
        <v/>
      </c>
      <c r="FP27" s="257"/>
      <c r="FQ27" s="257"/>
      <c r="FR27" s="257"/>
      <c r="FS27" s="257"/>
      <c r="FT27" s="258" t="str">
        <f t="shared" si="29"/>
        <v/>
      </c>
      <c r="FU27" s="345"/>
      <c r="FV27" s="345"/>
      <c r="FW27" s="345"/>
      <c r="FY27" s="120"/>
      <c r="FZ27" s="123">
        <f t="shared" si="46"/>
        <v>46344</v>
      </c>
      <c r="GA27" s="124" t="str">
        <f t="shared" si="30"/>
        <v>水</v>
      </c>
      <c r="GB27" s="124" t="s">
        <v>22</v>
      </c>
      <c r="GC27" s="259">
        <v>0.375</v>
      </c>
      <c r="GD27" s="259">
        <v>0.75</v>
      </c>
      <c r="GE27" s="260">
        <v>0.5</v>
      </c>
      <c r="GF27" s="260">
        <v>0.54166666666666663</v>
      </c>
      <c r="GG27" s="126" t="str">
        <f t="shared" si="31"/>
        <v>8h</v>
      </c>
      <c r="GH27" s="261">
        <v>0.375</v>
      </c>
      <c r="GI27" s="261">
        <v>0.75</v>
      </c>
      <c r="GJ27" s="261">
        <v>0.5</v>
      </c>
      <c r="GK27" s="261">
        <v>0.54166666666666663</v>
      </c>
      <c r="GL27" s="258" t="str">
        <f t="shared" si="32"/>
        <v>8h</v>
      </c>
      <c r="GM27" s="345"/>
      <c r="GN27" s="345"/>
      <c r="GO27" s="345"/>
      <c r="GQ27" s="120"/>
      <c r="GR27" s="123">
        <f t="shared" si="47"/>
        <v>46374</v>
      </c>
      <c r="GS27" s="124" t="str">
        <f t="shared" si="33"/>
        <v>金</v>
      </c>
      <c r="GT27" s="124" t="s">
        <v>22</v>
      </c>
      <c r="GU27" s="259">
        <v>0.375</v>
      </c>
      <c r="GV27" s="259">
        <v>0.75</v>
      </c>
      <c r="GW27" s="260">
        <v>0.5</v>
      </c>
      <c r="GX27" s="260">
        <v>0.54166666666666663</v>
      </c>
      <c r="GY27" s="126" t="str">
        <f t="shared" si="34"/>
        <v>8h</v>
      </c>
      <c r="GZ27" s="261">
        <v>0.375</v>
      </c>
      <c r="HA27" s="261">
        <v>0.75</v>
      </c>
      <c r="HB27" s="261">
        <v>0.5</v>
      </c>
      <c r="HC27" s="261">
        <v>0.54166666666666663</v>
      </c>
      <c r="HD27" s="258" t="str">
        <f t="shared" si="35"/>
        <v>8h</v>
      </c>
      <c r="HE27" s="345"/>
      <c r="HF27" s="345"/>
      <c r="HG27" s="345"/>
    </row>
    <row r="28" spans="1:215" x14ac:dyDescent="0.45">
      <c r="A28" s="120"/>
      <c r="B28" s="123">
        <f t="shared" si="36"/>
        <v>46041</v>
      </c>
      <c r="C28" s="124" t="str">
        <f t="shared" si="0"/>
        <v>月</v>
      </c>
      <c r="D28" s="124" t="s">
        <v>22</v>
      </c>
      <c r="E28" s="259">
        <v>0.375</v>
      </c>
      <c r="F28" s="259">
        <v>0.75</v>
      </c>
      <c r="G28" s="260">
        <v>0.5</v>
      </c>
      <c r="H28" s="260">
        <v>0.54166666666666663</v>
      </c>
      <c r="I28" s="126" t="str">
        <f t="shared" si="1"/>
        <v>8h</v>
      </c>
      <c r="J28" s="261">
        <v>0.375</v>
      </c>
      <c r="K28" s="261">
        <v>0.75</v>
      </c>
      <c r="L28" s="261">
        <v>0.5</v>
      </c>
      <c r="M28" s="261">
        <v>0.54166666666666663</v>
      </c>
      <c r="N28" s="258" t="str">
        <f t="shared" si="2"/>
        <v>8h</v>
      </c>
      <c r="O28" s="345"/>
      <c r="P28" s="345"/>
      <c r="Q28" s="345"/>
      <c r="S28" s="120"/>
      <c r="T28" s="123">
        <f t="shared" si="37"/>
        <v>46072</v>
      </c>
      <c r="U28" s="124" t="str">
        <f t="shared" si="3"/>
        <v>木</v>
      </c>
      <c r="V28" s="124" t="s">
        <v>22</v>
      </c>
      <c r="W28" s="259">
        <v>0.375</v>
      </c>
      <c r="X28" s="259">
        <v>0.75</v>
      </c>
      <c r="Y28" s="260">
        <v>0.5</v>
      </c>
      <c r="Z28" s="260">
        <v>0.54166666666666663</v>
      </c>
      <c r="AA28" s="126" t="str">
        <f t="shared" si="4"/>
        <v>8h</v>
      </c>
      <c r="AB28" s="261">
        <v>0.375</v>
      </c>
      <c r="AC28" s="261">
        <v>0.75</v>
      </c>
      <c r="AD28" s="261">
        <v>0.5</v>
      </c>
      <c r="AE28" s="261">
        <v>0.54166666666666663</v>
      </c>
      <c r="AF28" s="258" t="str">
        <f t="shared" si="5"/>
        <v>8h</v>
      </c>
      <c r="AG28" s="345"/>
      <c r="AH28" s="345"/>
      <c r="AI28" s="345"/>
      <c r="AK28" s="120"/>
      <c r="AL28" s="123">
        <f t="shared" si="38"/>
        <v>46100</v>
      </c>
      <c r="AM28" s="124" t="str">
        <f t="shared" si="6"/>
        <v>木</v>
      </c>
      <c r="AN28" s="124" t="s">
        <v>22</v>
      </c>
      <c r="AO28" s="259">
        <v>0.375</v>
      </c>
      <c r="AP28" s="259">
        <v>0.75</v>
      </c>
      <c r="AQ28" s="260">
        <v>0.5</v>
      </c>
      <c r="AR28" s="260">
        <v>0.54166666666666663</v>
      </c>
      <c r="AS28" s="126" t="str">
        <f t="shared" si="7"/>
        <v>8h</v>
      </c>
      <c r="AT28" s="261">
        <v>0.375</v>
      </c>
      <c r="AU28" s="261">
        <v>0.75</v>
      </c>
      <c r="AV28" s="261">
        <v>0.5</v>
      </c>
      <c r="AW28" s="261">
        <v>0.54166666666666663</v>
      </c>
      <c r="AX28" s="258" t="str">
        <f t="shared" si="8"/>
        <v>8h</v>
      </c>
      <c r="AY28" s="345"/>
      <c r="AZ28" s="345"/>
      <c r="BA28" s="345"/>
      <c r="BC28" s="120"/>
      <c r="BD28" s="123">
        <f t="shared" si="39"/>
        <v>46131</v>
      </c>
      <c r="BE28" s="124" t="str">
        <f t="shared" si="9"/>
        <v>日</v>
      </c>
      <c r="BF28" s="124"/>
      <c r="BG28" s="125"/>
      <c r="BH28" s="125"/>
      <c r="BI28" s="109"/>
      <c r="BJ28" s="109"/>
      <c r="BK28" s="126" t="str">
        <f t="shared" si="10"/>
        <v/>
      </c>
      <c r="BL28" s="257"/>
      <c r="BM28" s="257"/>
      <c r="BN28" s="257"/>
      <c r="BO28" s="257"/>
      <c r="BP28" s="258" t="str">
        <f t="shared" si="11"/>
        <v/>
      </c>
      <c r="BQ28" s="345"/>
      <c r="BR28" s="345"/>
      <c r="BS28" s="345"/>
      <c r="BU28" s="120"/>
      <c r="BV28" s="123">
        <f t="shared" si="40"/>
        <v>46161</v>
      </c>
      <c r="BW28" s="124" t="str">
        <f t="shared" si="12"/>
        <v>火</v>
      </c>
      <c r="BX28" s="124" t="s">
        <v>22</v>
      </c>
      <c r="BY28" s="259">
        <v>0.375</v>
      </c>
      <c r="BZ28" s="259">
        <v>0.75</v>
      </c>
      <c r="CA28" s="260">
        <v>0.5</v>
      </c>
      <c r="CB28" s="260">
        <v>0.54166666666666663</v>
      </c>
      <c r="CC28" s="126" t="str">
        <f t="shared" si="13"/>
        <v>8h</v>
      </c>
      <c r="CD28" s="261">
        <v>0.375</v>
      </c>
      <c r="CE28" s="261">
        <v>0.75</v>
      </c>
      <c r="CF28" s="261">
        <v>0.5</v>
      </c>
      <c r="CG28" s="261">
        <v>0.54166666666666663</v>
      </c>
      <c r="CH28" s="258" t="str">
        <f t="shared" si="14"/>
        <v>8h</v>
      </c>
      <c r="CI28" s="345"/>
      <c r="CJ28" s="345"/>
      <c r="CK28" s="345"/>
      <c r="CM28" s="120"/>
      <c r="CN28" s="123">
        <f t="shared" si="41"/>
        <v>46192</v>
      </c>
      <c r="CO28" s="124" t="str">
        <f t="shared" si="15"/>
        <v>金</v>
      </c>
      <c r="CP28" s="124" t="s">
        <v>22</v>
      </c>
      <c r="CQ28" s="259">
        <v>0.375</v>
      </c>
      <c r="CR28" s="259">
        <v>0.75</v>
      </c>
      <c r="CS28" s="260">
        <v>0.5</v>
      </c>
      <c r="CT28" s="260">
        <v>0.54166666666666663</v>
      </c>
      <c r="CU28" s="126" t="str">
        <f t="shared" si="16"/>
        <v>8h</v>
      </c>
      <c r="CV28" s="261">
        <v>0.375</v>
      </c>
      <c r="CW28" s="261">
        <v>0.75</v>
      </c>
      <c r="CX28" s="261">
        <v>0.5</v>
      </c>
      <c r="CY28" s="261">
        <v>0.54166666666666663</v>
      </c>
      <c r="CZ28" s="258" t="str">
        <f t="shared" si="17"/>
        <v>8h</v>
      </c>
      <c r="DA28" s="345"/>
      <c r="DB28" s="345"/>
      <c r="DC28" s="345"/>
      <c r="DE28" s="120"/>
      <c r="DF28" s="123">
        <f t="shared" si="42"/>
        <v>46222</v>
      </c>
      <c r="DG28" s="124" t="str">
        <f t="shared" si="18"/>
        <v>日</v>
      </c>
      <c r="DH28" s="124"/>
      <c r="DI28" s="125"/>
      <c r="DJ28" s="125"/>
      <c r="DK28" s="109"/>
      <c r="DL28" s="109"/>
      <c r="DM28" s="126" t="str">
        <f t="shared" si="19"/>
        <v/>
      </c>
      <c r="DN28" s="257"/>
      <c r="DO28" s="257"/>
      <c r="DP28" s="257"/>
      <c r="DQ28" s="257"/>
      <c r="DR28" s="258" t="str">
        <f t="shared" si="20"/>
        <v/>
      </c>
      <c r="DS28" s="345"/>
      <c r="DT28" s="345"/>
      <c r="DU28" s="345"/>
      <c r="DW28" s="120"/>
      <c r="DX28" s="123">
        <f t="shared" si="43"/>
        <v>46253</v>
      </c>
      <c r="DY28" s="124" t="str">
        <f t="shared" si="21"/>
        <v>水</v>
      </c>
      <c r="DZ28" s="124" t="s">
        <v>22</v>
      </c>
      <c r="EA28" s="259">
        <v>0.375</v>
      </c>
      <c r="EB28" s="259">
        <v>0.75</v>
      </c>
      <c r="EC28" s="260">
        <v>0.5</v>
      </c>
      <c r="ED28" s="260">
        <v>0.54166666666666663</v>
      </c>
      <c r="EE28" s="126" t="str">
        <f t="shared" si="22"/>
        <v>8h</v>
      </c>
      <c r="EF28" s="261">
        <v>0.375</v>
      </c>
      <c r="EG28" s="261">
        <v>0.75</v>
      </c>
      <c r="EH28" s="261">
        <v>0.5</v>
      </c>
      <c r="EI28" s="261">
        <v>0.54166666666666663</v>
      </c>
      <c r="EJ28" s="258" t="str">
        <f t="shared" si="23"/>
        <v>8h</v>
      </c>
      <c r="EK28" s="345"/>
      <c r="EL28" s="345"/>
      <c r="EM28" s="345"/>
      <c r="EO28" s="120"/>
      <c r="EP28" s="123">
        <f t="shared" si="44"/>
        <v>46284</v>
      </c>
      <c r="EQ28" s="124" t="str">
        <f t="shared" si="24"/>
        <v>土</v>
      </c>
      <c r="ER28" s="124"/>
      <c r="ES28" s="125"/>
      <c r="ET28" s="125"/>
      <c r="EU28" s="109"/>
      <c r="EV28" s="109"/>
      <c r="EW28" s="126" t="str">
        <f t="shared" si="25"/>
        <v/>
      </c>
      <c r="EX28" s="257"/>
      <c r="EY28" s="257"/>
      <c r="EZ28" s="257"/>
      <c r="FA28" s="257"/>
      <c r="FB28" s="258" t="str">
        <f t="shared" si="26"/>
        <v/>
      </c>
      <c r="FC28" s="345"/>
      <c r="FD28" s="345"/>
      <c r="FE28" s="345"/>
      <c r="FG28" s="120"/>
      <c r="FH28" s="123">
        <f t="shared" si="45"/>
        <v>46314</v>
      </c>
      <c r="FI28" s="124" t="str">
        <f t="shared" si="27"/>
        <v>月</v>
      </c>
      <c r="FJ28" s="124" t="s">
        <v>22</v>
      </c>
      <c r="FK28" s="259">
        <v>0.375</v>
      </c>
      <c r="FL28" s="259">
        <v>0.75</v>
      </c>
      <c r="FM28" s="260">
        <v>0.5</v>
      </c>
      <c r="FN28" s="260">
        <v>0.54166666666666663</v>
      </c>
      <c r="FO28" s="126" t="str">
        <f t="shared" si="28"/>
        <v>8h</v>
      </c>
      <c r="FP28" s="261">
        <v>0.375</v>
      </c>
      <c r="FQ28" s="261">
        <v>0.75</v>
      </c>
      <c r="FR28" s="261">
        <v>0.5</v>
      </c>
      <c r="FS28" s="261">
        <v>0.54166666666666663</v>
      </c>
      <c r="FT28" s="258" t="str">
        <f t="shared" si="29"/>
        <v>8h</v>
      </c>
      <c r="FU28" s="345"/>
      <c r="FV28" s="345"/>
      <c r="FW28" s="345"/>
      <c r="FY28" s="120"/>
      <c r="FZ28" s="123">
        <f t="shared" si="46"/>
        <v>46345</v>
      </c>
      <c r="GA28" s="124" t="str">
        <f t="shared" si="30"/>
        <v>木</v>
      </c>
      <c r="GB28" s="124" t="s">
        <v>22</v>
      </c>
      <c r="GC28" s="259">
        <v>0.375</v>
      </c>
      <c r="GD28" s="259">
        <v>0.75</v>
      </c>
      <c r="GE28" s="260">
        <v>0.5</v>
      </c>
      <c r="GF28" s="260">
        <v>0.54166666666666663</v>
      </c>
      <c r="GG28" s="126" t="str">
        <f t="shared" si="31"/>
        <v>8h</v>
      </c>
      <c r="GH28" s="261">
        <v>0.375</v>
      </c>
      <c r="GI28" s="261">
        <v>0.75</v>
      </c>
      <c r="GJ28" s="261">
        <v>0.5</v>
      </c>
      <c r="GK28" s="261">
        <v>0.54166666666666663</v>
      </c>
      <c r="GL28" s="258" t="str">
        <f t="shared" si="32"/>
        <v>8h</v>
      </c>
      <c r="GM28" s="345"/>
      <c r="GN28" s="345"/>
      <c r="GO28" s="345"/>
      <c r="GQ28" s="120"/>
      <c r="GR28" s="123">
        <f t="shared" si="47"/>
        <v>46375</v>
      </c>
      <c r="GS28" s="124" t="str">
        <f t="shared" si="33"/>
        <v>土</v>
      </c>
      <c r="GT28" s="124"/>
      <c r="GU28" s="125"/>
      <c r="GV28" s="125"/>
      <c r="GW28" s="109"/>
      <c r="GX28" s="109"/>
      <c r="GY28" s="126" t="str">
        <f t="shared" si="34"/>
        <v/>
      </c>
      <c r="GZ28" s="257"/>
      <c r="HA28" s="257"/>
      <c r="HB28" s="257"/>
      <c r="HC28" s="257"/>
      <c r="HD28" s="258" t="str">
        <f t="shared" si="35"/>
        <v/>
      </c>
      <c r="HE28" s="345"/>
      <c r="HF28" s="345"/>
      <c r="HG28" s="345"/>
    </row>
    <row r="29" spans="1:215" x14ac:dyDescent="0.45">
      <c r="A29" s="120"/>
      <c r="B29" s="123">
        <f t="shared" si="36"/>
        <v>46042</v>
      </c>
      <c r="C29" s="124" t="str">
        <f t="shared" si="0"/>
        <v>火</v>
      </c>
      <c r="D29" s="124" t="s">
        <v>22</v>
      </c>
      <c r="E29" s="259">
        <v>0.375</v>
      </c>
      <c r="F29" s="259">
        <v>0.75</v>
      </c>
      <c r="G29" s="260">
        <v>0.5</v>
      </c>
      <c r="H29" s="260">
        <v>0.54166666666666663</v>
      </c>
      <c r="I29" s="126" t="str">
        <f t="shared" si="1"/>
        <v>8h</v>
      </c>
      <c r="J29" s="261">
        <v>0.375</v>
      </c>
      <c r="K29" s="261">
        <v>0.75</v>
      </c>
      <c r="L29" s="261">
        <v>0.5</v>
      </c>
      <c r="M29" s="261">
        <v>0.54166666666666663</v>
      </c>
      <c r="N29" s="258" t="str">
        <f t="shared" si="2"/>
        <v>8h</v>
      </c>
      <c r="O29" s="345"/>
      <c r="P29" s="345"/>
      <c r="Q29" s="345"/>
      <c r="S29" s="120"/>
      <c r="T29" s="123">
        <f t="shared" si="37"/>
        <v>46073</v>
      </c>
      <c r="U29" s="124" t="str">
        <f t="shared" si="3"/>
        <v>金</v>
      </c>
      <c r="V29" s="124" t="s">
        <v>22</v>
      </c>
      <c r="W29" s="259">
        <v>0.375</v>
      </c>
      <c r="X29" s="259">
        <v>0.75</v>
      </c>
      <c r="Y29" s="260">
        <v>0.5</v>
      </c>
      <c r="Z29" s="260">
        <v>0.54166666666666663</v>
      </c>
      <c r="AA29" s="126" t="str">
        <f t="shared" si="4"/>
        <v>8h</v>
      </c>
      <c r="AB29" s="261">
        <v>0.375</v>
      </c>
      <c r="AC29" s="261">
        <v>0.75</v>
      </c>
      <c r="AD29" s="261">
        <v>0.5</v>
      </c>
      <c r="AE29" s="261">
        <v>0.54166666666666663</v>
      </c>
      <c r="AF29" s="258" t="str">
        <f t="shared" si="5"/>
        <v>8h</v>
      </c>
      <c r="AG29" s="345"/>
      <c r="AH29" s="345"/>
      <c r="AI29" s="345"/>
      <c r="AK29" s="120"/>
      <c r="AL29" s="123">
        <f t="shared" si="38"/>
        <v>46101</v>
      </c>
      <c r="AM29" s="124" t="str">
        <f t="shared" si="6"/>
        <v>金</v>
      </c>
      <c r="AN29" s="124"/>
      <c r="AO29" s="125"/>
      <c r="AP29" s="125"/>
      <c r="AQ29" s="109"/>
      <c r="AR29" s="109"/>
      <c r="AS29" s="126" t="str">
        <f t="shared" si="7"/>
        <v/>
      </c>
      <c r="AT29" s="257"/>
      <c r="AU29" s="257"/>
      <c r="AV29" s="257"/>
      <c r="AW29" s="257"/>
      <c r="AX29" s="258" t="str">
        <f t="shared" si="8"/>
        <v/>
      </c>
      <c r="AY29" s="345"/>
      <c r="AZ29" s="345"/>
      <c r="BA29" s="345"/>
      <c r="BC29" s="120"/>
      <c r="BD29" s="123">
        <f t="shared" si="39"/>
        <v>46132</v>
      </c>
      <c r="BE29" s="124" t="str">
        <f t="shared" si="9"/>
        <v>月</v>
      </c>
      <c r="BF29" s="124" t="s">
        <v>22</v>
      </c>
      <c r="BG29" s="259">
        <v>0.375</v>
      </c>
      <c r="BH29" s="259">
        <v>0.75</v>
      </c>
      <c r="BI29" s="260">
        <v>0.5</v>
      </c>
      <c r="BJ29" s="260">
        <v>0.54166666666666663</v>
      </c>
      <c r="BK29" s="126" t="str">
        <f t="shared" si="10"/>
        <v>8h</v>
      </c>
      <c r="BL29" s="261">
        <v>0.375</v>
      </c>
      <c r="BM29" s="261">
        <v>0.75</v>
      </c>
      <c r="BN29" s="261">
        <v>0.5</v>
      </c>
      <c r="BO29" s="261">
        <v>0.54166666666666663</v>
      </c>
      <c r="BP29" s="258" t="str">
        <f t="shared" si="11"/>
        <v>8h</v>
      </c>
      <c r="BQ29" s="345"/>
      <c r="BR29" s="345"/>
      <c r="BS29" s="345"/>
      <c r="BU29" s="120"/>
      <c r="BV29" s="123">
        <f t="shared" si="40"/>
        <v>46162</v>
      </c>
      <c r="BW29" s="124" t="str">
        <f t="shared" si="12"/>
        <v>水</v>
      </c>
      <c r="BX29" s="124" t="s">
        <v>22</v>
      </c>
      <c r="BY29" s="259">
        <v>0.375</v>
      </c>
      <c r="BZ29" s="259">
        <v>0.75</v>
      </c>
      <c r="CA29" s="260">
        <v>0.5</v>
      </c>
      <c r="CB29" s="260">
        <v>0.54166666666666663</v>
      </c>
      <c r="CC29" s="126" t="str">
        <f t="shared" si="13"/>
        <v>8h</v>
      </c>
      <c r="CD29" s="261">
        <v>0.375</v>
      </c>
      <c r="CE29" s="261">
        <v>0.75</v>
      </c>
      <c r="CF29" s="261">
        <v>0.5</v>
      </c>
      <c r="CG29" s="261">
        <v>0.54166666666666663</v>
      </c>
      <c r="CH29" s="258" t="str">
        <f t="shared" si="14"/>
        <v>8h</v>
      </c>
      <c r="CI29" s="345"/>
      <c r="CJ29" s="345"/>
      <c r="CK29" s="345"/>
      <c r="CM29" s="120"/>
      <c r="CN29" s="123">
        <f t="shared" si="41"/>
        <v>46193</v>
      </c>
      <c r="CO29" s="124" t="str">
        <f t="shared" si="15"/>
        <v>土</v>
      </c>
      <c r="CP29" s="124"/>
      <c r="CQ29" s="125"/>
      <c r="CR29" s="125"/>
      <c r="CS29" s="109"/>
      <c r="CT29" s="109"/>
      <c r="CU29" s="126" t="str">
        <f t="shared" si="16"/>
        <v/>
      </c>
      <c r="CV29" s="257"/>
      <c r="CW29" s="257"/>
      <c r="CX29" s="257"/>
      <c r="CY29" s="257"/>
      <c r="CZ29" s="258" t="str">
        <f t="shared" si="17"/>
        <v/>
      </c>
      <c r="DA29" s="345"/>
      <c r="DB29" s="345"/>
      <c r="DC29" s="345"/>
      <c r="DE29" s="120"/>
      <c r="DF29" s="123">
        <f t="shared" si="42"/>
        <v>46223</v>
      </c>
      <c r="DG29" s="124" t="str">
        <f t="shared" si="18"/>
        <v>月</v>
      </c>
      <c r="DH29" s="124"/>
      <c r="DI29" s="125"/>
      <c r="DJ29" s="125"/>
      <c r="DK29" s="109"/>
      <c r="DL29" s="109"/>
      <c r="DM29" s="126" t="str">
        <f t="shared" si="19"/>
        <v/>
      </c>
      <c r="DN29" s="257"/>
      <c r="DO29" s="257"/>
      <c r="DP29" s="257"/>
      <c r="DQ29" s="257"/>
      <c r="DR29" s="258" t="str">
        <f t="shared" si="20"/>
        <v/>
      </c>
      <c r="DS29" s="345"/>
      <c r="DT29" s="345"/>
      <c r="DU29" s="345"/>
      <c r="DW29" s="120"/>
      <c r="DX29" s="123">
        <f t="shared" si="43"/>
        <v>46254</v>
      </c>
      <c r="DY29" s="124" t="str">
        <f t="shared" si="21"/>
        <v>木</v>
      </c>
      <c r="DZ29" s="124" t="s">
        <v>22</v>
      </c>
      <c r="EA29" s="259">
        <v>0.375</v>
      </c>
      <c r="EB29" s="259">
        <v>0.75</v>
      </c>
      <c r="EC29" s="260">
        <v>0.5</v>
      </c>
      <c r="ED29" s="260">
        <v>0.54166666666666663</v>
      </c>
      <c r="EE29" s="126" t="str">
        <f t="shared" si="22"/>
        <v>8h</v>
      </c>
      <c r="EF29" s="261">
        <v>0.375</v>
      </c>
      <c r="EG29" s="261">
        <v>0.75</v>
      </c>
      <c r="EH29" s="261">
        <v>0.5</v>
      </c>
      <c r="EI29" s="261">
        <v>0.54166666666666663</v>
      </c>
      <c r="EJ29" s="258" t="str">
        <f t="shared" si="23"/>
        <v>8h</v>
      </c>
      <c r="EK29" s="345"/>
      <c r="EL29" s="345"/>
      <c r="EM29" s="345"/>
      <c r="EO29" s="120"/>
      <c r="EP29" s="123">
        <f t="shared" si="44"/>
        <v>46285</v>
      </c>
      <c r="EQ29" s="124" t="str">
        <f t="shared" si="24"/>
        <v>日</v>
      </c>
      <c r="ER29" s="124"/>
      <c r="ES29" s="125"/>
      <c r="ET29" s="125"/>
      <c r="EU29" s="109"/>
      <c r="EV29" s="109"/>
      <c r="EW29" s="126" t="str">
        <f t="shared" si="25"/>
        <v/>
      </c>
      <c r="EX29" s="257"/>
      <c r="EY29" s="257"/>
      <c r="EZ29" s="257"/>
      <c r="FA29" s="257"/>
      <c r="FB29" s="258" t="str">
        <f t="shared" si="26"/>
        <v/>
      </c>
      <c r="FC29" s="345"/>
      <c r="FD29" s="345"/>
      <c r="FE29" s="345"/>
      <c r="FG29" s="120"/>
      <c r="FH29" s="123">
        <f t="shared" si="45"/>
        <v>46315</v>
      </c>
      <c r="FI29" s="124" t="str">
        <f t="shared" si="27"/>
        <v>火</v>
      </c>
      <c r="FJ29" s="124" t="s">
        <v>22</v>
      </c>
      <c r="FK29" s="259">
        <v>0.375</v>
      </c>
      <c r="FL29" s="259">
        <v>0.75</v>
      </c>
      <c r="FM29" s="260">
        <v>0.5</v>
      </c>
      <c r="FN29" s="260">
        <v>0.54166666666666663</v>
      </c>
      <c r="FO29" s="126" t="str">
        <f t="shared" si="28"/>
        <v>8h</v>
      </c>
      <c r="FP29" s="261">
        <v>0.375</v>
      </c>
      <c r="FQ29" s="261">
        <v>0.75</v>
      </c>
      <c r="FR29" s="261">
        <v>0.5</v>
      </c>
      <c r="FS29" s="261">
        <v>0.54166666666666663</v>
      </c>
      <c r="FT29" s="258" t="str">
        <f t="shared" si="29"/>
        <v>8h</v>
      </c>
      <c r="FU29" s="345"/>
      <c r="FV29" s="345"/>
      <c r="FW29" s="345"/>
      <c r="FY29" s="120"/>
      <c r="FZ29" s="123">
        <f t="shared" si="46"/>
        <v>46346</v>
      </c>
      <c r="GA29" s="124" t="str">
        <f t="shared" si="30"/>
        <v>金</v>
      </c>
      <c r="GB29" s="124" t="s">
        <v>22</v>
      </c>
      <c r="GC29" s="259">
        <v>0.375</v>
      </c>
      <c r="GD29" s="259">
        <v>0.75</v>
      </c>
      <c r="GE29" s="260">
        <v>0.5</v>
      </c>
      <c r="GF29" s="260">
        <v>0.54166666666666663</v>
      </c>
      <c r="GG29" s="126" t="str">
        <f t="shared" si="31"/>
        <v>8h</v>
      </c>
      <c r="GH29" s="261">
        <v>0.375</v>
      </c>
      <c r="GI29" s="261">
        <v>0.75</v>
      </c>
      <c r="GJ29" s="261">
        <v>0.5</v>
      </c>
      <c r="GK29" s="261">
        <v>0.54166666666666663</v>
      </c>
      <c r="GL29" s="258" t="str">
        <f t="shared" si="32"/>
        <v>8h</v>
      </c>
      <c r="GM29" s="345"/>
      <c r="GN29" s="345"/>
      <c r="GO29" s="345"/>
      <c r="GQ29" s="120"/>
      <c r="GR29" s="123">
        <f t="shared" si="47"/>
        <v>46376</v>
      </c>
      <c r="GS29" s="124" t="str">
        <f t="shared" si="33"/>
        <v>日</v>
      </c>
      <c r="GT29" s="124"/>
      <c r="GU29" s="125"/>
      <c r="GV29" s="125"/>
      <c r="GW29" s="109"/>
      <c r="GX29" s="109"/>
      <c r="GY29" s="126" t="str">
        <f t="shared" si="34"/>
        <v/>
      </c>
      <c r="GZ29" s="257"/>
      <c r="HA29" s="257"/>
      <c r="HB29" s="257"/>
      <c r="HC29" s="257"/>
      <c r="HD29" s="258" t="str">
        <f t="shared" si="35"/>
        <v/>
      </c>
      <c r="HE29" s="345"/>
      <c r="HF29" s="345"/>
      <c r="HG29" s="345"/>
    </row>
    <row r="30" spans="1:215" x14ac:dyDescent="0.45">
      <c r="A30" s="120"/>
      <c r="B30" s="123">
        <f t="shared" si="36"/>
        <v>46043</v>
      </c>
      <c r="C30" s="124" t="str">
        <f t="shared" si="0"/>
        <v>水</v>
      </c>
      <c r="D30" s="124" t="s">
        <v>22</v>
      </c>
      <c r="E30" s="259">
        <v>0.375</v>
      </c>
      <c r="F30" s="259">
        <v>0.75</v>
      </c>
      <c r="G30" s="260">
        <v>0.5</v>
      </c>
      <c r="H30" s="260">
        <v>0.54166666666666663</v>
      </c>
      <c r="I30" s="126" t="str">
        <f t="shared" si="1"/>
        <v>8h</v>
      </c>
      <c r="J30" s="261">
        <v>0.375</v>
      </c>
      <c r="K30" s="261">
        <v>0.75</v>
      </c>
      <c r="L30" s="261">
        <v>0.5</v>
      </c>
      <c r="M30" s="261">
        <v>0.54166666666666663</v>
      </c>
      <c r="N30" s="258" t="str">
        <f t="shared" si="2"/>
        <v>8h</v>
      </c>
      <c r="O30" s="345"/>
      <c r="P30" s="345"/>
      <c r="Q30" s="345"/>
      <c r="S30" s="120"/>
      <c r="T30" s="123">
        <f t="shared" si="37"/>
        <v>46074</v>
      </c>
      <c r="U30" s="124" t="str">
        <f t="shared" si="3"/>
        <v>土</v>
      </c>
      <c r="V30" s="124"/>
      <c r="W30" s="125"/>
      <c r="X30" s="125"/>
      <c r="Y30" s="109"/>
      <c r="Z30" s="109"/>
      <c r="AA30" s="126" t="str">
        <f t="shared" si="4"/>
        <v/>
      </c>
      <c r="AB30" s="257"/>
      <c r="AC30" s="257"/>
      <c r="AD30" s="257"/>
      <c r="AE30" s="257"/>
      <c r="AF30" s="258" t="str">
        <f t="shared" si="5"/>
        <v/>
      </c>
      <c r="AG30" s="345"/>
      <c r="AH30" s="345"/>
      <c r="AI30" s="345"/>
      <c r="AK30" s="120"/>
      <c r="AL30" s="123">
        <f t="shared" si="38"/>
        <v>46102</v>
      </c>
      <c r="AM30" s="124" t="str">
        <f t="shared" si="6"/>
        <v>土</v>
      </c>
      <c r="AN30" s="124"/>
      <c r="AO30" s="125"/>
      <c r="AP30" s="125"/>
      <c r="AQ30" s="109"/>
      <c r="AR30" s="109"/>
      <c r="AS30" s="126" t="str">
        <f t="shared" si="7"/>
        <v/>
      </c>
      <c r="AT30" s="257"/>
      <c r="AU30" s="257"/>
      <c r="AV30" s="257"/>
      <c r="AW30" s="257"/>
      <c r="AX30" s="258" t="str">
        <f t="shared" si="8"/>
        <v/>
      </c>
      <c r="AY30" s="345"/>
      <c r="AZ30" s="345"/>
      <c r="BA30" s="345"/>
      <c r="BC30" s="120"/>
      <c r="BD30" s="123">
        <f t="shared" si="39"/>
        <v>46133</v>
      </c>
      <c r="BE30" s="124" t="str">
        <f t="shared" si="9"/>
        <v>火</v>
      </c>
      <c r="BF30" s="124" t="s">
        <v>22</v>
      </c>
      <c r="BG30" s="259">
        <v>0.375</v>
      </c>
      <c r="BH30" s="259">
        <v>0.75</v>
      </c>
      <c r="BI30" s="260">
        <v>0.5</v>
      </c>
      <c r="BJ30" s="260">
        <v>0.54166666666666663</v>
      </c>
      <c r="BK30" s="126" t="str">
        <f t="shared" si="10"/>
        <v>8h</v>
      </c>
      <c r="BL30" s="261">
        <v>0.375</v>
      </c>
      <c r="BM30" s="261">
        <v>0.75</v>
      </c>
      <c r="BN30" s="261">
        <v>0.5</v>
      </c>
      <c r="BO30" s="261">
        <v>0.54166666666666663</v>
      </c>
      <c r="BP30" s="258" t="str">
        <f t="shared" si="11"/>
        <v>8h</v>
      </c>
      <c r="BQ30" s="345"/>
      <c r="BR30" s="345"/>
      <c r="BS30" s="345"/>
      <c r="BU30" s="120"/>
      <c r="BV30" s="123">
        <f t="shared" si="40"/>
        <v>46163</v>
      </c>
      <c r="BW30" s="124" t="str">
        <f t="shared" si="12"/>
        <v>木</v>
      </c>
      <c r="BX30" s="124" t="s">
        <v>22</v>
      </c>
      <c r="BY30" s="259">
        <v>0.375</v>
      </c>
      <c r="BZ30" s="259">
        <v>0.75</v>
      </c>
      <c r="CA30" s="260">
        <v>0.5</v>
      </c>
      <c r="CB30" s="260">
        <v>0.54166666666666663</v>
      </c>
      <c r="CC30" s="126" t="str">
        <f t="shared" si="13"/>
        <v>8h</v>
      </c>
      <c r="CD30" s="261">
        <v>0.375</v>
      </c>
      <c r="CE30" s="261">
        <v>0.75</v>
      </c>
      <c r="CF30" s="261">
        <v>0.5</v>
      </c>
      <c r="CG30" s="261">
        <v>0.54166666666666663</v>
      </c>
      <c r="CH30" s="258" t="str">
        <f t="shared" si="14"/>
        <v>8h</v>
      </c>
      <c r="CI30" s="345"/>
      <c r="CJ30" s="345"/>
      <c r="CK30" s="345"/>
      <c r="CM30" s="120"/>
      <c r="CN30" s="123">
        <f t="shared" si="41"/>
        <v>46194</v>
      </c>
      <c r="CO30" s="124" t="str">
        <f t="shared" si="15"/>
        <v>日</v>
      </c>
      <c r="CP30" s="124"/>
      <c r="CQ30" s="125"/>
      <c r="CR30" s="125"/>
      <c r="CS30" s="109"/>
      <c r="CT30" s="109"/>
      <c r="CU30" s="126" t="str">
        <f t="shared" si="16"/>
        <v/>
      </c>
      <c r="CV30" s="257"/>
      <c r="CW30" s="257"/>
      <c r="CX30" s="257"/>
      <c r="CY30" s="257"/>
      <c r="CZ30" s="258" t="str">
        <f t="shared" si="17"/>
        <v/>
      </c>
      <c r="DA30" s="345"/>
      <c r="DB30" s="345"/>
      <c r="DC30" s="345"/>
      <c r="DE30" s="120"/>
      <c r="DF30" s="123">
        <f t="shared" si="42"/>
        <v>46224</v>
      </c>
      <c r="DG30" s="124" t="str">
        <f t="shared" si="18"/>
        <v>火</v>
      </c>
      <c r="DH30" s="124" t="s">
        <v>22</v>
      </c>
      <c r="DI30" s="259">
        <v>0.375</v>
      </c>
      <c r="DJ30" s="259">
        <v>0.75</v>
      </c>
      <c r="DK30" s="260">
        <v>0.5</v>
      </c>
      <c r="DL30" s="260">
        <v>0.54166666666666663</v>
      </c>
      <c r="DM30" s="126" t="str">
        <f t="shared" si="19"/>
        <v>8h</v>
      </c>
      <c r="DN30" s="261">
        <v>0.375</v>
      </c>
      <c r="DO30" s="261">
        <v>0.75</v>
      </c>
      <c r="DP30" s="261">
        <v>0.5</v>
      </c>
      <c r="DQ30" s="261">
        <v>0.54166666666666663</v>
      </c>
      <c r="DR30" s="258" t="str">
        <f t="shared" si="20"/>
        <v>8h</v>
      </c>
      <c r="DS30" s="345"/>
      <c r="DT30" s="345"/>
      <c r="DU30" s="345"/>
      <c r="DW30" s="120"/>
      <c r="DX30" s="123">
        <f t="shared" si="43"/>
        <v>46255</v>
      </c>
      <c r="DY30" s="124" t="str">
        <f t="shared" si="21"/>
        <v>金</v>
      </c>
      <c r="DZ30" s="124" t="s">
        <v>22</v>
      </c>
      <c r="EA30" s="259">
        <v>0.375</v>
      </c>
      <c r="EB30" s="259">
        <v>0.75</v>
      </c>
      <c r="EC30" s="260">
        <v>0.5</v>
      </c>
      <c r="ED30" s="260">
        <v>0.54166666666666663</v>
      </c>
      <c r="EE30" s="126" t="str">
        <f t="shared" si="22"/>
        <v>8h</v>
      </c>
      <c r="EF30" s="261">
        <v>0.375</v>
      </c>
      <c r="EG30" s="261">
        <v>0.75</v>
      </c>
      <c r="EH30" s="261">
        <v>0.5</v>
      </c>
      <c r="EI30" s="261">
        <v>0.54166666666666663</v>
      </c>
      <c r="EJ30" s="258" t="str">
        <f t="shared" si="23"/>
        <v>8h</v>
      </c>
      <c r="EK30" s="345"/>
      <c r="EL30" s="345"/>
      <c r="EM30" s="345"/>
      <c r="EO30" s="120"/>
      <c r="EP30" s="123">
        <f t="shared" si="44"/>
        <v>46286</v>
      </c>
      <c r="EQ30" s="124" t="str">
        <f t="shared" si="24"/>
        <v>月</v>
      </c>
      <c r="ER30" s="124"/>
      <c r="ES30" s="125"/>
      <c r="ET30" s="125"/>
      <c r="EU30" s="109"/>
      <c r="EV30" s="109"/>
      <c r="EW30" s="126" t="str">
        <f t="shared" si="25"/>
        <v/>
      </c>
      <c r="EX30" s="257"/>
      <c r="EY30" s="257"/>
      <c r="EZ30" s="257"/>
      <c r="FA30" s="257"/>
      <c r="FB30" s="258" t="str">
        <f t="shared" si="26"/>
        <v/>
      </c>
      <c r="FC30" s="345"/>
      <c r="FD30" s="345"/>
      <c r="FE30" s="345"/>
      <c r="FG30" s="120"/>
      <c r="FH30" s="123">
        <f t="shared" si="45"/>
        <v>46316</v>
      </c>
      <c r="FI30" s="124" t="str">
        <f t="shared" si="27"/>
        <v>水</v>
      </c>
      <c r="FJ30" s="124" t="s">
        <v>22</v>
      </c>
      <c r="FK30" s="259">
        <v>0.375</v>
      </c>
      <c r="FL30" s="259">
        <v>0.75</v>
      </c>
      <c r="FM30" s="260">
        <v>0.5</v>
      </c>
      <c r="FN30" s="260">
        <v>0.54166666666666663</v>
      </c>
      <c r="FO30" s="126" t="str">
        <f t="shared" si="28"/>
        <v>8h</v>
      </c>
      <c r="FP30" s="261">
        <v>0.375</v>
      </c>
      <c r="FQ30" s="261">
        <v>0.75</v>
      </c>
      <c r="FR30" s="261">
        <v>0.5</v>
      </c>
      <c r="FS30" s="261">
        <v>0.54166666666666663</v>
      </c>
      <c r="FT30" s="258" t="str">
        <f t="shared" si="29"/>
        <v>8h</v>
      </c>
      <c r="FU30" s="345"/>
      <c r="FV30" s="345"/>
      <c r="FW30" s="345"/>
      <c r="FY30" s="120"/>
      <c r="FZ30" s="123">
        <f t="shared" si="46"/>
        <v>46347</v>
      </c>
      <c r="GA30" s="124" t="str">
        <f t="shared" si="30"/>
        <v>土</v>
      </c>
      <c r="GB30" s="124"/>
      <c r="GC30" s="125"/>
      <c r="GD30" s="125"/>
      <c r="GE30" s="109"/>
      <c r="GF30" s="109"/>
      <c r="GG30" s="126" t="str">
        <f t="shared" si="31"/>
        <v/>
      </c>
      <c r="GH30" s="257"/>
      <c r="GI30" s="257"/>
      <c r="GJ30" s="257"/>
      <c r="GK30" s="257"/>
      <c r="GL30" s="258" t="str">
        <f t="shared" si="32"/>
        <v/>
      </c>
      <c r="GM30" s="345"/>
      <c r="GN30" s="345"/>
      <c r="GO30" s="345"/>
      <c r="GQ30" s="120"/>
      <c r="GR30" s="123">
        <f t="shared" si="47"/>
        <v>46377</v>
      </c>
      <c r="GS30" s="124" t="str">
        <f t="shared" si="33"/>
        <v>月</v>
      </c>
      <c r="GT30" s="124" t="s">
        <v>22</v>
      </c>
      <c r="GU30" s="259">
        <v>0.375</v>
      </c>
      <c r="GV30" s="259">
        <v>0.75</v>
      </c>
      <c r="GW30" s="260">
        <v>0.5</v>
      </c>
      <c r="GX30" s="260">
        <v>0.54166666666666663</v>
      </c>
      <c r="GY30" s="126" t="str">
        <f t="shared" si="34"/>
        <v>8h</v>
      </c>
      <c r="GZ30" s="261">
        <v>0.375</v>
      </c>
      <c r="HA30" s="261">
        <v>0.75</v>
      </c>
      <c r="HB30" s="261">
        <v>0.5</v>
      </c>
      <c r="HC30" s="261">
        <v>0.54166666666666663</v>
      </c>
      <c r="HD30" s="258" t="str">
        <f t="shared" si="35"/>
        <v>8h</v>
      </c>
      <c r="HE30" s="345"/>
      <c r="HF30" s="345"/>
      <c r="HG30" s="345"/>
    </row>
    <row r="31" spans="1:215" x14ac:dyDescent="0.45">
      <c r="A31" s="120"/>
      <c r="B31" s="123">
        <f t="shared" si="36"/>
        <v>46044</v>
      </c>
      <c r="C31" s="124" t="str">
        <f t="shared" si="0"/>
        <v>木</v>
      </c>
      <c r="D31" s="124" t="s">
        <v>22</v>
      </c>
      <c r="E31" s="259">
        <v>0.375</v>
      </c>
      <c r="F31" s="259">
        <v>0.75</v>
      </c>
      <c r="G31" s="260">
        <v>0.5</v>
      </c>
      <c r="H31" s="260">
        <v>0.54166666666666663</v>
      </c>
      <c r="I31" s="126" t="str">
        <f t="shared" si="1"/>
        <v>8h</v>
      </c>
      <c r="J31" s="261">
        <v>0.375</v>
      </c>
      <c r="K31" s="261">
        <v>0.75</v>
      </c>
      <c r="L31" s="261">
        <v>0.5</v>
      </c>
      <c r="M31" s="261">
        <v>0.54166666666666663</v>
      </c>
      <c r="N31" s="258" t="str">
        <f t="shared" si="2"/>
        <v>8h</v>
      </c>
      <c r="O31" s="345"/>
      <c r="P31" s="345"/>
      <c r="Q31" s="345"/>
      <c r="S31" s="120"/>
      <c r="T31" s="123">
        <f t="shared" si="37"/>
        <v>46075</v>
      </c>
      <c r="U31" s="124" t="str">
        <f t="shared" si="3"/>
        <v>日</v>
      </c>
      <c r="V31" s="124"/>
      <c r="W31" s="125"/>
      <c r="X31" s="125"/>
      <c r="Y31" s="109"/>
      <c r="Z31" s="109"/>
      <c r="AA31" s="126" t="str">
        <f t="shared" si="4"/>
        <v/>
      </c>
      <c r="AB31" s="257"/>
      <c r="AC31" s="257"/>
      <c r="AD31" s="257"/>
      <c r="AE31" s="257"/>
      <c r="AF31" s="258" t="str">
        <f t="shared" si="5"/>
        <v/>
      </c>
      <c r="AG31" s="345"/>
      <c r="AH31" s="345"/>
      <c r="AI31" s="345"/>
      <c r="AK31" s="120"/>
      <c r="AL31" s="123">
        <f t="shared" si="38"/>
        <v>46103</v>
      </c>
      <c r="AM31" s="124" t="str">
        <f t="shared" si="6"/>
        <v>日</v>
      </c>
      <c r="AN31" s="124"/>
      <c r="AO31" s="125"/>
      <c r="AP31" s="125"/>
      <c r="AQ31" s="109"/>
      <c r="AR31" s="109"/>
      <c r="AS31" s="126" t="str">
        <f t="shared" si="7"/>
        <v/>
      </c>
      <c r="AT31" s="257"/>
      <c r="AU31" s="257"/>
      <c r="AV31" s="257"/>
      <c r="AW31" s="257"/>
      <c r="AX31" s="258" t="str">
        <f t="shared" si="8"/>
        <v/>
      </c>
      <c r="AY31" s="345"/>
      <c r="AZ31" s="345"/>
      <c r="BA31" s="345"/>
      <c r="BC31" s="120"/>
      <c r="BD31" s="123">
        <f t="shared" si="39"/>
        <v>46134</v>
      </c>
      <c r="BE31" s="124" t="str">
        <f t="shared" si="9"/>
        <v>水</v>
      </c>
      <c r="BF31" s="124" t="s">
        <v>22</v>
      </c>
      <c r="BG31" s="259">
        <v>0.375</v>
      </c>
      <c r="BH31" s="259">
        <v>0.75</v>
      </c>
      <c r="BI31" s="260">
        <v>0.5</v>
      </c>
      <c r="BJ31" s="260">
        <v>0.54166666666666663</v>
      </c>
      <c r="BK31" s="126" t="str">
        <f t="shared" si="10"/>
        <v>8h</v>
      </c>
      <c r="BL31" s="261">
        <v>0.375</v>
      </c>
      <c r="BM31" s="261">
        <v>0.75</v>
      </c>
      <c r="BN31" s="261">
        <v>0.5</v>
      </c>
      <c r="BO31" s="261">
        <v>0.54166666666666663</v>
      </c>
      <c r="BP31" s="258" t="str">
        <f t="shared" si="11"/>
        <v>8h</v>
      </c>
      <c r="BQ31" s="345"/>
      <c r="BR31" s="345"/>
      <c r="BS31" s="345"/>
      <c r="BU31" s="120"/>
      <c r="BV31" s="123">
        <f t="shared" si="40"/>
        <v>46164</v>
      </c>
      <c r="BW31" s="124" t="str">
        <f t="shared" si="12"/>
        <v>金</v>
      </c>
      <c r="BX31" s="124" t="s">
        <v>22</v>
      </c>
      <c r="BY31" s="259">
        <v>0.375</v>
      </c>
      <c r="BZ31" s="259">
        <v>0.75</v>
      </c>
      <c r="CA31" s="260">
        <v>0.5</v>
      </c>
      <c r="CB31" s="260">
        <v>0.54166666666666663</v>
      </c>
      <c r="CC31" s="126" t="str">
        <f t="shared" si="13"/>
        <v>8h</v>
      </c>
      <c r="CD31" s="261">
        <v>0.375</v>
      </c>
      <c r="CE31" s="261">
        <v>0.75</v>
      </c>
      <c r="CF31" s="261">
        <v>0.5</v>
      </c>
      <c r="CG31" s="261">
        <v>0.54166666666666663</v>
      </c>
      <c r="CH31" s="258" t="str">
        <f t="shared" si="14"/>
        <v>8h</v>
      </c>
      <c r="CI31" s="345"/>
      <c r="CJ31" s="345"/>
      <c r="CK31" s="345"/>
      <c r="CM31" s="120"/>
      <c r="CN31" s="123">
        <f t="shared" si="41"/>
        <v>46195</v>
      </c>
      <c r="CO31" s="124" t="str">
        <f t="shared" si="15"/>
        <v>月</v>
      </c>
      <c r="CP31" s="124" t="s">
        <v>22</v>
      </c>
      <c r="CQ31" s="259">
        <v>0.375</v>
      </c>
      <c r="CR31" s="259">
        <v>0.75</v>
      </c>
      <c r="CS31" s="260">
        <v>0.5</v>
      </c>
      <c r="CT31" s="260">
        <v>0.54166666666666663</v>
      </c>
      <c r="CU31" s="126" t="str">
        <f t="shared" si="16"/>
        <v>8h</v>
      </c>
      <c r="CV31" s="261">
        <v>0.375</v>
      </c>
      <c r="CW31" s="261">
        <v>0.75</v>
      </c>
      <c r="CX31" s="261">
        <v>0.5</v>
      </c>
      <c r="CY31" s="261">
        <v>0.54166666666666663</v>
      </c>
      <c r="CZ31" s="258" t="str">
        <f t="shared" si="17"/>
        <v>8h</v>
      </c>
      <c r="DA31" s="345"/>
      <c r="DB31" s="345"/>
      <c r="DC31" s="345"/>
      <c r="DE31" s="120"/>
      <c r="DF31" s="123">
        <f t="shared" si="42"/>
        <v>46225</v>
      </c>
      <c r="DG31" s="124" t="str">
        <f t="shared" si="18"/>
        <v>水</v>
      </c>
      <c r="DH31" s="124" t="s">
        <v>22</v>
      </c>
      <c r="DI31" s="259">
        <v>0.375</v>
      </c>
      <c r="DJ31" s="259">
        <v>0.75</v>
      </c>
      <c r="DK31" s="260">
        <v>0.5</v>
      </c>
      <c r="DL31" s="260">
        <v>0.54166666666666663</v>
      </c>
      <c r="DM31" s="126" t="str">
        <f t="shared" si="19"/>
        <v>8h</v>
      </c>
      <c r="DN31" s="261">
        <v>0.375</v>
      </c>
      <c r="DO31" s="261">
        <v>0.75</v>
      </c>
      <c r="DP31" s="261">
        <v>0.5</v>
      </c>
      <c r="DQ31" s="261">
        <v>0.54166666666666663</v>
      </c>
      <c r="DR31" s="258" t="str">
        <f t="shared" si="20"/>
        <v>8h</v>
      </c>
      <c r="DS31" s="345"/>
      <c r="DT31" s="345"/>
      <c r="DU31" s="345"/>
      <c r="DW31" s="120"/>
      <c r="DX31" s="123">
        <f t="shared" si="43"/>
        <v>46256</v>
      </c>
      <c r="DY31" s="124" t="str">
        <f t="shared" si="21"/>
        <v>土</v>
      </c>
      <c r="DZ31" s="124"/>
      <c r="EA31" s="125"/>
      <c r="EB31" s="125"/>
      <c r="EC31" s="109"/>
      <c r="ED31" s="109"/>
      <c r="EE31" s="126" t="str">
        <f t="shared" si="22"/>
        <v/>
      </c>
      <c r="EF31" s="257"/>
      <c r="EG31" s="257"/>
      <c r="EH31" s="257"/>
      <c r="EI31" s="257"/>
      <c r="EJ31" s="258" t="str">
        <f t="shared" si="23"/>
        <v/>
      </c>
      <c r="EK31" s="345"/>
      <c r="EL31" s="345"/>
      <c r="EM31" s="345"/>
      <c r="EO31" s="120"/>
      <c r="EP31" s="123">
        <f t="shared" si="44"/>
        <v>46287</v>
      </c>
      <c r="EQ31" s="124" t="str">
        <f t="shared" si="24"/>
        <v>火</v>
      </c>
      <c r="ER31" s="124"/>
      <c r="ES31" s="125"/>
      <c r="ET31" s="125"/>
      <c r="EU31" s="109"/>
      <c r="EV31" s="109"/>
      <c r="EW31" s="126" t="str">
        <f t="shared" si="25"/>
        <v/>
      </c>
      <c r="EX31" s="257"/>
      <c r="EY31" s="257"/>
      <c r="EZ31" s="257"/>
      <c r="FA31" s="257"/>
      <c r="FB31" s="258" t="str">
        <f t="shared" si="26"/>
        <v/>
      </c>
      <c r="FC31" s="345"/>
      <c r="FD31" s="345"/>
      <c r="FE31" s="345"/>
      <c r="FG31" s="120"/>
      <c r="FH31" s="123">
        <f t="shared" si="45"/>
        <v>46317</v>
      </c>
      <c r="FI31" s="124" t="str">
        <f t="shared" si="27"/>
        <v>木</v>
      </c>
      <c r="FJ31" s="124" t="s">
        <v>22</v>
      </c>
      <c r="FK31" s="259">
        <v>0.375</v>
      </c>
      <c r="FL31" s="259">
        <v>0.75</v>
      </c>
      <c r="FM31" s="260">
        <v>0.5</v>
      </c>
      <c r="FN31" s="260">
        <v>0.54166666666666663</v>
      </c>
      <c r="FO31" s="126" t="str">
        <f t="shared" si="28"/>
        <v>8h</v>
      </c>
      <c r="FP31" s="261">
        <v>0.375</v>
      </c>
      <c r="FQ31" s="261">
        <v>0.75</v>
      </c>
      <c r="FR31" s="261">
        <v>0.5</v>
      </c>
      <c r="FS31" s="261">
        <v>0.54166666666666663</v>
      </c>
      <c r="FT31" s="258" t="str">
        <f t="shared" si="29"/>
        <v>8h</v>
      </c>
      <c r="FU31" s="345"/>
      <c r="FV31" s="345"/>
      <c r="FW31" s="345"/>
      <c r="FY31" s="120"/>
      <c r="FZ31" s="123">
        <f t="shared" si="46"/>
        <v>46348</v>
      </c>
      <c r="GA31" s="124" t="str">
        <f t="shared" si="30"/>
        <v>日</v>
      </c>
      <c r="GB31" s="124"/>
      <c r="GC31" s="125"/>
      <c r="GD31" s="125"/>
      <c r="GE31" s="109"/>
      <c r="GF31" s="109"/>
      <c r="GG31" s="126" t="str">
        <f t="shared" si="31"/>
        <v/>
      </c>
      <c r="GH31" s="257"/>
      <c r="GI31" s="257"/>
      <c r="GJ31" s="257"/>
      <c r="GK31" s="257"/>
      <c r="GL31" s="258" t="str">
        <f t="shared" si="32"/>
        <v/>
      </c>
      <c r="GM31" s="345"/>
      <c r="GN31" s="345"/>
      <c r="GO31" s="345"/>
      <c r="GQ31" s="120"/>
      <c r="GR31" s="123">
        <f t="shared" si="47"/>
        <v>46378</v>
      </c>
      <c r="GS31" s="124" t="str">
        <f t="shared" si="33"/>
        <v>火</v>
      </c>
      <c r="GT31" s="124" t="s">
        <v>22</v>
      </c>
      <c r="GU31" s="259">
        <v>0.375</v>
      </c>
      <c r="GV31" s="259">
        <v>0.75</v>
      </c>
      <c r="GW31" s="260">
        <v>0.5</v>
      </c>
      <c r="GX31" s="260">
        <v>0.54166666666666663</v>
      </c>
      <c r="GY31" s="126" t="str">
        <f t="shared" si="34"/>
        <v>8h</v>
      </c>
      <c r="GZ31" s="261">
        <v>0.375</v>
      </c>
      <c r="HA31" s="261">
        <v>0.75</v>
      </c>
      <c r="HB31" s="261">
        <v>0.5</v>
      </c>
      <c r="HC31" s="261">
        <v>0.54166666666666663</v>
      </c>
      <c r="HD31" s="258" t="str">
        <f t="shared" si="35"/>
        <v>8h</v>
      </c>
      <c r="HE31" s="345"/>
      <c r="HF31" s="345"/>
      <c r="HG31" s="345"/>
    </row>
    <row r="32" spans="1:215" x14ac:dyDescent="0.45">
      <c r="A32" s="120"/>
      <c r="B32" s="123">
        <f t="shared" si="36"/>
        <v>46045</v>
      </c>
      <c r="C32" s="124" t="str">
        <f t="shared" si="0"/>
        <v>金</v>
      </c>
      <c r="D32" s="124" t="s">
        <v>22</v>
      </c>
      <c r="E32" s="259">
        <v>0.375</v>
      </c>
      <c r="F32" s="259">
        <v>0.75</v>
      </c>
      <c r="G32" s="260">
        <v>0.5</v>
      </c>
      <c r="H32" s="260">
        <v>0.54166666666666663</v>
      </c>
      <c r="I32" s="126" t="str">
        <f t="shared" si="1"/>
        <v>8h</v>
      </c>
      <c r="J32" s="261">
        <v>0.375</v>
      </c>
      <c r="K32" s="261">
        <v>0.75</v>
      </c>
      <c r="L32" s="261">
        <v>0.5</v>
      </c>
      <c r="M32" s="261">
        <v>0.54166666666666663</v>
      </c>
      <c r="N32" s="258" t="str">
        <f t="shared" si="2"/>
        <v>8h</v>
      </c>
      <c r="O32" s="345"/>
      <c r="P32" s="345"/>
      <c r="Q32" s="345"/>
      <c r="S32" s="120"/>
      <c r="T32" s="123">
        <f t="shared" si="37"/>
        <v>46076</v>
      </c>
      <c r="U32" s="124" t="str">
        <f t="shared" si="3"/>
        <v>月</v>
      </c>
      <c r="V32" s="124"/>
      <c r="W32" s="125"/>
      <c r="X32" s="125"/>
      <c r="Y32" s="109"/>
      <c r="Z32" s="109"/>
      <c r="AA32" s="126" t="str">
        <f t="shared" si="4"/>
        <v/>
      </c>
      <c r="AB32" s="257"/>
      <c r="AC32" s="257"/>
      <c r="AD32" s="257"/>
      <c r="AE32" s="257"/>
      <c r="AF32" s="258" t="str">
        <f t="shared" si="5"/>
        <v/>
      </c>
      <c r="AG32" s="345"/>
      <c r="AH32" s="345"/>
      <c r="AI32" s="345"/>
      <c r="AK32" s="120"/>
      <c r="AL32" s="123">
        <f t="shared" si="38"/>
        <v>46104</v>
      </c>
      <c r="AM32" s="124" t="str">
        <f t="shared" si="6"/>
        <v>月</v>
      </c>
      <c r="AN32" s="124" t="s">
        <v>22</v>
      </c>
      <c r="AO32" s="259">
        <v>0.375</v>
      </c>
      <c r="AP32" s="259">
        <v>0.75</v>
      </c>
      <c r="AQ32" s="260">
        <v>0.5</v>
      </c>
      <c r="AR32" s="260">
        <v>0.54166666666666663</v>
      </c>
      <c r="AS32" s="126" t="str">
        <f t="shared" si="7"/>
        <v>8h</v>
      </c>
      <c r="AT32" s="261">
        <v>0.375</v>
      </c>
      <c r="AU32" s="261">
        <v>0.75</v>
      </c>
      <c r="AV32" s="261">
        <v>0.5</v>
      </c>
      <c r="AW32" s="261">
        <v>0.54166666666666663</v>
      </c>
      <c r="AX32" s="258" t="str">
        <f t="shared" si="8"/>
        <v>8h</v>
      </c>
      <c r="AY32" s="345"/>
      <c r="AZ32" s="345"/>
      <c r="BA32" s="345"/>
      <c r="BC32" s="120"/>
      <c r="BD32" s="123">
        <f t="shared" si="39"/>
        <v>46135</v>
      </c>
      <c r="BE32" s="124" t="str">
        <f t="shared" si="9"/>
        <v>木</v>
      </c>
      <c r="BF32" s="124" t="s">
        <v>22</v>
      </c>
      <c r="BG32" s="259">
        <v>0.375</v>
      </c>
      <c r="BH32" s="259">
        <v>0.75</v>
      </c>
      <c r="BI32" s="260">
        <v>0.5</v>
      </c>
      <c r="BJ32" s="260">
        <v>0.54166666666666663</v>
      </c>
      <c r="BK32" s="126" t="str">
        <f t="shared" si="10"/>
        <v>8h</v>
      </c>
      <c r="BL32" s="261">
        <v>0.375</v>
      </c>
      <c r="BM32" s="261">
        <v>0.75</v>
      </c>
      <c r="BN32" s="261">
        <v>0.5</v>
      </c>
      <c r="BO32" s="261">
        <v>0.54166666666666663</v>
      </c>
      <c r="BP32" s="258" t="str">
        <f t="shared" si="11"/>
        <v>8h</v>
      </c>
      <c r="BQ32" s="345"/>
      <c r="BR32" s="345"/>
      <c r="BS32" s="345"/>
      <c r="BU32" s="120"/>
      <c r="BV32" s="123">
        <f t="shared" si="40"/>
        <v>46165</v>
      </c>
      <c r="BW32" s="124" t="str">
        <f t="shared" si="12"/>
        <v>土</v>
      </c>
      <c r="BX32" s="124"/>
      <c r="BY32" s="125"/>
      <c r="BZ32" s="125"/>
      <c r="CA32" s="109"/>
      <c r="CB32" s="109"/>
      <c r="CC32" s="126" t="str">
        <f t="shared" si="13"/>
        <v/>
      </c>
      <c r="CD32" s="257"/>
      <c r="CE32" s="257"/>
      <c r="CF32" s="257"/>
      <c r="CG32" s="257"/>
      <c r="CH32" s="258" t="str">
        <f t="shared" si="14"/>
        <v/>
      </c>
      <c r="CI32" s="345"/>
      <c r="CJ32" s="345"/>
      <c r="CK32" s="345"/>
      <c r="CM32" s="120"/>
      <c r="CN32" s="123">
        <f t="shared" si="41"/>
        <v>46196</v>
      </c>
      <c r="CO32" s="124" t="str">
        <f t="shared" si="15"/>
        <v>火</v>
      </c>
      <c r="CP32" s="124" t="s">
        <v>22</v>
      </c>
      <c r="CQ32" s="259">
        <v>0.375</v>
      </c>
      <c r="CR32" s="259">
        <v>0.75</v>
      </c>
      <c r="CS32" s="260">
        <v>0.5</v>
      </c>
      <c r="CT32" s="260">
        <v>0.54166666666666663</v>
      </c>
      <c r="CU32" s="126" t="str">
        <f t="shared" si="16"/>
        <v>8h</v>
      </c>
      <c r="CV32" s="261">
        <v>0.375</v>
      </c>
      <c r="CW32" s="261">
        <v>0.75</v>
      </c>
      <c r="CX32" s="261">
        <v>0.5</v>
      </c>
      <c r="CY32" s="261">
        <v>0.54166666666666663</v>
      </c>
      <c r="CZ32" s="258" t="str">
        <f t="shared" si="17"/>
        <v>8h</v>
      </c>
      <c r="DA32" s="345"/>
      <c r="DB32" s="345"/>
      <c r="DC32" s="345"/>
      <c r="DE32" s="120"/>
      <c r="DF32" s="123">
        <f t="shared" si="42"/>
        <v>46226</v>
      </c>
      <c r="DG32" s="124" t="str">
        <f t="shared" si="18"/>
        <v>木</v>
      </c>
      <c r="DH32" s="124" t="s">
        <v>22</v>
      </c>
      <c r="DI32" s="259">
        <v>0.375</v>
      </c>
      <c r="DJ32" s="259">
        <v>0.75</v>
      </c>
      <c r="DK32" s="260">
        <v>0.5</v>
      </c>
      <c r="DL32" s="260">
        <v>0.54166666666666663</v>
      </c>
      <c r="DM32" s="126" t="str">
        <f t="shared" si="19"/>
        <v>8h</v>
      </c>
      <c r="DN32" s="261">
        <v>0.375</v>
      </c>
      <c r="DO32" s="261">
        <v>0.75</v>
      </c>
      <c r="DP32" s="261">
        <v>0.5</v>
      </c>
      <c r="DQ32" s="261">
        <v>0.54166666666666663</v>
      </c>
      <c r="DR32" s="258" t="str">
        <f t="shared" si="20"/>
        <v>8h</v>
      </c>
      <c r="DS32" s="345"/>
      <c r="DT32" s="345"/>
      <c r="DU32" s="345"/>
      <c r="DW32" s="120"/>
      <c r="DX32" s="123">
        <f t="shared" si="43"/>
        <v>46257</v>
      </c>
      <c r="DY32" s="124" t="str">
        <f t="shared" si="21"/>
        <v>日</v>
      </c>
      <c r="DZ32" s="124"/>
      <c r="EA32" s="125"/>
      <c r="EB32" s="125"/>
      <c r="EC32" s="109"/>
      <c r="ED32" s="109"/>
      <c r="EE32" s="126" t="str">
        <f t="shared" si="22"/>
        <v/>
      </c>
      <c r="EF32" s="257"/>
      <c r="EG32" s="257"/>
      <c r="EH32" s="257"/>
      <c r="EI32" s="257"/>
      <c r="EJ32" s="258" t="str">
        <f t="shared" si="23"/>
        <v/>
      </c>
      <c r="EK32" s="345"/>
      <c r="EL32" s="345"/>
      <c r="EM32" s="345"/>
      <c r="EO32" s="120"/>
      <c r="EP32" s="123">
        <f t="shared" si="44"/>
        <v>46288</v>
      </c>
      <c r="EQ32" s="124" t="str">
        <f t="shared" si="24"/>
        <v>水</v>
      </c>
      <c r="ER32" s="124"/>
      <c r="ES32" s="125"/>
      <c r="ET32" s="125"/>
      <c r="EU32" s="109"/>
      <c r="EV32" s="109"/>
      <c r="EW32" s="126" t="str">
        <f t="shared" si="25"/>
        <v/>
      </c>
      <c r="EX32" s="257"/>
      <c r="EY32" s="257"/>
      <c r="EZ32" s="257"/>
      <c r="FA32" s="257"/>
      <c r="FB32" s="258" t="str">
        <f t="shared" si="26"/>
        <v/>
      </c>
      <c r="FC32" s="345"/>
      <c r="FD32" s="345"/>
      <c r="FE32" s="345"/>
      <c r="FG32" s="120"/>
      <c r="FH32" s="123">
        <f t="shared" si="45"/>
        <v>46318</v>
      </c>
      <c r="FI32" s="124" t="str">
        <f t="shared" si="27"/>
        <v>金</v>
      </c>
      <c r="FJ32" s="124" t="s">
        <v>22</v>
      </c>
      <c r="FK32" s="259">
        <v>0.375</v>
      </c>
      <c r="FL32" s="259">
        <v>0.75</v>
      </c>
      <c r="FM32" s="260">
        <v>0.5</v>
      </c>
      <c r="FN32" s="260">
        <v>0.54166666666666663</v>
      </c>
      <c r="FO32" s="126" t="str">
        <f t="shared" si="28"/>
        <v>8h</v>
      </c>
      <c r="FP32" s="261">
        <v>0.375</v>
      </c>
      <c r="FQ32" s="261">
        <v>0.75</v>
      </c>
      <c r="FR32" s="261">
        <v>0.5</v>
      </c>
      <c r="FS32" s="261">
        <v>0.54166666666666663</v>
      </c>
      <c r="FT32" s="258" t="str">
        <f t="shared" si="29"/>
        <v>8h</v>
      </c>
      <c r="FU32" s="345"/>
      <c r="FV32" s="345"/>
      <c r="FW32" s="345"/>
      <c r="FY32" s="120"/>
      <c r="FZ32" s="123">
        <f t="shared" si="46"/>
        <v>46349</v>
      </c>
      <c r="GA32" s="124" t="str">
        <f t="shared" si="30"/>
        <v>月</v>
      </c>
      <c r="GB32" s="124"/>
      <c r="GC32" s="125"/>
      <c r="GD32" s="125"/>
      <c r="GE32" s="109"/>
      <c r="GF32" s="109"/>
      <c r="GG32" s="126" t="str">
        <f t="shared" si="31"/>
        <v/>
      </c>
      <c r="GH32" s="257"/>
      <c r="GI32" s="257"/>
      <c r="GJ32" s="257"/>
      <c r="GK32" s="257"/>
      <c r="GL32" s="258" t="str">
        <f t="shared" si="32"/>
        <v/>
      </c>
      <c r="GM32" s="345"/>
      <c r="GN32" s="345"/>
      <c r="GO32" s="345"/>
      <c r="GQ32" s="120"/>
      <c r="GR32" s="123">
        <f t="shared" si="47"/>
        <v>46379</v>
      </c>
      <c r="GS32" s="124" t="str">
        <f t="shared" si="33"/>
        <v>水</v>
      </c>
      <c r="GT32" s="124" t="s">
        <v>22</v>
      </c>
      <c r="GU32" s="259">
        <v>0.375</v>
      </c>
      <c r="GV32" s="259">
        <v>0.75</v>
      </c>
      <c r="GW32" s="260">
        <v>0.5</v>
      </c>
      <c r="GX32" s="260">
        <v>0.54166666666666663</v>
      </c>
      <c r="GY32" s="126" t="str">
        <f t="shared" si="34"/>
        <v>8h</v>
      </c>
      <c r="GZ32" s="261">
        <v>0.375</v>
      </c>
      <c r="HA32" s="261">
        <v>0.75</v>
      </c>
      <c r="HB32" s="261">
        <v>0.5</v>
      </c>
      <c r="HC32" s="261">
        <v>0.54166666666666663</v>
      </c>
      <c r="HD32" s="258" t="str">
        <f t="shared" si="35"/>
        <v>8h</v>
      </c>
      <c r="HE32" s="345"/>
      <c r="HF32" s="345"/>
      <c r="HG32" s="345"/>
    </row>
    <row r="33" spans="1:215" x14ac:dyDescent="0.45">
      <c r="A33" s="120"/>
      <c r="B33" s="123">
        <f t="shared" si="36"/>
        <v>46046</v>
      </c>
      <c r="C33" s="124" t="str">
        <f t="shared" si="0"/>
        <v>土</v>
      </c>
      <c r="D33" s="124"/>
      <c r="E33" s="125"/>
      <c r="F33" s="125"/>
      <c r="G33" s="109"/>
      <c r="H33" s="109"/>
      <c r="I33" s="126" t="str">
        <f t="shared" si="1"/>
        <v/>
      </c>
      <c r="J33" s="257"/>
      <c r="K33" s="257"/>
      <c r="L33" s="257"/>
      <c r="M33" s="257"/>
      <c r="N33" s="258" t="str">
        <f t="shared" si="2"/>
        <v/>
      </c>
      <c r="O33" s="345"/>
      <c r="P33" s="345"/>
      <c r="Q33" s="345"/>
      <c r="S33" s="120"/>
      <c r="T33" s="123">
        <f t="shared" si="37"/>
        <v>46077</v>
      </c>
      <c r="U33" s="124" t="str">
        <f t="shared" si="3"/>
        <v>火</v>
      </c>
      <c r="V33" s="124" t="s">
        <v>22</v>
      </c>
      <c r="W33" s="259">
        <v>0.375</v>
      </c>
      <c r="X33" s="259">
        <v>0.75</v>
      </c>
      <c r="Y33" s="260">
        <v>0.5</v>
      </c>
      <c r="Z33" s="260">
        <v>0.54166666666666663</v>
      </c>
      <c r="AA33" s="126" t="str">
        <f t="shared" si="4"/>
        <v>8h</v>
      </c>
      <c r="AB33" s="261">
        <v>0.375</v>
      </c>
      <c r="AC33" s="261">
        <v>0.75</v>
      </c>
      <c r="AD33" s="261">
        <v>0.5</v>
      </c>
      <c r="AE33" s="261">
        <v>0.54166666666666663</v>
      </c>
      <c r="AF33" s="258" t="str">
        <f t="shared" si="5"/>
        <v>8h</v>
      </c>
      <c r="AG33" s="345"/>
      <c r="AH33" s="345"/>
      <c r="AI33" s="345"/>
      <c r="AK33" s="120"/>
      <c r="AL33" s="123">
        <f t="shared" si="38"/>
        <v>46105</v>
      </c>
      <c r="AM33" s="124" t="str">
        <f t="shared" si="6"/>
        <v>火</v>
      </c>
      <c r="AN33" s="124" t="s">
        <v>22</v>
      </c>
      <c r="AO33" s="259">
        <v>0.375</v>
      </c>
      <c r="AP33" s="259">
        <v>0.75</v>
      </c>
      <c r="AQ33" s="260">
        <v>0.5</v>
      </c>
      <c r="AR33" s="260">
        <v>0.54166666666666663</v>
      </c>
      <c r="AS33" s="126" t="str">
        <f t="shared" si="7"/>
        <v>8h</v>
      </c>
      <c r="AT33" s="261">
        <v>0.375</v>
      </c>
      <c r="AU33" s="261">
        <v>0.75</v>
      </c>
      <c r="AV33" s="261">
        <v>0.5</v>
      </c>
      <c r="AW33" s="261">
        <v>0.54166666666666663</v>
      </c>
      <c r="AX33" s="258" t="str">
        <f t="shared" si="8"/>
        <v>8h</v>
      </c>
      <c r="AY33" s="345"/>
      <c r="AZ33" s="345"/>
      <c r="BA33" s="345"/>
      <c r="BC33" s="120"/>
      <c r="BD33" s="123">
        <f t="shared" si="39"/>
        <v>46136</v>
      </c>
      <c r="BE33" s="124" t="str">
        <f t="shared" si="9"/>
        <v>金</v>
      </c>
      <c r="BF33" s="124" t="s">
        <v>22</v>
      </c>
      <c r="BG33" s="259">
        <v>0.375</v>
      </c>
      <c r="BH33" s="259">
        <v>0.75</v>
      </c>
      <c r="BI33" s="260">
        <v>0.5</v>
      </c>
      <c r="BJ33" s="260">
        <v>0.54166666666666663</v>
      </c>
      <c r="BK33" s="126" t="str">
        <f t="shared" si="10"/>
        <v>8h</v>
      </c>
      <c r="BL33" s="261">
        <v>0.375</v>
      </c>
      <c r="BM33" s="261">
        <v>0.75</v>
      </c>
      <c r="BN33" s="261">
        <v>0.5</v>
      </c>
      <c r="BO33" s="261">
        <v>0.54166666666666663</v>
      </c>
      <c r="BP33" s="258" t="str">
        <f t="shared" si="11"/>
        <v>8h</v>
      </c>
      <c r="BQ33" s="345"/>
      <c r="BR33" s="345"/>
      <c r="BS33" s="345"/>
      <c r="BU33" s="120"/>
      <c r="BV33" s="123">
        <f t="shared" si="40"/>
        <v>46166</v>
      </c>
      <c r="BW33" s="124" t="str">
        <f t="shared" si="12"/>
        <v>日</v>
      </c>
      <c r="BX33" s="124"/>
      <c r="BY33" s="125"/>
      <c r="BZ33" s="125"/>
      <c r="CA33" s="109"/>
      <c r="CB33" s="109"/>
      <c r="CC33" s="126" t="str">
        <f t="shared" si="13"/>
        <v/>
      </c>
      <c r="CD33" s="257"/>
      <c r="CE33" s="257"/>
      <c r="CF33" s="257"/>
      <c r="CG33" s="257"/>
      <c r="CH33" s="258" t="str">
        <f t="shared" si="14"/>
        <v/>
      </c>
      <c r="CI33" s="345"/>
      <c r="CJ33" s="345"/>
      <c r="CK33" s="345"/>
      <c r="CM33" s="120"/>
      <c r="CN33" s="123">
        <f t="shared" si="41"/>
        <v>46197</v>
      </c>
      <c r="CO33" s="124" t="str">
        <f t="shared" si="15"/>
        <v>水</v>
      </c>
      <c r="CP33" s="124" t="s">
        <v>22</v>
      </c>
      <c r="CQ33" s="259">
        <v>0.375</v>
      </c>
      <c r="CR33" s="259">
        <v>0.75</v>
      </c>
      <c r="CS33" s="260">
        <v>0.5</v>
      </c>
      <c r="CT33" s="260">
        <v>0.54166666666666663</v>
      </c>
      <c r="CU33" s="126" t="str">
        <f t="shared" si="16"/>
        <v>8h</v>
      </c>
      <c r="CV33" s="261">
        <v>0.375</v>
      </c>
      <c r="CW33" s="261">
        <v>0.75</v>
      </c>
      <c r="CX33" s="261">
        <v>0.5</v>
      </c>
      <c r="CY33" s="261">
        <v>0.54166666666666663</v>
      </c>
      <c r="CZ33" s="258" t="str">
        <f t="shared" si="17"/>
        <v>8h</v>
      </c>
      <c r="DA33" s="345"/>
      <c r="DB33" s="345"/>
      <c r="DC33" s="345"/>
      <c r="DE33" s="120"/>
      <c r="DF33" s="123">
        <f t="shared" si="42"/>
        <v>46227</v>
      </c>
      <c r="DG33" s="124" t="str">
        <f t="shared" si="18"/>
        <v>金</v>
      </c>
      <c r="DH33" s="124" t="s">
        <v>22</v>
      </c>
      <c r="DI33" s="259">
        <v>0.375</v>
      </c>
      <c r="DJ33" s="259">
        <v>0.75</v>
      </c>
      <c r="DK33" s="260">
        <v>0.5</v>
      </c>
      <c r="DL33" s="260">
        <v>0.54166666666666663</v>
      </c>
      <c r="DM33" s="126" t="str">
        <f t="shared" si="19"/>
        <v>8h</v>
      </c>
      <c r="DN33" s="261">
        <v>0.375</v>
      </c>
      <c r="DO33" s="261">
        <v>0.75</v>
      </c>
      <c r="DP33" s="261">
        <v>0.5</v>
      </c>
      <c r="DQ33" s="261">
        <v>0.54166666666666663</v>
      </c>
      <c r="DR33" s="258" t="str">
        <f t="shared" si="20"/>
        <v>8h</v>
      </c>
      <c r="DS33" s="345"/>
      <c r="DT33" s="345"/>
      <c r="DU33" s="345"/>
      <c r="DW33" s="120"/>
      <c r="DX33" s="123">
        <f t="shared" si="43"/>
        <v>46258</v>
      </c>
      <c r="DY33" s="124" t="str">
        <f t="shared" si="21"/>
        <v>月</v>
      </c>
      <c r="DZ33" s="124" t="s">
        <v>22</v>
      </c>
      <c r="EA33" s="259">
        <v>0.375</v>
      </c>
      <c r="EB33" s="259">
        <v>0.75</v>
      </c>
      <c r="EC33" s="260">
        <v>0.5</v>
      </c>
      <c r="ED33" s="260">
        <v>0.54166666666666663</v>
      </c>
      <c r="EE33" s="126" t="str">
        <f t="shared" si="22"/>
        <v>8h</v>
      </c>
      <c r="EF33" s="261">
        <v>0.375</v>
      </c>
      <c r="EG33" s="261">
        <v>0.75</v>
      </c>
      <c r="EH33" s="261">
        <v>0.5</v>
      </c>
      <c r="EI33" s="261">
        <v>0.54166666666666663</v>
      </c>
      <c r="EJ33" s="258" t="str">
        <f t="shared" si="23"/>
        <v>8h</v>
      </c>
      <c r="EK33" s="345"/>
      <c r="EL33" s="345"/>
      <c r="EM33" s="345"/>
      <c r="EO33" s="120"/>
      <c r="EP33" s="123">
        <f t="shared" si="44"/>
        <v>46289</v>
      </c>
      <c r="EQ33" s="124" t="str">
        <f t="shared" si="24"/>
        <v>木</v>
      </c>
      <c r="ER33" s="124" t="s">
        <v>22</v>
      </c>
      <c r="ES33" s="259">
        <v>0.375</v>
      </c>
      <c r="ET33" s="259">
        <v>0.75</v>
      </c>
      <c r="EU33" s="260">
        <v>0.5</v>
      </c>
      <c r="EV33" s="260">
        <v>0.54166666666666663</v>
      </c>
      <c r="EW33" s="126" t="str">
        <f t="shared" si="25"/>
        <v>8h</v>
      </c>
      <c r="EX33" s="261">
        <v>0.375</v>
      </c>
      <c r="EY33" s="261">
        <v>0.75</v>
      </c>
      <c r="EZ33" s="261">
        <v>0.5</v>
      </c>
      <c r="FA33" s="261">
        <v>0.54166666666666663</v>
      </c>
      <c r="FB33" s="258" t="str">
        <f t="shared" si="26"/>
        <v>8h</v>
      </c>
      <c r="FC33" s="345"/>
      <c r="FD33" s="345"/>
      <c r="FE33" s="345"/>
      <c r="FG33" s="120"/>
      <c r="FH33" s="123">
        <f t="shared" si="45"/>
        <v>46319</v>
      </c>
      <c r="FI33" s="124" t="str">
        <f t="shared" si="27"/>
        <v>土</v>
      </c>
      <c r="FJ33" s="124"/>
      <c r="FK33" s="125"/>
      <c r="FL33" s="125"/>
      <c r="FM33" s="109"/>
      <c r="FN33" s="109"/>
      <c r="FO33" s="126" t="str">
        <f t="shared" si="28"/>
        <v/>
      </c>
      <c r="FP33" s="257"/>
      <c r="FQ33" s="257"/>
      <c r="FR33" s="257"/>
      <c r="FS33" s="257"/>
      <c r="FT33" s="258" t="str">
        <f t="shared" si="29"/>
        <v/>
      </c>
      <c r="FU33" s="345"/>
      <c r="FV33" s="345"/>
      <c r="FW33" s="345"/>
      <c r="FY33" s="120"/>
      <c r="FZ33" s="123">
        <f t="shared" si="46"/>
        <v>46350</v>
      </c>
      <c r="GA33" s="124" t="str">
        <f t="shared" si="30"/>
        <v>火</v>
      </c>
      <c r="GB33" s="124" t="s">
        <v>22</v>
      </c>
      <c r="GC33" s="259">
        <v>0.375</v>
      </c>
      <c r="GD33" s="259">
        <v>0.75</v>
      </c>
      <c r="GE33" s="260">
        <v>0.5</v>
      </c>
      <c r="GF33" s="260">
        <v>0.54166666666666663</v>
      </c>
      <c r="GG33" s="126" t="str">
        <f t="shared" si="31"/>
        <v>8h</v>
      </c>
      <c r="GH33" s="261">
        <v>0.375</v>
      </c>
      <c r="GI33" s="261">
        <v>0.75</v>
      </c>
      <c r="GJ33" s="261">
        <v>0.5</v>
      </c>
      <c r="GK33" s="261">
        <v>0.54166666666666663</v>
      </c>
      <c r="GL33" s="258" t="str">
        <f t="shared" si="32"/>
        <v>8h</v>
      </c>
      <c r="GM33" s="345"/>
      <c r="GN33" s="345"/>
      <c r="GO33" s="345"/>
      <c r="GQ33" s="120"/>
      <c r="GR33" s="123">
        <f t="shared" si="47"/>
        <v>46380</v>
      </c>
      <c r="GS33" s="124" t="str">
        <f t="shared" si="33"/>
        <v>木</v>
      </c>
      <c r="GT33" s="124" t="s">
        <v>22</v>
      </c>
      <c r="GU33" s="259">
        <v>0.375</v>
      </c>
      <c r="GV33" s="259">
        <v>0.75</v>
      </c>
      <c r="GW33" s="260">
        <v>0.5</v>
      </c>
      <c r="GX33" s="260">
        <v>0.54166666666666663</v>
      </c>
      <c r="GY33" s="126" t="str">
        <f t="shared" si="34"/>
        <v>8h</v>
      </c>
      <c r="GZ33" s="261">
        <v>0.375</v>
      </c>
      <c r="HA33" s="261">
        <v>0.75</v>
      </c>
      <c r="HB33" s="261">
        <v>0.5</v>
      </c>
      <c r="HC33" s="261">
        <v>0.54166666666666663</v>
      </c>
      <c r="HD33" s="258" t="str">
        <f t="shared" si="35"/>
        <v>8h</v>
      </c>
      <c r="HE33" s="345"/>
      <c r="HF33" s="345"/>
      <c r="HG33" s="345"/>
    </row>
    <row r="34" spans="1:215" x14ac:dyDescent="0.45">
      <c r="A34" s="120"/>
      <c r="B34" s="123">
        <f t="shared" si="36"/>
        <v>46047</v>
      </c>
      <c r="C34" s="124" t="str">
        <f t="shared" si="0"/>
        <v>日</v>
      </c>
      <c r="D34" s="124"/>
      <c r="E34" s="125"/>
      <c r="F34" s="125"/>
      <c r="G34" s="109"/>
      <c r="H34" s="109"/>
      <c r="I34" s="126" t="str">
        <f t="shared" si="1"/>
        <v/>
      </c>
      <c r="J34" s="257"/>
      <c r="K34" s="257"/>
      <c r="L34" s="257"/>
      <c r="M34" s="257"/>
      <c r="N34" s="258" t="str">
        <f t="shared" si="2"/>
        <v/>
      </c>
      <c r="O34" s="345"/>
      <c r="P34" s="345"/>
      <c r="Q34" s="345"/>
      <c r="S34" s="120"/>
      <c r="T34" s="123">
        <f t="shared" si="37"/>
        <v>46078</v>
      </c>
      <c r="U34" s="124" t="str">
        <f t="shared" si="3"/>
        <v>水</v>
      </c>
      <c r="V34" s="124" t="s">
        <v>22</v>
      </c>
      <c r="W34" s="259">
        <v>0.375</v>
      </c>
      <c r="X34" s="259">
        <v>0.75</v>
      </c>
      <c r="Y34" s="260">
        <v>0.5</v>
      </c>
      <c r="Z34" s="260">
        <v>0.54166666666666663</v>
      </c>
      <c r="AA34" s="126" t="str">
        <f t="shared" si="4"/>
        <v>8h</v>
      </c>
      <c r="AB34" s="261">
        <v>0.375</v>
      </c>
      <c r="AC34" s="261">
        <v>0.75</v>
      </c>
      <c r="AD34" s="261">
        <v>0.5</v>
      </c>
      <c r="AE34" s="261">
        <v>0.54166666666666663</v>
      </c>
      <c r="AF34" s="258" t="str">
        <f t="shared" si="5"/>
        <v>8h</v>
      </c>
      <c r="AG34" s="345"/>
      <c r="AH34" s="345"/>
      <c r="AI34" s="345"/>
      <c r="AK34" s="120"/>
      <c r="AL34" s="123">
        <f t="shared" si="38"/>
        <v>46106</v>
      </c>
      <c r="AM34" s="124" t="str">
        <f t="shared" si="6"/>
        <v>水</v>
      </c>
      <c r="AN34" s="124" t="s">
        <v>22</v>
      </c>
      <c r="AO34" s="259">
        <v>0.375</v>
      </c>
      <c r="AP34" s="259">
        <v>0.75</v>
      </c>
      <c r="AQ34" s="260">
        <v>0.5</v>
      </c>
      <c r="AR34" s="260">
        <v>0.54166666666666663</v>
      </c>
      <c r="AS34" s="126" t="str">
        <f t="shared" si="7"/>
        <v>8h</v>
      </c>
      <c r="AT34" s="261">
        <v>0.375</v>
      </c>
      <c r="AU34" s="261">
        <v>0.75</v>
      </c>
      <c r="AV34" s="261">
        <v>0.5</v>
      </c>
      <c r="AW34" s="261">
        <v>0.54166666666666663</v>
      </c>
      <c r="AX34" s="258" t="str">
        <f t="shared" si="8"/>
        <v>8h</v>
      </c>
      <c r="AY34" s="345"/>
      <c r="AZ34" s="345"/>
      <c r="BA34" s="345"/>
      <c r="BC34" s="120"/>
      <c r="BD34" s="123">
        <f t="shared" si="39"/>
        <v>46137</v>
      </c>
      <c r="BE34" s="124" t="str">
        <f t="shared" si="9"/>
        <v>土</v>
      </c>
      <c r="BF34" s="124"/>
      <c r="BG34" s="125"/>
      <c r="BH34" s="125"/>
      <c r="BI34" s="109"/>
      <c r="BJ34" s="109"/>
      <c r="BK34" s="126" t="str">
        <f t="shared" si="10"/>
        <v/>
      </c>
      <c r="BL34" s="257"/>
      <c r="BM34" s="257"/>
      <c r="BN34" s="257"/>
      <c r="BO34" s="257"/>
      <c r="BP34" s="258" t="str">
        <f t="shared" si="11"/>
        <v/>
      </c>
      <c r="BQ34" s="345"/>
      <c r="BR34" s="345"/>
      <c r="BS34" s="345"/>
      <c r="BU34" s="120"/>
      <c r="BV34" s="123">
        <f t="shared" si="40"/>
        <v>46167</v>
      </c>
      <c r="BW34" s="124" t="str">
        <f t="shared" si="12"/>
        <v>月</v>
      </c>
      <c r="BX34" s="124" t="s">
        <v>22</v>
      </c>
      <c r="BY34" s="259">
        <v>0.375</v>
      </c>
      <c r="BZ34" s="259">
        <v>0.75</v>
      </c>
      <c r="CA34" s="260">
        <v>0.5</v>
      </c>
      <c r="CB34" s="260">
        <v>0.54166666666666663</v>
      </c>
      <c r="CC34" s="126" t="str">
        <f t="shared" si="13"/>
        <v>8h</v>
      </c>
      <c r="CD34" s="261">
        <v>0.375</v>
      </c>
      <c r="CE34" s="261">
        <v>0.75</v>
      </c>
      <c r="CF34" s="261">
        <v>0.5</v>
      </c>
      <c r="CG34" s="261">
        <v>0.54166666666666663</v>
      </c>
      <c r="CH34" s="258" t="str">
        <f t="shared" si="14"/>
        <v>8h</v>
      </c>
      <c r="CI34" s="345"/>
      <c r="CJ34" s="345"/>
      <c r="CK34" s="345"/>
      <c r="CM34" s="120"/>
      <c r="CN34" s="123">
        <f t="shared" si="41"/>
        <v>46198</v>
      </c>
      <c r="CO34" s="124" t="str">
        <f t="shared" si="15"/>
        <v>木</v>
      </c>
      <c r="CP34" s="124" t="s">
        <v>22</v>
      </c>
      <c r="CQ34" s="259">
        <v>0.375</v>
      </c>
      <c r="CR34" s="259">
        <v>0.75</v>
      </c>
      <c r="CS34" s="260">
        <v>0.5</v>
      </c>
      <c r="CT34" s="260">
        <v>0.54166666666666663</v>
      </c>
      <c r="CU34" s="126" t="str">
        <f t="shared" si="16"/>
        <v>8h</v>
      </c>
      <c r="CV34" s="261">
        <v>0.375</v>
      </c>
      <c r="CW34" s="261">
        <v>0.75</v>
      </c>
      <c r="CX34" s="261">
        <v>0.5</v>
      </c>
      <c r="CY34" s="261">
        <v>0.54166666666666663</v>
      </c>
      <c r="CZ34" s="258" t="str">
        <f t="shared" si="17"/>
        <v>8h</v>
      </c>
      <c r="DA34" s="345"/>
      <c r="DB34" s="345"/>
      <c r="DC34" s="345"/>
      <c r="DE34" s="120"/>
      <c r="DF34" s="123">
        <f t="shared" si="42"/>
        <v>46228</v>
      </c>
      <c r="DG34" s="124" t="str">
        <f t="shared" si="18"/>
        <v>土</v>
      </c>
      <c r="DH34" s="124"/>
      <c r="DI34" s="125"/>
      <c r="DJ34" s="125"/>
      <c r="DK34" s="109"/>
      <c r="DL34" s="109"/>
      <c r="DM34" s="126" t="str">
        <f t="shared" si="19"/>
        <v/>
      </c>
      <c r="DN34" s="257"/>
      <c r="DO34" s="257"/>
      <c r="DP34" s="257"/>
      <c r="DQ34" s="257"/>
      <c r="DR34" s="258" t="str">
        <f t="shared" si="20"/>
        <v/>
      </c>
      <c r="DS34" s="345"/>
      <c r="DT34" s="345"/>
      <c r="DU34" s="345"/>
      <c r="DW34" s="120"/>
      <c r="DX34" s="123">
        <f t="shared" si="43"/>
        <v>46259</v>
      </c>
      <c r="DY34" s="124" t="str">
        <f t="shared" si="21"/>
        <v>火</v>
      </c>
      <c r="DZ34" s="124" t="s">
        <v>22</v>
      </c>
      <c r="EA34" s="259">
        <v>0.375</v>
      </c>
      <c r="EB34" s="259">
        <v>0.75</v>
      </c>
      <c r="EC34" s="260">
        <v>0.5</v>
      </c>
      <c r="ED34" s="260">
        <v>0.54166666666666663</v>
      </c>
      <c r="EE34" s="126" t="str">
        <f t="shared" si="22"/>
        <v>8h</v>
      </c>
      <c r="EF34" s="261">
        <v>0.375</v>
      </c>
      <c r="EG34" s="261">
        <v>0.75</v>
      </c>
      <c r="EH34" s="261">
        <v>0.5</v>
      </c>
      <c r="EI34" s="261">
        <v>0.54166666666666663</v>
      </c>
      <c r="EJ34" s="258" t="str">
        <f t="shared" si="23"/>
        <v>8h</v>
      </c>
      <c r="EK34" s="345"/>
      <c r="EL34" s="345"/>
      <c r="EM34" s="345"/>
      <c r="EO34" s="120"/>
      <c r="EP34" s="123">
        <f t="shared" si="44"/>
        <v>46290</v>
      </c>
      <c r="EQ34" s="124" t="str">
        <f t="shared" si="24"/>
        <v>金</v>
      </c>
      <c r="ER34" s="124" t="s">
        <v>22</v>
      </c>
      <c r="ES34" s="259">
        <v>0.375</v>
      </c>
      <c r="ET34" s="259">
        <v>0.75</v>
      </c>
      <c r="EU34" s="260">
        <v>0.5</v>
      </c>
      <c r="EV34" s="260">
        <v>0.54166666666666663</v>
      </c>
      <c r="EW34" s="126" t="str">
        <f t="shared" si="25"/>
        <v>8h</v>
      </c>
      <c r="EX34" s="261">
        <v>0.375</v>
      </c>
      <c r="EY34" s="261">
        <v>0.75</v>
      </c>
      <c r="EZ34" s="261">
        <v>0.5</v>
      </c>
      <c r="FA34" s="261">
        <v>0.54166666666666663</v>
      </c>
      <c r="FB34" s="258" t="str">
        <f t="shared" si="26"/>
        <v>8h</v>
      </c>
      <c r="FC34" s="345"/>
      <c r="FD34" s="345"/>
      <c r="FE34" s="345"/>
      <c r="FG34" s="120"/>
      <c r="FH34" s="123">
        <f t="shared" si="45"/>
        <v>46320</v>
      </c>
      <c r="FI34" s="124" t="str">
        <f t="shared" si="27"/>
        <v>日</v>
      </c>
      <c r="FJ34" s="124"/>
      <c r="FK34" s="125"/>
      <c r="FL34" s="125"/>
      <c r="FM34" s="109"/>
      <c r="FN34" s="109"/>
      <c r="FO34" s="126" t="str">
        <f t="shared" si="28"/>
        <v/>
      </c>
      <c r="FP34" s="257"/>
      <c r="FQ34" s="257"/>
      <c r="FR34" s="257"/>
      <c r="FS34" s="257"/>
      <c r="FT34" s="258" t="str">
        <f t="shared" si="29"/>
        <v/>
      </c>
      <c r="FU34" s="345"/>
      <c r="FV34" s="345"/>
      <c r="FW34" s="345"/>
      <c r="FY34" s="120"/>
      <c r="FZ34" s="123">
        <f t="shared" si="46"/>
        <v>46351</v>
      </c>
      <c r="GA34" s="124" t="str">
        <f t="shared" si="30"/>
        <v>水</v>
      </c>
      <c r="GB34" s="124" t="s">
        <v>22</v>
      </c>
      <c r="GC34" s="259">
        <v>0.375</v>
      </c>
      <c r="GD34" s="259">
        <v>0.75</v>
      </c>
      <c r="GE34" s="260">
        <v>0.5</v>
      </c>
      <c r="GF34" s="260">
        <v>0.54166666666666663</v>
      </c>
      <c r="GG34" s="126" t="str">
        <f t="shared" si="31"/>
        <v>8h</v>
      </c>
      <c r="GH34" s="261">
        <v>0.375</v>
      </c>
      <c r="GI34" s="261">
        <v>0.75</v>
      </c>
      <c r="GJ34" s="261">
        <v>0.5</v>
      </c>
      <c r="GK34" s="261">
        <v>0.54166666666666663</v>
      </c>
      <c r="GL34" s="258" t="str">
        <f t="shared" si="32"/>
        <v>8h</v>
      </c>
      <c r="GM34" s="345"/>
      <c r="GN34" s="345"/>
      <c r="GO34" s="345"/>
      <c r="GQ34" s="120"/>
      <c r="GR34" s="123">
        <f t="shared" si="47"/>
        <v>46381</v>
      </c>
      <c r="GS34" s="124" t="str">
        <f t="shared" si="33"/>
        <v>金</v>
      </c>
      <c r="GT34" s="124" t="s">
        <v>22</v>
      </c>
      <c r="GU34" s="259">
        <v>0.375</v>
      </c>
      <c r="GV34" s="259">
        <v>0.75</v>
      </c>
      <c r="GW34" s="260">
        <v>0.5</v>
      </c>
      <c r="GX34" s="260">
        <v>0.54166666666666663</v>
      </c>
      <c r="GY34" s="126" t="str">
        <f t="shared" si="34"/>
        <v>8h</v>
      </c>
      <c r="GZ34" s="261">
        <v>0.375</v>
      </c>
      <c r="HA34" s="261">
        <v>0.75</v>
      </c>
      <c r="HB34" s="261">
        <v>0.5</v>
      </c>
      <c r="HC34" s="261">
        <v>0.54166666666666663</v>
      </c>
      <c r="HD34" s="258" t="str">
        <f t="shared" si="35"/>
        <v>8h</v>
      </c>
      <c r="HE34" s="345"/>
      <c r="HF34" s="345"/>
      <c r="HG34" s="345"/>
    </row>
    <row r="35" spans="1:215" x14ac:dyDescent="0.45">
      <c r="A35" s="120"/>
      <c r="B35" s="123">
        <f t="shared" si="36"/>
        <v>46048</v>
      </c>
      <c r="C35" s="124" t="str">
        <f t="shared" si="0"/>
        <v>月</v>
      </c>
      <c r="D35" s="124" t="s">
        <v>22</v>
      </c>
      <c r="E35" s="259">
        <v>0.375</v>
      </c>
      <c r="F35" s="259">
        <v>0.75</v>
      </c>
      <c r="G35" s="260">
        <v>0.5</v>
      </c>
      <c r="H35" s="260">
        <v>0.54166666666666663</v>
      </c>
      <c r="I35" s="126" t="str">
        <f t="shared" si="1"/>
        <v>8h</v>
      </c>
      <c r="J35" s="261">
        <v>0.375</v>
      </c>
      <c r="K35" s="261">
        <v>0.75</v>
      </c>
      <c r="L35" s="261">
        <v>0.5</v>
      </c>
      <c r="M35" s="261">
        <v>0.54166666666666663</v>
      </c>
      <c r="N35" s="258" t="str">
        <f t="shared" si="2"/>
        <v>8h</v>
      </c>
      <c r="O35" s="345"/>
      <c r="P35" s="345"/>
      <c r="Q35" s="345"/>
      <c r="S35" s="120"/>
      <c r="T35" s="123">
        <f t="shared" si="37"/>
        <v>46079</v>
      </c>
      <c r="U35" s="124" t="str">
        <f t="shared" si="3"/>
        <v>木</v>
      </c>
      <c r="V35" s="124" t="s">
        <v>22</v>
      </c>
      <c r="W35" s="259">
        <v>0.375</v>
      </c>
      <c r="X35" s="259">
        <v>0.75</v>
      </c>
      <c r="Y35" s="260">
        <v>0.5</v>
      </c>
      <c r="Z35" s="260">
        <v>0.54166666666666663</v>
      </c>
      <c r="AA35" s="126" t="str">
        <f t="shared" si="4"/>
        <v>8h</v>
      </c>
      <c r="AB35" s="261">
        <v>0.375</v>
      </c>
      <c r="AC35" s="261">
        <v>0.75</v>
      </c>
      <c r="AD35" s="261">
        <v>0.5</v>
      </c>
      <c r="AE35" s="261">
        <v>0.54166666666666663</v>
      </c>
      <c r="AF35" s="258" t="str">
        <f t="shared" si="5"/>
        <v>8h</v>
      </c>
      <c r="AG35" s="345"/>
      <c r="AH35" s="345"/>
      <c r="AI35" s="345"/>
      <c r="AK35" s="120"/>
      <c r="AL35" s="123">
        <f t="shared" si="38"/>
        <v>46107</v>
      </c>
      <c r="AM35" s="124" t="str">
        <f t="shared" si="6"/>
        <v>木</v>
      </c>
      <c r="AN35" s="124" t="s">
        <v>22</v>
      </c>
      <c r="AO35" s="259">
        <v>0.375</v>
      </c>
      <c r="AP35" s="259">
        <v>0.75</v>
      </c>
      <c r="AQ35" s="260">
        <v>0.5</v>
      </c>
      <c r="AR35" s="260">
        <v>0.54166666666666663</v>
      </c>
      <c r="AS35" s="126" t="str">
        <f t="shared" si="7"/>
        <v>8h</v>
      </c>
      <c r="AT35" s="261">
        <v>0.375</v>
      </c>
      <c r="AU35" s="261">
        <v>0.75</v>
      </c>
      <c r="AV35" s="261">
        <v>0.5</v>
      </c>
      <c r="AW35" s="261">
        <v>0.54166666666666663</v>
      </c>
      <c r="AX35" s="258" t="str">
        <f t="shared" si="8"/>
        <v>8h</v>
      </c>
      <c r="AY35" s="345"/>
      <c r="AZ35" s="345"/>
      <c r="BA35" s="345"/>
      <c r="BC35" s="120"/>
      <c r="BD35" s="123">
        <f t="shared" si="39"/>
        <v>46138</v>
      </c>
      <c r="BE35" s="124" t="str">
        <f t="shared" si="9"/>
        <v>日</v>
      </c>
      <c r="BF35" s="124"/>
      <c r="BG35" s="125"/>
      <c r="BH35" s="125"/>
      <c r="BI35" s="109"/>
      <c r="BJ35" s="109"/>
      <c r="BK35" s="126" t="str">
        <f t="shared" si="10"/>
        <v/>
      </c>
      <c r="BL35" s="257"/>
      <c r="BM35" s="257"/>
      <c r="BN35" s="257"/>
      <c r="BO35" s="257"/>
      <c r="BP35" s="258" t="str">
        <f t="shared" si="11"/>
        <v/>
      </c>
      <c r="BQ35" s="345"/>
      <c r="BR35" s="345"/>
      <c r="BS35" s="345"/>
      <c r="BU35" s="120"/>
      <c r="BV35" s="123">
        <f t="shared" si="40"/>
        <v>46168</v>
      </c>
      <c r="BW35" s="124" t="str">
        <f t="shared" si="12"/>
        <v>火</v>
      </c>
      <c r="BX35" s="124" t="s">
        <v>22</v>
      </c>
      <c r="BY35" s="259">
        <v>0.375</v>
      </c>
      <c r="BZ35" s="259">
        <v>0.75</v>
      </c>
      <c r="CA35" s="260">
        <v>0.5</v>
      </c>
      <c r="CB35" s="260">
        <v>0.54166666666666663</v>
      </c>
      <c r="CC35" s="126" t="str">
        <f t="shared" si="13"/>
        <v>8h</v>
      </c>
      <c r="CD35" s="261">
        <v>0.375</v>
      </c>
      <c r="CE35" s="261">
        <v>0.75</v>
      </c>
      <c r="CF35" s="261">
        <v>0.5</v>
      </c>
      <c r="CG35" s="261">
        <v>0.54166666666666663</v>
      </c>
      <c r="CH35" s="258" t="str">
        <f t="shared" si="14"/>
        <v>8h</v>
      </c>
      <c r="CI35" s="345"/>
      <c r="CJ35" s="345"/>
      <c r="CK35" s="345"/>
      <c r="CM35" s="120"/>
      <c r="CN35" s="123">
        <f t="shared" si="41"/>
        <v>46199</v>
      </c>
      <c r="CO35" s="124" t="str">
        <f t="shared" si="15"/>
        <v>金</v>
      </c>
      <c r="CP35" s="124" t="s">
        <v>22</v>
      </c>
      <c r="CQ35" s="259">
        <v>0.375</v>
      </c>
      <c r="CR35" s="259">
        <v>0.75</v>
      </c>
      <c r="CS35" s="260">
        <v>0.5</v>
      </c>
      <c r="CT35" s="260">
        <v>0.54166666666666663</v>
      </c>
      <c r="CU35" s="126" t="str">
        <f t="shared" si="16"/>
        <v>8h</v>
      </c>
      <c r="CV35" s="261">
        <v>0.375</v>
      </c>
      <c r="CW35" s="261">
        <v>0.75</v>
      </c>
      <c r="CX35" s="261">
        <v>0.5</v>
      </c>
      <c r="CY35" s="261">
        <v>0.54166666666666663</v>
      </c>
      <c r="CZ35" s="258" t="str">
        <f t="shared" si="17"/>
        <v>8h</v>
      </c>
      <c r="DA35" s="345"/>
      <c r="DB35" s="345"/>
      <c r="DC35" s="345"/>
      <c r="DE35" s="120"/>
      <c r="DF35" s="123">
        <f t="shared" si="42"/>
        <v>46229</v>
      </c>
      <c r="DG35" s="124" t="str">
        <f t="shared" si="18"/>
        <v>日</v>
      </c>
      <c r="DH35" s="124"/>
      <c r="DI35" s="125"/>
      <c r="DJ35" s="125"/>
      <c r="DK35" s="109"/>
      <c r="DL35" s="109"/>
      <c r="DM35" s="126" t="str">
        <f t="shared" si="19"/>
        <v/>
      </c>
      <c r="DN35" s="257"/>
      <c r="DO35" s="257"/>
      <c r="DP35" s="257"/>
      <c r="DQ35" s="257"/>
      <c r="DR35" s="258" t="str">
        <f t="shared" si="20"/>
        <v/>
      </c>
      <c r="DS35" s="345"/>
      <c r="DT35" s="345"/>
      <c r="DU35" s="345"/>
      <c r="DW35" s="120"/>
      <c r="DX35" s="123">
        <f t="shared" si="43"/>
        <v>46260</v>
      </c>
      <c r="DY35" s="124" t="str">
        <f t="shared" si="21"/>
        <v>水</v>
      </c>
      <c r="DZ35" s="124" t="s">
        <v>22</v>
      </c>
      <c r="EA35" s="259">
        <v>0.375</v>
      </c>
      <c r="EB35" s="259">
        <v>0.75</v>
      </c>
      <c r="EC35" s="260">
        <v>0.5</v>
      </c>
      <c r="ED35" s="260">
        <v>0.54166666666666663</v>
      </c>
      <c r="EE35" s="126" t="str">
        <f t="shared" si="22"/>
        <v>8h</v>
      </c>
      <c r="EF35" s="261">
        <v>0.375</v>
      </c>
      <c r="EG35" s="261">
        <v>0.75</v>
      </c>
      <c r="EH35" s="261">
        <v>0.5</v>
      </c>
      <c r="EI35" s="261">
        <v>0.54166666666666663</v>
      </c>
      <c r="EJ35" s="258" t="str">
        <f t="shared" si="23"/>
        <v>8h</v>
      </c>
      <c r="EK35" s="345"/>
      <c r="EL35" s="345"/>
      <c r="EM35" s="345"/>
      <c r="EO35" s="120"/>
      <c r="EP35" s="123">
        <f t="shared" si="44"/>
        <v>46291</v>
      </c>
      <c r="EQ35" s="124" t="str">
        <f t="shared" si="24"/>
        <v>土</v>
      </c>
      <c r="ER35" s="124"/>
      <c r="ES35" s="125"/>
      <c r="ET35" s="125"/>
      <c r="EU35" s="109"/>
      <c r="EV35" s="109"/>
      <c r="EW35" s="126" t="str">
        <f t="shared" si="25"/>
        <v/>
      </c>
      <c r="EX35" s="257"/>
      <c r="EY35" s="257"/>
      <c r="EZ35" s="257"/>
      <c r="FA35" s="257"/>
      <c r="FB35" s="258" t="str">
        <f t="shared" si="26"/>
        <v/>
      </c>
      <c r="FC35" s="345"/>
      <c r="FD35" s="345"/>
      <c r="FE35" s="345"/>
      <c r="FG35" s="120"/>
      <c r="FH35" s="123">
        <f t="shared" si="45"/>
        <v>46321</v>
      </c>
      <c r="FI35" s="124" t="str">
        <f t="shared" si="27"/>
        <v>月</v>
      </c>
      <c r="FJ35" s="124" t="s">
        <v>22</v>
      </c>
      <c r="FK35" s="259">
        <v>0.375</v>
      </c>
      <c r="FL35" s="259">
        <v>0.75</v>
      </c>
      <c r="FM35" s="260">
        <v>0.5</v>
      </c>
      <c r="FN35" s="260">
        <v>0.54166666666666663</v>
      </c>
      <c r="FO35" s="126" t="str">
        <f t="shared" si="28"/>
        <v>8h</v>
      </c>
      <c r="FP35" s="261">
        <v>0.375</v>
      </c>
      <c r="FQ35" s="261">
        <v>0.75</v>
      </c>
      <c r="FR35" s="261">
        <v>0.5</v>
      </c>
      <c r="FS35" s="261">
        <v>0.54166666666666663</v>
      </c>
      <c r="FT35" s="258" t="str">
        <f t="shared" si="29"/>
        <v>8h</v>
      </c>
      <c r="FU35" s="345"/>
      <c r="FV35" s="345"/>
      <c r="FW35" s="345"/>
      <c r="FY35" s="120"/>
      <c r="FZ35" s="123">
        <f t="shared" si="46"/>
        <v>46352</v>
      </c>
      <c r="GA35" s="124" t="str">
        <f t="shared" si="30"/>
        <v>木</v>
      </c>
      <c r="GB35" s="124" t="s">
        <v>22</v>
      </c>
      <c r="GC35" s="259">
        <v>0.375</v>
      </c>
      <c r="GD35" s="259">
        <v>0.75</v>
      </c>
      <c r="GE35" s="260">
        <v>0.5</v>
      </c>
      <c r="GF35" s="260">
        <v>0.54166666666666663</v>
      </c>
      <c r="GG35" s="126" t="str">
        <f t="shared" si="31"/>
        <v>8h</v>
      </c>
      <c r="GH35" s="261">
        <v>0.375</v>
      </c>
      <c r="GI35" s="261">
        <v>0.75</v>
      </c>
      <c r="GJ35" s="261">
        <v>0.5</v>
      </c>
      <c r="GK35" s="261">
        <v>0.54166666666666663</v>
      </c>
      <c r="GL35" s="258" t="str">
        <f t="shared" si="32"/>
        <v>8h</v>
      </c>
      <c r="GM35" s="345"/>
      <c r="GN35" s="345"/>
      <c r="GO35" s="345"/>
      <c r="GQ35" s="120"/>
      <c r="GR35" s="123">
        <f t="shared" si="47"/>
        <v>46382</v>
      </c>
      <c r="GS35" s="124" t="str">
        <f t="shared" si="33"/>
        <v>土</v>
      </c>
      <c r="GT35" s="124"/>
      <c r="GU35" s="125"/>
      <c r="GV35" s="125"/>
      <c r="GW35" s="109"/>
      <c r="GX35" s="109"/>
      <c r="GY35" s="126" t="str">
        <f t="shared" si="34"/>
        <v/>
      </c>
      <c r="GZ35" s="257"/>
      <c r="HA35" s="257"/>
      <c r="HB35" s="257"/>
      <c r="HC35" s="257"/>
      <c r="HD35" s="258" t="str">
        <f t="shared" si="35"/>
        <v/>
      </c>
      <c r="HE35" s="345"/>
      <c r="HF35" s="345"/>
      <c r="HG35" s="345"/>
    </row>
    <row r="36" spans="1:215" x14ac:dyDescent="0.45">
      <c r="A36" s="120"/>
      <c r="B36" s="123">
        <f t="shared" si="36"/>
        <v>46049</v>
      </c>
      <c r="C36" s="124" t="str">
        <f t="shared" si="0"/>
        <v>火</v>
      </c>
      <c r="D36" s="124" t="s">
        <v>22</v>
      </c>
      <c r="E36" s="259">
        <v>0.375</v>
      </c>
      <c r="F36" s="259">
        <v>0.75</v>
      </c>
      <c r="G36" s="260">
        <v>0.5</v>
      </c>
      <c r="H36" s="260">
        <v>0.54166666666666663</v>
      </c>
      <c r="I36" s="126" t="str">
        <f t="shared" si="1"/>
        <v>8h</v>
      </c>
      <c r="J36" s="261">
        <v>0.375</v>
      </c>
      <c r="K36" s="261">
        <v>0.75</v>
      </c>
      <c r="L36" s="261">
        <v>0.5</v>
      </c>
      <c r="M36" s="261">
        <v>0.54166666666666663</v>
      </c>
      <c r="N36" s="258" t="str">
        <f t="shared" si="2"/>
        <v>8h</v>
      </c>
      <c r="O36" s="345"/>
      <c r="P36" s="345"/>
      <c r="Q36" s="345"/>
      <c r="S36" s="120"/>
      <c r="T36" s="123">
        <f t="shared" si="37"/>
        <v>46080</v>
      </c>
      <c r="U36" s="124" t="str">
        <f t="shared" si="3"/>
        <v>金</v>
      </c>
      <c r="V36" s="124" t="s">
        <v>22</v>
      </c>
      <c r="W36" s="259">
        <v>0.375</v>
      </c>
      <c r="X36" s="259">
        <v>0.75</v>
      </c>
      <c r="Y36" s="260">
        <v>0.5</v>
      </c>
      <c r="Z36" s="260">
        <v>0.54166666666666663</v>
      </c>
      <c r="AA36" s="126" t="str">
        <f t="shared" si="4"/>
        <v>8h</v>
      </c>
      <c r="AB36" s="261">
        <v>0.375</v>
      </c>
      <c r="AC36" s="261">
        <v>0.75</v>
      </c>
      <c r="AD36" s="261">
        <v>0.5</v>
      </c>
      <c r="AE36" s="261">
        <v>0.54166666666666663</v>
      </c>
      <c r="AF36" s="258" t="str">
        <f t="shared" si="5"/>
        <v>8h</v>
      </c>
      <c r="AG36" s="345"/>
      <c r="AH36" s="345"/>
      <c r="AI36" s="345"/>
      <c r="AK36" s="120"/>
      <c r="AL36" s="123">
        <f t="shared" si="38"/>
        <v>46108</v>
      </c>
      <c r="AM36" s="124" t="str">
        <f t="shared" si="6"/>
        <v>金</v>
      </c>
      <c r="AN36" s="124" t="s">
        <v>22</v>
      </c>
      <c r="AO36" s="259">
        <v>0.375</v>
      </c>
      <c r="AP36" s="259">
        <v>0.75</v>
      </c>
      <c r="AQ36" s="260">
        <v>0.5</v>
      </c>
      <c r="AR36" s="260">
        <v>0.54166666666666663</v>
      </c>
      <c r="AS36" s="126" t="str">
        <f t="shared" si="7"/>
        <v>8h</v>
      </c>
      <c r="AT36" s="261">
        <v>0.375</v>
      </c>
      <c r="AU36" s="261">
        <v>0.75</v>
      </c>
      <c r="AV36" s="261">
        <v>0.5</v>
      </c>
      <c r="AW36" s="261">
        <v>0.54166666666666663</v>
      </c>
      <c r="AX36" s="258" t="str">
        <f t="shared" si="8"/>
        <v>8h</v>
      </c>
      <c r="AY36" s="345"/>
      <c r="AZ36" s="345"/>
      <c r="BA36" s="345"/>
      <c r="BC36" s="120"/>
      <c r="BD36" s="123">
        <f t="shared" si="39"/>
        <v>46139</v>
      </c>
      <c r="BE36" s="124" t="str">
        <f t="shared" si="9"/>
        <v>月</v>
      </c>
      <c r="BF36" s="124" t="s">
        <v>22</v>
      </c>
      <c r="BG36" s="259">
        <v>0.375</v>
      </c>
      <c r="BH36" s="259">
        <v>0.75</v>
      </c>
      <c r="BI36" s="260">
        <v>0.5</v>
      </c>
      <c r="BJ36" s="260">
        <v>0.54166666666666663</v>
      </c>
      <c r="BK36" s="126" t="str">
        <f t="shared" si="10"/>
        <v>8h</v>
      </c>
      <c r="BL36" s="261">
        <v>0.375</v>
      </c>
      <c r="BM36" s="261">
        <v>0.75</v>
      </c>
      <c r="BN36" s="261">
        <v>0.5</v>
      </c>
      <c r="BO36" s="261">
        <v>0.54166666666666663</v>
      </c>
      <c r="BP36" s="258" t="str">
        <f t="shared" si="11"/>
        <v>8h</v>
      </c>
      <c r="BQ36" s="345"/>
      <c r="BR36" s="345"/>
      <c r="BS36" s="345"/>
      <c r="BU36" s="120"/>
      <c r="BV36" s="123">
        <f t="shared" si="40"/>
        <v>46169</v>
      </c>
      <c r="BW36" s="124" t="str">
        <f t="shared" si="12"/>
        <v>水</v>
      </c>
      <c r="BX36" s="124" t="s">
        <v>22</v>
      </c>
      <c r="BY36" s="259">
        <v>0.375</v>
      </c>
      <c r="BZ36" s="259">
        <v>0.75</v>
      </c>
      <c r="CA36" s="260">
        <v>0.5</v>
      </c>
      <c r="CB36" s="260">
        <v>0.54166666666666663</v>
      </c>
      <c r="CC36" s="126" t="str">
        <f t="shared" si="13"/>
        <v>8h</v>
      </c>
      <c r="CD36" s="261">
        <v>0.375</v>
      </c>
      <c r="CE36" s="261">
        <v>0.75</v>
      </c>
      <c r="CF36" s="261">
        <v>0.5</v>
      </c>
      <c r="CG36" s="261">
        <v>0.54166666666666663</v>
      </c>
      <c r="CH36" s="258" t="str">
        <f t="shared" si="14"/>
        <v>8h</v>
      </c>
      <c r="CI36" s="345"/>
      <c r="CJ36" s="345"/>
      <c r="CK36" s="345"/>
      <c r="CM36" s="120"/>
      <c r="CN36" s="123">
        <f t="shared" si="41"/>
        <v>46200</v>
      </c>
      <c r="CO36" s="124" t="str">
        <f t="shared" si="15"/>
        <v>土</v>
      </c>
      <c r="CP36" s="124"/>
      <c r="CQ36" s="125"/>
      <c r="CR36" s="125"/>
      <c r="CS36" s="109"/>
      <c r="CT36" s="109"/>
      <c r="CU36" s="126" t="str">
        <f t="shared" si="16"/>
        <v/>
      </c>
      <c r="CV36" s="257"/>
      <c r="CW36" s="257"/>
      <c r="CX36" s="257"/>
      <c r="CY36" s="257"/>
      <c r="CZ36" s="258" t="str">
        <f t="shared" si="17"/>
        <v/>
      </c>
      <c r="DA36" s="345"/>
      <c r="DB36" s="345"/>
      <c r="DC36" s="345"/>
      <c r="DE36" s="120"/>
      <c r="DF36" s="123">
        <f t="shared" si="42"/>
        <v>46230</v>
      </c>
      <c r="DG36" s="124" t="str">
        <f t="shared" si="18"/>
        <v>月</v>
      </c>
      <c r="DH36" s="124" t="s">
        <v>22</v>
      </c>
      <c r="DI36" s="259">
        <v>0.375</v>
      </c>
      <c r="DJ36" s="259">
        <v>0.75</v>
      </c>
      <c r="DK36" s="260">
        <v>0.5</v>
      </c>
      <c r="DL36" s="260">
        <v>0.54166666666666663</v>
      </c>
      <c r="DM36" s="126" t="str">
        <f t="shared" si="19"/>
        <v>8h</v>
      </c>
      <c r="DN36" s="261">
        <v>0.375</v>
      </c>
      <c r="DO36" s="261">
        <v>0.75</v>
      </c>
      <c r="DP36" s="261">
        <v>0.5</v>
      </c>
      <c r="DQ36" s="261">
        <v>0.54166666666666663</v>
      </c>
      <c r="DR36" s="258" t="str">
        <f t="shared" si="20"/>
        <v>8h</v>
      </c>
      <c r="DS36" s="345"/>
      <c r="DT36" s="345"/>
      <c r="DU36" s="345"/>
      <c r="DW36" s="120"/>
      <c r="DX36" s="123">
        <f t="shared" si="43"/>
        <v>46261</v>
      </c>
      <c r="DY36" s="124" t="str">
        <f t="shared" si="21"/>
        <v>木</v>
      </c>
      <c r="DZ36" s="124" t="s">
        <v>22</v>
      </c>
      <c r="EA36" s="259">
        <v>0.375</v>
      </c>
      <c r="EB36" s="259">
        <v>0.75</v>
      </c>
      <c r="EC36" s="260">
        <v>0.5</v>
      </c>
      <c r="ED36" s="260">
        <v>0.54166666666666663</v>
      </c>
      <c r="EE36" s="126" t="str">
        <f t="shared" si="22"/>
        <v>8h</v>
      </c>
      <c r="EF36" s="261">
        <v>0.375</v>
      </c>
      <c r="EG36" s="261">
        <v>0.75</v>
      </c>
      <c r="EH36" s="261">
        <v>0.5</v>
      </c>
      <c r="EI36" s="261">
        <v>0.54166666666666663</v>
      </c>
      <c r="EJ36" s="258" t="str">
        <f t="shared" si="23"/>
        <v>8h</v>
      </c>
      <c r="EK36" s="345"/>
      <c r="EL36" s="345"/>
      <c r="EM36" s="345"/>
      <c r="EO36" s="120"/>
      <c r="EP36" s="123">
        <f t="shared" si="44"/>
        <v>46292</v>
      </c>
      <c r="EQ36" s="124" t="str">
        <f t="shared" si="24"/>
        <v>日</v>
      </c>
      <c r="ER36" s="124"/>
      <c r="ES36" s="125"/>
      <c r="ET36" s="125"/>
      <c r="EU36" s="109"/>
      <c r="EV36" s="109"/>
      <c r="EW36" s="126" t="str">
        <f t="shared" si="25"/>
        <v/>
      </c>
      <c r="EX36" s="257"/>
      <c r="EY36" s="257"/>
      <c r="EZ36" s="257"/>
      <c r="FA36" s="257"/>
      <c r="FB36" s="258" t="str">
        <f t="shared" si="26"/>
        <v/>
      </c>
      <c r="FC36" s="345"/>
      <c r="FD36" s="345"/>
      <c r="FE36" s="345"/>
      <c r="FG36" s="120"/>
      <c r="FH36" s="123">
        <f t="shared" si="45"/>
        <v>46322</v>
      </c>
      <c r="FI36" s="124" t="str">
        <f t="shared" si="27"/>
        <v>火</v>
      </c>
      <c r="FJ36" s="124" t="s">
        <v>22</v>
      </c>
      <c r="FK36" s="259">
        <v>0.375</v>
      </c>
      <c r="FL36" s="259">
        <v>0.75</v>
      </c>
      <c r="FM36" s="260">
        <v>0.5</v>
      </c>
      <c r="FN36" s="260">
        <v>0.54166666666666663</v>
      </c>
      <c r="FO36" s="126" t="str">
        <f t="shared" si="28"/>
        <v>8h</v>
      </c>
      <c r="FP36" s="261">
        <v>0.375</v>
      </c>
      <c r="FQ36" s="261">
        <v>0.75</v>
      </c>
      <c r="FR36" s="261">
        <v>0.5</v>
      </c>
      <c r="FS36" s="261">
        <v>0.54166666666666663</v>
      </c>
      <c r="FT36" s="258" t="str">
        <f t="shared" si="29"/>
        <v>8h</v>
      </c>
      <c r="FU36" s="345"/>
      <c r="FV36" s="345"/>
      <c r="FW36" s="345"/>
      <c r="FY36" s="120"/>
      <c r="FZ36" s="123">
        <f t="shared" si="46"/>
        <v>46353</v>
      </c>
      <c r="GA36" s="124" t="str">
        <f t="shared" si="30"/>
        <v>金</v>
      </c>
      <c r="GB36" s="124" t="s">
        <v>22</v>
      </c>
      <c r="GC36" s="259">
        <v>0.375</v>
      </c>
      <c r="GD36" s="259">
        <v>0.75</v>
      </c>
      <c r="GE36" s="260">
        <v>0.5</v>
      </c>
      <c r="GF36" s="260">
        <v>0.54166666666666663</v>
      </c>
      <c r="GG36" s="126" t="str">
        <f t="shared" si="31"/>
        <v>8h</v>
      </c>
      <c r="GH36" s="261">
        <v>0.375</v>
      </c>
      <c r="GI36" s="261">
        <v>0.75</v>
      </c>
      <c r="GJ36" s="261">
        <v>0.5</v>
      </c>
      <c r="GK36" s="261">
        <v>0.54166666666666663</v>
      </c>
      <c r="GL36" s="258" t="str">
        <f t="shared" si="32"/>
        <v>8h</v>
      </c>
      <c r="GM36" s="345"/>
      <c r="GN36" s="345"/>
      <c r="GO36" s="345"/>
      <c r="GQ36" s="120"/>
      <c r="GR36" s="123">
        <f t="shared" si="47"/>
        <v>46383</v>
      </c>
      <c r="GS36" s="124" t="str">
        <f t="shared" si="33"/>
        <v>日</v>
      </c>
      <c r="GT36" s="124"/>
      <c r="GU36" s="125"/>
      <c r="GV36" s="125"/>
      <c r="GW36" s="109"/>
      <c r="GX36" s="109"/>
      <c r="GY36" s="126" t="str">
        <f t="shared" si="34"/>
        <v/>
      </c>
      <c r="GZ36" s="257"/>
      <c r="HA36" s="257"/>
      <c r="HB36" s="257"/>
      <c r="HC36" s="257"/>
      <c r="HD36" s="258" t="str">
        <f t="shared" si="35"/>
        <v/>
      </c>
      <c r="HE36" s="345"/>
      <c r="HF36" s="345"/>
      <c r="HG36" s="345"/>
    </row>
    <row r="37" spans="1:215" x14ac:dyDescent="0.45">
      <c r="A37" s="120"/>
      <c r="B37" s="123">
        <f t="shared" si="36"/>
        <v>46050</v>
      </c>
      <c r="C37" s="124" t="str">
        <f t="shared" si="0"/>
        <v>水</v>
      </c>
      <c r="D37" s="124" t="s">
        <v>22</v>
      </c>
      <c r="E37" s="259">
        <v>0.375</v>
      </c>
      <c r="F37" s="259">
        <v>0.75</v>
      </c>
      <c r="G37" s="260">
        <v>0.5</v>
      </c>
      <c r="H37" s="260">
        <v>0.54166666666666663</v>
      </c>
      <c r="I37" s="126" t="str">
        <f t="shared" si="1"/>
        <v>8h</v>
      </c>
      <c r="J37" s="261">
        <v>0.375</v>
      </c>
      <c r="K37" s="261">
        <v>0.75</v>
      </c>
      <c r="L37" s="261">
        <v>0.5</v>
      </c>
      <c r="M37" s="261">
        <v>0.54166666666666663</v>
      </c>
      <c r="N37" s="258" t="str">
        <f t="shared" si="2"/>
        <v>8h</v>
      </c>
      <c r="O37" s="345"/>
      <c r="P37" s="345"/>
      <c r="Q37" s="345"/>
      <c r="S37" s="120"/>
      <c r="T37" s="123">
        <f t="shared" si="37"/>
        <v>46081</v>
      </c>
      <c r="U37" s="124" t="str">
        <f t="shared" si="3"/>
        <v>土</v>
      </c>
      <c r="V37" s="124"/>
      <c r="W37" s="125"/>
      <c r="X37" s="125"/>
      <c r="Y37" s="109"/>
      <c r="Z37" s="109"/>
      <c r="AA37" s="126" t="str">
        <f t="shared" si="4"/>
        <v/>
      </c>
      <c r="AB37" s="257"/>
      <c r="AC37" s="257"/>
      <c r="AD37" s="257"/>
      <c r="AE37" s="257"/>
      <c r="AF37" s="258" t="str">
        <f t="shared" si="5"/>
        <v/>
      </c>
      <c r="AG37" s="345"/>
      <c r="AH37" s="345"/>
      <c r="AI37" s="345"/>
      <c r="AK37" s="120"/>
      <c r="AL37" s="123">
        <f t="shared" si="38"/>
        <v>46109</v>
      </c>
      <c r="AM37" s="124" t="str">
        <f t="shared" si="6"/>
        <v>土</v>
      </c>
      <c r="AN37" s="124"/>
      <c r="AO37" s="125"/>
      <c r="AP37" s="125"/>
      <c r="AQ37" s="109"/>
      <c r="AR37" s="109"/>
      <c r="AS37" s="126" t="str">
        <f t="shared" si="7"/>
        <v/>
      </c>
      <c r="AT37" s="257"/>
      <c r="AU37" s="257"/>
      <c r="AV37" s="257"/>
      <c r="AW37" s="257"/>
      <c r="AX37" s="258" t="str">
        <f t="shared" si="8"/>
        <v/>
      </c>
      <c r="AY37" s="345"/>
      <c r="AZ37" s="345"/>
      <c r="BA37" s="345"/>
      <c r="BC37" s="120"/>
      <c r="BD37" s="123">
        <f t="shared" si="39"/>
        <v>46140</v>
      </c>
      <c r="BE37" s="124" t="str">
        <f t="shared" si="9"/>
        <v>火</v>
      </c>
      <c r="BF37" s="124" t="s">
        <v>22</v>
      </c>
      <c r="BG37" s="259">
        <v>0.375</v>
      </c>
      <c r="BH37" s="259">
        <v>0.75</v>
      </c>
      <c r="BI37" s="260">
        <v>0.5</v>
      </c>
      <c r="BJ37" s="260">
        <v>0.54166666666666663</v>
      </c>
      <c r="BK37" s="126" t="str">
        <f t="shared" si="10"/>
        <v>8h</v>
      </c>
      <c r="BL37" s="261">
        <v>0.375</v>
      </c>
      <c r="BM37" s="261">
        <v>0.75</v>
      </c>
      <c r="BN37" s="261">
        <v>0.5</v>
      </c>
      <c r="BO37" s="261">
        <v>0.54166666666666663</v>
      </c>
      <c r="BP37" s="258" t="str">
        <f t="shared" si="11"/>
        <v>8h</v>
      </c>
      <c r="BQ37" s="345"/>
      <c r="BR37" s="345"/>
      <c r="BS37" s="345"/>
      <c r="BU37" s="120"/>
      <c r="BV37" s="123">
        <f t="shared" si="40"/>
        <v>46170</v>
      </c>
      <c r="BW37" s="124" t="str">
        <f t="shared" si="12"/>
        <v>木</v>
      </c>
      <c r="BX37" s="124" t="s">
        <v>22</v>
      </c>
      <c r="BY37" s="259">
        <v>0.375</v>
      </c>
      <c r="BZ37" s="259">
        <v>0.75</v>
      </c>
      <c r="CA37" s="260">
        <v>0.5</v>
      </c>
      <c r="CB37" s="260">
        <v>0.54166666666666663</v>
      </c>
      <c r="CC37" s="126" t="str">
        <f t="shared" si="13"/>
        <v>8h</v>
      </c>
      <c r="CD37" s="261">
        <v>0.375</v>
      </c>
      <c r="CE37" s="261">
        <v>0.75</v>
      </c>
      <c r="CF37" s="261">
        <v>0.5</v>
      </c>
      <c r="CG37" s="261">
        <v>0.54166666666666663</v>
      </c>
      <c r="CH37" s="258" t="str">
        <f t="shared" si="14"/>
        <v>8h</v>
      </c>
      <c r="CI37" s="345"/>
      <c r="CJ37" s="345"/>
      <c r="CK37" s="345"/>
      <c r="CM37" s="120"/>
      <c r="CN37" s="123">
        <f t="shared" si="41"/>
        <v>46201</v>
      </c>
      <c r="CO37" s="124" t="str">
        <f t="shared" si="15"/>
        <v>日</v>
      </c>
      <c r="CP37" s="124"/>
      <c r="CQ37" s="125"/>
      <c r="CR37" s="125"/>
      <c r="CS37" s="109"/>
      <c r="CT37" s="109"/>
      <c r="CU37" s="126" t="str">
        <f t="shared" si="16"/>
        <v/>
      </c>
      <c r="CV37" s="257"/>
      <c r="CW37" s="257"/>
      <c r="CX37" s="257"/>
      <c r="CY37" s="257"/>
      <c r="CZ37" s="258" t="str">
        <f t="shared" si="17"/>
        <v/>
      </c>
      <c r="DA37" s="345"/>
      <c r="DB37" s="345"/>
      <c r="DC37" s="345"/>
      <c r="DE37" s="120"/>
      <c r="DF37" s="123">
        <f t="shared" si="42"/>
        <v>46231</v>
      </c>
      <c r="DG37" s="124" t="str">
        <f t="shared" si="18"/>
        <v>火</v>
      </c>
      <c r="DH37" s="124" t="s">
        <v>22</v>
      </c>
      <c r="DI37" s="259">
        <v>0.375</v>
      </c>
      <c r="DJ37" s="259">
        <v>0.75</v>
      </c>
      <c r="DK37" s="260">
        <v>0.5</v>
      </c>
      <c r="DL37" s="260">
        <v>0.54166666666666663</v>
      </c>
      <c r="DM37" s="126" t="str">
        <f t="shared" si="19"/>
        <v>8h</v>
      </c>
      <c r="DN37" s="261">
        <v>0.375</v>
      </c>
      <c r="DO37" s="261">
        <v>0.75</v>
      </c>
      <c r="DP37" s="261">
        <v>0.5</v>
      </c>
      <c r="DQ37" s="261">
        <v>0.54166666666666663</v>
      </c>
      <c r="DR37" s="258" t="str">
        <f t="shared" si="20"/>
        <v>8h</v>
      </c>
      <c r="DS37" s="345"/>
      <c r="DT37" s="345"/>
      <c r="DU37" s="345"/>
      <c r="DW37" s="120"/>
      <c r="DX37" s="123">
        <f t="shared" si="43"/>
        <v>46262</v>
      </c>
      <c r="DY37" s="124" t="str">
        <f t="shared" si="21"/>
        <v>金</v>
      </c>
      <c r="DZ37" s="124" t="s">
        <v>22</v>
      </c>
      <c r="EA37" s="259">
        <v>0.375</v>
      </c>
      <c r="EB37" s="259">
        <v>0.75</v>
      </c>
      <c r="EC37" s="260">
        <v>0.5</v>
      </c>
      <c r="ED37" s="260">
        <v>0.54166666666666663</v>
      </c>
      <c r="EE37" s="126" t="str">
        <f t="shared" si="22"/>
        <v>8h</v>
      </c>
      <c r="EF37" s="261">
        <v>0.375</v>
      </c>
      <c r="EG37" s="261">
        <v>0.75</v>
      </c>
      <c r="EH37" s="261">
        <v>0.5</v>
      </c>
      <c r="EI37" s="261">
        <v>0.54166666666666663</v>
      </c>
      <c r="EJ37" s="258" t="str">
        <f t="shared" si="23"/>
        <v>8h</v>
      </c>
      <c r="EK37" s="345"/>
      <c r="EL37" s="345"/>
      <c r="EM37" s="345"/>
      <c r="EO37" s="120"/>
      <c r="EP37" s="123">
        <f t="shared" si="44"/>
        <v>46293</v>
      </c>
      <c r="EQ37" s="124" t="str">
        <f t="shared" si="24"/>
        <v>月</v>
      </c>
      <c r="ER37" s="124" t="s">
        <v>22</v>
      </c>
      <c r="ES37" s="259">
        <v>0.375</v>
      </c>
      <c r="ET37" s="259">
        <v>0.75</v>
      </c>
      <c r="EU37" s="260">
        <v>0.5</v>
      </c>
      <c r="EV37" s="260">
        <v>0.54166666666666663</v>
      </c>
      <c r="EW37" s="126" t="str">
        <f t="shared" si="25"/>
        <v>8h</v>
      </c>
      <c r="EX37" s="261">
        <v>0.375</v>
      </c>
      <c r="EY37" s="261">
        <v>0.75</v>
      </c>
      <c r="EZ37" s="261">
        <v>0.5</v>
      </c>
      <c r="FA37" s="261">
        <v>0.54166666666666663</v>
      </c>
      <c r="FB37" s="258" t="str">
        <f t="shared" si="26"/>
        <v>8h</v>
      </c>
      <c r="FC37" s="345"/>
      <c r="FD37" s="345"/>
      <c r="FE37" s="345"/>
      <c r="FG37" s="120"/>
      <c r="FH37" s="123">
        <f t="shared" si="45"/>
        <v>46323</v>
      </c>
      <c r="FI37" s="124" t="str">
        <f t="shared" si="27"/>
        <v>水</v>
      </c>
      <c r="FJ37" s="124" t="s">
        <v>22</v>
      </c>
      <c r="FK37" s="259">
        <v>0.375</v>
      </c>
      <c r="FL37" s="259">
        <v>0.75</v>
      </c>
      <c r="FM37" s="260">
        <v>0.5</v>
      </c>
      <c r="FN37" s="260">
        <v>0.54166666666666663</v>
      </c>
      <c r="FO37" s="126" t="str">
        <f t="shared" si="28"/>
        <v>8h</v>
      </c>
      <c r="FP37" s="261">
        <v>0.375</v>
      </c>
      <c r="FQ37" s="261">
        <v>0.75</v>
      </c>
      <c r="FR37" s="261">
        <v>0.5</v>
      </c>
      <c r="FS37" s="261">
        <v>0.54166666666666663</v>
      </c>
      <c r="FT37" s="258" t="str">
        <f t="shared" si="29"/>
        <v>8h</v>
      </c>
      <c r="FU37" s="345"/>
      <c r="FV37" s="345"/>
      <c r="FW37" s="345"/>
      <c r="FY37" s="120"/>
      <c r="FZ37" s="123">
        <f t="shared" si="46"/>
        <v>46354</v>
      </c>
      <c r="GA37" s="124" t="str">
        <f t="shared" si="30"/>
        <v>土</v>
      </c>
      <c r="GB37" s="124"/>
      <c r="GC37" s="125"/>
      <c r="GD37" s="125"/>
      <c r="GE37" s="109"/>
      <c r="GF37" s="109"/>
      <c r="GG37" s="126" t="str">
        <f t="shared" si="31"/>
        <v/>
      </c>
      <c r="GH37" s="257"/>
      <c r="GI37" s="257"/>
      <c r="GJ37" s="257"/>
      <c r="GK37" s="257"/>
      <c r="GL37" s="258" t="str">
        <f t="shared" si="32"/>
        <v/>
      </c>
      <c r="GM37" s="345"/>
      <c r="GN37" s="345"/>
      <c r="GO37" s="345"/>
      <c r="GQ37" s="120"/>
      <c r="GR37" s="123">
        <f t="shared" si="47"/>
        <v>46384</v>
      </c>
      <c r="GS37" s="124" t="str">
        <f t="shared" si="33"/>
        <v>月</v>
      </c>
      <c r="GT37" s="124" t="s">
        <v>22</v>
      </c>
      <c r="GU37" s="259">
        <v>0.375</v>
      </c>
      <c r="GV37" s="259">
        <v>0.75</v>
      </c>
      <c r="GW37" s="260">
        <v>0.5</v>
      </c>
      <c r="GX37" s="260">
        <v>0.54166666666666663</v>
      </c>
      <c r="GY37" s="126" t="str">
        <f t="shared" si="34"/>
        <v>8h</v>
      </c>
      <c r="GZ37" s="261">
        <v>0.375</v>
      </c>
      <c r="HA37" s="261">
        <v>0.75</v>
      </c>
      <c r="HB37" s="261">
        <v>0.5</v>
      </c>
      <c r="HC37" s="261">
        <v>0.54166666666666663</v>
      </c>
      <c r="HD37" s="258" t="str">
        <f t="shared" si="35"/>
        <v>8h</v>
      </c>
      <c r="HE37" s="345"/>
      <c r="HF37" s="345"/>
      <c r="HG37" s="345"/>
    </row>
    <row r="38" spans="1:215" x14ac:dyDescent="0.45">
      <c r="A38" s="120"/>
      <c r="B38" s="123">
        <f t="shared" si="36"/>
        <v>46051</v>
      </c>
      <c r="C38" s="124" t="str">
        <f t="shared" si="0"/>
        <v>木</v>
      </c>
      <c r="D38" s="124" t="s">
        <v>22</v>
      </c>
      <c r="E38" s="259">
        <v>0.375</v>
      </c>
      <c r="F38" s="259">
        <v>0.75</v>
      </c>
      <c r="G38" s="260">
        <v>0.5</v>
      </c>
      <c r="H38" s="260">
        <v>0.54166666666666663</v>
      </c>
      <c r="I38" s="126" t="str">
        <f t="shared" si="1"/>
        <v>8h</v>
      </c>
      <c r="J38" s="261">
        <v>0.375</v>
      </c>
      <c r="K38" s="261">
        <v>0.75</v>
      </c>
      <c r="L38" s="261">
        <v>0.5</v>
      </c>
      <c r="M38" s="261">
        <v>0.54166666666666663</v>
      </c>
      <c r="N38" s="258" t="str">
        <f t="shared" si="2"/>
        <v>8h</v>
      </c>
      <c r="O38" s="345"/>
      <c r="P38" s="345"/>
      <c r="Q38" s="345"/>
      <c r="S38" s="120"/>
      <c r="T38" s="123" t="str">
        <f t="shared" si="37"/>
        <v/>
      </c>
      <c r="U38" s="124" t="str">
        <f t="shared" si="3"/>
        <v/>
      </c>
      <c r="V38" s="124"/>
      <c r="W38" s="125"/>
      <c r="X38" s="125"/>
      <c r="Y38" s="109"/>
      <c r="Z38" s="109"/>
      <c r="AA38" s="126" t="str">
        <f t="shared" si="4"/>
        <v/>
      </c>
      <c r="AB38" s="257"/>
      <c r="AC38" s="257"/>
      <c r="AD38" s="257"/>
      <c r="AE38" s="257"/>
      <c r="AF38" s="258" t="str">
        <f t="shared" si="5"/>
        <v/>
      </c>
      <c r="AG38" s="345"/>
      <c r="AH38" s="345"/>
      <c r="AI38" s="345"/>
      <c r="AK38" s="120"/>
      <c r="AL38" s="123">
        <f t="shared" si="38"/>
        <v>46110</v>
      </c>
      <c r="AM38" s="124" t="str">
        <f t="shared" si="6"/>
        <v>日</v>
      </c>
      <c r="AN38" s="124"/>
      <c r="AO38" s="125"/>
      <c r="AP38" s="125"/>
      <c r="AQ38" s="109"/>
      <c r="AR38" s="109"/>
      <c r="AS38" s="126" t="str">
        <f t="shared" si="7"/>
        <v/>
      </c>
      <c r="AT38" s="257"/>
      <c r="AU38" s="257"/>
      <c r="AV38" s="257"/>
      <c r="AW38" s="257"/>
      <c r="AX38" s="258" t="str">
        <f t="shared" si="8"/>
        <v/>
      </c>
      <c r="AY38" s="345"/>
      <c r="AZ38" s="345"/>
      <c r="BA38" s="345"/>
      <c r="BC38" s="120"/>
      <c r="BD38" s="123">
        <f t="shared" si="39"/>
        <v>46141</v>
      </c>
      <c r="BE38" s="124" t="str">
        <f t="shared" si="9"/>
        <v>水</v>
      </c>
      <c r="BF38" s="124"/>
      <c r="BG38" s="125"/>
      <c r="BH38" s="125"/>
      <c r="BI38" s="109"/>
      <c r="BJ38" s="109"/>
      <c r="BK38" s="126" t="str">
        <f t="shared" si="10"/>
        <v/>
      </c>
      <c r="BL38" s="257"/>
      <c r="BM38" s="257"/>
      <c r="BN38" s="257"/>
      <c r="BO38" s="257"/>
      <c r="BP38" s="258" t="str">
        <f t="shared" si="11"/>
        <v/>
      </c>
      <c r="BQ38" s="345"/>
      <c r="BR38" s="345"/>
      <c r="BS38" s="345"/>
      <c r="BU38" s="120"/>
      <c r="BV38" s="123">
        <f t="shared" si="40"/>
        <v>46171</v>
      </c>
      <c r="BW38" s="124" t="str">
        <f t="shared" si="12"/>
        <v>金</v>
      </c>
      <c r="BX38" s="124" t="s">
        <v>22</v>
      </c>
      <c r="BY38" s="259">
        <v>0.375</v>
      </c>
      <c r="BZ38" s="259">
        <v>0.75</v>
      </c>
      <c r="CA38" s="260">
        <v>0.5</v>
      </c>
      <c r="CB38" s="260">
        <v>0.54166666666666663</v>
      </c>
      <c r="CC38" s="126" t="str">
        <f t="shared" si="13"/>
        <v>8h</v>
      </c>
      <c r="CD38" s="261">
        <v>0.375</v>
      </c>
      <c r="CE38" s="261">
        <v>0.75</v>
      </c>
      <c r="CF38" s="261">
        <v>0.5</v>
      </c>
      <c r="CG38" s="261">
        <v>0.54166666666666663</v>
      </c>
      <c r="CH38" s="258" t="str">
        <f t="shared" si="14"/>
        <v>8h</v>
      </c>
      <c r="CI38" s="345"/>
      <c r="CJ38" s="345"/>
      <c r="CK38" s="345"/>
      <c r="CM38" s="120"/>
      <c r="CN38" s="123">
        <f t="shared" si="41"/>
        <v>46202</v>
      </c>
      <c r="CO38" s="124" t="str">
        <f t="shared" si="15"/>
        <v>月</v>
      </c>
      <c r="CP38" s="124" t="s">
        <v>22</v>
      </c>
      <c r="CQ38" s="259">
        <v>0.375</v>
      </c>
      <c r="CR38" s="259">
        <v>0.75</v>
      </c>
      <c r="CS38" s="260">
        <v>0.5</v>
      </c>
      <c r="CT38" s="260">
        <v>0.54166666666666663</v>
      </c>
      <c r="CU38" s="126" t="str">
        <f t="shared" si="16"/>
        <v>8h</v>
      </c>
      <c r="CV38" s="261">
        <v>0.375</v>
      </c>
      <c r="CW38" s="261">
        <v>0.75</v>
      </c>
      <c r="CX38" s="261">
        <v>0.5</v>
      </c>
      <c r="CY38" s="261">
        <v>0.54166666666666663</v>
      </c>
      <c r="CZ38" s="258" t="str">
        <f t="shared" si="17"/>
        <v>8h</v>
      </c>
      <c r="DA38" s="345"/>
      <c r="DB38" s="345"/>
      <c r="DC38" s="345"/>
      <c r="DE38" s="120"/>
      <c r="DF38" s="123">
        <f t="shared" si="42"/>
        <v>46232</v>
      </c>
      <c r="DG38" s="124" t="str">
        <f t="shared" si="18"/>
        <v>水</v>
      </c>
      <c r="DH38" s="124" t="s">
        <v>22</v>
      </c>
      <c r="DI38" s="259">
        <v>0.375</v>
      </c>
      <c r="DJ38" s="259">
        <v>0.75</v>
      </c>
      <c r="DK38" s="260">
        <v>0.5</v>
      </c>
      <c r="DL38" s="260">
        <v>0.54166666666666663</v>
      </c>
      <c r="DM38" s="126" t="str">
        <f t="shared" si="19"/>
        <v>8h</v>
      </c>
      <c r="DN38" s="261">
        <v>0.375</v>
      </c>
      <c r="DO38" s="261">
        <v>0.75</v>
      </c>
      <c r="DP38" s="261">
        <v>0.5</v>
      </c>
      <c r="DQ38" s="261">
        <v>0.54166666666666663</v>
      </c>
      <c r="DR38" s="258" t="str">
        <f t="shared" si="20"/>
        <v>8h</v>
      </c>
      <c r="DS38" s="345"/>
      <c r="DT38" s="345"/>
      <c r="DU38" s="345"/>
      <c r="DW38" s="120"/>
      <c r="DX38" s="123">
        <f t="shared" si="43"/>
        <v>46263</v>
      </c>
      <c r="DY38" s="124" t="str">
        <f t="shared" si="21"/>
        <v>土</v>
      </c>
      <c r="DZ38" s="124"/>
      <c r="EA38" s="125"/>
      <c r="EB38" s="125"/>
      <c r="EC38" s="109"/>
      <c r="ED38" s="109"/>
      <c r="EE38" s="126" t="str">
        <f t="shared" si="22"/>
        <v/>
      </c>
      <c r="EF38" s="257"/>
      <c r="EG38" s="257"/>
      <c r="EH38" s="257"/>
      <c r="EI38" s="257"/>
      <c r="EJ38" s="258" t="str">
        <f t="shared" si="23"/>
        <v/>
      </c>
      <c r="EK38" s="345"/>
      <c r="EL38" s="345"/>
      <c r="EM38" s="345"/>
      <c r="EO38" s="120"/>
      <c r="EP38" s="123">
        <f t="shared" si="44"/>
        <v>46294</v>
      </c>
      <c r="EQ38" s="124" t="str">
        <f t="shared" si="24"/>
        <v>火</v>
      </c>
      <c r="ER38" s="124" t="s">
        <v>22</v>
      </c>
      <c r="ES38" s="259">
        <v>0.375</v>
      </c>
      <c r="ET38" s="259">
        <v>0.75</v>
      </c>
      <c r="EU38" s="260">
        <v>0.5</v>
      </c>
      <c r="EV38" s="260">
        <v>0.54166666666666663</v>
      </c>
      <c r="EW38" s="126" t="str">
        <f t="shared" si="25"/>
        <v>8h</v>
      </c>
      <c r="EX38" s="261">
        <v>0.375</v>
      </c>
      <c r="EY38" s="261">
        <v>0.75</v>
      </c>
      <c r="EZ38" s="261">
        <v>0.5</v>
      </c>
      <c r="FA38" s="261">
        <v>0.54166666666666663</v>
      </c>
      <c r="FB38" s="258" t="str">
        <f t="shared" si="26"/>
        <v>8h</v>
      </c>
      <c r="FC38" s="345"/>
      <c r="FD38" s="345"/>
      <c r="FE38" s="345"/>
      <c r="FG38" s="120"/>
      <c r="FH38" s="123">
        <f t="shared" si="45"/>
        <v>46324</v>
      </c>
      <c r="FI38" s="124" t="str">
        <f t="shared" si="27"/>
        <v>木</v>
      </c>
      <c r="FJ38" s="124" t="s">
        <v>22</v>
      </c>
      <c r="FK38" s="259">
        <v>0.375</v>
      </c>
      <c r="FL38" s="259">
        <v>0.75</v>
      </c>
      <c r="FM38" s="260">
        <v>0.5</v>
      </c>
      <c r="FN38" s="260">
        <v>0.54166666666666663</v>
      </c>
      <c r="FO38" s="126" t="str">
        <f t="shared" si="28"/>
        <v>8h</v>
      </c>
      <c r="FP38" s="261">
        <v>0.375</v>
      </c>
      <c r="FQ38" s="261">
        <v>0.75</v>
      </c>
      <c r="FR38" s="261">
        <v>0.5</v>
      </c>
      <c r="FS38" s="261">
        <v>0.54166666666666663</v>
      </c>
      <c r="FT38" s="258" t="str">
        <f t="shared" si="29"/>
        <v>8h</v>
      </c>
      <c r="FU38" s="345"/>
      <c r="FV38" s="345"/>
      <c r="FW38" s="345"/>
      <c r="FY38" s="120"/>
      <c r="FZ38" s="123">
        <f t="shared" si="46"/>
        <v>46355</v>
      </c>
      <c r="GA38" s="124" t="str">
        <f t="shared" si="30"/>
        <v>日</v>
      </c>
      <c r="GB38" s="124"/>
      <c r="GC38" s="125"/>
      <c r="GD38" s="125"/>
      <c r="GE38" s="109"/>
      <c r="GF38" s="109"/>
      <c r="GG38" s="126" t="str">
        <f t="shared" si="31"/>
        <v/>
      </c>
      <c r="GH38" s="257"/>
      <c r="GI38" s="257"/>
      <c r="GJ38" s="257"/>
      <c r="GK38" s="257"/>
      <c r="GL38" s="258" t="str">
        <f t="shared" si="32"/>
        <v/>
      </c>
      <c r="GM38" s="345"/>
      <c r="GN38" s="345"/>
      <c r="GO38" s="345"/>
      <c r="GQ38" s="120"/>
      <c r="GR38" s="123">
        <f t="shared" si="47"/>
        <v>46385</v>
      </c>
      <c r="GS38" s="124" t="str">
        <f t="shared" si="33"/>
        <v>火</v>
      </c>
      <c r="GT38" s="124"/>
      <c r="GU38" s="125"/>
      <c r="GV38" s="125"/>
      <c r="GW38" s="109"/>
      <c r="GX38" s="109"/>
      <c r="GY38" s="126" t="str">
        <f t="shared" si="34"/>
        <v/>
      </c>
      <c r="GZ38" s="257"/>
      <c r="HA38" s="257"/>
      <c r="HB38" s="257"/>
      <c r="HC38" s="257"/>
      <c r="HD38" s="258" t="str">
        <f t="shared" si="35"/>
        <v/>
      </c>
      <c r="HE38" s="345"/>
      <c r="HF38" s="345"/>
      <c r="HG38" s="345"/>
    </row>
    <row r="39" spans="1:215" x14ac:dyDescent="0.45">
      <c r="A39" s="120"/>
      <c r="B39" s="123">
        <f t="shared" si="36"/>
        <v>46052</v>
      </c>
      <c r="C39" s="124" t="str">
        <f t="shared" si="0"/>
        <v>金</v>
      </c>
      <c r="D39" s="124" t="s">
        <v>22</v>
      </c>
      <c r="E39" s="259">
        <v>0.375</v>
      </c>
      <c r="F39" s="259">
        <v>0.75</v>
      </c>
      <c r="G39" s="260">
        <v>0.5</v>
      </c>
      <c r="H39" s="260">
        <v>0.54166666666666663</v>
      </c>
      <c r="I39" s="126" t="str">
        <f t="shared" si="1"/>
        <v>8h</v>
      </c>
      <c r="J39" s="261">
        <v>0.375</v>
      </c>
      <c r="K39" s="261">
        <v>0.75</v>
      </c>
      <c r="L39" s="261">
        <v>0.5</v>
      </c>
      <c r="M39" s="261">
        <v>0.54166666666666663</v>
      </c>
      <c r="N39" s="258" t="str">
        <f t="shared" si="2"/>
        <v>8h</v>
      </c>
      <c r="O39" s="345"/>
      <c r="P39" s="345"/>
      <c r="Q39" s="345"/>
      <c r="S39" s="120"/>
      <c r="T39" s="123" t="str">
        <f t="shared" si="37"/>
        <v/>
      </c>
      <c r="U39" s="124" t="str">
        <f t="shared" si="3"/>
        <v/>
      </c>
      <c r="V39" s="124"/>
      <c r="W39" s="125"/>
      <c r="X39" s="125"/>
      <c r="Y39" s="109"/>
      <c r="Z39" s="109"/>
      <c r="AA39" s="126" t="str">
        <f t="shared" si="4"/>
        <v/>
      </c>
      <c r="AB39" s="257"/>
      <c r="AC39" s="257"/>
      <c r="AD39" s="257"/>
      <c r="AE39" s="257"/>
      <c r="AF39" s="258" t="str">
        <f t="shared" si="5"/>
        <v/>
      </c>
      <c r="AG39" s="345"/>
      <c r="AH39" s="345"/>
      <c r="AI39" s="345"/>
      <c r="AK39" s="120"/>
      <c r="AL39" s="123">
        <f t="shared" si="38"/>
        <v>46111</v>
      </c>
      <c r="AM39" s="124" t="str">
        <f t="shared" si="6"/>
        <v>月</v>
      </c>
      <c r="AN39" s="124" t="s">
        <v>22</v>
      </c>
      <c r="AO39" s="259">
        <v>0.375</v>
      </c>
      <c r="AP39" s="259">
        <v>0.75</v>
      </c>
      <c r="AQ39" s="260">
        <v>0.5</v>
      </c>
      <c r="AR39" s="260">
        <v>0.54166666666666663</v>
      </c>
      <c r="AS39" s="126" t="str">
        <f t="shared" si="7"/>
        <v>8h</v>
      </c>
      <c r="AT39" s="261">
        <v>0.375</v>
      </c>
      <c r="AU39" s="261">
        <v>0.75</v>
      </c>
      <c r="AV39" s="261">
        <v>0.5</v>
      </c>
      <c r="AW39" s="261">
        <v>0.54166666666666663</v>
      </c>
      <c r="AX39" s="258" t="str">
        <f t="shared" si="8"/>
        <v>8h</v>
      </c>
      <c r="AY39" s="345"/>
      <c r="AZ39" s="345"/>
      <c r="BA39" s="345"/>
      <c r="BC39" s="120"/>
      <c r="BD39" s="123">
        <f t="shared" si="39"/>
        <v>46142</v>
      </c>
      <c r="BE39" s="124" t="str">
        <f t="shared" si="9"/>
        <v>木</v>
      </c>
      <c r="BF39" s="124" t="s">
        <v>22</v>
      </c>
      <c r="BG39" s="259">
        <v>0.375</v>
      </c>
      <c r="BH39" s="259">
        <v>0.75</v>
      </c>
      <c r="BI39" s="260">
        <v>0.5</v>
      </c>
      <c r="BJ39" s="260">
        <v>0.54166666666666663</v>
      </c>
      <c r="BK39" s="126" t="str">
        <f t="shared" si="10"/>
        <v>8h</v>
      </c>
      <c r="BL39" s="261">
        <v>0.375</v>
      </c>
      <c r="BM39" s="261">
        <v>0.75</v>
      </c>
      <c r="BN39" s="261">
        <v>0.5</v>
      </c>
      <c r="BO39" s="261">
        <v>0.54166666666666663</v>
      </c>
      <c r="BP39" s="258" t="str">
        <f t="shared" si="11"/>
        <v>8h</v>
      </c>
      <c r="BQ39" s="345"/>
      <c r="BR39" s="345"/>
      <c r="BS39" s="345"/>
      <c r="BU39" s="120"/>
      <c r="BV39" s="123">
        <f t="shared" si="40"/>
        <v>46172</v>
      </c>
      <c r="BW39" s="124" t="str">
        <f t="shared" si="12"/>
        <v>土</v>
      </c>
      <c r="BX39" s="124"/>
      <c r="BY39" s="125"/>
      <c r="BZ39" s="125"/>
      <c r="CA39" s="109"/>
      <c r="CB39" s="109"/>
      <c r="CC39" s="126" t="str">
        <f t="shared" si="13"/>
        <v/>
      </c>
      <c r="CD39" s="257"/>
      <c r="CE39" s="257"/>
      <c r="CF39" s="257"/>
      <c r="CG39" s="257"/>
      <c r="CH39" s="258" t="str">
        <f t="shared" si="14"/>
        <v/>
      </c>
      <c r="CI39" s="345"/>
      <c r="CJ39" s="345"/>
      <c r="CK39" s="345"/>
      <c r="CM39" s="120"/>
      <c r="CN39" s="123">
        <f t="shared" si="41"/>
        <v>46203</v>
      </c>
      <c r="CO39" s="124" t="str">
        <f t="shared" si="15"/>
        <v>火</v>
      </c>
      <c r="CP39" s="124" t="s">
        <v>22</v>
      </c>
      <c r="CQ39" s="259">
        <v>0.375</v>
      </c>
      <c r="CR39" s="259">
        <v>0.75</v>
      </c>
      <c r="CS39" s="260">
        <v>0.5</v>
      </c>
      <c r="CT39" s="260">
        <v>0.54166666666666663</v>
      </c>
      <c r="CU39" s="126" t="str">
        <f t="shared" si="16"/>
        <v>8h</v>
      </c>
      <c r="CV39" s="261">
        <v>0.375</v>
      </c>
      <c r="CW39" s="261">
        <v>0.75</v>
      </c>
      <c r="CX39" s="261">
        <v>0.5</v>
      </c>
      <c r="CY39" s="261">
        <v>0.54166666666666663</v>
      </c>
      <c r="CZ39" s="258" t="str">
        <f t="shared" si="17"/>
        <v>8h</v>
      </c>
      <c r="DA39" s="345"/>
      <c r="DB39" s="345"/>
      <c r="DC39" s="345"/>
      <c r="DE39" s="120"/>
      <c r="DF39" s="123">
        <f t="shared" si="42"/>
        <v>46233</v>
      </c>
      <c r="DG39" s="124" t="str">
        <f t="shared" si="18"/>
        <v>木</v>
      </c>
      <c r="DH39" s="124" t="s">
        <v>22</v>
      </c>
      <c r="DI39" s="259">
        <v>0.375</v>
      </c>
      <c r="DJ39" s="259">
        <v>0.75</v>
      </c>
      <c r="DK39" s="260">
        <v>0.5</v>
      </c>
      <c r="DL39" s="260">
        <v>0.54166666666666663</v>
      </c>
      <c r="DM39" s="126" t="str">
        <f t="shared" si="19"/>
        <v>8h</v>
      </c>
      <c r="DN39" s="261">
        <v>0.375</v>
      </c>
      <c r="DO39" s="261">
        <v>0.75</v>
      </c>
      <c r="DP39" s="261">
        <v>0.5</v>
      </c>
      <c r="DQ39" s="261">
        <v>0.54166666666666663</v>
      </c>
      <c r="DR39" s="258" t="str">
        <f t="shared" si="20"/>
        <v>8h</v>
      </c>
      <c r="DS39" s="345"/>
      <c r="DT39" s="345"/>
      <c r="DU39" s="345"/>
      <c r="DW39" s="120"/>
      <c r="DX39" s="123">
        <f t="shared" si="43"/>
        <v>46264</v>
      </c>
      <c r="DY39" s="124" t="str">
        <f t="shared" si="21"/>
        <v>日</v>
      </c>
      <c r="DZ39" s="124"/>
      <c r="EA39" s="125"/>
      <c r="EB39" s="125"/>
      <c r="EC39" s="109"/>
      <c r="ED39" s="109"/>
      <c r="EE39" s="126" t="str">
        <f t="shared" si="22"/>
        <v/>
      </c>
      <c r="EF39" s="257"/>
      <c r="EG39" s="257"/>
      <c r="EH39" s="257"/>
      <c r="EI39" s="257"/>
      <c r="EJ39" s="258" t="str">
        <f t="shared" si="23"/>
        <v/>
      </c>
      <c r="EK39" s="345"/>
      <c r="EL39" s="345"/>
      <c r="EM39" s="345"/>
      <c r="EO39" s="120"/>
      <c r="EP39" s="123">
        <f t="shared" si="44"/>
        <v>46295</v>
      </c>
      <c r="EQ39" s="124" t="str">
        <f t="shared" si="24"/>
        <v>水</v>
      </c>
      <c r="ER39" s="124" t="s">
        <v>22</v>
      </c>
      <c r="ES39" s="259">
        <v>0.375</v>
      </c>
      <c r="ET39" s="259">
        <v>0.75</v>
      </c>
      <c r="EU39" s="260">
        <v>0.5</v>
      </c>
      <c r="EV39" s="260">
        <v>0.54166666666666663</v>
      </c>
      <c r="EW39" s="126" t="str">
        <f t="shared" si="25"/>
        <v>8h</v>
      </c>
      <c r="EX39" s="261">
        <v>0.375</v>
      </c>
      <c r="EY39" s="261">
        <v>0.75</v>
      </c>
      <c r="EZ39" s="261">
        <v>0.5</v>
      </c>
      <c r="FA39" s="261">
        <v>0.54166666666666663</v>
      </c>
      <c r="FB39" s="258" t="str">
        <f t="shared" si="26"/>
        <v>8h</v>
      </c>
      <c r="FC39" s="345"/>
      <c r="FD39" s="345"/>
      <c r="FE39" s="345"/>
      <c r="FG39" s="120"/>
      <c r="FH39" s="123">
        <f t="shared" si="45"/>
        <v>46325</v>
      </c>
      <c r="FI39" s="124" t="str">
        <f t="shared" si="27"/>
        <v>金</v>
      </c>
      <c r="FJ39" s="124" t="s">
        <v>22</v>
      </c>
      <c r="FK39" s="259">
        <v>0.375</v>
      </c>
      <c r="FL39" s="259">
        <v>0.75</v>
      </c>
      <c r="FM39" s="260">
        <v>0.5</v>
      </c>
      <c r="FN39" s="260">
        <v>0.54166666666666663</v>
      </c>
      <c r="FO39" s="126" t="str">
        <f t="shared" si="28"/>
        <v>8h</v>
      </c>
      <c r="FP39" s="261">
        <v>0.375</v>
      </c>
      <c r="FQ39" s="261">
        <v>0.75</v>
      </c>
      <c r="FR39" s="261">
        <v>0.5</v>
      </c>
      <c r="FS39" s="261">
        <v>0.54166666666666663</v>
      </c>
      <c r="FT39" s="258" t="str">
        <f t="shared" si="29"/>
        <v>8h</v>
      </c>
      <c r="FU39" s="345"/>
      <c r="FV39" s="345"/>
      <c r="FW39" s="345"/>
      <c r="FY39" s="120"/>
      <c r="FZ39" s="123">
        <f t="shared" si="46"/>
        <v>46356</v>
      </c>
      <c r="GA39" s="124" t="str">
        <f t="shared" si="30"/>
        <v>月</v>
      </c>
      <c r="GB39" s="124" t="s">
        <v>22</v>
      </c>
      <c r="GC39" s="259">
        <v>0.375</v>
      </c>
      <c r="GD39" s="259">
        <v>0.75</v>
      </c>
      <c r="GE39" s="260">
        <v>0.5</v>
      </c>
      <c r="GF39" s="260">
        <v>0.54166666666666663</v>
      </c>
      <c r="GG39" s="126" t="str">
        <f t="shared" si="31"/>
        <v>8h</v>
      </c>
      <c r="GH39" s="261">
        <v>0.375</v>
      </c>
      <c r="GI39" s="261">
        <v>0.75</v>
      </c>
      <c r="GJ39" s="261">
        <v>0.5</v>
      </c>
      <c r="GK39" s="261">
        <v>0.54166666666666663</v>
      </c>
      <c r="GL39" s="258" t="str">
        <f t="shared" si="32"/>
        <v>8h</v>
      </c>
      <c r="GM39" s="345"/>
      <c r="GN39" s="345"/>
      <c r="GO39" s="345"/>
      <c r="GQ39" s="120"/>
      <c r="GR39" s="123">
        <f t="shared" si="47"/>
        <v>46386</v>
      </c>
      <c r="GS39" s="124" t="str">
        <f t="shared" si="33"/>
        <v>水</v>
      </c>
      <c r="GT39" s="124"/>
      <c r="GU39" s="125"/>
      <c r="GV39" s="125"/>
      <c r="GW39" s="109"/>
      <c r="GX39" s="109"/>
      <c r="GY39" s="126" t="str">
        <f t="shared" si="34"/>
        <v/>
      </c>
      <c r="GZ39" s="257"/>
      <c r="HA39" s="257"/>
      <c r="HB39" s="257"/>
      <c r="HC39" s="257"/>
      <c r="HD39" s="258" t="str">
        <f t="shared" si="35"/>
        <v/>
      </c>
      <c r="HE39" s="345"/>
      <c r="HF39" s="345"/>
      <c r="HG39" s="345"/>
    </row>
    <row r="40" spans="1:215" x14ac:dyDescent="0.45">
      <c r="A40" s="120"/>
      <c r="B40" s="127">
        <f t="shared" si="36"/>
        <v>46053</v>
      </c>
      <c r="C40" s="128" t="str">
        <f t="shared" si="0"/>
        <v>土</v>
      </c>
      <c r="D40" s="128"/>
      <c r="E40" s="129"/>
      <c r="F40" s="129"/>
      <c r="G40" s="110"/>
      <c r="H40" s="110"/>
      <c r="I40" s="130" t="str">
        <f t="shared" si="1"/>
        <v/>
      </c>
      <c r="J40" s="262"/>
      <c r="K40" s="262"/>
      <c r="L40" s="262"/>
      <c r="M40" s="262"/>
      <c r="N40" s="263" t="str">
        <f t="shared" si="2"/>
        <v/>
      </c>
      <c r="O40" s="346"/>
      <c r="P40" s="346"/>
      <c r="Q40" s="346"/>
      <c r="S40" s="120"/>
      <c r="T40" s="127" t="str">
        <f t="shared" si="37"/>
        <v/>
      </c>
      <c r="U40" s="128" t="str">
        <f t="shared" si="3"/>
        <v/>
      </c>
      <c r="V40" s="128"/>
      <c r="W40" s="129"/>
      <c r="X40" s="129"/>
      <c r="Y40" s="110"/>
      <c r="Z40" s="110"/>
      <c r="AA40" s="130" t="str">
        <f t="shared" si="4"/>
        <v/>
      </c>
      <c r="AB40" s="262"/>
      <c r="AC40" s="262"/>
      <c r="AD40" s="262"/>
      <c r="AE40" s="262"/>
      <c r="AF40" s="263" t="str">
        <f t="shared" si="5"/>
        <v/>
      </c>
      <c r="AG40" s="346"/>
      <c r="AH40" s="346"/>
      <c r="AI40" s="346"/>
      <c r="AK40" s="120"/>
      <c r="AL40" s="127">
        <f t="shared" si="38"/>
        <v>46112</v>
      </c>
      <c r="AM40" s="128" t="str">
        <f t="shared" si="6"/>
        <v>火</v>
      </c>
      <c r="AN40" s="128" t="s">
        <v>22</v>
      </c>
      <c r="AO40" s="264">
        <v>0.375</v>
      </c>
      <c r="AP40" s="264">
        <v>0.75</v>
      </c>
      <c r="AQ40" s="265">
        <v>0.5</v>
      </c>
      <c r="AR40" s="265">
        <v>0.54166666666666663</v>
      </c>
      <c r="AS40" s="130" t="str">
        <f t="shared" si="7"/>
        <v>8h</v>
      </c>
      <c r="AT40" s="266">
        <v>0.375</v>
      </c>
      <c r="AU40" s="266">
        <v>0.75</v>
      </c>
      <c r="AV40" s="266">
        <v>0.5</v>
      </c>
      <c r="AW40" s="266">
        <v>0.54166666666666663</v>
      </c>
      <c r="AX40" s="263" t="str">
        <f t="shared" si="8"/>
        <v>8h</v>
      </c>
      <c r="AY40" s="346"/>
      <c r="AZ40" s="346"/>
      <c r="BA40" s="346"/>
      <c r="BC40" s="120"/>
      <c r="BD40" s="127" t="str">
        <f t="shared" si="39"/>
        <v/>
      </c>
      <c r="BE40" s="128" t="str">
        <f t="shared" si="9"/>
        <v/>
      </c>
      <c r="BF40" s="128"/>
      <c r="BG40" s="129"/>
      <c r="BH40" s="129"/>
      <c r="BI40" s="110"/>
      <c r="BJ40" s="110"/>
      <c r="BK40" s="130" t="str">
        <f t="shared" si="10"/>
        <v/>
      </c>
      <c r="BL40" s="262"/>
      <c r="BM40" s="262"/>
      <c r="BN40" s="262"/>
      <c r="BO40" s="262"/>
      <c r="BP40" s="263" t="str">
        <f t="shared" si="11"/>
        <v/>
      </c>
      <c r="BQ40" s="346"/>
      <c r="BR40" s="346"/>
      <c r="BS40" s="346"/>
      <c r="BU40" s="120"/>
      <c r="BV40" s="127">
        <f t="shared" si="40"/>
        <v>46173</v>
      </c>
      <c r="BW40" s="128" t="str">
        <f t="shared" si="12"/>
        <v>日</v>
      </c>
      <c r="BX40" s="128"/>
      <c r="BY40" s="129"/>
      <c r="BZ40" s="129"/>
      <c r="CA40" s="110"/>
      <c r="CB40" s="110"/>
      <c r="CC40" s="130" t="str">
        <f t="shared" si="13"/>
        <v/>
      </c>
      <c r="CD40" s="262"/>
      <c r="CE40" s="262"/>
      <c r="CF40" s="262"/>
      <c r="CG40" s="262"/>
      <c r="CH40" s="263" t="str">
        <f t="shared" si="14"/>
        <v/>
      </c>
      <c r="CI40" s="346"/>
      <c r="CJ40" s="346"/>
      <c r="CK40" s="346"/>
      <c r="CM40" s="120"/>
      <c r="CN40" s="127" t="str">
        <f t="shared" si="41"/>
        <v/>
      </c>
      <c r="CO40" s="128" t="str">
        <f t="shared" si="15"/>
        <v/>
      </c>
      <c r="CP40" s="128"/>
      <c r="CQ40" s="129"/>
      <c r="CR40" s="129"/>
      <c r="CS40" s="110"/>
      <c r="CT40" s="110"/>
      <c r="CU40" s="130" t="str">
        <f t="shared" si="16"/>
        <v/>
      </c>
      <c r="CV40" s="262"/>
      <c r="CW40" s="262"/>
      <c r="CX40" s="262"/>
      <c r="CY40" s="262"/>
      <c r="CZ40" s="263" t="str">
        <f t="shared" si="17"/>
        <v/>
      </c>
      <c r="DA40" s="346"/>
      <c r="DB40" s="346"/>
      <c r="DC40" s="346"/>
      <c r="DE40" s="120"/>
      <c r="DF40" s="127">
        <f t="shared" si="42"/>
        <v>46234</v>
      </c>
      <c r="DG40" s="128" t="str">
        <f t="shared" si="18"/>
        <v>金</v>
      </c>
      <c r="DH40" s="128" t="s">
        <v>22</v>
      </c>
      <c r="DI40" s="264">
        <v>0.375</v>
      </c>
      <c r="DJ40" s="264">
        <v>0.75</v>
      </c>
      <c r="DK40" s="265">
        <v>0.5</v>
      </c>
      <c r="DL40" s="265">
        <v>0.54166666666666663</v>
      </c>
      <c r="DM40" s="130" t="str">
        <f t="shared" si="19"/>
        <v>8h</v>
      </c>
      <c r="DN40" s="266">
        <v>0.375</v>
      </c>
      <c r="DO40" s="266">
        <v>0.75</v>
      </c>
      <c r="DP40" s="266">
        <v>0.5</v>
      </c>
      <c r="DQ40" s="266">
        <v>0.54166666666666663</v>
      </c>
      <c r="DR40" s="263" t="str">
        <f t="shared" si="20"/>
        <v>8h</v>
      </c>
      <c r="DS40" s="346"/>
      <c r="DT40" s="346"/>
      <c r="DU40" s="346"/>
      <c r="DW40" s="120"/>
      <c r="DX40" s="127">
        <f t="shared" si="43"/>
        <v>46265</v>
      </c>
      <c r="DY40" s="128" t="str">
        <f t="shared" si="21"/>
        <v>月</v>
      </c>
      <c r="DZ40" s="128" t="s">
        <v>22</v>
      </c>
      <c r="EA40" s="264">
        <v>0.375</v>
      </c>
      <c r="EB40" s="264">
        <v>0.75</v>
      </c>
      <c r="EC40" s="265">
        <v>0.5</v>
      </c>
      <c r="ED40" s="265">
        <v>0.54166666666666663</v>
      </c>
      <c r="EE40" s="130" t="str">
        <f t="shared" si="22"/>
        <v>8h</v>
      </c>
      <c r="EF40" s="266">
        <v>0.375</v>
      </c>
      <c r="EG40" s="266">
        <v>0.75</v>
      </c>
      <c r="EH40" s="266">
        <v>0.5</v>
      </c>
      <c r="EI40" s="266">
        <v>0.54166666666666663</v>
      </c>
      <c r="EJ40" s="263" t="str">
        <f t="shared" si="23"/>
        <v>8h</v>
      </c>
      <c r="EK40" s="346"/>
      <c r="EL40" s="346"/>
      <c r="EM40" s="346"/>
      <c r="EO40" s="120"/>
      <c r="EP40" s="127" t="str">
        <f t="shared" si="44"/>
        <v/>
      </c>
      <c r="EQ40" s="128" t="str">
        <f t="shared" si="24"/>
        <v/>
      </c>
      <c r="ER40" s="128"/>
      <c r="ES40" s="129"/>
      <c r="ET40" s="129"/>
      <c r="EU40" s="110"/>
      <c r="EV40" s="110"/>
      <c r="EW40" s="130" t="str">
        <f t="shared" si="25"/>
        <v/>
      </c>
      <c r="EX40" s="262"/>
      <c r="EY40" s="262"/>
      <c r="EZ40" s="262"/>
      <c r="FA40" s="262"/>
      <c r="FB40" s="263" t="str">
        <f t="shared" si="26"/>
        <v/>
      </c>
      <c r="FC40" s="346"/>
      <c r="FD40" s="346"/>
      <c r="FE40" s="346"/>
      <c r="FG40" s="120"/>
      <c r="FH40" s="127">
        <f t="shared" si="45"/>
        <v>46326</v>
      </c>
      <c r="FI40" s="128" t="str">
        <f t="shared" si="27"/>
        <v>土</v>
      </c>
      <c r="FJ40" s="128"/>
      <c r="FK40" s="129"/>
      <c r="FL40" s="129"/>
      <c r="FM40" s="110"/>
      <c r="FN40" s="110"/>
      <c r="FO40" s="130" t="str">
        <f t="shared" si="28"/>
        <v/>
      </c>
      <c r="FP40" s="262"/>
      <c r="FQ40" s="262"/>
      <c r="FR40" s="262"/>
      <c r="FS40" s="262"/>
      <c r="FT40" s="263" t="str">
        <f t="shared" si="29"/>
        <v/>
      </c>
      <c r="FU40" s="346"/>
      <c r="FV40" s="346"/>
      <c r="FW40" s="346"/>
      <c r="FY40" s="120"/>
      <c r="FZ40" s="127" t="str">
        <f t="shared" si="46"/>
        <v/>
      </c>
      <c r="GA40" s="128" t="str">
        <f t="shared" si="30"/>
        <v/>
      </c>
      <c r="GB40" s="128"/>
      <c r="GC40" s="129"/>
      <c r="GD40" s="129"/>
      <c r="GE40" s="110"/>
      <c r="GF40" s="110"/>
      <c r="GG40" s="130" t="str">
        <f t="shared" si="31"/>
        <v/>
      </c>
      <c r="GH40" s="262"/>
      <c r="GI40" s="262"/>
      <c r="GJ40" s="262"/>
      <c r="GK40" s="262"/>
      <c r="GL40" s="263" t="str">
        <f t="shared" si="32"/>
        <v/>
      </c>
      <c r="GM40" s="346"/>
      <c r="GN40" s="346"/>
      <c r="GO40" s="346"/>
      <c r="GQ40" s="120"/>
      <c r="GR40" s="127">
        <f t="shared" si="47"/>
        <v>46387</v>
      </c>
      <c r="GS40" s="128" t="str">
        <f t="shared" si="33"/>
        <v>木</v>
      </c>
      <c r="GT40" s="128"/>
      <c r="GU40" s="129"/>
      <c r="GV40" s="129"/>
      <c r="GW40" s="110"/>
      <c r="GX40" s="110"/>
      <c r="GY40" s="130" t="str">
        <f t="shared" si="34"/>
        <v/>
      </c>
      <c r="GZ40" s="262"/>
      <c r="HA40" s="262"/>
      <c r="HB40" s="262"/>
      <c r="HC40" s="262"/>
      <c r="HD40" s="263" t="str">
        <f t="shared" si="35"/>
        <v/>
      </c>
      <c r="HE40" s="346"/>
      <c r="HF40" s="346"/>
      <c r="HG40" s="346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31" priority="1" stopIfTrue="1">
      <formula>$B10=""</formula>
    </cfRule>
  </conditionalFormatting>
  <conditionalFormatting sqref="C10:C40">
    <cfRule type="expression" dxfId="430" priority="3" stopIfTrue="1">
      <formula>WEEKDAY(B10,2)=7</formula>
    </cfRule>
    <cfRule type="expression" dxfId="429" priority="4" stopIfTrue="1">
      <formula>WEEKDAY(B10,2)=6</formula>
    </cfRule>
  </conditionalFormatting>
  <conditionalFormatting sqref="T10:AI40">
    <cfRule type="expression" dxfId="428" priority="5" stopIfTrue="1">
      <formula>$T10=""</formula>
    </cfRule>
  </conditionalFormatting>
  <conditionalFormatting sqref="U10:U40">
    <cfRule type="expression" dxfId="427" priority="7" stopIfTrue="1">
      <formula>WEEKDAY(T10,2)=7</formula>
    </cfRule>
    <cfRule type="expression" dxfId="426" priority="8" stopIfTrue="1">
      <formula>WEEKDAY(T10,2)=6</formula>
    </cfRule>
  </conditionalFormatting>
  <conditionalFormatting sqref="AL10:BA40">
    <cfRule type="expression" dxfId="425" priority="9" stopIfTrue="1">
      <formula>$AL10=""</formula>
    </cfRule>
  </conditionalFormatting>
  <conditionalFormatting sqref="AM10:AM40">
    <cfRule type="expression" dxfId="424" priority="11" stopIfTrue="1">
      <formula>WEEKDAY(AL10,2)=7</formula>
    </cfRule>
    <cfRule type="expression" dxfId="423" priority="12" stopIfTrue="1">
      <formula>WEEKDAY(AL10,2)=6</formula>
    </cfRule>
  </conditionalFormatting>
  <conditionalFormatting sqref="BD10:BS40">
    <cfRule type="expression" dxfId="422" priority="13" stopIfTrue="1">
      <formula>$BD10=""</formula>
    </cfRule>
  </conditionalFormatting>
  <conditionalFormatting sqref="BE10:BE40">
    <cfRule type="expression" dxfId="421" priority="15" stopIfTrue="1">
      <formula>WEEKDAY(BD10,2)=7</formula>
    </cfRule>
    <cfRule type="expression" dxfId="420" priority="16" stopIfTrue="1">
      <formula>WEEKDAY(BD10,2)=6</formula>
    </cfRule>
  </conditionalFormatting>
  <conditionalFormatting sqref="BV10:CK40">
    <cfRule type="expression" dxfId="419" priority="17" stopIfTrue="1">
      <formula>$BV10=""</formula>
    </cfRule>
  </conditionalFormatting>
  <conditionalFormatting sqref="BW10:BW40">
    <cfRule type="expression" dxfId="418" priority="19" stopIfTrue="1">
      <formula>WEEKDAY(BV10,2)=7</formula>
    </cfRule>
    <cfRule type="expression" dxfId="417" priority="20" stopIfTrue="1">
      <formula>WEEKDAY(BV10,2)=6</formula>
    </cfRule>
  </conditionalFormatting>
  <conditionalFormatting sqref="CN10:DC40">
    <cfRule type="expression" dxfId="416" priority="21" stopIfTrue="1">
      <formula>$CN10=""</formula>
    </cfRule>
  </conditionalFormatting>
  <conditionalFormatting sqref="CO10:CO40">
    <cfRule type="expression" dxfId="415" priority="23" stopIfTrue="1">
      <formula>WEEKDAY(CN10,2)=7</formula>
    </cfRule>
    <cfRule type="expression" dxfId="414" priority="24" stopIfTrue="1">
      <formula>WEEKDAY(CN10,2)=6</formula>
    </cfRule>
  </conditionalFormatting>
  <conditionalFormatting sqref="DF10:DU40">
    <cfRule type="expression" dxfId="413" priority="25" stopIfTrue="1">
      <formula>$DF10=""</formula>
    </cfRule>
  </conditionalFormatting>
  <conditionalFormatting sqref="DG10:DG40">
    <cfRule type="expression" dxfId="412" priority="27" stopIfTrue="1">
      <formula>WEEKDAY(DF10,2)=7</formula>
    </cfRule>
    <cfRule type="expression" dxfId="411" priority="28" stopIfTrue="1">
      <formula>WEEKDAY(DF10,2)=6</formula>
    </cfRule>
  </conditionalFormatting>
  <conditionalFormatting sqref="DX10:EM40">
    <cfRule type="expression" dxfId="410" priority="29" stopIfTrue="1">
      <formula>$DX10=""</formula>
    </cfRule>
  </conditionalFormatting>
  <conditionalFormatting sqref="DY10:DY40">
    <cfRule type="expression" dxfId="409" priority="31" stopIfTrue="1">
      <formula>WEEKDAY(DX10,2)=7</formula>
    </cfRule>
    <cfRule type="expression" dxfId="408" priority="32" stopIfTrue="1">
      <formula>WEEKDAY(DX10,2)=6</formula>
    </cfRule>
  </conditionalFormatting>
  <conditionalFormatting sqref="EP10:FE40">
    <cfRule type="expression" dxfId="407" priority="33" stopIfTrue="1">
      <formula>$EP10=""</formula>
    </cfRule>
  </conditionalFormatting>
  <conditionalFormatting sqref="EQ10:EQ40">
    <cfRule type="expression" dxfId="406" priority="35" stopIfTrue="1">
      <formula>WEEKDAY(EP10,2)=7</formula>
    </cfRule>
    <cfRule type="expression" dxfId="405" priority="36" stopIfTrue="1">
      <formula>WEEKDAY(EP10,2)=6</formula>
    </cfRule>
  </conditionalFormatting>
  <conditionalFormatting sqref="FH10:FW40">
    <cfRule type="expression" dxfId="404" priority="37" stopIfTrue="1">
      <formula>$FH10=""</formula>
    </cfRule>
  </conditionalFormatting>
  <conditionalFormatting sqref="FI10:FI40">
    <cfRule type="expression" dxfId="403" priority="39" stopIfTrue="1">
      <formula>WEEKDAY(FH10,2)=7</formula>
    </cfRule>
    <cfRule type="expression" dxfId="402" priority="40" stopIfTrue="1">
      <formula>WEEKDAY(FH10,2)=6</formula>
    </cfRule>
  </conditionalFormatting>
  <conditionalFormatting sqref="FZ10:GO40">
    <cfRule type="expression" dxfId="401" priority="41" stopIfTrue="1">
      <formula>$FZ10=""</formula>
    </cfRule>
  </conditionalFormatting>
  <conditionalFormatting sqref="GA10:GA40">
    <cfRule type="expression" dxfId="400" priority="43" stopIfTrue="1">
      <formula>WEEKDAY(FZ10,2)=7</formula>
    </cfRule>
  </conditionalFormatting>
  <conditionalFormatting sqref="GA10:GA40">
    <cfRule type="expression" dxfId="399" priority="44" stopIfTrue="1">
      <formula>WEEKDAY(FZ10,2)=6</formula>
    </cfRule>
  </conditionalFormatting>
  <conditionalFormatting sqref="GR10:HG40">
    <cfRule type="expression" dxfId="398" priority="45" stopIfTrue="1">
      <formula>$GR10=""</formula>
    </cfRule>
  </conditionalFormatting>
  <conditionalFormatting sqref="GS10:GS40">
    <cfRule type="expression" dxfId="397" priority="47" stopIfTrue="1">
      <formula>WEEKDAY(GR10,2)=7</formula>
    </cfRule>
  </conditionalFormatting>
  <conditionalFormatting sqref="GS10:GS40">
    <cfRule type="expression" dxfId="396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5C18EEE-7975-45B4-8EFC-4E40DD84521A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A3181BBF-90BD-4943-9489-018561BB5F87}">
            <xm:f>COUNTIF(祝日!$B:$B,T10)&gt;0</xm:f>
            <x14:dxf>
              <fill>
                <patternFill>
                  <bgColor rgb="FFDC000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D62294CD-87E6-4F47-BEA6-8FB36BBF6F47}">
            <xm:f>COUNTIF(祝日!$B:$B,AL10)&gt;0</xm:f>
            <x14:dxf>
              <fill>
                <patternFill>
                  <bgColor rgb="FFDC000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48029BEE-750A-411D-B407-9EFFA3E67664}">
            <xm:f>COUNTIF(祝日!$B:$B,BD10)&gt;0</xm:f>
            <x14:dxf>
              <fill>
                <patternFill>
                  <bgColor rgb="FFDC000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E07CCC87-8E43-411D-AD6F-51738A64E4E7}">
            <xm:f>COUNTIF(祝日!$B:$B,BV10)&gt;0</xm:f>
            <x14:dxf>
              <fill>
                <patternFill>
                  <bgColor rgb="FFDC000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BE1E089-861E-4D19-B630-38F4BFD5C6C7}">
            <xm:f>COUNTIF(祝日!$B:$B,CN10)&gt;0</xm:f>
            <x14:dxf>
              <fill>
                <patternFill>
                  <bgColor rgb="FFDC000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6B6D44F-E34A-4F7F-B8B4-98484D9435A4}">
            <xm:f>COUNTIF(祝日!$B:$B,DF10)&gt;0</xm:f>
            <x14:dxf>
              <fill>
                <patternFill>
                  <bgColor rgb="FFDC000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2672EE73-4A3D-45D4-ADF5-B50F184363E9}">
            <xm:f>COUNTIF(祝日!$B:$B,DX10)&gt;0</xm:f>
            <x14:dxf>
              <fill>
                <patternFill>
                  <bgColor rgb="FFDC000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7F7E79D4-4AA9-4C4B-A99B-15A9D1DC119C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6CBAC9F6-B097-485F-A4B6-E19A200ADAE8}">
            <xm:f>COUNTIF(祝日!$B:$B,FH10)&gt;0</xm:f>
            <x14:dxf>
              <fill>
                <patternFill>
                  <bgColor rgb="FFDC000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50E20E21-0BD9-4BEB-9C3D-87F1F48DF32F}">
            <xm:f>COUNTIF(祝日!$B:$B,FZ10)&gt;0</xm:f>
            <x14:dxf>
              <fill>
                <patternFill>
                  <bgColor rgb="FFDC000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0E79151E-1148-446C-9A68-3B3F2B8ED998}">
            <xm:f>COUNTIF(祝日!$B:$B,GR10)&gt;0</xm:f>
            <x14:dxf>
              <fill>
                <patternFill>
                  <bgColor rgb="FFDC000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B630F-2551-42E0-BE9A-BB053C76A486}">
  <sheetPr codeName="Sheet106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49" customWidth="1"/>
    <col min="2" max="4" width="3.69921875" style="49" customWidth="1" outlineLevel="1"/>
    <col min="5" max="17" width="6.69921875" style="49" customWidth="1" outlineLevel="1"/>
    <col min="18" max="18" width="2.69921875" style="49" customWidth="1" outlineLevel="1"/>
    <col min="19" max="19" width="4.19921875" style="49" customWidth="1"/>
    <col min="20" max="22" width="3.69921875" style="49" customWidth="1" outlineLevel="1"/>
    <col min="23" max="35" width="6.69921875" style="49" customWidth="1" outlineLevel="1"/>
    <col min="36" max="36" width="2.69921875" style="49" customWidth="1" outlineLevel="1"/>
    <col min="37" max="37" width="4.19921875" style="49" customWidth="1"/>
    <col min="38" max="40" width="3.69921875" style="49" customWidth="1" outlineLevel="1"/>
    <col min="41" max="53" width="6.69921875" style="49" customWidth="1" outlineLevel="1"/>
    <col min="54" max="54" width="2.69921875" style="49" customWidth="1" outlineLevel="1"/>
    <col min="55" max="55" width="4.19921875" style="49" customWidth="1"/>
    <col min="56" max="58" width="3.69921875" style="49" customWidth="1" outlineLevel="1"/>
    <col min="59" max="71" width="6.69921875" style="49" customWidth="1" outlineLevel="1"/>
    <col min="72" max="72" width="2.69921875" style="49" customWidth="1" outlineLevel="1"/>
    <col min="73" max="73" width="4.19921875" style="49" customWidth="1"/>
    <col min="74" max="76" width="3.69921875" style="49" customWidth="1" outlineLevel="1"/>
    <col min="77" max="89" width="6.69921875" style="49" customWidth="1" outlineLevel="1"/>
    <col min="90" max="90" width="2.69921875" style="49" customWidth="1" outlineLevel="1"/>
    <col min="91" max="91" width="4.19921875" style="49" customWidth="1"/>
    <col min="92" max="94" width="3.69921875" style="49" customWidth="1" outlineLevel="1"/>
    <col min="95" max="107" width="6.69921875" style="49" customWidth="1" outlineLevel="1"/>
    <col min="108" max="108" width="2.69921875" style="49" customWidth="1" outlineLevel="1"/>
    <col min="109" max="109" width="4.19921875" style="49" customWidth="1"/>
    <col min="110" max="112" width="3.69921875" style="49" customWidth="1" outlineLevel="1"/>
    <col min="113" max="125" width="6.69921875" style="49" customWidth="1" outlineLevel="1"/>
    <col min="126" max="126" width="2.69921875" style="49" customWidth="1" outlineLevel="1"/>
    <col min="127" max="127" width="4.19921875" style="49" customWidth="1"/>
    <col min="128" max="130" width="3.69921875" style="49" customWidth="1" outlineLevel="1"/>
    <col min="131" max="143" width="6.69921875" style="49" customWidth="1" outlineLevel="1"/>
    <col min="144" max="144" width="2.69921875" style="49" customWidth="1" outlineLevel="1"/>
    <col min="145" max="145" width="4.19921875" style="49" customWidth="1"/>
    <col min="146" max="148" width="3.69921875" style="49" customWidth="1" outlineLevel="1"/>
    <col min="149" max="161" width="6.69921875" style="49" customWidth="1" outlineLevel="1"/>
    <col min="162" max="162" width="2.69921875" style="49" customWidth="1" outlineLevel="1"/>
    <col min="163" max="163" width="4.19921875" style="49" customWidth="1"/>
    <col min="164" max="166" width="3.69921875" style="49" customWidth="1" outlineLevel="1"/>
    <col min="167" max="179" width="6.69921875" style="49" customWidth="1" outlineLevel="1"/>
    <col min="180" max="180" width="2.69921875" style="49" customWidth="1" outlineLevel="1"/>
    <col min="181" max="181" width="4.19921875" style="49" customWidth="1"/>
    <col min="182" max="184" width="3.69921875" style="49" customWidth="1" outlineLevel="1"/>
    <col min="185" max="197" width="6.69921875" style="49" customWidth="1" outlineLevel="1"/>
    <col min="198" max="198" width="2.69921875" style="49" customWidth="1" outlineLevel="1"/>
    <col min="199" max="199" width="4.19921875" style="49" customWidth="1"/>
    <col min="200" max="202" width="3.69921875" style="49" customWidth="1" outlineLevel="1"/>
    <col min="203" max="215" width="6.69921875" style="49" customWidth="1" outlineLevel="1"/>
    <col min="216" max="216" width="2.69921875" style="49" customWidth="1" outlineLevel="1"/>
    <col min="217" max="16384" width="8.796875" style="49"/>
  </cols>
  <sheetData>
    <row r="1" spans="1:215" x14ac:dyDescent="0.45">
      <c r="A1" s="67"/>
      <c r="B1" s="356">
        <v>46023</v>
      </c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8"/>
      <c r="S1" s="67"/>
      <c r="T1" s="367">
        <v>46054</v>
      </c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357"/>
      <c r="AG1" s="357"/>
      <c r="AH1" s="357"/>
      <c r="AI1" s="358"/>
      <c r="AK1" s="67"/>
      <c r="AL1" s="367">
        <v>46082</v>
      </c>
      <c r="AM1" s="357"/>
      <c r="AN1" s="357"/>
      <c r="AO1" s="357"/>
      <c r="AP1" s="357"/>
      <c r="AQ1" s="357"/>
      <c r="AR1" s="357"/>
      <c r="AS1" s="357"/>
      <c r="AT1" s="357"/>
      <c r="AU1" s="357"/>
      <c r="AV1" s="357"/>
      <c r="AW1" s="357"/>
      <c r="AX1" s="357"/>
      <c r="AY1" s="357"/>
      <c r="AZ1" s="357"/>
      <c r="BA1" s="358"/>
      <c r="BC1" s="67"/>
      <c r="BD1" s="367">
        <v>46113</v>
      </c>
      <c r="BE1" s="357"/>
      <c r="BF1" s="357"/>
      <c r="BG1" s="357"/>
      <c r="BH1" s="357"/>
      <c r="BI1" s="357"/>
      <c r="BJ1" s="357"/>
      <c r="BK1" s="357"/>
      <c r="BL1" s="357"/>
      <c r="BM1" s="357"/>
      <c r="BN1" s="357"/>
      <c r="BO1" s="357"/>
      <c r="BP1" s="357"/>
      <c r="BQ1" s="357"/>
      <c r="BR1" s="357"/>
      <c r="BS1" s="358"/>
      <c r="BU1" s="67"/>
      <c r="BV1" s="367">
        <v>46143</v>
      </c>
      <c r="BW1" s="357"/>
      <c r="BX1" s="357"/>
      <c r="BY1" s="357"/>
      <c r="BZ1" s="357"/>
      <c r="CA1" s="357"/>
      <c r="CB1" s="357"/>
      <c r="CC1" s="357"/>
      <c r="CD1" s="357"/>
      <c r="CE1" s="357"/>
      <c r="CF1" s="357"/>
      <c r="CG1" s="357"/>
      <c r="CH1" s="357"/>
      <c r="CI1" s="357"/>
      <c r="CJ1" s="357"/>
      <c r="CK1" s="358"/>
      <c r="CM1" s="67"/>
      <c r="CN1" s="367">
        <v>46174</v>
      </c>
      <c r="CO1" s="357"/>
      <c r="CP1" s="357"/>
      <c r="CQ1" s="357"/>
      <c r="CR1" s="357"/>
      <c r="CS1" s="357"/>
      <c r="CT1" s="357"/>
      <c r="CU1" s="357"/>
      <c r="CV1" s="357"/>
      <c r="CW1" s="357"/>
      <c r="CX1" s="357"/>
      <c r="CY1" s="357"/>
      <c r="CZ1" s="357"/>
      <c r="DA1" s="357"/>
      <c r="DB1" s="357"/>
      <c r="DC1" s="358"/>
      <c r="DE1" s="67"/>
      <c r="DF1" s="367">
        <v>46204</v>
      </c>
      <c r="DG1" s="357"/>
      <c r="DH1" s="357"/>
      <c r="DI1" s="357"/>
      <c r="DJ1" s="357"/>
      <c r="DK1" s="357"/>
      <c r="DL1" s="357"/>
      <c r="DM1" s="357"/>
      <c r="DN1" s="357"/>
      <c r="DO1" s="357"/>
      <c r="DP1" s="357"/>
      <c r="DQ1" s="357"/>
      <c r="DR1" s="357"/>
      <c r="DS1" s="357"/>
      <c r="DT1" s="357"/>
      <c r="DU1" s="358"/>
      <c r="DW1" s="67"/>
      <c r="DX1" s="367">
        <v>46235</v>
      </c>
      <c r="DY1" s="357"/>
      <c r="DZ1" s="357"/>
      <c r="EA1" s="357"/>
      <c r="EB1" s="357"/>
      <c r="EC1" s="357"/>
      <c r="ED1" s="357"/>
      <c r="EE1" s="357"/>
      <c r="EF1" s="357"/>
      <c r="EG1" s="357"/>
      <c r="EH1" s="357"/>
      <c r="EI1" s="357"/>
      <c r="EJ1" s="357"/>
      <c r="EK1" s="357"/>
      <c r="EL1" s="357"/>
      <c r="EM1" s="358"/>
      <c r="EO1" s="67"/>
      <c r="EP1" s="367">
        <v>46266</v>
      </c>
      <c r="EQ1" s="357"/>
      <c r="ER1" s="357"/>
      <c r="ES1" s="357"/>
      <c r="ET1" s="357"/>
      <c r="EU1" s="357"/>
      <c r="EV1" s="357"/>
      <c r="EW1" s="357"/>
      <c r="EX1" s="357"/>
      <c r="EY1" s="357"/>
      <c r="EZ1" s="357"/>
      <c r="FA1" s="357"/>
      <c r="FB1" s="357"/>
      <c r="FC1" s="357"/>
      <c r="FD1" s="357"/>
      <c r="FE1" s="358"/>
      <c r="FG1" s="67"/>
      <c r="FH1" s="367">
        <v>46296</v>
      </c>
      <c r="FI1" s="357"/>
      <c r="FJ1" s="357"/>
      <c r="FK1" s="357"/>
      <c r="FL1" s="357"/>
      <c r="FM1" s="357"/>
      <c r="FN1" s="357"/>
      <c r="FO1" s="357"/>
      <c r="FP1" s="357"/>
      <c r="FQ1" s="357"/>
      <c r="FR1" s="357"/>
      <c r="FS1" s="357"/>
      <c r="FT1" s="357"/>
      <c r="FU1" s="357"/>
      <c r="FV1" s="357"/>
      <c r="FW1" s="358"/>
      <c r="FY1" s="67"/>
      <c r="FZ1" s="367">
        <v>46327</v>
      </c>
      <c r="GA1" s="357"/>
      <c r="GB1" s="357"/>
      <c r="GC1" s="357"/>
      <c r="GD1" s="357"/>
      <c r="GE1" s="357"/>
      <c r="GF1" s="357"/>
      <c r="GG1" s="357"/>
      <c r="GH1" s="357"/>
      <c r="GI1" s="357"/>
      <c r="GJ1" s="357"/>
      <c r="GK1" s="357"/>
      <c r="GL1" s="357"/>
      <c r="GM1" s="357"/>
      <c r="GN1" s="357"/>
      <c r="GO1" s="358"/>
      <c r="GQ1" s="67"/>
      <c r="GR1" s="367">
        <v>46357</v>
      </c>
      <c r="GS1" s="357"/>
      <c r="GT1" s="357"/>
      <c r="GU1" s="357"/>
      <c r="GV1" s="357"/>
      <c r="GW1" s="357"/>
      <c r="GX1" s="357"/>
      <c r="GY1" s="357"/>
      <c r="GZ1" s="357"/>
      <c r="HA1" s="357"/>
      <c r="HB1" s="357"/>
      <c r="HC1" s="357"/>
      <c r="HD1" s="357"/>
      <c r="HE1" s="357"/>
      <c r="HF1" s="357"/>
      <c r="HG1" s="358"/>
    </row>
    <row r="2" spans="1:215" ht="6" customHeight="1" outlineLevel="1" x14ac:dyDescent="0.45">
      <c r="A2" s="67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1"/>
      <c r="S2" s="67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I2" s="231"/>
      <c r="AK2" s="67"/>
      <c r="AL2" s="230"/>
      <c r="AM2" s="230"/>
      <c r="AN2" s="230"/>
      <c r="AO2" s="230"/>
      <c r="AP2" s="230"/>
      <c r="AQ2" s="230"/>
      <c r="AR2" s="230"/>
      <c r="AS2" s="230"/>
      <c r="AT2" s="230"/>
      <c r="AU2" s="230"/>
      <c r="AV2" s="230"/>
      <c r="AW2" s="230"/>
      <c r="AX2" s="230"/>
      <c r="AY2" s="230"/>
      <c r="AZ2" s="230"/>
      <c r="BA2" s="231"/>
      <c r="BC2" s="67"/>
      <c r="BD2" s="230"/>
      <c r="BE2" s="230"/>
      <c r="BF2" s="230"/>
      <c r="BG2" s="230"/>
      <c r="BH2" s="230"/>
      <c r="BI2" s="230"/>
      <c r="BJ2" s="230"/>
      <c r="BK2" s="230"/>
      <c r="BL2" s="230"/>
      <c r="BM2" s="230"/>
      <c r="BN2" s="230"/>
      <c r="BO2" s="230"/>
      <c r="BP2" s="230"/>
      <c r="BQ2" s="230"/>
      <c r="BR2" s="230"/>
      <c r="BS2" s="231"/>
      <c r="BU2" s="67"/>
      <c r="BV2" s="230"/>
      <c r="BW2" s="230"/>
      <c r="BX2" s="230"/>
      <c r="BY2" s="230"/>
      <c r="BZ2" s="230"/>
      <c r="CA2" s="230"/>
      <c r="CB2" s="230"/>
      <c r="CC2" s="230"/>
      <c r="CD2" s="230"/>
      <c r="CE2" s="230"/>
      <c r="CF2" s="230"/>
      <c r="CG2" s="230"/>
      <c r="CH2" s="230"/>
      <c r="CI2" s="230"/>
      <c r="CJ2" s="230"/>
      <c r="CK2" s="231"/>
      <c r="CM2" s="67"/>
      <c r="CN2" s="230"/>
      <c r="CO2" s="230"/>
      <c r="CP2" s="230"/>
      <c r="CQ2" s="230"/>
      <c r="CR2" s="230"/>
      <c r="CS2" s="230"/>
      <c r="CT2" s="230"/>
      <c r="CU2" s="230"/>
      <c r="CV2" s="230"/>
      <c r="CW2" s="230"/>
      <c r="CX2" s="230"/>
      <c r="CY2" s="230"/>
      <c r="CZ2" s="230"/>
      <c r="DA2" s="230"/>
      <c r="DB2" s="230"/>
      <c r="DC2" s="231"/>
      <c r="DE2" s="67"/>
      <c r="DF2" s="230"/>
      <c r="DG2" s="230"/>
      <c r="DH2" s="230"/>
      <c r="DI2" s="230"/>
      <c r="DJ2" s="230"/>
      <c r="DK2" s="230"/>
      <c r="DL2" s="230"/>
      <c r="DM2" s="230"/>
      <c r="DN2" s="230"/>
      <c r="DO2" s="230"/>
      <c r="DP2" s="230"/>
      <c r="DQ2" s="230"/>
      <c r="DR2" s="230"/>
      <c r="DS2" s="230"/>
      <c r="DT2" s="230"/>
      <c r="DU2" s="231"/>
      <c r="DW2" s="67"/>
      <c r="DX2" s="230"/>
      <c r="DY2" s="230"/>
      <c r="DZ2" s="230"/>
      <c r="EA2" s="230"/>
      <c r="EB2" s="230"/>
      <c r="EC2" s="230"/>
      <c r="ED2" s="230"/>
      <c r="EE2" s="230"/>
      <c r="EF2" s="230"/>
      <c r="EG2" s="230"/>
      <c r="EH2" s="230"/>
      <c r="EI2" s="230"/>
      <c r="EJ2" s="230"/>
      <c r="EK2" s="230"/>
      <c r="EL2" s="230"/>
      <c r="EM2" s="231"/>
      <c r="EO2" s="67"/>
      <c r="EP2" s="230"/>
      <c r="EQ2" s="230"/>
      <c r="ER2" s="230"/>
      <c r="ES2" s="230"/>
      <c r="ET2" s="230"/>
      <c r="EU2" s="230"/>
      <c r="EV2" s="230"/>
      <c r="EW2" s="230"/>
      <c r="EX2" s="230"/>
      <c r="EY2" s="230"/>
      <c r="EZ2" s="230"/>
      <c r="FA2" s="230"/>
      <c r="FB2" s="230"/>
      <c r="FC2" s="230"/>
      <c r="FD2" s="230"/>
      <c r="FE2" s="231"/>
      <c r="FG2" s="67"/>
      <c r="FH2" s="230"/>
      <c r="FI2" s="230"/>
      <c r="FJ2" s="230"/>
      <c r="FK2" s="230"/>
      <c r="FL2" s="230"/>
      <c r="FM2" s="230"/>
      <c r="FN2" s="230"/>
      <c r="FO2" s="230"/>
      <c r="FP2" s="230"/>
      <c r="FQ2" s="230"/>
      <c r="FR2" s="230"/>
      <c r="FS2" s="230"/>
      <c r="FT2" s="230"/>
      <c r="FU2" s="230"/>
      <c r="FV2" s="230"/>
      <c r="FW2" s="231"/>
      <c r="FY2" s="67"/>
      <c r="FZ2" s="230"/>
      <c r="GA2" s="230"/>
      <c r="GB2" s="230"/>
      <c r="GC2" s="230"/>
      <c r="GD2" s="230"/>
      <c r="GE2" s="230"/>
      <c r="GF2" s="230"/>
      <c r="GG2" s="230"/>
      <c r="GH2" s="230"/>
      <c r="GI2" s="230"/>
      <c r="GJ2" s="230"/>
      <c r="GK2" s="230"/>
      <c r="GL2" s="230"/>
      <c r="GM2" s="230"/>
      <c r="GN2" s="230"/>
      <c r="GO2" s="231"/>
      <c r="GQ2" s="67"/>
      <c r="GR2" s="230"/>
      <c r="GS2" s="230"/>
      <c r="GT2" s="230"/>
      <c r="GU2" s="230"/>
      <c r="GV2" s="230"/>
      <c r="GW2" s="230"/>
      <c r="GX2" s="230"/>
      <c r="GY2" s="230"/>
      <c r="GZ2" s="230"/>
      <c r="HA2" s="230"/>
      <c r="HB2" s="230"/>
      <c r="HC2" s="230"/>
      <c r="HD2" s="230"/>
      <c r="HE2" s="230"/>
      <c r="HF2" s="230"/>
      <c r="HG2" s="231"/>
    </row>
    <row r="3" spans="1:215" outlineLevel="1" x14ac:dyDescent="0.45">
      <c r="A3" s="67"/>
      <c r="B3" s="359" t="s">
        <v>24</v>
      </c>
      <c r="C3" s="359"/>
      <c r="D3" s="359"/>
      <c r="E3" s="232">
        <f>COUNTIF(D10:D40,"出")</f>
        <v>0</v>
      </c>
      <c r="F3" s="230"/>
      <c r="G3" s="362" t="s">
        <v>35</v>
      </c>
      <c r="H3" s="362"/>
      <c r="I3" s="230"/>
      <c r="J3" s="362" t="s">
        <v>36</v>
      </c>
      <c r="K3" s="362"/>
      <c r="L3" s="230"/>
      <c r="M3" s="230"/>
      <c r="N3" s="230"/>
      <c r="O3" s="230"/>
      <c r="P3" s="230"/>
      <c r="Q3" s="231"/>
      <c r="S3" s="67"/>
      <c r="T3" s="359" t="s">
        <v>24</v>
      </c>
      <c r="U3" s="359"/>
      <c r="V3" s="359"/>
      <c r="W3" s="232">
        <f>COUNTIF(V10:V40,"出")</f>
        <v>0</v>
      </c>
      <c r="X3" s="230"/>
      <c r="Y3" s="362" t="s">
        <v>35</v>
      </c>
      <c r="Z3" s="362"/>
      <c r="AA3" s="230"/>
      <c r="AB3" s="362" t="s">
        <v>36</v>
      </c>
      <c r="AC3" s="362"/>
      <c r="AD3" s="230"/>
      <c r="AE3" s="230"/>
      <c r="AF3" s="230"/>
      <c r="AG3" s="230"/>
      <c r="AH3" s="230"/>
      <c r="AI3" s="231"/>
      <c r="AK3" s="67"/>
      <c r="AL3" s="359" t="s">
        <v>24</v>
      </c>
      <c r="AM3" s="359"/>
      <c r="AN3" s="359"/>
      <c r="AO3" s="232">
        <f>COUNTIF(AN10:AN40,"出")</f>
        <v>0</v>
      </c>
      <c r="AP3" s="230"/>
      <c r="AQ3" s="362" t="s">
        <v>35</v>
      </c>
      <c r="AR3" s="362"/>
      <c r="AS3" s="230"/>
      <c r="AT3" s="362" t="s">
        <v>36</v>
      </c>
      <c r="AU3" s="362"/>
      <c r="AV3" s="230"/>
      <c r="AW3" s="230"/>
      <c r="AX3" s="230"/>
      <c r="AY3" s="230"/>
      <c r="AZ3" s="230"/>
      <c r="BA3" s="231"/>
      <c r="BC3" s="67"/>
      <c r="BD3" s="359" t="s">
        <v>24</v>
      </c>
      <c r="BE3" s="359"/>
      <c r="BF3" s="359"/>
      <c r="BG3" s="232">
        <f>COUNTIF(BF10:BF40,"出")</f>
        <v>0</v>
      </c>
      <c r="BH3" s="230"/>
      <c r="BI3" s="362" t="s">
        <v>35</v>
      </c>
      <c r="BJ3" s="362"/>
      <c r="BK3" s="230"/>
      <c r="BL3" s="362" t="s">
        <v>36</v>
      </c>
      <c r="BM3" s="362"/>
      <c r="BN3" s="230"/>
      <c r="BO3" s="230"/>
      <c r="BP3" s="230"/>
      <c r="BQ3" s="230"/>
      <c r="BR3" s="230"/>
      <c r="BS3" s="231"/>
      <c r="BU3" s="67"/>
      <c r="BV3" s="359" t="s">
        <v>24</v>
      </c>
      <c r="BW3" s="359"/>
      <c r="BX3" s="359"/>
      <c r="BY3" s="232">
        <f>COUNTIF(BX10:BX40,"出")</f>
        <v>0</v>
      </c>
      <c r="BZ3" s="230"/>
      <c r="CA3" s="362" t="s">
        <v>35</v>
      </c>
      <c r="CB3" s="362"/>
      <c r="CC3" s="230"/>
      <c r="CD3" s="362" t="s">
        <v>36</v>
      </c>
      <c r="CE3" s="362"/>
      <c r="CF3" s="230"/>
      <c r="CG3" s="230"/>
      <c r="CH3" s="230"/>
      <c r="CI3" s="230"/>
      <c r="CJ3" s="230"/>
      <c r="CK3" s="231"/>
      <c r="CM3" s="67"/>
      <c r="CN3" s="359" t="s">
        <v>24</v>
      </c>
      <c r="CO3" s="359"/>
      <c r="CP3" s="359"/>
      <c r="CQ3" s="232">
        <f>COUNTIF(CP10:CP40,"出")</f>
        <v>0</v>
      </c>
      <c r="CR3" s="230"/>
      <c r="CS3" s="362" t="s">
        <v>35</v>
      </c>
      <c r="CT3" s="362"/>
      <c r="CU3" s="230"/>
      <c r="CV3" s="362" t="s">
        <v>36</v>
      </c>
      <c r="CW3" s="362"/>
      <c r="CX3" s="230"/>
      <c r="CY3" s="230"/>
      <c r="CZ3" s="230"/>
      <c r="DA3" s="230"/>
      <c r="DB3" s="230"/>
      <c r="DC3" s="231"/>
      <c r="DE3" s="67"/>
      <c r="DF3" s="359" t="s">
        <v>24</v>
      </c>
      <c r="DG3" s="359"/>
      <c r="DH3" s="359"/>
      <c r="DI3" s="232">
        <f>COUNTIF(DH10:DH40,"出")</f>
        <v>0</v>
      </c>
      <c r="DJ3" s="230"/>
      <c r="DK3" s="362" t="s">
        <v>35</v>
      </c>
      <c r="DL3" s="362"/>
      <c r="DM3" s="230"/>
      <c r="DN3" s="362" t="s">
        <v>36</v>
      </c>
      <c r="DO3" s="362"/>
      <c r="DP3" s="230"/>
      <c r="DQ3" s="230"/>
      <c r="DR3" s="230"/>
      <c r="DS3" s="230"/>
      <c r="DT3" s="230"/>
      <c r="DU3" s="231"/>
      <c r="DW3" s="67"/>
      <c r="DX3" s="359" t="s">
        <v>24</v>
      </c>
      <c r="DY3" s="359"/>
      <c r="DZ3" s="359"/>
      <c r="EA3" s="232">
        <f>COUNTIF(DZ10:DZ40,"出")</f>
        <v>0</v>
      </c>
      <c r="EB3" s="230"/>
      <c r="EC3" s="362" t="s">
        <v>35</v>
      </c>
      <c r="ED3" s="362"/>
      <c r="EE3" s="230"/>
      <c r="EF3" s="362" t="s">
        <v>36</v>
      </c>
      <c r="EG3" s="362"/>
      <c r="EH3" s="230"/>
      <c r="EI3" s="230"/>
      <c r="EJ3" s="230"/>
      <c r="EK3" s="230"/>
      <c r="EL3" s="230"/>
      <c r="EM3" s="231"/>
      <c r="EO3" s="67"/>
      <c r="EP3" s="359" t="s">
        <v>24</v>
      </c>
      <c r="EQ3" s="359"/>
      <c r="ER3" s="359"/>
      <c r="ES3" s="232">
        <f>COUNTIF(ER10:ER40,"出")</f>
        <v>0</v>
      </c>
      <c r="ET3" s="230"/>
      <c r="EU3" s="362" t="s">
        <v>35</v>
      </c>
      <c r="EV3" s="362"/>
      <c r="EW3" s="230"/>
      <c r="EX3" s="362" t="s">
        <v>36</v>
      </c>
      <c r="EY3" s="362"/>
      <c r="EZ3" s="230"/>
      <c r="FA3" s="230"/>
      <c r="FB3" s="230"/>
      <c r="FC3" s="230"/>
      <c r="FD3" s="230"/>
      <c r="FE3" s="231"/>
      <c r="FG3" s="67"/>
      <c r="FH3" s="359" t="s">
        <v>24</v>
      </c>
      <c r="FI3" s="359"/>
      <c r="FJ3" s="359"/>
      <c r="FK3" s="232">
        <f>COUNTIF(FJ10:FJ40,"出")</f>
        <v>0</v>
      </c>
      <c r="FL3" s="230"/>
      <c r="FM3" s="362" t="s">
        <v>35</v>
      </c>
      <c r="FN3" s="362"/>
      <c r="FO3" s="230"/>
      <c r="FP3" s="362" t="s">
        <v>36</v>
      </c>
      <c r="FQ3" s="362"/>
      <c r="FR3" s="230"/>
      <c r="FS3" s="230"/>
      <c r="FT3" s="230"/>
      <c r="FU3" s="230"/>
      <c r="FV3" s="230"/>
      <c r="FW3" s="231"/>
      <c r="FY3" s="67"/>
      <c r="FZ3" s="359" t="s">
        <v>24</v>
      </c>
      <c r="GA3" s="359"/>
      <c r="GB3" s="359"/>
      <c r="GC3" s="232">
        <f>COUNTIF(GB10:GB40,"出")</f>
        <v>0</v>
      </c>
      <c r="GD3" s="230"/>
      <c r="GE3" s="362" t="s">
        <v>35</v>
      </c>
      <c r="GF3" s="362"/>
      <c r="GG3" s="230"/>
      <c r="GH3" s="362" t="s">
        <v>36</v>
      </c>
      <c r="GI3" s="362"/>
      <c r="GJ3" s="230"/>
      <c r="GK3" s="230"/>
      <c r="GL3" s="230"/>
      <c r="GM3" s="230"/>
      <c r="GN3" s="230"/>
      <c r="GO3" s="231"/>
      <c r="GQ3" s="67"/>
      <c r="GR3" s="359" t="s">
        <v>24</v>
      </c>
      <c r="GS3" s="359"/>
      <c r="GT3" s="359"/>
      <c r="GU3" s="232">
        <f>COUNTIF(GT10:GT40,"出")</f>
        <v>0</v>
      </c>
      <c r="GV3" s="230"/>
      <c r="GW3" s="362" t="s">
        <v>35</v>
      </c>
      <c r="GX3" s="362"/>
      <c r="GY3" s="230"/>
      <c r="GZ3" s="362" t="s">
        <v>36</v>
      </c>
      <c r="HA3" s="362"/>
      <c r="HB3" s="230"/>
      <c r="HC3" s="230"/>
      <c r="HD3" s="230"/>
      <c r="HE3" s="230"/>
      <c r="HF3" s="230"/>
      <c r="HG3" s="231"/>
    </row>
    <row r="4" spans="1:215" outlineLevel="1" x14ac:dyDescent="0.45">
      <c r="A4" s="67"/>
      <c r="B4" s="360" t="s">
        <v>23</v>
      </c>
      <c r="C4" s="360"/>
      <c r="D4" s="360"/>
      <c r="E4" s="233">
        <f>COUNTIF(D10:D40,"リ")</f>
        <v>19</v>
      </c>
      <c r="F4" s="230"/>
      <c r="G4" s="234" t="s">
        <v>3</v>
      </c>
      <c r="H4" s="234" t="s">
        <v>27</v>
      </c>
      <c r="I4" s="230"/>
      <c r="J4" s="234" t="s">
        <v>3</v>
      </c>
      <c r="K4" s="234" t="s">
        <v>27</v>
      </c>
      <c r="L4" s="230"/>
      <c r="M4" s="230"/>
      <c r="N4" s="230"/>
      <c r="O4" s="230"/>
      <c r="P4" s="230"/>
      <c r="Q4" s="231"/>
      <c r="S4" s="67"/>
      <c r="T4" s="360" t="s">
        <v>23</v>
      </c>
      <c r="U4" s="360"/>
      <c r="V4" s="360"/>
      <c r="W4" s="233">
        <f>COUNTIF(V10:V40,"リ")</f>
        <v>18</v>
      </c>
      <c r="X4" s="230"/>
      <c r="Y4" s="234" t="s">
        <v>3</v>
      </c>
      <c r="Z4" s="234" t="s">
        <v>27</v>
      </c>
      <c r="AA4" s="230"/>
      <c r="AB4" s="234" t="s">
        <v>3</v>
      </c>
      <c r="AC4" s="234" t="s">
        <v>27</v>
      </c>
      <c r="AD4" s="230"/>
      <c r="AE4" s="230"/>
      <c r="AF4" s="230"/>
      <c r="AG4" s="230"/>
      <c r="AH4" s="230"/>
      <c r="AI4" s="231"/>
      <c r="AK4" s="67"/>
      <c r="AL4" s="360" t="s">
        <v>23</v>
      </c>
      <c r="AM4" s="360"/>
      <c r="AN4" s="360"/>
      <c r="AO4" s="233">
        <f>COUNTIF(AN10:AN40,"リ")</f>
        <v>21</v>
      </c>
      <c r="AP4" s="230"/>
      <c r="AQ4" s="234" t="s">
        <v>3</v>
      </c>
      <c r="AR4" s="234" t="s">
        <v>27</v>
      </c>
      <c r="AS4" s="230"/>
      <c r="AT4" s="234" t="s">
        <v>3</v>
      </c>
      <c r="AU4" s="234" t="s">
        <v>27</v>
      </c>
      <c r="AV4" s="230"/>
      <c r="AW4" s="230"/>
      <c r="AX4" s="230"/>
      <c r="AY4" s="230"/>
      <c r="AZ4" s="230"/>
      <c r="BA4" s="231"/>
      <c r="BC4" s="67"/>
      <c r="BD4" s="360" t="s">
        <v>23</v>
      </c>
      <c r="BE4" s="360"/>
      <c r="BF4" s="360"/>
      <c r="BG4" s="233">
        <f>COUNTIF(BF10:BF40,"リ")</f>
        <v>21</v>
      </c>
      <c r="BH4" s="230"/>
      <c r="BI4" s="234" t="s">
        <v>3</v>
      </c>
      <c r="BJ4" s="234" t="s">
        <v>27</v>
      </c>
      <c r="BK4" s="230"/>
      <c r="BL4" s="234" t="s">
        <v>3</v>
      </c>
      <c r="BM4" s="234" t="s">
        <v>27</v>
      </c>
      <c r="BN4" s="230"/>
      <c r="BO4" s="230"/>
      <c r="BP4" s="230"/>
      <c r="BQ4" s="230"/>
      <c r="BR4" s="230"/>
      <c r="BS4" s="231"/>
      <c r="BU4" s="67"/>
      <c r="BV4" s="360" t="s">
        <v>23</v>
      </c>
      <c r="BW4" s="360"/>
      <c r="BX4" s="360"/>
      <c r="BY4" s="233">
        <f>COUNTIF(BX10:BX40,"リ")</f>
        <v>18</v>
      </c>
      <c r="BZ4" s="230"/>
      <c r="CA4" s="234" t="s">
        <v>3</v>
      </c>
      <c r="CB4" s="234" t="s">
        <v>27</v>
      </c>
      <c r="CC4" s="230"/>
      <c r="CD4" s="234" t="s">
        <v>3</v>
      </c>
      <c r="CE4" s="234" t="s">
        <v>27</v>
      </c>
      <c r="CF4" s="230"/>
      <c r="CG4" s="230"/>
      <c r="CH4" s="230"/>
      <c r="CI4" s="230"/>
      <c r="CJ4" s="230"/>
      <c r="CK4" s="231"/>
      <c r="CM4" s="67"/>
      <c r="CN4" s="360" t="s">
        <v>23</v>
      </c>
      <c r="CO4" s="360"/>
      <c r="CP4" s="360"/>
      <c r="CQ4" s="233">
        <f>COUNTIF(CP10:CP40,"リ")</f>
        <v>22</v>
      </c>
      <c r="CR4" s="230"/>
      <c r="CS4" s="234" t="s">
        <v>3</v>
      </c>
      <c r="CT4" s="234" t="s">
        <v>27</v>
      </c>
      <c r="CU4" s="230"/>
      <c r="CV4" s="234" t="s">
        <v>3</v>
      </c>
      <c r="CW4" s="234" t="s">
        <v>27</v>
      </c>
      <c r="CX4" s="230"/>
      <c r="CY4" s="230"/>
      <c r="CZ4" s="230"/>
      <c r="DA4" s="230"/>
      <c r="DB4" s="230"/>
      <c r="DC4" s="231"/>
      <c r="DE4" s="67"/>
      <c r="DF4" s="360" t="s">
        <v>23</v>
      </c>
      <c r="DG4" s="360"/>
      <c r="DH4" s="360"/>
      <c r="DI4" s="233">
        <f>COUNTIF(DH10:DH40,"リ")</f>
        <v>22</v>
      </c>
      <c r="DJ4" s="230"/>
      <c r="DK4" s="234" t="s">
        <v>3</v>
      </c>
      <c r="DL4" s="234" t="s">
        <v>27</v>
      </c>
      <c r="DM4" s="230"/>
      <c r="DN4" s="234" t="s">
        <v>3</v>
      </c>
      <c r="DO4" s="234" t="s">
        <v>27</v>
      </c>
      <c r="DP4" s="230"/>
      <c r="DQ4" s="230"/>
      <c r="DR4" s="230"/>
      <c r="DS4" s="230"/>
      <c r="DT4" s="230"/>
      <c r="DU4" s="231"/>
      <c r="DW4" s="67"/>
      <c r="DX4" s="360" t="s">
        <v>23</v>
      </c>
      <c r="DY4" s="360"/>
      <c r="DZ4" s="360"/>
      <c r="EA4" s="233">
        <f>COUNTIF(DZ10:DZ40,"リ")</f>
        <v>20</v>
      </c>
      <c r="EB4" s="230"/>
      <c r="EC4" s="234" t="s">
        <v>3</v>
      </c>
      <c r="ED4" s="234" t="s">
        <v>27</v>
      </c>
      <c r="EE4" s="230"/>
      <c r="EF4" s="234" t="s">
        <v>3</v>
      </c>
      <c r="EG4" s="234" t="s">
        <v>27</v>
      </c>
      <c r="EH4" s="230"/>
      <c r="EI4" s="230"/>
      <c r="EJ4" s="230"/>
      <c r="EK4" s="230"/>
      <c r="EL4" s="230"/>
      <c r="EM4" s="231"/>
      <c r="EO4" s="67"/>
      <c r="EP4" s="360" t="s">
        <v>23</v>
      </c>
      <c r="EQ4" s="360"/>
      <c r="ER4" s="360"/>
      <c r="ES4" s="233">
        <f>COUNTIF(ER10:ER40,"リ")</f>
        <v>19</v>
      </c>
      <c r="ET4" s="230"/>
      <c r="EU4" s="234" t="s">
        <v>3</v>
      </c>
      <c r="EV4" s="234" t="s">
        <v>27</v>
      </c>
      <c r="EW4" s="230"/>
      <c r="EX4" s="234" t="s">
        <v>3</v>
      </c>
      <c r="EY4" s="234" t="s">
        <v>27</v>
      </c>
      <c r="EZ4" s="230"/>
      <c r="FA4" s="230"/>
      <c r="FB4" s="230"/>
      <c r="FC4" s="230"/>
      <c r="FD4" s="230"/>
      <c r="FE4" s="231"/>
      <c r="FG4" s="67"/>
      <c r="FH4" s="360" t="s">
        <v>23</v>
      </c>
      <c r="FI4" s="360"/>
      <c r="FJ4" s="360"/>
      <c r="FK4" s="233">
        <f>COUNTIF(FJ10:FJ40,"リ")</f>
        <v>21</v>
      </c>
      <c r="FL4" s="230"/>
      <c r="FM4" s="234" t="s">
        <v>3</v>
      </c>
      <c r="FN4" s="234" t="s">
        <v>27</v>
      </c>
      <c r="FO4" s="230"/>
      <c r="FP4" s="234" t="s">
        <v>3</v>
      </c>
      <c r="FQ4" s="234" t="s">
        <v>27</v>
      </c>
      <c r="FR4" s="230"/>
      <c r="FS4" s="230"/>
      <c r="FT4" s="230"/>
      <c r="FU4" s="230"/>
      <c r="FV4" s="230"/>
      <c r="FW4" s="231"/>
      <c r="FY4" s="67"/>
      <c r="FZ4" s="360" t="s">
        <v>23</v>
      </c>
      <c r="GA4" s="360"/>
      <c r="GB4" s="360"/>
      <c r="GC4" s="233">
        <f>COUNTIF(GB10:GB40,"リ")</f>
        <v>19</v>
      </c>
      <c r="GD4" s="230"/>
      <c r="GE4" s="234" t="s">
        <v>3</v>
      </c>
      <c r="GF4" s="234" t="s">
        <v>27</v>
      </c>
      <c r="GG4" s="230"/>
      <c r="GH4" s="234" t="s">
        <v>3</v>
      </c>
      <c r="GI4" s="234" t="s">
        <v>27</v>
      </c>
      <c r="GJ4" s="230"/>
      <c r="GK4" s="230"/>
      <c r="GL4" s="230"/>
      <c r="GM4" s="230"/>
      <c r="GN4" s="230"/>
      <c r="GO4" s="231"/>
      <c r="GQ4" s="67"/>
      <c r="GR4" s="360" t="s">
        <v>23</v>
      </c>
      <c r="GS4" s="360"/>
      <c r="GT4" s="360"/>
      <c r="GU4" s="233">
        <f>COUNTIF(GT10:GT40,"リ")</f>
        <v>20</v>
      </c>
      <c r="GV4" s="230"/>
      <c r="GW4" s="234" t="s">
        <v>3</v>
      </c>
      <c r="GX4" s="234" t="s">
        <v>27</v>
      </c>
      <c r="GY4" s="230"/>
      <c r="GZ4" s="234" t="s">
        <v>3</v>
      </c>
      <c r="HA4" s="234" t="s">
        <v>27</v>
      </c>
      <c r="HB4" s="230"/>
      <c r="HC4" s="230"/>
      <c r="HD4" s="230"/>
      <c r="HE4" s="230"/>
      <c r="HF4" s="230"/>
      <c r="HG4" s="231"/>
    </row>
    <row r="5" spans="1:215" outlineLevel="1" x14ac:dyDescent="0.45">
      <c r="A5" s="67"/>
      <c r="B5" s="361" t="s">
        <v>25</v>
      </c>
      <c r="C5" s="361"/>
      <c r="D5" s="361"/>
      <c r="E5" s="235">
        <f>E3/(E3+E4)</f>
        <v>0</v>
      </c>
      <c r="F5" s="230"/>
      <c r="G5" s="236">
        <f>COUNT(F10:F40)</f>
        <v>19</v>
      </c>
      <c r="H5" s="23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30"/>
      <c r="J5" s="236">
        <f>COUNT(J10:J40)</f>
        <v>19</v>
      </c>
      <c r="K5" s="23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30"/>
      <c r="M5" s="230"/>
      <c r="N5" s="230"/>
      <c r="O5" s="230"/>
      <c r="P5" s="230"/>
      <c r="Q5" s="231"/>
      <c r="S5" s="67"/>
      <c r="T5" s="361" t="s">
        <v>25</v>
      </c>
      <c r="U5" s="361"/>
      <c r="V5" s="361"/>
      <c r="W5" s="235">
        <f>W3/(W3+W4)</f>
        <v>0</v>
      </c>
      <c r="X5" s="230"/>
      <c r="Y5" s="236">
        <f>COUNT(X10:X40)</f>
        <v>18</v>
      </c>
      <c r="Z5" s="23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30"/>
      <c r="AB5" s="236">
        <f>COUNT(AB10:AB40)</f>
        <v>18</v>
      </c>
      <c r="AC5" s="23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30"/>
      <c r="AE5" s="230"/>
      <c r="AF5" s="230"/>
      <c r="AG5" s="230"/>
      <c r="AH5" s="230"/>
      <c r="AI5" s="231"/>
      <c r="AK5" s="67"/>
      <c r="AL5" s="361" t="s">
        <v>25</v>
      </c>
      <c r="AM5" s="361"/>
      <c r="AN5" s="361"/>
      <c r="AO5" s="235">
        <f>AO3/(AO3+AO4)</f>
        <v>0</v>
      </c>
      <c r="AP5" s="230"/>
      <c r="AQ5" s="236">
        <f>COUNT(AP10:AP40)</f>
        <v>21</v>
      </c>
      <c r="AR5" s="23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30"/>
      <c r="AT5" s="236">
        <f>COUNT(AT10:AT40)</f>
        <v>21</v>
      </c>
      <c r="AU5" s="23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30"/>
      <c r="AW5" s="230"/>
      <c r="AX5" s="230"/>
      <c r="AY5" s="230"/>
      <c r="AZ5" s="230"/>
      <c r="BA5" s="231"/>
      <c r="BC5" s="67"/>
      <c r="BD5" s="361" t="s">
        <v>25</v>
      </c>
      <c r="BE5" s="361"/>
      <c r="BF5" s="361"/>
      <c r="BG5" s="235">
        <f>BG3/(BG3+BG4)</f>
        <v>0</v>
      </c>
      <c r="BH5" s="230"/>
      <c r="BI5" s="236">
        <f>COUNT(BH10:BH40)</f>
        <v>21</v>
      </c>
      <c r="BJ5" s="23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30"/>
      <c r="BL5" s="236">
        <f>COUNT(BL10:BL40)</f>
        <v>21</v>
      </c>
      <c r="BM5" s="23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30"/>
      <c r="BO5" s="230"/>
      <c r="BP5" s="230"/>
      <c r="BQ5" s="230"/>
      <c r="BR5" s="230"/>
      <c r="BS5" s="231"/>
      <c r="BU5" s="67"/>
      <c r="BV5" s="361" t="s">
        <v>25</v>
      </c>
      <c r="BW5" s="361"/>
      <c r="BX5" s="361"/>
      <c r="BY5" s="235">
        <f>BY3/(BY3+BY4)</f>
        <v>0</v>
      </c>
      <c r="BZ5" s="230"/>
      <c r="CA5" s="236">
        <f>COUNT(BZ10:BZ40)</f>
        <v>18</v>
      </c>
      <c r="CB5" s="23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30"/>
      <c r="CD5" s="236">
        <f>COUNT(CD10:CD40)</f>
        <v>18</v>
      </c>
      <c r="CE5" s="23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30"/>
      <c r="CG5" s="230"/>
      <c r="CH5" s="230"/>
      <c r="CI5" s="230"/>
      <c r="CJ5" s="230"/>
      <c r="CK5" s="231"/>
      <c r="CM5" s="67"/>
      <c r="CN5" s="361" t="s">
        <v>25</v>
      </c>
      <c r="CO5" s="361"/>
      <c r="CP5" s="361"/>
      <c r="CQ5" s="235">
        <f>CQ3/(CQ3+CQ4)</f>
        <v>0</v>
      </c>
      <c r="CR5" s="230"/>
      <c r="CS5" s="236">
        <f>COUNT(CR10:CR40)</f>
        <v>22</v>
      </c>
      <c r="CT5" s="23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30"/>
      <c r="CV5" s="236">
        <f>COUNT(CV10:CV40)</f>
        <v>22</v>
      </c>
      <c r="CW5" s="23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30"/>
      <c r="CY5" s="230"/>
      <c r="CZ5" s="230"/>
      <c r="DA5" s="230"/>
      <c r="DB5" s="230"/>
      <c r="DC5" s="231"/>
      <c r="DE5" s="67"/>
      <c r="DF5" s="361" t="s">
        <v>25</v>
      </c>
      <c r="DG5" s="361"/>
      <c r="DH5" s="361"/>
      <c r="DI5" s="235">
        <f>DI3/(DI3+DI4)</f>
        <v>0</v>
      </c>
      <c r="DJ5" s="230"/>
      <c r="DK5" s="236">
        <f>COUNT(DJ10:DJ40)</f>
        <v>22</v>
      </c>
      <c r="DL5" s="23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30"/>
      <c r="DN5" s="236">
        <f>COUNT(DN10:DN40)</f>
        <v>22</v>
      </c>
      <c r="DO5" s="23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30"/>
      <c r="DQ5" s="230"/>
      <c r="DR5" s="230"/>
      <c r="DS5" s="230"/>
      <c r="DT5" s="230"/>
      <c r="DU5" s="231"/>
      <c r="DW5" s="67"/>
      <c r="DX5" s="361" t="s">
        <v>25</v>
      </c>
      <c r="DY5" s="361"/>
      <c r="DZ5" s="361"/>
      <c r="EA5" s="235">
        <f>EA3/(EA3+EA4)</f>
        <v>0</v>
      </c>
      <c r="EB5" s="230"/>
      <c r="EC5" s="236">
        <f>COUNT(EB10:EB40)</f>
        <v>20</v>
      </c>
      <c r="ED5" s="23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30"/>
      <c r="EF5" s="236">
        <f>COUNT(EF10:EF40)</f>
        <v>20</v>
      </c>
      <c r="EG5" s="23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30"/>
      <c r="EI5" s="230"/>
      <c r="EJ5" s="230"/>
      <c r="EK5" s="230"/>
      <c r="EL5" s="230"/>
      <c r="EM5" s="231"/>
      <c r="EO5" s="67"/>
      <c r="EP5" s="361" t="s">
        <v>25</v>
      </c>
      <c r="EQ5" s="361"/>
      <c r="ER5" s="361"/>
      <c r="ES5" s="235">
        <f>ES3/(ES3+ES4)</f>
        <v>0</v>
      </c>
      <c r="ET5" s="230"/>
      <c r="EU5" s="236">
        <f>COUNT(ET10:ET40)</f>
        <v>19</v>
      </c>
      <c r="EV5" s="23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30"/>
      <c r="EX5" s="236">
        <f>COUNT(EX10:EX40)</f>
        <v>19</v>
      </c>
      <c r="EY5" s="23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30"/>
      <c r="FA5" s="230"/>
      <c r="FB5" s="230"/>
      <c r="FC5" s="230"/>
      <c r="FD5" s="230"/>
      <c r="FE5" s="231"/>
      <c r="FG5" s="67"/>
      <c r="FH5" s="361" t="s">
        <v>25</v>
      </c>
      <c r="FI5" s="361"/>
      <c r="FJ5" s="361"/>
      <c r="FK5" s="235">
        <f>FK3/(FK3+FK4)</f>
        <v>0</v>
      </c>
      <c r="FL5" s="230"/>
      <c r="FM5" s="236">
        <f>COUNT(FL10:FL40)</f>
        <v>21</v>
      </c>
      <c r="FN5" s="23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30"/>
      <c r="FP5" s="236">
        <f>COUNT(FP10:FP40)</f>
        <v>21</v>
      </c>
      <c r="FQ5" s="23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30"/>
      <c r="FS5" s="230"/>
      <c r="FT5" s="230"/>
      <c r="FU5" s="230"/>
      <c r="FV5" s="230"/>
      <c r="FW5" s="231"/>
      <c r="FY5" s="67"/>
      <c r="FZ5" s="361" t="s">
        <v>25</v>
      </c>
      <c r="GA5" s="361"/>
      <c r="GB5" s="361"/>
      <c r="GC5" s="235">
        <f>GC3/(GC3+GC4)</f>
        <v>0</v>
      </c>
      <c r="GD5" s="230"/>
      <c r="GE5" s="236">
        <f>COUNT(GD10:GD40)</f>
        <v>19</v>
      </c>
      <c r="GF5" s="23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30"/>
      <c r="GH5" s="236">
        <f>COUNT(GH10:GH40)</f>
        <v>19</v>
      </c>
      <c r="GI5" s="23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30"/>
      <c r="GK5" s="230"/>
      <c r="GL5" s="230"/>
      <c r="GM5" s="230"/>
      <c r="GN5" s="230"/>
      <c r="GO5" s="231"/>
      <c r="GQ5" s="67"/>
      <c r="GR5" s="361" t="s">
        <v>25</v>
      </c>
      <c r="GS5" s="361"/>
      <c r="GT5" s="361"/>
      <c r="GU5" s="235">
        <f>GU3/(GU3+GU4)</f>
        <v>0</v>
      </c>
      <c r="GV5" s="230"/>
      <c r="GW5" s="236">
        <f>COUNT(GV10:GV40)</f>
        <v>20</v>
      </c>
      <c r="GX5" s="23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30"/>
      <c r="GZ5" s="236">
        <f>COUNT(GZ10:GZ40)</f>
        <v>20</v>
      </c>
      <c r="HA5" s="23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30"/>
      <c r="HC5" s="230"/>
      <c r="HD5" s="230"/>
      <c r="HE5" s="230"/>
      <c r="HF5" s="230"/>
      <c r="HG5" s="231"/>
    </row>
    <row r="6" spans="1:215" ht="6" customHeight="1" outlineLevel="1" thickBot="1" x14ac:dyDescent="0.5">
      <c r="A6" s="67"/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9"/>
      <c r="S6" s="67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9"/>
      <c r="AK6" s="67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9"/>
      <c r="BC6" s="67"/>
      <c r="BD6" s="238"/>
      <c r="BE6" s="238"/>
      <c r="BF6" s="238"/>
      <c r="BG6" s="238"/>
      <c r="BH6" s="238"/>
      <c r="BI6" s="238"/>
      <c r="BJ6" s="238"/>
      <c r="BK6" s="238"/>
      <c r="BL6" s="238"/>
      <c r="BM6" s="238"/>
      <c r="BN6" s="238"/>
      <c r="BO6" s="238"/>
      <c r="BP6" s="238"/>
      <c r="BQ6" s="238"/>
      <c r="BR6" s="238"/>
      <c r="BS6" s="239"/>
      <c r="BU6" s="67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238"/>
      <c r="CK6" s="239"/>
      <c r="CM6" s="67"/>
      <c r="CN6" s="238"/>
      <c r="CO6" s="238"/>
      <c r="CP6" s="238"/>
      <c r="CQ6" s="238"/>
      <c r="CR6" s="238"/>
      <c r="CS6" s="238"/>
      <c r="CT6" s="238"/>
      <c r="CU6" s="238"/>
      <c r="CV6" s="238"/>
      <c r="CW6" s="238"/>
      <c r="CX6" s="238"/>
      <c r="CY6" s="238"/>
      <c r="CZ6" s="238"/>
      <c r="DA6" s="238"/>
      <c r="DB6" s="238"/>
      <c r="DC6" s="239"/>
      <c r="DE6" s="67"/>
      <c r="DF6" s="238"/>
      <c r="DG6" s="238"/>
      <c r="DH6" s="238"/>
      <c r="DI6" s="238"/>
      <c r="DJ6" s="238"/>
      <c r="DK6" s="238"/>
      <c r="DL6" s="238"/>
      <c r="DM6" s="238"/>
      <c r="DN6" s="238"/>
      <c r="DO6" s="238"/>
      <c r="DP6" s="238"/>
      <c r="DQ6" s="238"/>
      <c r="DR6" s="238"/>
      <c r="DS6" s="238"/>
      <c r="DT6" s="238"/>
      <c r="DU6" s="239"/>
      <c r="DW6" s="67"/>
      <c r="DX6" s="238"/>
      <c r="DY6" s="238"/>
      <c r="DZ6" s="238"/>
      <c r="EA6" s="238"/>
      <c r="EB6" s="238"/>
      <c r="EC6" s="238"/>
      <c r="ED6" s="238"/>
      <c r="EE6" s="238"/>
      <c r="EF6" s="238"/>
      <c r="EG6" s="238"/>
      <c r="EH6" s="238"/>
      <c r="EI6" s="238"/>
      <c r="EJ6" s="238"/>
      <c r="EK6" s="238"/>
      <c r="EL6" s="238"/>
      <c r="EM6" s="239"/>
      <c r="EO6" s="67"/>
      <c r="EP6" s="238"/>
      <c r="EQ6" s="238"/>
      <c r="ER6" s="238"/>
      <c r="ES6" s="238"/>
      <c r="ET6" s="238"/>
      <c r="EU6" s="238"/>
      <c r="EV6" s="238"/>
      <c r="EW6" s="238"/>
      <c r="EX6" s="238"/>
      <c r="EY6" s="238"/>
      <c r="EZ6" s="238"/>
      <c r="FA6" s="238"/>
      <c r="FB6" s="238"/>
      <c r="FC6" s="238"/>
      <c r="FD6" s="238"/>
      <c r="FE6" s="239"/>
      <c r="FG6" s="67"/>
      <c r="FH6" s="238"/>
      <c r="FI6" s="238"/>
      <c r="FJ6" s="238"/>
      <c r="FK6" s="238"/>
      <c r="FL6" s="238"/>
      <c r="FM6" s="238"/>
      <c r="FN6" s="238"/>
      <c r="FO6" s="238"/>
      <c r="FP6" s="238"/>
      <c r="FQ6" s="238"/>
      <c r="FR6" s="238"/>
      <c r="FS6" s="238"/>
      <c r="FT6" s="238"/>
      <c r="FU6" s="238"/>
      <c r="FV6" s="238"/>
      <c r="FW6" s="239"/>
      <c r="FY6" s="67"/>
      <c r="FZ6" s="238"/>
      <c r="GA6" s="238"/>
      <c r="GB6" s="238"/>
      <c r="GC6" s="238"/>
      <c r="GD6" s="238"/>
      <c r="GE6" s="238"/>
      <c r="GF6" s="238"/>
      <c r="GG6" s="238"/>
      <c r="GH6" s="238"/>
      <c r="GI6" s="238"/>
      <c r="GJ6" s="238"/>
      <c r="GK6" s="238"/>
      <c r="GL6" s="238"/>
      <c r="GM6" s="238"/>
      <c r="GN6" s="238"/>
      <c r="GO6" s="239"/>
      <c r="GQ6" s="67"/>
      <c r="GR6" s="238"/>
      <c r="GS6" s="238"/>
      <c r="GT6" s="238"/>
      <c r="GU6" s="238"/>
      <c r="GV6" s="238"/>
      <c r="GW6" s="238"/>
      <c r="GX6" s="238"/>
      <c r="GY6" s="238"/>
      <c r="GZ6" s="238"/>
      <c r="HA6" s="238"/>
      <c r="HB6" s="238"/>
      <c r="HC6" s="238"/>
      <c r="HD6" s="238"/>
      <c r="HE6" s="238"/>
      <c r="HF6" s="238"/>
      <c r="HG6" s="239"/>
    </row>
    <row r="7" spans="1:215" ht="6" customHeight="1" outlineLevel="1" thickTop="1" x14ac:dyDescent="0.45">
      <c r="A7" s="67"/>
      <c r="S7" s="67"/>
      <c r="AK7" s="67"/>
      <c r="BC7" s="67"/>
      <c r="BU7" s="67"/>
      <c r="CM7" s="67"/>
      <c r="DE7" s="67"/>
      <c r="DW7" s="67"/>
      <c r="EO7" s="67"/>
      <c r="FG7" s="67"/>
      <c r="FY7" s="67"/>
      <c r="GQ7" s="67"/>
    </row>
    <row r="8" spans="1:215" x14ac:dyDescent="0.45">
      <c r="A8" s="350">
        <v>46023</v>
      </c>
      <c r="D8" s="50"/>
      <c r="E8" s="352" t="s">
        <v>26</v>
      </c>
      <c r="F8" s="352"/>
      <c r="G8" s="353" t="s">
        <v>32</v>
      </c>
      <c r="H8" s="353"/>
      <c r="I8" s="50"/>
      <c r="J8" s="354" t="s">
        <v>28</v>
      </c>
      <c r="K8" s="354"/>
      <c r="L8" s="354" t="s">
        <v>32</v>
      </c>
      <c r="M8" s="354"/>
      <c r="N8" s="79"/>
      <c r="O8" s="50"/>
      <c r="P8" s="50"/>
      <c r="Q8" s="50"/>
      <c r="S8" s="350">
        <v>46054</v>
      </c>
      <c r="V8" s="50"/>
      <c r="W8" s="352" t="s">
        <v>26</v>
      </c>
      <c r="X8" s="352"/>
      <c r="Y8" s="353" t="s">
        <v>32</v>
      </c>
      <c r="Z8" s="353"/>
      <c r="AA8" s="50"/>
      <c r="AB8" s="354" t="s">
        <v>28</v>
      </c>
      <c r="AC8" s="354"/>
      <c r="AD8" s="354" t="s">
        <v>32</v>
      </c>
      <c r="AE8" s="354"/>
      <c r="AF8" s="79"/>
      <c r="AG8" s="50"/>
      <c r="AH8" s="50"/>
      <c r="AI8" s="50"/>
      <c r="AK8" s="350">
        <v>46082</v>
      </c>
      <c r="AN8" s="50"/>
      <c r="AO8" s="352" t="s">
        <v>26</v>
      </c>
      <c r="AP8" s="352"/>
      <c r="AQ8" s="353" t="s">
        <v>32</v>
      </c>
      <c r="AR8" s="353"/>
      <c r="AS8" s="50"/>
      <c r="AT8" s="354" t="s">
        <v>28</v>
      </c>
      <c r="AU8" s="354"/>
      <c r="AV8" s="354" t="s">
        <v>32</v>
      </c>
      <c r="AW8" s="354"/>
      <c r="AX8" s="79"/>
      <c r="AY8" s="50"/>
      <c r="AZ8" s="50"/>
      <c r="BA8" s="50"/>
      <c r="BC8" s="350">
        <v>46113</v>
      </c>
      <c r="BF8" s="50"/>
      <c r="BG8" s="352" t="s">
        <v>26</v>
      </c>
      <c r="BH8" s="352"/>
      <c r="BI8" s="353" t="s">
        <v>32</v>
      </c>
      <c r="BJ8" s="353"/>
      <c r="BK8" s="50"/>
      <c r="BL8" s="354" t="s">
        <v>28</v>
      </c>
      <c r="BM8" s="354"/>
      <c r="BN8" s="354" t="s">
        <v>32</v>
      </c>
      <c r="BO8" s="354"/>
      <c r="BP8" s="79"/>
      <c r="BQ8" s="50"/>
      <c r="BR8" s="50"/>
      <c r="BS8" s="50"/>
      <c r="BU8" s="350">
        <v>46143</v>
      </c>
      <c r="BX8" s="50"/>
      <c r="BY8" s="352" t="s">
        <v>26</v>
      </c>
      <c r="BZ8" s="352"/>
      <c r="CA8" s="353" t="s">
        <v>32</v>
      </c>
      <c r="CB8" s="353"/>
      <c r="CC8" s="50"/>
      <c r="CD8" s="354" t="s">
        <v>28</v>
      </c>
      <c r="CE8" s="354"/>
      <c r="CF8" s="354" t="s">
        <v>32</v>
      </c>
      <c r="CG8" s="354"/>
      <c r="CH8" s="79"/>
      <c r="CI8" s="50"/>
      <c r="CJ8" s="50"/>
      <c r="CK8" s="50"/>
      <c r="CM8" s="350">
        <v>46174</v>
      </c>
      <c r="CP8" s="50"/>
      <c r="CQ8" s="352" t="s">
        <v>26</v>
      </c>
      <c r="CR8" s="352"/>
      <c r="CS8" s="353" t="s">
        <v>32</v>
      </c>
      <c r="CT8" s="353"/>
      <c r="CU8" s="50"/>
      <c r="CV8" s="354" t="s">
        <v>28</v>
      </c>
      <c r="CW8" s="354"/>
      <c r="CX8" s="354" t="s">
        <v>32</v>
      </c>
      <c r="CY8" s="354"/>
      <c r="CZ8" s="79"/>
      <c r="DA8" s="50"/>
      <c r="DB8" s="50"/>
      <c r="DC8" s="50"/>
      <c r="DE8" s="350">
        <v>46204</v>
      </c>
      <c r="DH8" s="50"/>
      <c r="DI8" s="352" t="s">
        <v>26</v>
      </c>
      <c r="DJ8" s="352"/>
      <c r="DK8" s="353" t="s">
        <v>32</v>
      </c>
      <c r="DL8" s="353"/>
      <c r="DM8" s="50"/>
      <c r="DN8" s="354" t="s">
        <v>28</v>
      </c>
      <c r="DO8" s="354"/>
      <c r="DP8" s="354" t="s">
        <v>32</v>
      </c>
      <c r="DQ8" s="354"/>
      <c r="DR8" s="79"/>
      <c r="DS8" s="50"/>
      <c r="DT8" s="50"/>
      <c r="DU8" s="50"/>
      <c r="DW8" s="350">
        <v>46235</v>
      </c>
      <c r="DZ8" s="50"/>
      <c r="EA8" s="352" t="s">
        <v>26</v>
      </c>
      <c r="EB8" s="352"/>
      <c r="EC8" s="353" t="s">
        <v>32</v>
      </c>
      <c r="ED8" s="353"/>
      <c r="EE8" s="50"/>
      <c r="EF8" s="354" t="s">
        <v>28</v>
      </c>
      <c r="EG8" s="354"/>
      <c r="EH8" s="354" t="s">
        <v>32</v>
      </c>
      <c r="EI8" s="354"/>
      <c r="EJ8" s="79"/>
      <c r="EK8" s="50"/>
      <c r="EL8" s="50"/>
      <c r="EM8" s="50"/>
      <c r="EO8" s="350">
        <v>46266</v>
      </c>
      <c r="ER8" s="50"/>
      <c r="ES8" s="352" t="s">
        <v>26</v>
      </c>
      <c r="ET8" s="352"/>
      <c r="EU8" s="353" t="s">
        <v>32</v>
      </c>
      <c r="EV8" s="353"/>
      <c r="EW8" s="50"/>
      <c r="EX8" s="354" t="s">
        <v>28</v>
      </c>
      <c r="EY8" s="354"/>
      <c r="EZ8" s="354" t="s">
        <v>32</v>
      </c>
      <c r="FA8" s="354"/>
      <c r="FB8" s="79"/>
      <c r="FC8" s="50"/>
      <c r="FD8" s="50"/>
      <c r="FE8" s="50"/>
      <c r="FG8" s="350">
        <v>46296</v>
      </c>
      <c r="FJ8" s="50"/>
      <c r="FK8" s="352" t="s">
        <v>26</v>
      </c>
      <c r="FL8" s="352"/>
      <c r="FM8" s="353" t="s">
        <v>32</v>
      </c>
      <c r="FN8" s="353"/>
      <c r="FO8" s="50"/>
      <c r="FP8" s="354" t="s">
        <v>28</v>
      </c>
      <c r="FQ8" s="354"/>
      <c r="FR8" s="354" t="s">
        <v>32</v>
      </c>
      <c r="FS8" s="354"/>
      <c r="FT8" s="79"/>
      <c r="FU8" s="50"/>
      <c r="FV8" s="50"/>
      <c r="FW8" s="50"/>
      <c r="FY8" s="350">
        <v>46327</v>
      </c>
      <c r="GB8" s="50"/>
      <c r="GC8" s="352" t="s">
        <v>26</v>
      </c>
      <c r="GD8" s="352"/>
      <c r="GE8" s="353" t="s">
        <v>32</v>
      </c>
      <c r="GF8" s="353"/>
      <c r="GG8" s="50"/>
      <c r="GH8" s="354" t="s">
        <v>28</v>
      </c>
      <c r="GI8" s="354"/>
      <c r="GJ8" s="354" t="s">
        <v>32</v>
      </c>
      <c r="GK8" s="354"/>
      <c r="GL8" s="79"/>
      <c r="GM8" s="50"/>
      <c r="GN8" s="50"/>
      <c r="GO8" s="50"/>
      <c r="GQ8" s="350">
        <v>46357</v>
      </c>
      <c r="GT8" s="50"/>
      <c r="GU8" s="352" t="s">
        <v>26</v>
      </c>
      <c r="GV8" s="352"/>
      <c r="GW8" s="353" t="s">
        <v>32</v>
      </c>
      <c r="GX8" s="353"/>
      <c r="GY8" s="50"/>
      <c r="GZ8" s="354" t="s">
        <v>28</v>
      </c>
      <c r="HA8" s="354"/>
      <c r="HB8" s="354" t="s">
        <v>32</v>
      </c>
      <c r="HC8" s="354"/>
      <c r="HD8" s="79"/>
      <c r="HE8" s="50"/>
      <c r="HF8" s="50"/>
      <c r="HG8" s="50"/>
    </row>
    <row r="9" spans="1:215" x14ac:dyDescent="0.45">
      <c r="A9" s="351"/>
      <c r="B9" s="68"/>
      <c r="C9" s="68"/>
      <c r="D9" s="69" t="s">
        <v>29</v>
      </c>
      <c r="E9" s="69" t="s">
        <v>30</v>
      </c>
      <c r="F9" s="69" t="s">
        <v>31</v>
      </c>
      <c r="G9" s="43" t="s">
        <v>30</v>
      </c>
      <c r="H9" s="43" t="s">
        <v>31</v>
      </c>
      <c r="I9" s="69" t="s">
        <v>27</v>
      </c>
      <c r="J9" s="80" t="s">
        <v>30</v>
      </c>
      <c r="K9" s="80" t="s">
        <v>31</v>
      </c>
      <c r="L9" s="80" t="s">
        <v>30</v>
      </c>
      <c r="M9" s="80" t="s">
        <v>31</v>
      </c>
      <c r="N9" s="80" t="s">
        <v>27</v>
      </c>
      <c r="O9" s="355" t="s">
        <v>33</v>
      </c>
      <c r="P9" s="355"/>
      <c r="Q9" s="355"/>
      <c r="S9" s="351"/>
      <c r="T9" s="68"/>
      <c r="U9" s="68"/>
      <c r="V9" s="69" t="s">
        <v>29</v>
      </c>
      <c r="W9" s="69" t="s">
        <v>30</v>
      </c>
      <c r="X9" s="69" t="s">
        <v>31</v>
      </c>
      <c r="Y9" s="43" t="s">
        <v>30</v>
      </c>
      <c r="Z9" s="43" t="s">
        <v>31</v>
      </c>
      <c r="AA9" s="69" t="s">
        <v>27</v>
      </c>
      <c r="AB9" s="80" t="s">
        <v>30</v>
      </c>
      <c r="AC9" s="80" t="s">
        <v>31</v>
      </c>
      <c r="AD9" s="80" t="s">
        <v>30</v>
      </c>
      <c r="AE9" s="80" t="s">
        <v>31</v>
      </c>
      <c r="AF9" s="80" t="s">
        <v>27</v>
      </c>
      <c r="AG9" s="355" t="s">
        <v>33</v>
      </c>
      <c r="AH9" s="355"/>
      <c r="AI9" s="355"/>
      <c r="AK9" s="351"/>
      <c r="AL9" s="68"/>
      <c r="AM9" s="68"/>
      <c r="AN9" s="69" t="s">
        <v>29</v>
      </c>
      <c r="AO9" s="69" t="s">
        <v>30</v>
      </c>
      <c r="AP9" s="69" t="s">
        <v>31</v>
      </c>
      <c r="AQ9" s="43" t="s">
        <v>30</v>
      </c>
      <c r="AR9" s="43" t="s">
        <v>31</v>
      </c>
      <c r="AS9" s="69" t="s">
        <v>27</v>
      </c>
      <c r="AT9" s="80" t="s">
        <v>30</v>
      </c>
      <c r="AU9" s="80" t="s">
        <v>31</v>
      </c>
      <c r="AV9" s="80" t="s">
        <v>30</v>
      </c>
      <c r="AW9" s="80" t="s">
        <v>31</v>
      </c>
      <c r="AX9" s="80" t="s">
        <v>27</v>
      </c>
      <c r="AY9" s="355" t="s">
        <v>33</v>
      </c>
      <c r="AZ9" s="355"/>
      <c r="BA9" s="355"/>
      <c r="BC9" s="351"/>
      <c r="BD9" s="68"/>
      <c r="BE9" s="68"/>
      <c r="BF9" s="69" t="s">
        <v>29</v>
      </c>
      <c r="BG9" s="69" t="s">
        <v>30</v>
      </c>
      <c r="BH9" s="69" t="s">
        <v>31</v>
      </c>
      <c r="BI9" s="43" t="s">
        <v>30</v>
      </c>
      <c r="BJ9" s="43" t="s">
        <v>31</v>
      </c>
      <c r="BK9" s="69" t="s">
        <v>27</v>
      </c>
      <c r="BL9" s="80" t="s">
        <v>30</v>
      </c>
      <c r="BM9" s="80" t="s">
        <v>31</v>
      </c>
      <c r="BN9" s="80" t="s">
        <v>30</v>
      </c>
      <c r="BO9" s="80" t="s">
        <v>31</v>
      </c>
      <c r="BP9" s="80" t="s">
        <v>27</v>
      </c>
      <c r="BQ9" s="355" t="s">
        <v>33</v>
      </c>
      <c r="BR9" s="355"/>
      <c r="BS9" s="355"/>
      <c r="BU9" s="351"/>
      <c r="BV9" s="68"/>
      <c r="BW9" s="68"/>
      <c r="BX9" s="69" t="s">
        <v>29</v>
      </c>
      <c r="BY9" s="69" t="s">
        <v>30</v>
      </c>
      <c r="BZ9" s="69" t="s">
        <v>31</v>
      </c>
      <c r="CA9" s="43" t="s">
        <v>30</v>
      </c>
      <c r="CB9" s="43" t="s">
        <v>31</v>
      </c>
      <c r="CC9" s="69" t="s">
        <v>27</v>
      </c>
      <c r="CD9" s="80" t="s">
        <v>30</v>
      </c>
      <c r="CE9" s="80" t="s">
        <v>31</v>
      </c>
      <c r="CF9" s="80" t="s">
        <v>30</v>
      </c>
      <c r="CG9" s="80" t="s">
        <v>31</v>
      </c>
      <c r="CH9" s="80" t="s">
        <v>27</v>
      </c>
      <c r="CI9" s="355" t="s">
        <v>33</v>
      </c>
      <c r="CJ9" s="355"/>
      <c r="CK9" s="355"/>
      <c r="CM9" s="351"/>
      <c r="CN9" s="68"/>
      <c r="CO9" s="68"/>
      <c r="CP9" s="69" t="s">
        <v>29</v>
      </c>
      <c r="CQ9" s="69" t="s">
        <v>30</v>
      </c>
      <c r="CR9" s="69" t="s">
        <v>31</v>
      </c>
      <c r="CS9" s="43" t="s">
        <v>30</v>
      </c>
      <c r="CT9" s="43" t="s">
        <v>31</v>
      </c>
      <c r="CU9" s="69" t="s">
        <v>27</v>
      </c>
      <c r="CV9" s="80" t="s">
        <v>30</v>
      </c>
      <c r="CW9" s="80" t="s">
        <v>31</v>
      </c>
      <c r="CX9" s="80" t="s">
        <v>30</v>
      </c>
      <c r="CY9" s="80" t="s">
        <v>31</v>
      </c>
      <c r="CZ9" s="80" t="s">
        <v>27</v>
      </c>
      <c r="DA9" s="355" t="s">
        <v>33</v>
      </c>
      <c r="DB9" s="355"/>
      <c r="DC9" s="355"/>
      <c r="DE9" s="351"/>
      <c r="DF9" s="68"/>
      <c r="DG9" s="68"/>
      <c r="DH9" s="69" t="s">
        <v>29</v>
      </c>
      <c r="DI9" s="69" t="s">
        <v>30</v>
      </c>
      <c r="DJ9" s="69" t="s">
        <v>31</v>
      </c>
      <c r="DK9" s="43" t="s">
        <v>30</v>
      </c>
      <c r="DL9" s="43" t="s">
        <v>31</v>
      </c>
      <c r="DM9" s="69" t="s">
        <v>27</v>
      </c>
      <c r="DN9" s="80" t="s">
        <v>30</v>
      </c>
      <c r="DO9" s="80" t="s">
        <v>31</v>
      </c>
      <c r="DP9" s="80" t="s">
        <v>30</v>
      </c>
      <c r="DQ9" s="80" t="s">
        <v>31</v>
      </c>
      <c r="DR9" s="80" t="s">
        <v>27</v>
      </c>
      <c r="DS9" s="355" t="s">
        <v>33</v>
      </c>
      <c r="DT9" s="355"/>
      <c r="DU9" s="355"/>
      <c r="DW9" s="351"/>
      <c r="DX9" s="68"/>
      <c r="DY9" s="68"/>
      <c r="DZ9" s="69" t="s">
        <v>29</v>
      </c>
      <c r="EA9" s="69" t="s">
        <v>30</v>
      </c>
      <c r="EB9" s="69" t="s">
        <v>31</v>
      </c>
      <c r="EC9" s="43" t="s">
        <v>30</v>
      </c>
      <c r="ED9" s="43" t="s">
        <v>31</v>
      </c>
      <c r="EE9" s="69" t="s">
        <v>27</v>
      </c>
      <c r="EF9" s="80" t="s">
        <v>30</v>
      </c>
      <c r="EG9" s="80" t="s">
        <v>31</v>
      </c>
      <c r="EH9" s="80" t="s">
        <v>30</v>
      </c>
      <c r="EI9" s="80" t="s">
        <v>31</v>
      </c>
      <c r="EJ9" s="80" t="s">
        <v>27</v>
      </c>
      <c r="EK9" s="355" t="s">
        <v>33</v>
      </c>
      <c r="EL9" s="355"/>
      <c r="EM9" s="355"/>
      <c r="EO9" s="351"/>
      <c r="EP9" s="68"/>
      <c r="EQ9" s="68"/>
      <c r="ER9" s="69" t="s">
        <v>29</v>
      </c>
      <c r="ES9" s="69" t="s">
        <v>30</v>
      </c>
      <c r="ET9" s="69" t="s">
        <v>31</v>
      </c>
      <c r="EU9" s="43" t="s">
        <v>30</v>
      </c>
      <c r="EV9" s="43" t="s">
        <v>31</v>
      </c>
      <c r="EW9" s="69" t="s">
        <v>27</v>
      </c>
      <c r="EX9" s="80" t="s">
        <v>30</v>
      </c>
      <c r="EY9" s="80" t="s">
        <v>31</v>
      </c>
      <c r="EZ9" s="80" t="s">
        <v>30</v>
      </c>
      <c r="FA9" s="80" t="s">
        <v>31</v>
      </c>
      <c r="FB9" s="80" t="s">
        <v>27</v>
      </c>
      <c r="FC9" s="355" t="s">
        <v>33</v>
      </c>
      <c r="FD9" s="355"/>
      <c r="FE9" s="355"/>
      <c r="FG9" s="351"/>
      <c r="FH9" s="68"/>
      <c r="FI9" s="68"/>
      <c r="FJ9" s="69" t="s">
        <v>29</v>
      </c>
      <c r="FK9" s="69" t="s">
        <v>30</v>
      </c>
      <c r="FL9" s="69" t="s">
        <v>31</v>
      </c>
      <c r="FM9" s="43" t="s">
        <v>30</v>
      </c>
      <c r="FN9" s="43" t="s">
        <v>31</v>
      </c>
      <c r="FO9" s="69" t="s">
        <v>27</v>
      </c>
      <c r="FP9" s="80" t="s">
        <v>30</v>
      </c>
      <c r="FQ9" s="80" t="s">
        <v>31</v>
      </c>
      <c r="FR9" s="80" t="s">
        <v>30</v>
      </c>
      <c r="FS9" s="80" t="s">
        <v>31</v>
      </c>
      <c r="FT9" s="80" t="s">
        <v>27</v>
      </c>
      <c r="FU9" s="355" t="s">
        <v>33</v>
      </c>
      <c r="FV9" s="355"/>
      <c r="FW9" s="355"/>
      <c r="FY9" s="351"/>
      <c r="FZ9" s="68"/>
      <c r="GA9" s="68"/>
      <c r="GB9" s="69" t="s">
        <v>29</v>
      </c>
      <c r="GC9" s="69" t="s">
        <v>30</v>
      </c>
      <c r="GD9" s="69" t="s">
        <v>31</v>
      </c>
      <c r="GE9" s="43" t="s">
        <v>30</v>
      </c>
      <c r="GF9" s="43" t="s">
        <v>31</v>
      </c>
      <c r="GG9" s="69" t="s">
        <v>27</v>
      </c>
      <c r="GH9" s="80" t="s">
        <v>30</v>
      </c>
      <c r="GI9" s="80" t="s">
        <v>31</v>
      </c>
      <c r="GJ9" s="80" t="s">
        <v>30</v>
      </c>
      <c r="GK9" s="80" t="s">
        <v>31</v>
      </c>
      <c r="GL9" s="80" t="s">
        <v>27</v>
      </c>
      <c r="GM9" s="355" t="s">
        <v>33</v>
      </c>
      <c r="GN9" s="355"/>
      <c r="GO9" s="355"/>
      <c r="GQ9" s="351"/>
      <c r="GR9" s="68"/>
      <c r="GS9" s="68"/>
      <c r="GT9" s="69" t="s">
        <v>29</v>
      </c>
      <c r="GU9" s="69" t="s">
        <v>30</v>
      </c>
      <c r="GV9" s="69" t="s">
        <v>31</v>
      </c>
      <c r="GW9" s="43" t="s">
        <v>30</v>
      </c>
      <c r="GX9" s="43" t="s">
        <v>31</v>
      </c>
      <c r="GY9" s="69" t="s">
        <v>27</v>
      </c>
      <c r="GZ9" s="80" t="s">
        <v>30</v>
      </c>
      <c r="HA9" s="80" t="s">
        <v>31</v>
      </c>
      <c r="HB9" s="80" t="s">
        <v>30</v>
      </c>
      <c r="HC9" s="80" t="s">
        <v>31</v>
      </c>
      <c r="HD9" s="80" t="s">
        <v>27</v>
      </c>
      <c r="HE9" s="355" t="s">
        <v>33</v>
      </c>
      <c r="HF9" s="355"/>
      <c r="HG9" s="355"/>
    </row>
    <row r="10" spans="1:215" x14ac:dyDescent="0.45">
      <c r="A10" s="365" t="s">
        <v>34</v>
      </c>
      <c r="B10" s="70">
        <f>A8</f>
        <v>46023</v>
      </c>
      <c r="C10" s="71" t="str">
        <f t="shared" ref="C10:C40" si="0">TEXT(B10,"aaa")</f>
        <v>木</v>
      </c>
      <c r="D10" s="71"/>
      <c r="E10" s="72"/>
      <c r="F10" s="72"/>
      <c r="G10" s="44"/>
      <c r="H10" s="44"/>
      <c r="I10" s="7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81"/>
      <c r="K10" s="81"/>
      <c r="L10" s="81"/>
      <c r="M10" s="81"/>
      <c r="N10" s="82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63"/>
      <c r="P10" s="363"/>
      <c r="Q10" s="363"/>
      <c r="S10" s="78"/>
      <c r="T10" s="70">
        <f>S8</f>
        <v>46054</v>
      </c>
      <c r="U10" s="71" t="str">
        <f t="shared" ref="U10:U40" si="3">TEXT(T10,"aaa")</f>
        <v>日</v>
      </c>
      <c r="V10" s="71"/>
      <c r="W10" s="72"/>
      <c r="X10" s="72"/>
      <c r="Y10" s="44"/>
      <c r="Z10" s="44"/>
      <c r="AA10" s="73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81"/>
      <c r="AC10" s="81"/>
      <c r="AD10" s="81"/>
      <c r="AE10" s="81"/>
      <c r="AF10" s="82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63"/>
      <c r="AH10" s="363"/>
      <c r="AI10" s="363"/>
      <c r="AK10" s="78"/>
      <c r="AL10" s="70">
        <f>AK8</f>
        <v>46082</v>
      </c>
      <c r="AM10" s="71" t="str">
        <f t="shared" ref="AM10:AM40" si="6">TEXT(AL10,"aaa")</f>
        <v>日</v>
      </c>
      <c r="AN10" s="71"/>
      <c r="AO10" s="72"/>
      <c r="AP10" s="72"/>
      <c r="AQ10" s="44"/>
      <c r="AR10" s="44"/>
      <c r="AS10" s="73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81"/>
      <c r="AU10" s="81"/>
      <c r="AV10" s="81"/>
      <c r="AW10" s="81"/>
      <c r="AX10" s="82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63"/>
      <c r="AZ10" s="363"/>
      <c r="BA10" s="363"/>
      <c r="BC10" s="78"/>
      <c r="BD10" s="70">
        <f>BC8</f>
        <v>46113</v>
      </c>
      <c r="BE10" s="71" t="str">
        <f t="shared" ref="BE10:BE40" si="9">TEXT(BD10,"aaa")</f>
        <v>水</v>
      </c>
      <c r="BF10" s="71" t="s">
        <v>22</v>
      </c>
      <c r="BG10" s="166">
        <v>0.375</v>
      </c>
      <c r="BH10" s="166">
        <v>0.75</v>
      </c>
      <c r="BI10" s="167">
        <v>0.5</v>
      </c>
      <c r="BJ10" s="167">
        <v>0.54166666666666663</v>
      </c>
      <c r="BK10" s="73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8">
        <v>0.375</v>
      </c>
      <c r="BM10" s="168">
        <v>0.75</v>
      </c>
      <c r="BN10" s="168">
        <v>0.5</v>
      </c>
      <c r="BO10" s="168">
        <v>0.54166666666666663</v>
      </c>
      <c r="BP10" s="82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63"/>
      <c r="BR10" s="363"/>
      <c r="BS10" s="363"/>
      <c r="BU10" s="78"/>
      <c r="BV10" s="70">
        <f>BU8</f>
        <v>46143</v>
      </c>
      <c r="BW10" s="71" t="str">
        <f t="shared" ref="BW10:BW40" si="12">TEXT(BV10,"aaa")</f>
        <v>金</v>
      </c>
      <c r="BX10" s="71" t="s">
        <v>22</v>
      </c>
      <c r="BY10" s="166">
        <v>0.375</v>
      </c>
      <c r="BZ10" s="166">
        <v>0.75</v>
      </c>
      <c r="CA10" s="167">
        <v>0.5</v>
      </c>
      <c r="CB10" s="167">
        <v>0.54166666666666663</v>
      </c>
      <c r="CC10" s="73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8">
        <v>0.375</v>
      </c>
      <c r="CE10" s="168">
        <v>0.75</v>
      </c>
      <c r="CF10" s="168">
        <v>0.5</v>
      </c>
      <c r="CG10" s="168">
        <v>0.54166666666666663</v>
      </c>
      <c r="CH10" s="82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63"/>
      <c r="CJ10" s="363"/>
      <c r="CK10" s="363"/>
      <c r="CM10" s="78"/>
      <c r="CN10" s="70">
        <f>CM8</f>
        <v>46174</v>
      </c>
      <c r="CO10" s="71" t="str">
        <f t="shared" ref="CO10:CO40" si="15">TEXT(CN10,"aaa")</f>
        <v>月</v>
      </c>
      <c r="CP10" s="71" t="s">
        <v>22</v>
      </c>
      <c r="CQ10" s="166">
        <v>0.375</v>
      </c>
      <c r="CR10" s="166">
        <v>0.75</v>
      </c>
      <c r="CS10" s="167">
        <v>0.5</v>
      </c>
      <c r="CT10" s="167">
        <v>0.54166666666666663</v>
      </c>
      <c r="CU10" s="73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8">
        <v>0.375</v>
      </c>
      <c r="CW10" s="168">
        <v>0.75</v>
      </c>
      <c r="CX10" s="168">
        <v>0.5</v>
      </c>
      <c r="CY10" s="168">
        <v>0.54166666666666663</v>
      </c>
      <c r="CZ10" s="82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63"/>
      <c r="DB10" s="363"/>
      <c r="DC10" s="363"/>
      <c r="DE10" s="78"/>
      <c r="DF10" s="70">
        <f>DE8</f>
        <v>46204</v>
      </c>
      <c r="DG10" s="71" t="str">
        <f t="shared" ref="DG10:DG40" si="18">TEXT(DF10,"aaa")</f>
        <v>水</v>
      </c>
      <c r="DH10" s="71" t="s">
        <v>22</v>
      </c>
      <c r="DI10" s="166">
        <v>0.375</v>
      </c>
      <c r="DJ10" s="166">
        <v>0.75</v>
      </c>
      <c r="DK10" s="167">
        <v>0.5</v>
      </c>
      <c r="DL10" s="167">
        <v>0.54166666666666663</v>
      </c>
      <c r="DM10" s="73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8">
        <v>0.375</v>
      </c>
      <c r="DO10" s="168">
        <v>0.75</v>
      </c>
      <c r="DP10" s="168">
        <v>0.5</v>
      </c>
      <c r="DQ10" s="168">
        <v>0.54166666666666663</v>
      </c>
      <c r="DR10" s="82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63"/>
      <c r="DT10" s="363"/>
      <c r="DU10" s="363"/>
      <c r="DW10" s="78"/>
      <c r="DX10" s="70">
        <f>DW8</f>
        <v>46235</v>
      </c>
      <c r="DY10" s="71" t="str">
        <f t="shared" ref="DY10:DY40" si="21">TEXT(DX10,"aaa")</f>
        <v>土</v>
      </c>
      <c r="DZ10" s="71"/>
      <c r="EA10" s="72"/>
      <c r="EB10" s="72"/>
      <c r="EC10" s="44"/>
      <c r="ED10" s="44"/>
      <c r="EE10" s="73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81"/>
      <c r="EG10" s="81"/>
      <c r="EH10" s="81"/>
      <c r="EI10" s="81"/>
      <c r="EJ10" s="82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63"/>
      <c r="EL10" s="363"/>
      <c r="EM10" s="363"/>
      <c r="EO10" s="78"/>
      <c r="EP10" s="70">
        <f>EO8</f>
        <v>46266</v>
      </c>
      <c r="EQ10" s="71" t="str">
        <f t="shared" ref="EQ10:EQ40" si="24">TEXT(EP10,"aaa")</f>
        <v>火</v>
      </c>
      <c r="ER10" s="71" t="s">
        <v>22</v>
      </c>
      <c r="ES10" s="166">
        <v>0.375</v>
      </c>
      <c r="ET10" s="166">
        <v>0.75</v>
      </c>
      <c r="EU10" s="167">
        <v>0.5</v>
      </c>
      <c r="EV10" s="167">
        <v>0.54166666666666663</v>
      </c>
      <c r="EW10" s="73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8">
        <v>0.375</v>
      </c>
      <c r="EY10" s="168">
        <v>0.75</v>
      </c>
      <c r="EZ10" s="168">
        <v>0.5</v>
      </c>
      <c r="FA10" s="168">
        <v>0.54166666666666663</v>
      </c>
      <c r="FB10" s="82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63"/>
      <c r="FD10" s="363"/>
      <c r="FE10" s="363"/>
      <c r="FG10" s="78"/>
      <c r="FH10" s="70">
        <f>FG8</f>
        <v>46296</v>
      </c>
      <c r="FI10" s="71" t="str">
        <f t="shared" ref="FI10:FI40" si="27">TEXT(FH10,"aaa")</f>
        <v>木</v>
      </c>
      <c r="FJ10" s="71" t="s">
        <v>22</v>
      </c>
      <c r="FK10" s="166">
        <v>0.375</v>
      </c>
      <c r="FL10" s="166">
        <v>0.75</v>
      </c>
      <c r="FM10" s="167">
        <v>0.5</v>
      </c>
      <c r="FN10" s="167">
        <v>0.54166666666666663</v>
      </c>
      <c r="FO10" s="73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8">
        <v>0.375</v>
      </c>
      <c r="FQ10" s="168">
        <v>0.75</v>
      </c>
      <c r="FR10" s="168">
        <v>0.5</v>
      </c>
      <c r="FS10" s="168">
        <v>0.54166666666666663</v>
      </c>
      <c r="FT10" s="82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63"/>
      <c r="FV10" s="363"/>
      <c r="FW10" s="363"/>
      <c r="FY10" s="78"/>
      <c r="FZ10" s="70">
        <f>FY8</f>
        <v>46327</v>
      </c>
      <c r="GA10" s="71" t="str">
        <f t="shared" ref="GA10:GA40" si="30">TEXT(FZ10,"aaa")</f>
        <v>日</v>
      </c>
      <c r="GB10" s="71"/>
      <c r="GC10" s="72"/>
      <c r="GD10" s="72"/>
      <c r="GE10" s="44"/>
      <c r="GF10" s="44"/>
      <c r="GG10" s="73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81"/>
      <c r="GI10" s="81"/>
      <c r="GJ10" s="81"/>
      <c r="GK10" s="81"/>
      <c r="GL10" s="82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63"/>
      <c r="GN10" s="363"/>
      <c r="GO10" s="363"/>
      <c r="GQ10" s="78"/>
      <c r="GR10" s="70">
        <f>GQ8</f>
        <v>46357</v>
      </c>
      <c r="GS10" s="71" t="str">
        <f t="shared" ref="GS10:GS40" si="33">TEXT(GR10,"aaa")</f>
        <v>火</v>
      </c>
      <c r="GT10" s="71" t="s">
        <v>22</v>
      </c>
      <c r="GU10" s="166">
        <v>0.375</v>
      </c>
      <c r="GV10" s="166">
        <v>0.75</v>
      </c>
      <c r="GW10" s="167">
        <v>0.5</v>
      </c>
      <c r="GX10" s="167">
        <v>0.54166666666666663</v>
      </c>
      <c r="GY10" s="73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8">
        <v>0.375</v>
      </c>
      <c r="HA10" s="168">
        <v>0.75</v>
      </c>
      <c r="HB10" s="168">
        <v>0.5</v>
      </c>
      <c r="HC10" s="168">
        <v>0.54166666666666663</v>
      </c>
      <c r="HD10" s="82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63"/>
      <c r="HF10" s="363"/>
      <c r="HG10" s="363"/>
    </row>
    <row r="11" spans="1:215" x14ac:dyDescent="0.45">
      <c r="A11" s="366"/>
      <c r="B11" s="70">
        <f t="shared" ref="B11:B40" si="36">IF(B10="","",IF(B10+1&lt;=EOMONTH($A$8,0),B10+1,""))</f>
        <v>46024</v>
      </c>
      <c r="C11" s="71" t="str">
        <f t="shared" si="0"/>
        <v>金</v>
      </c>
      <c r="D11" s="71"/>
      <c r="E11" s="72"/>
      <c r="F11" s="72"/>
      <c r="G11" s="44"/>
      <c r="H11" s="44"/>
      <c r="I11" s="73" t="str">
        <f t="shared" si="1"/>
        <v/>
      </c>
      <c r="J11" s="81"/>
      <c r="K11" s="81"/>
      <c r="L11" s="81"/>
      <c r="M11" s="81"/>
      <c r="N11" s="82" t="str">
        <f t="shared" si="2"/>
        <v/>
      </c>
      <c r="O11" s="363"/>
      <c r="P11" s="363"/>
      <c r="Q11" s="363"/>
      <c r="S11" s="67"/>
      <c r="T11" s="70">
        <f t="shared" ref="T11:T40" si="37">IF(T10="","",IF(T10+1&lt;=EOMONTH($S$8,0),T10+1,""))</f>
        <v>46055</v>
      </c>
      <c r="U11" s="71" t="str">
        <f t="shared" si="3"/>
        <v>月</v>
      </c>
      <c r="V11" s="71" t="s">
        <v>22</v>
      </c>
      <c r="W11" s="166">
        <v>0.375</v>
      </c>
      <c r="X11" s="166">
        <v>0.75</v>
      </c>
      <c r="Y11" s="167">
        <v>0.5</v>
      </c>
      <c r="Z11" s="167">
        <v>0.54166666666666663</v>
      </c>
      <c r="AA11" s="73" t="str">
        <f t="shared" si="4"/>
        <v>8h</v>
      </c>
      <c r="AB11" s="168">
        <v>0.375</v>
      </c>
      <c r="AC11" s="168">
        <v>0.75</v>
      </c>
      <c r="AD11" s="168">
        <v>0.5</v>
      </c>
      <c r="AE11" s="168">
        <v>0.54166666666666663</v>
      </c>
      <c r="AF11" s="82" t="str">
        <f t="shared" si="5"/>
        <v>8h</v>
      </c>
      <c r="AG11" s="363"/>
      <c r="AH11" s="363"/>
      <c r="AI11" s="363"/>
      <c r="AK11" s="67"/>
      <c r="AL11" s="70">
        <f t="shared" ref="AL11:AL40" si="38">IF(AL10="","",IF(AL10+1&lt;=EOMONTH($AK$8,0),AL10+1,""))</f>
        <v>46083</v>
      </c>
      <c r="AM11" s="71" t="str">
        <f t="shared" si="6"/>
        <v>月</v>
      </c>
      <c r="AN11" s="71" t="s">
        <v>22</v>
      </c>
      <c r="AO11" s="166">
        <v>0.375</v>
      </c>
      <c r="AP11" s="166">
        <v>0.75</v>
      </c>
      <c r="AQ11" s="167">
        <v>0.5</v>
      </c>
      <c r="AR11" s="167">
        <v>0.54166666666666663</v>
      </c>
      <c r="AS11" s="73" t="str">
        <f t="shared" si="7"/>
        <v>8h</v>
      </c>
      <c r="AT11" s="168">
        <v>0.375</v>
      </c>
      <c r="AU11" s="168">
        <v>0.75</v>
      </c>
      <c r="AV11" s="168">
        <v>0.5</v>
      </c>
      <c r="AW11" s="168">
        <v>0.54166666666666663</v>
      </c>
      <c r="AX11" s="82" t="str">
        <f t="shared" si="8"/>
        <v>8h</v>
      </c>
      <c r="AY11" s="363"/>
      <c r="AZ11" s="363"/>
      <c r="BA11" s="363"/>
      <c r="BC11" s="67"/>
      <c r="BD11" s="70">
        <f t="shared" ref="BD11:BD40" si="39">IF(BD10="","",IF(BD10+1&lt;=EOMONTH($BC$8,0),BD10+1,""))</f>
        <v>46114</v>
      </c>
      <c r="BE11" s="71" t="str">
        <f t="shared" si="9"/>
        <v>木</v>
      </c>
      <c r="BF11" s="71" t="s">
        <v>22</v>
      </c>
      <c r="BG11" s="166">
        <v>0.375</v>
      </c>
      <c r="BH11" s="166">
        <v>0.75</v>
      </c>
      <c r="BI11" s="167">
        <v>0.5</v>
      </c>
      <c r="BJ11" s="167">
        <v>0.54166666666666663</v>
      </c>
      <c r="BK11" s="73" t="str">
        <f t="shared" si="10"/>
        <v>8h</v>
      </c>
      <c r="BL11" s="168">
        <v>0.375</v>
      </c>
      <c r="BM11" s="168">
        <v>0.75</v>
      </c>
      <c r="BN11" s="168">
        <v>0.5</v>
      </c>
      <c r="BO11" s="168">
        <v>0.54166666666666663</v>
      </c>
      <c r="BP11" s="82" t="str">
        <f t="shared" si="11"/>
        <v>8h</v>
      </c>
      <c r="BQ11" s="363"/>
      <c r="BR11" s="363"/>
      <c r="BS11" s="363"/>
      <c r="BU11" s="67"/>
      <c r="BV11" s="70">
        <f t="shared" ref="BV11:BV40" si="40">IF(BV10="","",IF(BV10+1&lt;=EOMONTH($BU$8,0),BV10+1,""))</f>
        <v>46144</v>
      </c>
      <c r="BW11" s="71" t="str">
        <f t="shared" si="12"/>
        <v>土</v>
      </c>
      <c r="BX11" s="71"/>
      <c r="BY11" s="72"/>
      <c r="BZ11" s="72"/>
      <c r="CA11" s="44"/>
      <c r="CB11" s="44"/>
      <c r="CC11" s="73" t="str">
        <f t="shared" si="13"/>
        <v/>
      </c>
      <c r="CD11" s="81"/>
      <c r="CE11" s="81"/>
      <c r="CF11" s="81"/>
      <c r="CG11" s="81"/>
      <c r="CH11" s="82" t="str">
        <f t="shared" si="14"/>
        <v/>
      </c>
      <c r="CI11" s="363"/>
      <c r="CJ11" s="363"/>
      <c r="CK11" s="363"/>
      <c r="CM11" s="67"/>
      <c r="CN11" s="70">
        <f t="shared" ref="CN11:CN40" si="41">IF(CN10="","",IF(CN10+1&lt;=EOMONTH($CM$8,0),CN10+1,""))</f>
        <v>46175</v>
      </c>
      <c r="CO11" s="71" t="str">
        <f t="shared" si="15"/>
        <v>火</v>
      </c>
      <c r="CP11" s="71" t="s">
        <v>22</v>
      </c>
      <c r="CQ11" s="166">
        <v>0.375</v>
      </c>
      <c r="CR11" s="166">
        <v>0.75</v>
      </c>
      <c r="CS11" s="167">
        <v>0.5</v>
      </c>
      <c r="CT11" s="167">
        <v>0.54166666666666663</v>
      </c>
      <c r="CU11" s="73" t="str">
        <f t="shared" si="16"/>
        <v>8h</v>
      </c>
      <c r="CV11" s="168">
        <v>0.375</v>
      </c>
      <c r="CW11" s="168">
        <v>0.75</v>
      </c>
      <c r="CX11" s="168">
        <v>0.5</v>
      </c>
      <c r="CY11" s="168">
        <v>0.54166666666666663</v>
      </c>
      <c r="CZ11" s="82" t="str">
        <f t="shared" si="17"/>
        <v>8h</v>
      </c>
      <c r="DA11" s="363"/>
      <c r="DB11" s="363"/>
      <c r="DC11" s="363"/>
      <c r="DE11" s="67"/>
      <c r="DF11" s="70">
        <f t="shared" ref="DF11:DF40" si="42">IF(DF10="","",IF(DF10+1&lt;=EOMONTH($DE$8,0),DF10+1,""))</f>
        <v>46205</v>
      </c>
      <c r="DG11" s="71" t="str">
        <f t="shared" si="18"/>
        <v>木</v>
      </c>
      <c r="DH11" s="71" t="s">
        <v>22</v>
      </c>
      <c r="DI11" s="166">
        <v>0.375</v>
      </c>
      <c r="DJ11" s="166">
        <v>0.75</v>
      </c>
      <c r="DK11" s="167">
        <v>0.5</v>
      </c>
      <c r="DL11" s="167">
        <v>0.54166666666666663</v>
      </c>
      <c r="DM11" s="73" t="str">
        <f t="shared" si="19"/>
        <v>8h</v>
      </c>
      <c r="DN11" s="168">
        <v>0.375</v>
      </c>
      <c r="DO11" s="168">
        <v>0.75</v>
      </c>
      <c r="DP11" s="168">
        <v>0.5</v>
      </c>
      <c r="DQ11" s="168">
        <v>0.54166666666666663</v>
      </c>
      <c r="DR11" s="82" t="str">
        <f t="shared" si="20"/>
        <v>8h</v>
      </c>
      <c r="DS11" s="363"/>
      <c r="DT11" s="363"/>
      <c r="DU11" s="363"/>
      <c r="DW11" s="67"/>
      <c r="DX11" s="70">
        <f t="shared" ref="DX11:DX40" si="43">IF(DX10="","",IF(DX10+1&lt;=EOMONTH($DW$8,0),DX10+1,""))</f>
        <v>46236</v>
      </c>
      <c r="DY11" s="71" t="str">
        <f t="shared" si="21"/>
        <v>日</v>
      </c>
      <c r="DZ11" s="71"/>
      <c r="EA11" s="72"/>
      <c r="EB11" s="72"/>
      <c r="EC11" s="44"/>
      <c r="ED11" s="44"/>
      <c r="EE11" s="73" t="str">
        <f t="shared" si="22"/>
        <v/>
      </c>
      <c r="EF11" s="81"/>
      <c r="EG11" s="81"/>
      <c r="EH11" s="81"/>
      <c r="EI11" s="81"/>
      <c r="EJ11" s="82" t="str">
        <f t="shared" si="23"/>
        <v/>
      </c>
      <c r="EK11" s="363"/>
      <c r="EL11" s="363"/>
      <c r="EM11" s="363"/>
      <c r="EO11" s="67"/>
      <c r="EP11" s="70">
        <f t="shared" ref="EP11:EP40" si="44">IF(EP10="","",IF(EP10+1&lt;=EOMONTH($EO$8,0),EP10+1,""))</f>
        <v>46267</v>
      </c>
      <c r="EQ11" s="71" t="str">
        <f t="shared" si="24"/>
        <v>水</v>
      </c>
      <c r="ER11" s="71" t="s">
        <v>22</v>
      </c>
      <c r="ES11" s="166">
        <v>0.375</v>
      </c>
      <c r="ET11" s="166">
        <v>0.75</v>
      </c>
      <c r="EU11" s="167">
        <v>0.5</v>
      </c>
      <c r="EV11" s="167">
        <v>0.54166666666666663</v>
      </c>
      <c r="EW11" s="73" t="str">
        <f t="shared" si="25"/>
        <v>8h</v>
      </c>
      <c r="EX11" s="168">
        <v>0.375</v>
      </c>
      <c r="EY11" s="168">
        <v>0.75</v>
      </c>
      <c r="EZ11" s="168">
        <v>0.5</v>
      </c>
      <c r="FA11" s="168">
        <v>0.54166666666666663</v>
      </c>
      <c r="FB11" s="82" t="str">
        <f t="shared" si="26"/>
        <v>8h</v>
      </c>
      <c r="FC11" s="363"/>
      <c r="FD11" s="363"/>
      <c r="FE11" s="363"/>
      <c r="FG11" s="67"/>
      <c r="FH11" s="70">
        <f t="shared" ref="FH11:FH40" si="45">IF(FH10="","",IF(FH10+1&lt;=EOMONTH($FG$8,0),FH10+1,""))</f>
        <v>46297</v>
      </c>
      <c r="FI11" s="71" t="str">
        <f t="shared" si="27"/>
        <v>金</v>
      </c>
      <c r="FJ11" s="71" t="s">
        <v>22</v>
      </c>
      <c r="FK11" s="166">
        <v>0.375</v>
      </c>
      <c r="FL11" s="166">
        <v>0.75</v>
      </c>
      <c r="FM11" s="167">
        <v>0.5</v>
      </c>
      <c r="FN11" s="167">
        <v>0.54166666666666663</v>
      </c>
      <c r="FO11" s="73" t="str">
        <f t="shared" si="28"/>
        <v>8h</v>
      </c>
      <c r="FP11" s="168">
        <v>0.375</v>
      </c>
      <c r="FQ11" s="168">
        <v>0.75</v>
      </c>
      <c r="FR11" s="168">
        <v>0.5</v>
      </c>
      <c r="FS11" s="168">
        <v>0.54166666666666663</v>
      </c>
      <c r="FT11" s="82" t="str">
        <f t="shared" si="29"/>
        <v>8h</v>
      </c>
      <c r="FU11" s="363"/>
      <c r="FV11" s="363"/>
      <c r="FW11" s="363"/>
      <c r="FY11" s="67"/>
      <c r="FZ11" s="70">
        <f t="shared" ref="FZ11:FZ40" si="46">IF(FZ10="","",IF(FZ10+1&lt;=EOMONTH($FY$8,0),FZ10+1,""))</f>
        <v>46328</v>
      </c>
      <c r="GA11" s="71" t="str">
        <f t="shared" si="30"/>
        <v>月</v>
      </c>
      <c r="GB11" s="71" t="s">
        <v>22</v>
      </c>
      <c r="GC11" s="166">
        <v>0.375</v>
      </c>
      <c r="GD11" s="166">
        <v>0.75</v>
      </c>
      <c r="GE11" s="167">
        <v>0.5</v>
      </c>
      <c r="GF11" s="167">
        <v>0.54166666666666663</v>
      </c>
      <c r="GG11" s="73" t="str">
        <f t="shared" si="31"/>
        <v>8h</v>
      </c>
      <c r="GH11" s="168">
        <v>0.375</v>
      </c>
      <c r="GI11" s="168">
        <v>0.75</v>
      </c>
      <c r="GJ11" s="168">
        <v>0.5</v>
      </c>
      <c r="GK11" s="168">
        <v>0.54166666666666663</v>
      </c>
      <c r="GL11" s="82" t="str">
        <f t="shared" si="32"/>
        <v>8h</v>
      </c>
      <c r="GM11" s="363"/>
      <c r="GN11" s="363"/>
      <c r="GO11" s="363"/>
      <c r="GQ11" s="67"/>
      <c r="GR11" s="70">
        <f t="shared" ref="GR11:GR40" si="47">IF(GR10="","",IF(GR10+1&lt;=EOMONTH($GQ$8,0),GR10+1,""))</f>
        <v>46358</v>
      </c>
      <c r="GS11" s="71" t="str">
        <f t="shared" si="33"/>
        <v>水</v>
      </c>
      <c r="GT11" s="71" t="s">
        <v>22</v>
      </c>
      <c r="GU11" s="166">
        <v>0.375</v>
      </c>
      <c r="GV11" s="166">
        <v>0.75</v>
      </c>
      <c r="GW11" s="167">
        <v>0.5</v>
      </c>
      <c r="GX11" s="167">
        <v>0.54166666666666663</v>
      </c>
      <c r="GY11" s="73" t="str">
        <f t="shared" si="34"/>
        <v>8h</v>
      </c>
      <c r="GZ11" s="168">
        <v>0.375</v>
      </c>
      <c r="HA11" s="168">
        <v>0.75</v>
      </c>
      <c r="HB11" s="168">
        <v>0.5</v>
      </c>
      <c r="HC11" s="168">
        <v>0.54166666666666663</v>
      </c>
      <c r="HD11" s="82" t="str">
        <f t="shared" si="35"/>
        <v>8h</v>
      </c>
      <c r="HE11" s="363"/>
      <c r="HF11" s="363"/>
      <c r="HG11" s="363"/>
    </row>
    <row r="12" spans="1:215" x14ac:dyDescent="0.45">
      <c r="A12" s="366"/>
      <c r="B12" s="70">
        <f t="shared" si="36"/>
        <v>46025</v>
      </c>
      <c r="C12" s="71" t="str">
        <f t="shared" si="0"/>
        <v>土</v>
      </c>
      <c r="D12" s="71"/>
      <c r="E12" s="72"/>
      <c r="F12" s="72"/>
      <c r="G12" s="44"/>
      <c r="H12" s="44"/>
      <c r="I12" s="73" t="str">
        <f t="shared" si="1"/>
        <v/>
      </c>
      <c r="J12" s="81"/>
      <c r="K12" s="81"/>
      <c r="L12" s="81"/>
      <c r="M12" s="81"/>
      <c r="N12" s="82" t="str">
        <f t="shared" si="2"/>
        <v/>
      </c>
      <c r="O12" s="363"/>
      <c r="P12" s="363"/>
      <c r="Q12" s="363"/>
      <c r="S12" s="67"/>
      <c r="T12" s="70">
        <f t="shared" si="37"/>
        <v>46056</v>
      </c>
      <c r="U12" s="71" t="str">
        <f t="shared" si="3"/>
        <v>火</v>
      </c>
      <c r="V12" s="71" t="s">
        <v>22</v>
      </c>
      <c r="W12" s="166">
        <v>0.375</v>
      </c>
      <c r="X12" s="166">
        <v>0.75</v>
      </c>
      <c r="Y12" s="167">
        <v>0.5</v>
      </c>
      <c r="Z12" s="167">
        <v>0.54166666666666663</v>
      </c>
      <c r="AA12" s="73" t="str">
        <f t="shared" si="4"/>
        <v>8h</v>
      </c>
      <c r="AB12" s="168">
        <v>0.375</v>
      </c>
      <c r="AC12" s="168">
        <v>0.75</v>
      </c>
      <c r="AD12" s="168">
        <v>0.5</v>
      </c>
      <c r="AE12" s="168">
        <v>0.54166666666666663</v>
      </c>
      <c r="AF12" s="82" t="str">
        <f t="shared" si="5"/>
        <v>8h</v>
      </c>
      <c r="AG12" s="363"/>
      <c r="AH12" s="363"/>
      <c r="AI12" s="363"/>
      <c r="AK12" s="67"/>
      <c r="AL12" s="70">
        <f t="shared" si="38"/>
        <v>46084</v>
      </c>
      <c r="AM12" s="71" t="str">
        <f t="shared" si="6"/>
        <v>火</v>
      </c>
      <c r="AN12" s="71" t="s">
        <v>22</v>
      </c>
      <c r="AO12" s="166">
        <v>0.375</v>
      </c>
      <c r="AP12" s="166">
        <v>0.75</v>
      </c>
      <c r="AQ12" s="167">
        <v>0.5</v>
      </c>
      <c r="AR12" s="167">
        <v>0.54166666666666663</v>
      </c>
      <c r="AS12" s="73" t="str">
        <f t="shared" si="7"/>
        <v>8h</v>
      </c>
      <c r="AT12" s="168">
        <v>0.375</v>
      </c>
      <c r="AU12" s="168">
        <v>0.75</v>
      </c>
      <c r="AV12" s="168">
        <v>0.5</v>
      </c>
      <c r="AW12" s="168">
        <v>0.54166666666666663</v>
      </c>
      <c r="AX12" s="82" t="str">
        <f t="shared" si="8"/>
        <v>8h</v>
      </c>
      <c r="AY12" s="363"/>
      <c r="AZ12" s="363"/>
      <c r="BA12" s="363"/>
      <c r="BC12" s="67"/>
      <c r="BD12" s="70">
        <f t="shared" si="39"/>
        <v>46115</v>
      </c>
      <c r="BE12" s="71" t="str">
        <f t="shared" si="9"/>
        <v>金</v>
      </c>
      <c r="BF12" s="71" t="s">
        <v>22</v>
      </c>
      <c r="BG12" s="166">
        <v>0.375</v>
      </c>
      <c r="BH12" s="166">
        <v>0.75</v>
      </c>
      <c r="BI12" s="167">
        <v>0.5</v>
      </c>
      <c r="BJ12" s="167">
        <v>0.54166666666666663</v>
      </c>
      <c r="BK12" s="73" t="str">
        <f t="shared" si="10"/>
        <v>8h</v>
      </c>
      <c r="BL12" s="168">
        <v>0.375</v>
      </c>
      <c r="BM12" s="168">
        <v>0.75</v>
      </c>
      <c r="BN12" s="168">
        <v>0.5</v>
      </c>
      <c r="BO12" s="168">
        <v>0.54166666666666663</v>
      </c>
      <c r="BP12" s="82" t="str">
        <f t="shared" si="11"/>
        <v>8h</v>
      </c>
      <c r="BQ12" s="363"/>
      <c r="BR12" s="363"/>
      <c r="BS12" s="363"/>
      <c r="BU12" s="67"/>
      <c r="BV12" s="70">
        <f t="shared" si="40"/>
        <v>46145</v>
      </c>
      <c r="BW12" s="71" t="str">
        <f t="shared" si="12"/>
        <v>日</v>
      </c>
      <c r="BX12" s="71"/>
      <c r="BY12" s="72"/>
      <c r="BZ12" s="72"/>
      <c r="CA12" s="44"/>
      <c r="CB12" s="44"/>
      <c r="CC12" s="73" t="str">
        <f t="shared" si="13"/>
        <v/>
      </c>
      <c r="CD12" s="81"/>
      <c r="CE12" s="81"/>
      <c r="CF12" s="81"/>
      <c r="CG12" s="81"/>
      <c r="CH12" s="82" t="str">
        <f t="shared" si="14"/>
        <v/>
      </c>
      <c r="CI12" s="363"/>
      <c r="CJ12" s="363"/>
      <c r="CK12" s="363"/>
      <c r="CM12" s="67"/>
      <c r="CN12" s="70">
        <f t="shared" si="41"/>
        <v>46176</v>
      </c>
      <c r="CO12" s="71" t="str">
        <f t="shared" si="15"/>
        <v>水</v>
      </c>
      <c r="CP12" s="71" t="s">
        <v>22</v>
      </c>
      <c r="CQ12" s="166">
        <v>0.375</v>
      </c>
      <c r="CR12" s="166">
        <v>0.75</v>
      </c>
      <c r="CS12" s="167">
        <v>0.5</v>
      </c>
      <c r="CT12" s="167">
        <v>0.54166666666666663</v>
      </c>
      <c r="CU12" s="73" t="str">
        <f t="shared" si="16"/>
        <v>8h</v>
      </c>
      <c r="CV12" s="168">
        <v>0.375</v>
      </c>
      <c r="CW12" s="168">
        <v>0.75</v>
      </c>
      <c r="CX12" s="168">
        <v>0.5</v>
      </c>
      <c r="CY12" s="168">
        <v>0.54166666666666663</v>
      </c>
      <c r="CZ12" s="82" t="str">
        <f t="shared" si="17"/>
        <v>8h</v>
      </c>
      <c r="DA12" s="363"/>
      <c r="DB12" s="363"/>
      <c r="DC12" s="363"/>
      <c r="DE12" s="67"/>
      <c r="DF12" s="70">
        <f t="shared" si="42"/>
        <v>46206</v>
      </c>
      <c r="DG12" s="71" t="str">
        <f t="shared" si="18"/>
        <v>金</v>
      </c>
      <c r="DH12" s="71" t="s">
        <v>22</v>
      </c>
      <c r="DI12" s="166">
        <v>0.375</v>
      </c>
      <c r="DJ12" s="166">
        <v>0.75</v>
      </c>
      <c r="DK12" s="167">
        <v>0.5</v>
      </c>
      <c r="DL12" s="167">
        <v>0.54166666666666663</v>
      </c>
      <c r="DM12" s="73" t="str">
        <f t="shared" si="19"/>
        <v>8h</v>
      </c>
      <c r="DN12" s="168">
        <v>0.375</v>
      </c>
      <c r="DO12" s="168">
        <v>0.75</v>
      </c>
      <c r="DP12" s="168">
        <v>0.5</v>
      </c>
      <c r="DQ12" s="168">
        <v>0.54166666666666663</v>
      </c>
      <c r="DR12" s="82" t="str">
        <f t="shared" si="20"/>
        <v>8h</v>
      </c>
      <c r="DS12" s="363"/>
      <c r="DT12" s="363"/>
      <c r="DU12" s="363"/>
      <c r="DW12" s="67"/>
      <c r="DX12" s="70">
        <f t="shared" si="43"/>
        <v>46237</v>
      </c>
      <c r="DY12" s="71" t="str">
        <f t="shared" si="21"/>
        <v>月</v>
      </c>
      <c r="DZ12" s="71" t="s">
        <v>22</v>
      </c>
      <c r="EA12" s="166">
        <v>0.375</v>
      </c>
      <c r="EB12" s="166">
        <v>0.75</v>
      </c>
      <c r="EC12" s="167">
        <v>0.5</v>
      </c>
      <c r="ED12" s="167">
        <v>0.54166666666666663</v>
      </c>
      <c r="EE12" s="73" t="str">
        <f t="shared" si="22"/>
        <v>8h</v>
      </c>
      <c r="EF12" s="168">
        <v>0.375</v>
      </c>
      <c r="EG12" s="168">
        <v>0.75</v>
      </c>
      <c r="EH12" s="168">
        <v>0.5</v>
      </c>
      <c r="EI12" s="168">
        <v>0.54166666666666663</v>
      </c>
      <c r="EJ12" s="82" t="str">
        <f t="shared" si="23"/>
        <v>8h</v>
      </c>
      <c r="EK12" s="363"/>
      <c r="EL12" s="363"/>
      <c r="EM12" s="363"/>
      <c r="EO12" s="67"/>
      <c r="EP12" s="70">
        <f t="shared" si="44"/>
        <v>46268</v>
      </c>
      <c r="EQ12" s="71" t="str">
        <f t="shared" si="24"/>
        <v>木</v>
      </c>
      <c r="ER12" s="71" t="s">
        <v>22</v>
      </c>
      <c r="ES12" s="166">
        <v>0.375</v>
      </c>
      <c r="ET12" s="166">
        <v>0.75</v>
      </c>
      <c r="EU12" s="167">
        <v>0.5</v>
      </c>
      <c r="EV12" s="167">
        <v>0.54166666666666663</v>
      </c>
      <c r="EW12" s="73" t="str">
        <f t="shared" si="25"/>
        <v>8h</v>
      </c>
      <c r="EX12" s="168">
        <v>0.375</v>
      </c>
      <c r="EY12" s="168">
        <v>0.75</v>
      </c>
      <c r="EZ12" s="168">
        <v>0.5</v>
      </c>
      <c r="FA12" s="168">
        <v>0.54166666666666663</v>
      </c>
      <c r="FB12" s="82" t="str">
        <f t="shared" si="26"/>
        <v>8h</v>
      </c>
      <c r="FC12" s="363"/>
      <c r="FD12" s="363"/>
      <c r="FE12" s="363"/>
      <c r="FG12" s="67"/>
      <c r="FH12" s="70">
        <f t="shared" si="45"/>
        <v>46298</v>
      </c>
      <c r="FI12" s="71" t="str">
        <f t="shared" si="27"/>
        <v>土</v>
      </c>
      <c r="FJ12" s="71"/>
      <c r="FK12" s="72"/>
      <c r="FL12" s="72"/>
      <c r="FM12" s="44"/>
      <c r="FN12" s="44"/>
      <c r="FO12" s="73" t="str">
        <f t="shared" si="28"/>
        <v/>
      </c>
      <c r="FP12" s="81"/>
      <c r="FQ12" s="81"/>
      <c r="FR12" s="81"/>
      <c r="FS12" s="81"/>
      <c r="FT12" s="82" t="str">
        <f t="shared" si="29"/>
        <v/>
      </c>
      <c r="FU12" s="363"/>
      <c r="FV12" s="363"/>
      <c r="FW12" s="363"/>
      <c r="FY12" s="67"/>
      <c r="FZ12" s="70">
        <f t="shared" si="46"/>
        <v>46329</v>
      </c>
      <c r="GA12" s="71" t="str">
        <f t="shared" si="30"/>
        <v>火</v>
      </c>
      <c r="GB12" s="71"/>
      <c r="GC12" s="72"/>
      <c r="GD12" s="72"/>
      <c r="GE12" s="44"/>
      <c r="GF12" s="44"/>
      <c r="GG12" s="73" t="str">
        <f t="shared" si="31"/>
        <v/>
      </c>
      <c r="GH12" s="81"/>
      <c r="GI12" s="81"/>
      <c r="GJ12" s="81"/>
      <c r="GK12" s="81"/>
      <c r="GL12" s="82" t="str">
        <f t="shared" si="32"/>
        <v/>
      </c>
      <c r="GM12" s="363"/>
      <c r="GN12" s="363"/>
      <c r="GO12" s="363"/>
      <c r="GQ12" s="67"/>
      <c r="GR12" s="70">
        <f t="shared" si="47"/>
        <v>46359</v>
      </c>
      <c r="GS12" s="71" t="str">
        <f t="shared" si="33"/>
        <v>木</v>
      </c>
      <c r="GT12" s="71" t="s">
        <v>22</v>
      </c>
      <c r="GU12" s="166">
        <v>0.375</v>
      </c>
      <c r="GV12" s="166">
        <v>0.75</v>
      </c>
      <c r="GW12" s="167">
        <v>0.5</v>
      </c>
      <c r="GX12" s="167">
        <v>0.54166666666666663</v>
      </c>
      <c r="GY12" s="73" t="str">
        <f t="shared" si="34"/>
        <v>8h</v>
      </c>
      <c r="GZ12" s="168">
        <v>0.375</v>
      </c>
      <c r="HA12" s="168">
        <v>0.75</v>
      </c>
      <c r="HB12" s="168">
        <v>0.5</v>
      </c>
      <c r="HC12" s="168">
        <v>0.54166666666666663</v>
      </c>
      <c r="HD12" s="82" t="str">
        <f t="shared" si="35"/>
        <v>8h</v>
      </c>
      <c r="HE12" s="363"/>
      <c r="HF12" s="363"/>
      <c r="HG12" s="363"/>
    </row>
    <row r="13" spans="1:215" x14ac:dyDescent="0.45">
      <c r="A13" s="366"/>
      <c r="B13" s="70">
        <f t="shared" si="36"/>
        <v>46026</v>
      </c>
      <c r="C13" s="71" t="str">
        <f t="shared" si="0"/>
        <v>日</v>
      </c>
      <c r="D13" s="71"/>
      <c r="E13" s="72"/>
      <c r="F13" s="72"/>
      <c r="G13" s="44"/>
      <c r="H13" s="44"/>
      <c r="I13" s="73" t="str">
        <f t="shared" si="1"/>
        <v/>
      </c>
      <c r="J13" s="81"/>
      <c r="K13" s="81"/>
      <c r="L13" s="81"/>
      <c r="M13" s="81"/>
      <c r="N13" s="82" t="str">
        <f t="shared" si="2"/>
        <v/>
      </c>
      <c r="O13" s="363"/>
      <c r="P13" s="363"/>
      <c r="Q13" s="363"/>
      <c r="S13" s="67"/>
      <c r="T13" s="70">
        <f t="shared" si="37"/>
        <v>46057</v>
      </c>
      <c r="U13" s="71" t="str">
        <f t="shared" si="3"/>
        <v>水</v>
      </c>
      <c r="V13" s="71" t="s">
        <v>22</v>
      </c>
      <c r="W13" s="166">
        <v>0.375</v>
      </c>
      <c r="X13" s="166">
        <v>0.75</v>
      </c>
      <c r="Y13" s="167">
        <v>0.5</v>
      </c>
      <c r="Z13" s="167">
        <v>0.54166666666666663</v>
      </c>
      <c r="AA13" s="73" t="str">
        <f t="shared" si="4"/>
        <v>8h</v>
      </c>
      <c r="AB13" s="168">
        <v>0.375</v>
      </c>
      <c r="AC13" s="168">
        <v>0.75</v>
      </c>
      <c r="AD13" s="168">
        <v>0.5</v>
      </c>
      <c r="AE13" s="168">
        <v>0.54166666666666663</v>
      </c>
      <c r="AF13" s="82" t="str">
        <f t="shared" si="5"/>
        <v>8h</v>
      </c>
      <c r="AG13" s="363"/>
      <c r="AH13" s="363"/>
      <c r="AI13" s="363"/>
      <c r="AK13" s="67"/>
      <c r="AL13" s="70">
        <f t="shared" si="38"/>
        <v>46085</v>
      </c>
      <c r="AM13" s="71" t="str">
        <f t="shared" si="6"/>
        <v>水</v>
      </c>
      <c r="AN13" s="71" t="s">
        <v>22</v>
      </c>
      <c r="AO13" s="166">
        <v>0.375</v>
      </c>
      <c r="AP13" s="166">
        <v>0.75</v>
      </c>
      <c r="AQ13" s="167">
        <v>0.5</v>
      </c>
      <c r="AR13" s="167">
        <v>0.54166666666666663</v>
      </c>
      <c r="AS13" s="73" t="str">
        <f t="shared" si="7"/>
        <v>8h</v>
      </c>
      <c r="AT13" s="168">
        <v>0.375</v>
      </c>
      <c r="AU13" s="168">
        <v>0.75</v>
      </c>
      <c r="AV13" s="168">
        <v>0.5</v>
      </c>
      <c r="AW13" s="168">
        <v>0.54166666666666663</v>
      </c>
      <c r="AX13" s="82" t="str">
        <f t="shared" si="8"/>
        <v>8h</v>
      </c>
      <c r="AY13" s="363"/>
      <c r="AZ13" s="363"/>
      <c r="BA13" s="363"/>
      <c r="BC13" s="67"/>
      <c r="BD13" s="70">
        <f t="shared" si="39"/>
        <v>46116</v>
      </c>
      <c r="BE13" s="71" t="str">
        <f t="shared" si="9"/>
        <v>土</v>
      </c>
      <c r="BF13" s="71"/>
      <c r="BG13" s="72"/>
      <c r="BH13" s="72"/>
      <c r="BI13" s="44"/>
      <c r="BJ13" s="44"/>
      <c r="BK13" s="73" t="str">
        <f t="shared" si="10"/>
        <v/>
      </c>
      <c r="BL13" s="81"/>
      <c r="BM13" s="81"/>
      <c r="BN13" s="81"/>
      <c r="BO13" s="81"/>
      <c r="BP13" s="82" t="str">
        <f t="shared" si="11"/>
        <v/>
      </c>
      <c r="BQ13" s="363"/>
      <c r="BR13" s="363"/>
      <c r="BS13" s="363"/>
      <c r="BU13" s="67"/>
      <c r="BV13" s="70">
        <f t="shared" si="40"/>
        <v>46146</v>
      </c>
      <c r="BW13" s="71" t="str">
        <f t="shared" si="12"/>
        <v>月</v>
      </c>
      <c r="BX13" s="71"/>
      <c r="BY13" s="72"/>
      <c r="BZ13" s="72"/>
      <c r="CA13" s="44"/>
      <c r="CB13" s="44"/>
      <c r="CC13" s="73" t="str">
        <f t="shared" si="13"/>
        <v/>
      </c>
      <c r="CD13" s="81"/>
      <c r="CE13" s="81"/>
      <c r="CF13" s="81"/>
      <c r="CG13" s="81"/>
      <c r="CH13" s="82" t="str">
        <f t="shared" si="14"/>
        <v/>
      </c>
      <c r="CI13" s="363"/>
      <c r="CJ13" s="363"/>
      <c r="CK13" s="363"/>
      <c r="CM13" s="67"/>
      <c r="CN13" s="70">
        <f t="shared" si="41"/>
        <v>46177</v>
      </c>
      <c r="CO13" s="71" t="str">
        <f t="shared" si="15"/>
        <v>木</v>
      </c>
      <c r="CP13" s="71" t="s">
        <v>22</v>
      </c>
      <c r="CQ13" s="166">
        <v>0.375</v>
      </c>
      <c r="CR13" s="166">
        <v>0.75</v>
      </c>
      <c r="CS13" s="167">
        <v>0.5</v>
      </c>
      <c r="CT13" s="167">
        <v>0.54166666666666663</v>
      </c>
      <c r="CU13" s="73" t="str">
        <f t="shared" si="16"/>
        <v>8h</v>
      </c>
      <c r="CV13" s="168">
        <v>0.375</v>
      </c>
      <c r="CW13" s="168">
        <v>0.75</v>
      </c>
      <c r="CX13" s="168">
        <v>0.5</v>
      </c>
      <c r="CY13" s="168">
        <v>0.54166666666666663</v>
      </c>
      <c r="CZ13" s="82" t="str">
        <f t="shared" si="17"/>
        <v>8h</v>
      </c>
      <c r="DA13" s="363"/>
      <c r="DB13" s="363"/>
      <c r="DC13" s="363"/>
      <c r="DE13" s="67"/>
      <c r="DF13" s="70">
        <f t="shared" si="42"/>
        <v>46207</v>
      </c>
      <c r="DG13" s="71" t="str">
        <f t="shared" si="18"/>
        <v>土</v>
      </c>
      <c r="DH13" s="71"/>
      <c r="DI13" s="72"/>
      <c r="DJ13" s="72"/>
      <c r="DK13" s="44"/>
      <c r="DL13" s="44"/>
      <c r="DM13" s="73" t="str">
        <f t="shared" si="19"/>
        <v/>
      </c>
      <c r="DN13" s="81"/>
      <c r="DO13" s="81"/>
      <c r="DP13" s="81"/>
      <c r="DQ13" s="81"/>
      <c r="DR13" s="82" t="str">
        <f t="shared" si="20"/>
        <v/>
      </c>
      <c r="DS13" s="363"/>
      <c r="DT13" s="363"/>
      <c r="DU13" s="363"/>
      <c r="DW13" s="67"/>
      <c r="DX13" s="70">
        <f t="shared" si="43"/>
        <v>46238</v>
      </c>
      <c r="DY13" s="71" t="str">
        <f t="shared" si="21"/>
        <v>火</v>
      </c>
      <c r="DZ13" s="71" t="s">
        <v>22</v>
      </c>
      <c r="EA13" s="166">
        <v>0.375</v>
      </c>
      <c r="EB13" s="166">
        <v>0.75</v>
      </c>
      <c r="EC13" s="167">
        <v>0.5</v>
      </c>
      <c r="ED13" s="167">
        <v>0.54166666666666663</v>
      </c>
      <c r="EE13" s="73" t="str">
        <f t="shared" si="22"/>
        <v>8h</v>
      </c>
      <c r="EF13" s="168">
        <v>0.375</v>
      </c>
      <c r="EG13" s="168">
        <v>0.75</v>
      </c>
      <c r="EH13" s="168">
        <v>0.5</v>
      </c>
      <c r="EI13" s="168">
        <v>0.54166666666666663</v>
      </c>
      <c r="EJ13" s="82" t="str">
        <f t="shared" si="23"/>
        <v>8h</v>
      </c>
      <c r="EK13" s="363"/>
      <c r="EL13" s="363"/>
      <c r="EM13" s="363"/>
      <c r="EO13" s="67"/>
      <c r="EP13" s="70">
        <f t="shared" si="44"/>
        <v>46269</v>
      </c>
      <c r="EQ13" s="71" t="str">
        <f t="shared" si="24"/>
        <v>金</v>
      </c>
      <c r="ER13" s="71" t="s">
        <v>22</v>
      </c>
      <c r="ES13" s="166">
        <v>0.375</v>
      </c>
      <c r="ET13" s="166">
        <v>0.75</v>
      </c>
      <c r="EU13" s="167">
        <v>0.5</v>
      </c>
      <c r="EV13" s="167">
        <v>0.54166666666666663</v>
      </c>
      <c r="EW13" s="73" t="str">
        <f t="shared" si="25"/>
        <v>8h</v>
      </c>
      <c r="EX13" s="168">
        <v>0.375</v>
      </c>
      <c r="EY13" s="168">
        <v>0.75</v>
      </c>
      <c r="EZ13" s="168">
        <v>0.5</v>
      </c>
      <c r="FA13" s="168">
        <v>0.54166666666666663</v>
      </c>
      <c r="FB13" s="82" t="str">
        <f t="shared" si="26"/>
        <v>8h</v>
      </c>
      <c r="FC13" s="363"/>
      <c r="FD13" s="363"/>
      <c r="FE13" s="363"/>
      <c r="FG13" s="67"/>
      <c r="FH13" s="70">
        <f t="shared" si="45"/>
        <v>46299</v>
      </c>
      <c r="FI13" s="71" t="str">
        <f t="shared" si="27"/>
        <v>日</v>
      </c>
      <c r="FJ13" s="71"/>
      <c r="FK13" s="72"/>
      <c r="FL13" s="72"/>
      <c r="FM13" s="44"/>
      <c r="FN13" s="44"/>
      <c r="FO13" s="73" t="str">
        <f t="shared" si="28"/>
        <v/>
      </c>
      <c r="FP13" s="81"/>
      <c r="FQ13" s="81"/>
      <c r="FR13" s="81"/>
      <c r="FS13" s="81"/>
      <c r="FT13" s="82" t="str">
        <f t="shared" si="29"/>
        <v/>
      </c>
      <c r="FU13" s="363"/>
      <c r="FV13" s="363"/>
      <c r="FW13" s="363"/>
      <c r="FY13" s="67"/>
      <c r="FZ13" s="70">
        <f t="shared" si="46"/>
        <v>46330</v>
      </c>
      <c r="GA13" s="71" t="str">
        <f t="shared" si="30"/>
        <v>水</v>
      </c>
      <c r="GB13" s="71" t="s">
        <v>22</v>
      </c>
      <c r="GC13" s="166">
        <v>0.375</v>
      </c>
      <c r="GD13" s="166">
        <v>0.75</v>
      </c>
      <c r="GE13" s="167">
        <v>0.5</v>
      </c>
      <c r="GF13" s="167">
        <v>0.54166666666666663</v>
      </c>
      <c r="GG13" s="73" t="str">
        <f t="shared" si="31"/>
        <v>8h</v>
      </c>
      <c r="GH13" s="168">
        <v>0.375</v>
      </c>
      <c r="GI13" s="168">
        <v>0.75</v>
      </c>
      <c r="GJ13" s="168">
        <v>0.5</v>
      </c>
      <c r="GK13" s="168">
        <v>0.54166666666666663</v>
      </c>
      <c r="GL13" s="82" t="str">
        <f t="shared" si="32"/>
        <v>8h</v>
      </c>
      <c r="GM13" s="363"/>
      <c r="GN13" s="363"/>
      <c r="GO13" s="363"/>
      <c r="GQ13" s="67"/>
      <c r="GR13" s="70">
        <f t="shared" si="47"/>
        <v>46360</v>
      </c>
      <c r="GS13" s="71" t="str">
        <f t="shared" si="33"/>
        <v>金</v>
      </c>
      <c r="GT13" s="71" t="s">
        <v>22</v>
      </c>
      <c r="GU13" s="166">
        <v>0.375</v>
      </c>
      <c r="GV13" s="166">
        <v>0.75</v>
      </c>
      <c r="GW13" s="167">
        <v>0.5</v>
      </c>
      <c r="GX13" s="167">
        <v>0.54166666666666663</v>
      </c>
      <c r="GY13" s="73" t="str">
        <f t="shared" si="34"/>
        <v>8h</v>
      </c>
      <c r="GZ13" s="168">
        <v>0.375</v>
      </c>
      <c r="HA13" s="168">
        <v>0.75</v>
      </c>
      <c r="HB13" s="168">
        <v>0.5</v>
      </c>
      <c r="HC13" s="168">
        <v>0.54166666666666663</v>
      </c>
      <c r="HD13" s="82" t="str">
        <f t="shared" si="35"/>
        <v>8h</v>
      </c>
      <c r="HE13" s="363"/>
      <c r="HF13" s="363"/>
      <c r="HG13" s="363"/>
    </row>
    <row r="14" spans="1:215" x14ac:dyDescent="0.45">
      <c r="A14" s="366"/>
      <c r="B14" s="70">
        <f t="shared" si="36"/>
        <v>46027</v>
      </c>
      <c r="C14" s="71" t="str">
        <f t="shared" si="0"/>
        <v>月</v>
      </c>
      <c r="D14" s="71" t="s">
        <v>22</v>
      </c>
      <c r="E14" s="166">
        <v>0.375</v>
      </c>
      <c r="F14" s="166">
        <v>0.75</v>
      </c>
      <c r="G14" s="167">
        <v>0.5</v>
      </c>
      <c r="H14" s="167">
        <v>0.54166666666666663</v>
      </c>
      <c r="I14" s="73" t="str">
        <f t="shared" si="1"/>
        <v>8h</v>
      </c>
      <c r="J14" s="168">
        <v>0.375</v>
      </c>
      <c r="K14" s="168">
        <v>0.75</v>
      </c>
      <c r="L14" s="168">
        <v>0.5</v>
      </c>
      <c r="M14" s="168">
        <v>0.54166666666666663</v>
      </c>
      <c r="N14" s="82" t="str">
        <f t="shared" si="2"/>
        <v>8h</v>
      </c>
      <c r="O14" s="363"/>
      <c r="P14" s="363"/>
      <c r="Q14" s="363"/>
      <c r="S14" s="67"/>
      <c r="T14" s="70">
        <f t="shared" si="37"/>
        <v>46058</v>
      </c>
      <c r="U14" s="71" t="str">
        <f t="shared" si="3"/>
        <v>木</v>
      </c>
      <c r="V14" s="71" t="s">
        <v>22</v>
      </c>
      <c r="W14" s="166">
        <v>0.375</v>
      </c>
      <c r="X14" s="166">
        <v>0.75</v>
      </c>
      <c r="Y14" s="167">
        <v>0.5</v>
      </c>
      <c r="Z14" s="167">
        <v>0.54166666666666663</v>
      </c>
      <c r="AA14" s="73" t="str">
        <f t="shared" si="4"/>
        <v>8h</v>
      </c>
      <c r="AB14" s="168">
        <v>0.375</v>
      </c>
      <c r="AC14" s="168">
        <v>0.75</v>
      </c>
      <c r="AD14" s="168">
        <v>0.5</v>
      </c>
      <c r="AE14" s="168">
        <v>0.54166666666666663</v>
      </c>
      <c r="AF14" s="82" t="str">
        <f t="shared" si="5"/>
        <v>8h</v>
      </c>
      <c r="AG14" s="363"/>
      <c r="AH14" s="363"/>
      <c r="AI14" s="363"/>
      <c r="AK14" s="67"/>
      <c r="AL14" s="70">
        <f t="shared" si="38"/>
        <v>46086</v>
      </c>
      <c r="AM14" s="71" t="str">
        <f t="shared" si="6"/>
        <v>木</v>
      </c>
      <c r="AN14" s="71" t="s">
        <v>22</v>
      </c>
      <c r="AO14" s="166">
        <v>0.375</v>
      </c>
      <c r="AP14" s="166">
        <v>0.75</v>
      </c>
      <c r="AQ14" s="167">
        <v>0.5</v>
      </c>
      <c r="AR14" s="167">
        <v>0.54166666666666663</v>
      </c>
      <c r="AS14" s="73" t="str">
        <f t="shared" si="7"/>
        <v>8h</v>
      </c>
      <c r="AT14" s="168">
        <v>0.375</v>
      </c>
      <c r="AU14" s="168">
        <v>0.75</v>
      </c>
      <c r="AV14" s="168">
        <v>0.5</v>
      </c>
      <c r="AW14" s="168">
        <v>0.54166666666666663</v>
      </c>
      <c r="AX14" s="82" t="str">
        <f t="shared" si="8"/>
        <v>8h</v>
      </c>
      <c r="AY14" s="363"/>
      <c r="AZ14" s="363"/>
      <c r="BA14" s="363"/>
      <c r="BC14" s="67"/>
      <c r="BD14" s="70">
        <f t="shared" si="39"/>
        <v>46117</v>
      </c>
      <c r="BE14" s="71" t="str">
        <f t="shared" si="9"/>
        <v>日</v>
      </c>
      <c r="BF14" s="71"/>
      <c r="BG14" s="72"/>
      <c r="BH14" s="72"/>
      <c r="BI14" s="44"/>
      <c r="BJ14" s="44"/>
      <c r="BK14" s="73" t="str">
        <f t="shared" si="10"/>
        <v/>
      </c>
      <c r="BL14" s="81"/>
      <c r="BM14" s="81"/>
      <c r="BN14" s="81"/>
      <c r="BO14" s="81"/>
      <c r="BP14" s="82" t="str">
        <f t="shared" si="11"/>
        <v/>
      </c>
      <c r="BQ14" s="363"/>
      <c r="BR14" s="363"/>
      <c r="BS14" s="363"/>
      <c r="BU14" s="67"/>
      <c r="BV14" s="70">
        <f t="shared" si="40"/>
        <v>46147</v>
      </c>
      <c r="BW14" s="71" t="str">
        <f t="shared" si="12"/>
        <v>火</v>
      </c>
      <c r="BX14" s="71"/>
      <c r="BY14" s="72"/>
      <c r="BZ14" s="72"/>
      <c r="CA14" s="44"/>
      <c r="CB14" s="44"/>
      <c r="CC14" s="73" t="str">
        <f t="shared" si="13"/>
        <v/>
      </c>
      <c r="CD14" s="81"/>
      <c r="CE14" s="81"/>
      <c r="CF14" s="81"/>
      <c r="CG14" s="81"/>
      <c r="CH14" s="82" t="str">
        <f t="shared" si="14"/>
        <v/>
      </c>
      <c r="CI14" s="363"/>
      <c r="CJ14" s="363"/>
      <c r="CK14" s="363"/>
      <c r="CM14" s="67"/>
      <c r="CN14" s="70">
        <f t="shared" si="41"/>
        <v>46178</v>
      </c>
      <c r="CO14" s="71" t="str">
        <f t="shared" si="15"/>
        <v>金</v>
      </c>
      <c r="CP14" s="71" t="s">
        <v>22</v>
      </c>
      <c r="CQ14" s="166">
        <v>0.375</v>
      </c>
      <c r="CR14" s="166">
        <v>0.75</v>
      </c>
      <c r="CS14" s="167">
        <v>0.5</v>
      </c>
      <c r="CT14" s="167">
        <v>0.54166666666666663</v>
      </c>
      <c r="CU14" s="73" t="str">
        <f t="shared" si="16"/>
        <v>8h</v>
      </c>
      <c r="CV14" s="168">
        <v>0.375</v>
      </c>
      <c r="CW14" s="168">
        <v>0.75</v>
      </c>
      <c r="CX14" s="168">
        <v>0.5</v>
      </c>
      <c r="CY14" s="168">
        <v>0.54166666666666663</v>
      </c>
      <c r="CZ14" s="82" t="str">
        <f t="shared" si="17"/>
        <v>8h</v>
      </c>
      <c r="DA14" s="363"/>
      <c r="DB14" s="363"/>
      <c r="DC14" s="363"/>
      <c r="DE14" s="67"/>
      <c r="DF14" s="70">
        <f t="shared" si="42"/>
        <v>46208</v>
      </c>
      <c r="DG14" s="71" t="str">
        <f t="shared" si="18"/>
        <v>日</v>
      </c>
      <c r="DH14" s="71"/>
      <c r="DI14" s="72"/>
      <c r="DJ14" s="72"/>
      <c r="DK14" s="44"/>
      <c r="DL14" s="44"/>
      <c r="DM14" s="73" t="str">
        <f t="shared" si="19"/>
        <v/>
      </c>
      <c r="DN14" s="81"/>
      <c r="DO14" s="81"/>
      <c r="DP14" s="81"/>
      <c r="DQ14" s="81"/>
      <c r="DR14" s="82" t="str">
        <f t="shared" si="20"/>
        <v/>
      </c>
      <c r="DS14" s="363"/>
      <c r="DT14" s="363"/>
      <c r="DU14" s="363"/>
      <c r="DW14" s="67"/>
      <c r="DX14" s="70">
        <f t="shared" si="43"/>
        <v>46239</v>
      </c>
      <c r="DY14" s="71" t="str">
        <f t="shared" si="21"/>
        <v>水</v>
      </c>
      <c r="DZ14" s="71" t="s">
        <v>22</v>
      </c>
      <c r="EA14" s="166">
        <v>0.375</v>
      </c>
      <c r="EB14" s="166">
        <v>0.75</v>
      </c>
      <c r="EC14" s="167">
        <v>0.5</v>
      </c>
      <c r="ED14" s="167">
        <v>0.54166666666666663</v>
      </c>
      <c r="EE14" s="73" t="str">
        <f t="shared" si="22"/>
        <v>8h</v>
      </c>
      <c r="EF14" s="168">
        <v>0.375</v>
      </c>
      <c r="EG14" s="168">
        <v>0.75</v>
      </c>
      <c r="EH14" s="168">
        <v>0.5</v>
      </c>
      <c r="EI14" s="168">
        <v>0.54166666666666663</v>
      </c>
      <c r="EJ14" s="82" t="str">
        <f t="shared" si="23"/>
        <v>8h</v>
      </c>
      <c r="EK14" s="363"/>
      <c r="EL14" s="363"/>
      <c r="EM14" s="363"/>
      <c r="EO14" s="67"/>
      <c r="EP14" s="70">
        <f t="shared" si="44"/>
        <v>46270</v>
      </c>
      <c r="EQ14" s="71" t="str">
        <f t="shared" si="24"/>
        <v>土</v>
      </c>
      <c r="ER14" s="71"/>
      <c r="ES14" s="72"/>
      <c r="ET14" s="72"/>
      <c r="EU14" s="44"/>
      <c r="EV14" s="44"/>
      <c r="EW14" s="73" t="str">
        <f t="shared" si="25"/>
        <v/>
      </c>
      <c r="EX14" s="81"/>
      <c r="EY14" s="81"/>
      <c r="EZ14" s="81"/>
      <c r="FA14" s="81"/>
      <c r="FB14" s="82" t="str">
        <f t="shared" si="26"/>
        <v/>
      </c>
      <c r="FC14" s="363"/>
      <c r="FD14" s="363"/>
      <c r="FE14" s="363"/>
      <c r="FG14" s="67"/>
      <c r="FH14" s="70">
        <f t="shared" si="45"/>
        <v>46300</v>
      </c>
      <c r="FI14" s="71" t="str">
        <f t="shared" si="27"/>
        <v>月</v>
      </c>
      <c r="FJ14" s="71" t="s">
        <v>22</v>
      </c>
      <c r="FK14" s="166">
        <v>0.375</v>
      </c>
      <c r="FL14" s="166">
        <v>0.75</v>
      </c>
      <c r="FM14" s="167">
        <v>0.5</v>
      </c>
      <c r="FN14" s="167">
        <v>0.54166666666666663</v>
      </c>
      <c r="FO14" s="73" t="str">
        <f t="shared" si="28"/>
        <v>8h</v>
      </c>
      <c r="FP14" s="168">
        <v>0.375</v>
      </c>
      <c r="FQ14" s="168">
        <v>0.75</v>
      </c>
      <c r="FR14" s="168">
        <v>0.5</v>
      </c>
      <c r="FS14" s="168">
        <v>0.54166666666666663</v>
      </c>
      <c r="FT14" s="82" t="str">
        <f t="shared" si="29"/>
        <v>8h</v>
      </c>
      <c r="FU14" s="363"/>
      <c r="FV14" s="363"/>
      <c r="FW14" s="363"/>
      <c r="FY14" s="67"/>
      <c r="FZ14" s="70">
        <f t="shared" si="46"/>
        <v>46331</v>
      </c>
      <c r="GA14" s="71" t="str">
        <f t="shared" si="30"/>
        <v>木</v>
      </c>
      <c r="GB14" s="71" t="s">
        <v>22</v>
      </c>
      <c r="GC14" s="166">
        <v>0.375</v>
      </c>
      <c r="GD14" s="166">
        <v>0.75</v>
      </c>
      <c r="GE14" s="167">
        <v>0.5</v>
      </c>
      <c r="GF14" s="167">
        <v>0.54166666666666663</v>
      </c>
      <c r="GG14" s="73" t="str">
        <f t="shared" si="31"/>
        <v>8h</v>
      </c>
      <c r="GH14" s="168">
        <v>0.375</v>
      </c>
      <c r="GI14" s="168">
        <v>0.75</v>
      </c>
      <c r="GJ14" s="168">
        <v>0.5</v>
      </c>
      <c r="GK14" s="168">
        <v>0.54166666666666663</v>
      </c>
      <c r="GL14" s="82" t="str">
        <f t="shared" si="32"/>
        <v>8h</v>
      </c>
      <c r="GM14" s="363"/>
      <c r="GN14" s="363"/>
      <c r="GO14" s="363"/>
      <c r="GQ14" s="67"/>
      <c r="GR14" s="70">
        <f t="shared" si="47"/>
        <v>46361</v>
      </c>
      <c r="GS14" s="71" t="str">
        <f t="shared" si="33"/>
        <v>土</v>
      </c>
      <c r="GT14" s="71"/>
      <c r="GU14" s="72"/>
      <c r="GV14" s="72"/>
      <c r="GW14" s="44"/>
      <c r="GX14" s="44"/>
      <c r="GY14" s="73" t="str">
        <f t="shared" si="34"/>
        <v/>
      </c>
      <c r="GZ14" s="81"/>
      <c r="HA14" s="81"/>
      <c r="HB14" s="81"/>
      <c r="HC14" s="81"/>
      <c r="HD14" s="82" t="str">
        <f t="shared" si="35"/>
        <v/>
      </c>
      <c r="HE14" s="363"/>
      <c r="HF14" s="363"/>
      <c r="HG14" s="363"/>
    </row>
    <row r="15" spans="1:215" x14ac:dyDescent="0.45">
      <c r="A15" s="366"/>
      <c r="B15" s="70">
        <f t="shared" si="36"/>
        <v>46028</v>
      </c>
      <c r="C15" s="71" t="str">
        <f t="shared" si="0"/>
        <v>火</v>
      </c>
      <c r="D15" s="71" t="s">
        <v>22</v>
      </c>
      <c r="E15" s="166">
        <v>0.375</v>
      </c>
      <c r="F15" s="166">
        <v>0.75</v>
      </c>
      <c r="G15" s="167">
        <v>0.5</v>
      </c>
      <c r="H15" s="167">
        <v>0.54166666666666663</v>
      </c>
      <c r="I15" s="73" t="str">
        <f t="shared" si="1"/>
        <v>8h</v>
      </c>
      <c r="J15" s="168">
        <v>0.375</v>
      </c>
      <c r="K15" s="168">
        <v>0.75</v>
      </c>
      <c r="L15" s="168">
        <v>0.5</v>
      </c>
      <c r="M15" s="168">
        <v>0.54166666666666663</v>
      </c>
      <c r="N15" s="82" t="str">
        <f t="shared" si="2"/>
        <v>8h</v>
      </c>
      <c r="O15" s="363"/>
      <c r="P15" s="363"/>
      <c r="Q15" s="363"/>
      <c r="S15" s="67"/>
      <c r="T15" s="70">
        <f t="shared" si="37"/>
        <v>46059</v>
      </c>
      <c r="U15" s="71" t="str">
        <f t="shared" si="3"/>
        <v>金</v>
      </c>
      <c r="V15" s="71" t="s">
        <v>22</v>
      </c>
      <c r="W15" s="166">
        <v>0.375</v>
      </c>
      <c r="X15" s="166">
        <v>0.75</v>
      </c>
      <c r="Y15" s="167">
        <v>0.5</v>
      </c>
      <c r="Z15" s="167">
        <v>0.54166666666666663</v>
      </c>
      <c r="AA15" s="73" t="str">
        <f t="shared" si="4"/>
        <v>8h</v>
      </c>
      <c r="AB15" s="168">
        <v>0.375</v>
      </c>
      <c r="AC15" s="168">
        <v>0.75</v>
      </c>
      <c r="AD15" s="168">
        <v>0.5</v>
      </c>
      <c r="AE15" s="168">
        <v>0.54166666666666663</v>
      </c>
      <c r="AF15" s="82" t="str">
        <f t="shared" si="5"/>
        <v>8h</v>
      </c>
      <c r="AG15" s="363"/>
      <c r="AH15" s="363"/>
      <c r="AI15" s="363"/>
      <c r="AK15" s="67"/>
      <c r="AL15" s="70">
        <f t="shared" si="38"/>
        <v>46087</v>
      </c>
      <c r="AM15" s="71" t="str">
        <f t="shared" si="6"/>
        <v>金</v>
      </c>
      <c r="AN15" s="71" t="s">
        <v>22</v>
      </c>
      <c r="AO15" s="166">
        <v>0.375</v>
      </c>
      <c r="AP15" s="166">
        <v>0.75</v>
      </c>
      <c r="AQ15" s="167">
        <v>0.5</v>
      </c>
      <c r="AR15" s="167">
        <v>0.54166666666666663</v>
      </c>
      <c r="AS15" s="73" t="str">
        <f t="shared" si="7"/>
        <v>8h</v>
      </c>
      <c r="AT15" s="168">
        <v>0.375</v>
      </c>
      <c r="AU15" s="168">
        <v>0.75</v>
      </c>
      <c r="AV15" s="168">
        <v>0.5</v>
      </c>
      <c r="AW15" s="168">
        <v>0.54166666666666663</v>
      </c>
      <c r="AX15" s="82" t="str">
        <f t="shared" si="8"/>
        <v>8h</v>
      </c>
      <c r="AY15" s="363"/>
      <c r="AZ15" s="363"/>
      <c r="BA15" s="363"/>
      <c r="BC15" s="67"/>
      <c r="BD15" s="70">
        <f t="shared" si="39"/>
        <v>46118</v>
      </c>
      <c r="BE15" s="71" t="str">
        <f t="shared" si="9"/>
        <v>月</v>
      </c>
      <c r="BF15" s="71" t="s">
        <v>22</v>
      </c>
      <c r="BG15" s="166">
        <v>0.375</v>
      </c>
      <c r="BH15" s="166">
        <v>0.75</v>
      </c>
      <c r="BI15" s="167">
        <v>0.5</v>
      </c>
      <c r="BJ15" s="167">
        <v>0.54166666666666663</v>
      </c>
      <c r="BK15" s="73" t="str">
        <f t="shared" si="10"/>
        <v>8h</v>
      </c>
      <c r="BL15" s="168">
        <v>0.375</v>
      </c>
      <c r="BM15" s="168">
        <v>0.75</v>
      </c>
      <c r="BN15" s="168">
        <v>0.5</v>
      </c>
      <c r="BO15" s="168">
        <v>0.54166666666666663</v>
      </c>
      <c r="BP15" s="82" t="str">
        <f t="shared" si="11"/>
        <v>8h</v>
      </c>
      <c r="BQ15" s="363"/>
      <c r="BR15" s="363"/>
      <c r="BS15" s="363"/>
      <c r="BU15" s="67"/>
      <c r="BV15" s="70">
        <f t="shared" si="40"/>
        <v>46148</v>
      </c>
      <c r="BW15" s="71" t="str">
        <f t="shared" si="12"/>
        <v>水</v>
      </c>
      <c r="BX15" s="71"/>
      <c r="BY15" s="72"/>
      <c r="BZ15" s="72"/>
      <c r="CA15" s="44"/>
      <c r="CB15" s="44"/>
      <c r="CC15" s="73" t="str">
        <f t="shared" si="13"/>
        <v/>
      </c>
      <c r="CD15" s="81"/>
      <c r="CE15" s="81"/>
      <c r="CF15" s="81"/>
      <c r="CG15" s="81"/>
      <c r="CH15" s="82" t="str">
        <f t="shared" si="14"/>
        <v/>
      </c>
      <c r="CI15" s="363"/>
      <c r="CJ15" s="363"/>
      <c r="CK15" s="363"/>
      <c r="CM15" s="67"/>
      <c r="CN15" s="70">
        <f t="shared" si="41"/>
        <v>46179</v>
      </c>
      <c r="CO15" s="71" t="str">
        <f t="shared" si="15"/>
        <v>土</v>
      </c>
      <c r="CP15" s="71"/>
      <c r="CQ15" s="72"/>
      <c r="CR15" s="72"/>
      <c r="CS15" s="44"/>
      <c r="CT15" s="44"/>
      <c r="CU15" s="73" t="str">
        <f t="shared" si="16"/>
        <v/>
      </c>
      <c r="CV15" s="81"/>
      <c r="CW15" s="81"/>
      <c r="CX15" s="81"/>
      <c r="CY15" s="81"/>
      <c r="CZ15" s="82" t="str">
        <f t="shared" si="17"/>
        <v/>
      </c>
      <c r="DA15" s="363"/>
      <c r="DB15" s="363"/>
      <c r="DC15" s="363"/>
      <c r="DE15" s="67"/>
      <c r="DF15" s="70">
        <f t="shared" si="42"/>
        <v>46209</v>
      </c>
      <c r="DG15" s="71" t="str">
        <f t="shared" si="18"/>
        <v>月</v>
      </c>
      <c r="DH15" s="71" t="s">
        <v>22</v>
      </c>
      <c r="DI15" s="166">
        <v>0.375</v>
      </c>
      <c r="DJ15" s="166">
        <v>0.75</v>
      </c>
      <c r="DK15" s="167">
        <v>0.5</v>
      </c>
      <c r="DL15" s="167">
        <v>0.54166666666666663</v>
      </c>
      <c r="DM15" s="73" t="str">
        <f t="shared" si="19"/>
        <v>8h</v>
      </c>
      <c r="DN15" s="168">
        <v>0.375</v>
      </c>
      <c r="DO15" s="168">
        <v>0.75</v>
      </c>
      <c r="DP15" s="168">
        <v>0.5</v>
      </c>
      <c r="DQ15" s="168">
        <v>0.54166666666666663</v>
      </c>
      <c r="DR15" s="82" t="str">
        <f t="shared" si="20"/>
        <v>8h</v>
      </c>
      <c r="DS15" s="363"/>
      <c r="DT15" s="363"/>
      <c r="DU15" s="363"/>
      <c r="DW15" s="67"/>
      <c r="DX15" s="70">
        <f t="shared" si="43"/>
        <v>46240</v>
      </c>
      <c r="DY15" s="71" t="str">
        <f t="shared" si="21"/>
        <v>木</v>
      </c>
      <c r="DZ15" s="71" t="s">
        <v>22</v>
      </c>
      <c r="EA15" s="166">
        <v>0.375</v>
      </c>
      <c r="EB15" s="166">
        <v>0.75</v>
      </c>
      <c r="EC15" s="167">
        <v>0.5</v>
      </c>
      <c r="ED15" s="167">
        <v>0.54166666666666663</v>
      </c>
      <c r="EE15" s="73" t="str">
        <f t="shared" si="22"/>
        <v>8h</v>
      </c>
      <c r="EF15" s="168">
        <v>0.375</v>
      </c>
      <c r="EG15" s="168">
        <v>0.75</v>
      </c>
      <c r="EH15" s="168">
        <v>0.5</v>
      </c>
      <c r="EI15" s="168">
        <v>0.54166666666666663</v>
      </c>
      <c r="EJ15" s="82" t="str">
        <f t="shared" si="23"/>
        <v>8h</v>
      </c>
      <c r="EK15" s="363"/>
      <c r="EL15" s="363"/>
      <c r="EM15" s="363"/>
      <c r="EO15" s="67"/>
      <c r="EP15" s="70">
        <f t="shared" si="44"/>
        <v>46271</v>
      </c>
      <c r="EQ15" s="71" t="str">
        <f t="shared" si="24"/>
        <v>日</v>
      </c>
      <c r="ER15" s="71"/>
      <c r="ES15" s="72"/>
      <c r="ET15" s="72"/>
      <c r="EU15" s="44"/>
      <c r="EV15" s="44"/>
      <c r="EW15" s="73" t="str">
        <f t="shared" si="25"/>
        <v/>
      </c>
      <c r="EX15" s="81"/>
      <c r="EY15" s="81"/>
      <c r="EZ15" s="81"/>
      <c r="FA15" s="81"/>
      <c r="FB15" s="82" t="str">
        <f t="shared" si="26"/>
        <v/>
      </c>
      <c r="FC15" s="363"/>
      <c r="FD15" s="363"/>
      <c r="FE15" s="363"/>
      <c r="FG15" s="67"/>
      <c r="FH15" s="70">
        <f t="shared" si="45"/>
        <v>46301</v>
      </c>
      <c r="FI15" s="71" t="str">
        <f t="shared" si="27"/>
        <v>火</v>
      </c>
      <c r="FJ15" s="71" t="s">
        <v>22</v>
      </c>
      <c r="FK15" s="166">
        <v>0.375</v>
      </c>
      <c r="FL15" s="166">
        <v>0.75</v>
      </c>
      <c r="FM15" s="167">
        <v>0.5</v>
      </c>
      <c r="FN15" s="167">
        <v>0.54166666666666663</v>
      </c>
      <c r="FO15" s="73" t="str">
        <f t="shared" si="28"/>
        <v>8h</v>
      </c>
      <c r="FP15" s="168">
        <v>0.375</v>
      </c>
      <c r="FQ15" s="168">
        <v>0.75</v>
      </c>
      <c r="FR15" s="168">
        <v>0.5</v>
      </c>
      <c r="FS15" s="168">
        <v>0.54166666666666663</v>
      </c>
      <c r="FT15" s="82" t="str">
        <f t="shared" si="29"/>
        <v>8h</v>
      </c>
      <c r="FU15" s="363"/>
      <c r="FV15" s="363"/>
      <c r="FW15" s="363"/>
      <c r="FY15" s="67"/>
      <c r="FZ15" s="70">
        <f t="shared" si="46"/>
        <v>46332</v>
      </c>
      <c r="GA15" s="71" t="str">
        <f t="shared" si="30"/>
        <v>金</v>
      </c>
      <c r="GB15" s="71" t="s">
        <v>22</v>
      </c>
      <c r="GC15" s="166">
        <v>0.375</v>
      </c>
      <c r="GD15" s="166">
        <v>0.75</v>
      </c>
      <c r="GE15" s="167">
        <v>0.5</v>
      </c>
      <c r="GF15" s="167">
        <v>0.54166666666666663</v>
      </c>
      <c r="GG15" s="73" t="str">
        <f t="shared" si="31"/>
        <v>8h</v>
      </c>
      <c r="GH15" s="168">
        <v>0.375</v>
      </c>
      <c r="GI15" s="168">
        <v>0.75</v>
      </c>
      <c r="GJ15" s="168">
        <v>0.5</v>
      </c>
      <c r="GK15" s="168">
        <v>0.54166666666666663</v>
      </c>
      <c r="GL15" s="82" t="str">
        <f t="shared" si="32"/>
        <v>8h</v>
      </c>
      <c r="GM15" s="363"/>
      <c r="GN15" s="363"/>
      <c r="GO15" s="363"/>
      <c r="GQ15" s="67"/>
      <c r="GR15" s="70">
        <f t="shared" si="47"/>
        <v>46362</v>
      </c>
      <c r="GS15" s="71" t="str">
        <f t="shared" si="33"/>
        <v>日</v>
      </c>
      <c r="GT15" s="71"/>
      <c r="GU15" s="72"/>
      <c r="GV15" s="72"/>
      <c r="GW15" s="44"/>
      <c r="GX15" s="44"/>
      <c r="GY15" s="73" t="str">
        <f t="shared" si="34"/>
        <v/>
      </c>
      <c r="GZ15" s="81"/>
      <c r="HA15" s="81"/>
      <c r="HB15" s="81"/>
      <c r="HC15" s="81"/>
      <c r="HD15" s="82" t="str">
        <f t="shared" si="35"/>
        <v/>
      </c>
      <c r="HE15" s="363"/>
      <c r="HF15" s="363"/>
      <c r="HG15" s="363"/>
    </row>
    <row r="16" spans="1:215" x14ac:dyDescent="0.45">
      <c r="A16" s="67"/>
      <c r="B16" s="70">
        <f t="shared" si="36"/>
        <v>46029</v>
      </c>
      <c r="C16" s="71" t="str">
        <f t="shared" si="0"/>
        <v>水</v>
      </c>
      <c r="D16" s="71" t="s">
        <v>22</v>
      </c>
      <c r="E16" s="166">
        <v>0.375</v>
      </c>
      <c r="F16" s="166">
        <v>0.75</v>
      </c>
      <c r="G16" s="167">
        <v>0.5</v>
      </c>
      <c r="H16" s="167">
        <v>0.54166666666666663</v>
      </c>
      <c r="I16" s="73" t="str">
        <f t="shared" si="1"/>
        <v>8h</v>
      </c>
      <c r="J16" s="168">
        <v>0.375</v>
      </c>
      <c r="K16" s="168">
        <v>0.75</v>
      </c>
      <c r="L16" s="168">
        <v>0.5</v>
      </c>
      <c r="M16" s="168">
        <v>0.54166666666666663</v>
      </c>
      <c r="N16" s="82" t="str">
        <f t="shared" si="2"/>
        <v>8h</v>
      </c>
      <c r="O16" s="363"/>
      <c r="P16" s="363"/>
      <c r="Q16" s="363"/>
      <c r="S16" s="67"/>
      <c r="T16" s="70">
        <f t="shared" si="37"/>
        <v>46060</v>
      </c>
      <c r="U16" s="71" t="str">
        <f t="shared" si="3"/>
        <v>土</v>
      </c>
      <c r="V16" s="71"/>
      <c r="W16" s="72"/>
      <c r="X16" s="72"/>
      <c r="Y16" s="44"/>
      <c r="Z16" s="44"/>
      <c r="AA16" s="73" t="str">
        <f t="shared" si="4"/>
        <v/>
      </c>
      <c r="AB16" s="81"/>
      <c r="AC16" s="81"/>
      <c r="AD16" s="81"/>
      <c r="AE16" s="81"/>
      <c r="AF16" s="82" t="str">
        <f t="shared" si="5"/>
        <v/>
      </c>
      <c r="AG16" s="363"/>
      <c r="AH16" s="363"/>
      <c r="AI16" s="363"/>
      <c r="AK16" s="67"/>
      <c r="AL16" s="70">
        <f t="shared" si="38"/>
        <v>46088</v>
      </c>
      <c r="AM16" s="71" t="str">
        <f t="shared" si="6"/>
        <v>土</v>
      </c>
      <c r="AN16" s="71"/>
      <c r="AO16" s="72"/>
      <c r="AP16" s="72"/>
      <c r="AQ16" s="44"/>
      <c r="AR16" s="44"/>
      <c r="AS16" s="73" t="str">
        <f t="shared" si="7"/>
        <v/>
      </c>
      <c r="AT16" s="81"/>
      <c r="AU16" s="81"/>
      <c r="AV16" s="81"/>
      <c r="AW16" s="81"/>
      <c r="AX16" s="82" t="str">
        <f t="shared" si="8"/>
        <v/>
      </c>
      <c r="AY16" s="363"/>
      <c r="AZ16" s="363"/>
      <c r="BA16" s="363"/>
      <c r="BC16" s="67"/>
      <c r="BD16" s="70">
        <f t="shared" si="39"/>
        <v>46119</v>
      </c>
      <c r="BE16" s="71" t="str">
        <f t="shared" si="9"/>
        <v>火</v>
      </c>
      <c r="BF16" s="71" t="s">
        <v>22</v>
      </c>
      <c r="BG16" s="166">
        <v>0.375</v>
      </c>
      <c r="BH16" s="166">
        <v>0.75</v>
      </c>
      <c r="BI16" s="167">
        <v>0.5</v>
      </c>
      <c r="BJ16" s="167">
        <v>0.54166666666666663</v>
      </c>
      <c r="BK16" s="73" t="str">
        <f t="shared" si="10"/>
        <v>8h</v>
      </c>
      <c r="BL16" s="168">
        <v>0.375</v>
      </c>
      <c r="BM16" s="168">
        <v>0.75</v>
      </c>
      <c r="BN16" s="168">
        <v>0.5</v>
      </c>
      <c r="BO16" s="168">
        <v>0.54166666666666663</v>
      </c>
      <c r="BP16" s="82" t="str">
        <f t="shared" si="11"/>
        <v>8h</v>
      </c>
      <c r="BQ16" s="363"/>
      <c r="BR16" s="363"/>
      <c r="BS16" s="363"/>
      <c r="BU16" s="67"/>
      <c r="BV16" s="70">
        <f t="shared" si="40"/>
        <v>46149</v>
      </c>
      <c r="BW16" s="71" t="str">
        <f t="shared" si="12"/>
        <v>木</v>
      </c>
      <c r="BX16" s="71" t="s">
        <v>22</v>
      </c>
      <c r="BY16" s="166">
        <v>0.375</v>
      </c>
      <c r="BZ16" s="166">
        <v>0.75</v>
      </c>
      <c r="CA16" s="167">
        <v>0.5</v>
      </c>
      <c r="CB16" s="167">
        <v>0.54166666666666663</v>
      </c>
      <c r="CC16" s="73" t="str">
        <f t="shared" si="13"/>
        <v>8h</v>
      </c>
      <c r="CD16" s="168">
        <v>0.375</v>
      </c>
      <c r="CE16" s="168">
        <v>0.75</v>
      </c>
      <c r="CF16" s="168">
        <v>0.5</v>
      </c>
      <c r="CG16" s="168">
        <v>0.54166666666666663</v>
      </c>
      <c r="CH16" s="82" t="str">
        <f t="shared" si="14"/>
        <v>8h</v>
      </c>
      <c r="CI16" s="363"/>
      <c r="CJ16" s="363"/>
      <c r="CK16" s="363"/>
      <c r="CM16" s="67"/>
      <c r="CN16" s="70">
        <f t="shared" si="41"/>
        <v>46180</v>
      </c>
      <c r="CO16" s="71" t="str">
        <f t="shared" si="15"/>
        <v>日</v>
      </c>
      <c r="CP16" s="71"/>
      <c r="CQ16" s="72"/>
      <c r="CR16" s="72"/>
      <c r="CS16" s="44"/>
      <c r="CT16" s="44"/>
      <c r="CU16" s="73" t="str">
        <f t="shared" si="16"/>
        <v/>
      </c>
      <c r="CV16" s="81"/>
      <c r="CW16" s="81"/>
      <c r="CX16" s="81"/>
      <c r="CY16" s="81"/>
      <c r="CZ16" s="82" t="str">
        <f t="shared" si="17"/>
        <v/>
      </c>
      <c r="DA16" s="363"/>
      <c r="DB16" s="363"/>
      <c r="DC16" s="363"/>
      <c r="DE16" s="67"/>
      <c r="DF16" s="70">
        <f t="shared" si="42"/>
        <v>46210</v>
      </c>
      <c r="DG16" s="71" t="str">
        <f t="shared" si="18"/>
        <v>火</v>
      </c>
      <c r="DH16" s="71" t="s">
        <v>22</v>
      </c>
      <c r="DI16" s="166">
        <v>0.375</v>
      </c>
      <c r="DJ16" s="166">
        <v>0.75</v>
      </c>
      <c r="DK16" s="167">
        <v>0.5</v>
      </c>
      <c r="DL16" s="167">
        <v>0.54166666666666663</v>
      </c>
      <c r="DM16" s="73" t="str">
        <f t="shared" si="19"/>
        <v>8h</v>
      </c>
      <c r="DN16" s="168">
        <v>0.375</v>
      </c>
      <c r="DO16" s="168">
        <v>0.75</v>
      </c>
      <c r="DP16" s="168">
        <v>0.5</v>
      </c>
      <c r="DQ16" s="168">
        <v>0.54166666666666663</v>
      </c>
      <c r="DR16" s="82" t="str">
        <f t="shared" si="20"/>
        <v>8h</v>
      </c>
      <c r="DS16" s="363"/>
      <c r="DT16" s="363"/>
      <c r="DU16" s="363"/>
      <c r="DW16" s="67"/>
      <c r="DX16" s="70">
        <f t="shared" si="43"/>
        <v>46241</v>
      </c>
      <c r="DY16" s="71" t="str">
        <f t="shared" si="21"/>
        <v>金</v>
      </c>
      <c r="DZ16" s="71" t="s">
        <v>22</v>
      </c>
      <c r="EA16" s="166">
        <v>0.375</v>
      </c>
      <c r="EB16" s="166">
        <v>0.75</v>
      </c>
      <c r="EC16" s="167">
        <v>0.5</v>
      </c>
      <c r="ED16" s="167">
        <v>0.54166666666666663</v>
      </c>
      <c r="EE16" s="73" t="str">
        <f t="shared" si="22"/>
        <v>8h</v>
      </c>
      <c r="EF16" s="168">
        <v>0.375</v>
      </c>
      <c r="EG16" s="168">
        <v>0.75</v>
      </c>
      <c r="EH16" s="168">
        <v>0.5</v>
      </c>
      <c r="EI16" s="168">
        <v>0.54166666666666663</v>
      </c>
      <c r="EJ16" s="82" t="str">
        <f t="shared" si="23"/>
        <v>8h</v>
      </c>
      <c r="EK16" s="363"/>
      <c r="EL16" s="363"/>
      <c r="EM16" s="363"/>
      <c r="EO16" s="67"/>
      <c r="EP16" s="70">
        <f t="shared" si="44"/>
        <v>46272</v>
      </c>
      <c r="EQ16" s="71" t="str">
        <f t="shared" si="24"/>
        <v>月</v>
      </c>
      <c r="ER16" s="71" t="s">
        <v>22</v>
      </c>
      <c r="ES16" s="166">
        <v>0.375</v>
      </c>
      <c r="ET16" s="166">
        <v>0.75</v>
      </c>
      <c r="EU16" s="167">
        <v>0.5</v>
      </c>
      <c r="EV16" s="167">
        <v>0.54166666666666663</v>
      </c>
      <c r="EW16" s="73" t="str">
        <f t="shared" si="25"/>
        <v>8h</v>
      </c>
      <c r="EX16" s="168">
        <v>0.375</v>
      </c>
      <c r="EY16" s="168">
        <v>0.75</v>
      </c>
      <c r="EZ16" s="168">
        <v>0.5</v>
      </c>
      <c r="FA16" s="168">
        <v>0.54166666666666663</v>
      </c>
      <c r="FB16" s="82" t="str">
        <f t="shared" si="26"/>
        <v>8h</v>
      </c>
      <c r="FC16" s="363"/>
      <c r="FD16" s="363"/>
      <c r="FE16" s="363"/>
      <c r="FG16" s="67"/>
      <c r="FH16" s="70">
        <f t="shared" si="45"/>
        <v>46302</v>
      </c>
      <c r="FI16" s="71" t="str">
        <f t="shared" si="27"/>
        <v>水</v>
      </c>
      <c r="FJ16" s="71" t="s">
        <v>22</v>
      </c>
      <c r="FK16" s="166">
        <v>0.375</v>
      </c>
      <c r="FL16" s="166">
        <v>0.75</v>
      </c>
      <c r="FM16" s="167">
        <v>0.5</v>
      </c>
      <c r="FN16" s="167">
        <v>0.54166666666666663</v>
      </c>
      <c r="FO16" s="73" t="str">
        <f t="shared" si="28"/>
        <v>8h</v>
      </c>
      <c r="FP16" s="168">
        <v>0.375</v>
      </c>
      <c r="FQ16" s="168">
        <v>0.75</v>
      </c>
      <c r="FR16" s="168">
        <v>0.5</v>
      </c>
      <c r="FS16" s="168">
        <v>0.54166666666666663</v>
      </c>
      <c r="FT16" s="82" t="str">
        <f t="shared" si="29"/>
        <v>8h</v>
      </c>
      <c r="FU16" s="363"/>
      <c r="FV16" s="363"/>
      <c r="FW16" s="363"/>
      <c r="FY16" s="67"/>
      <c r="FZ16" s="70">
        <f t="shared" si="46"/>
        <v>46333</v>
      </c>
      <c r="GA16" s="71" t="str">
        <f t="shared" si="30"/>
        <v>土</v>
      </c>
      <c r="GB16" s="71"/>
      <c r="GC16" s="72"/>
      <c r="GD16" s="72"/>
      <c r="GE16" s="44"/>
      <c r="GF16" s="44"/>
      <c r="GG16" s="73" t="str">
        <f t="shared" si="31"/>
        <v/>
      </c>
      <c r="GH16" s="81"/>
      <c r="GI16" s="81"/>
      <c r="GJ16" s="81"/>
      <c r="GK16" s="81"/>
      <c r="GL16" s="82" t="str">
        <f t="shared" si="32"/>
        <v/>
      </c>
      <c r="GM16" s="363"/>
      <c r="GN16" s="363"/>
      <c r="GO16" s="363"/>
      <c r="GQ16" s="67"/>
      <c r="GR16" s="70">
        <f t="shared" si="47"/>
        <v>46363</v>
      </c>
      <c r="GS16" s="71" t="str">
        <f t="shared" si="33"/>
        <v>月</v>
      </c>
      <c r="GT16" s="71" t="s">
        <v>22</v>
      </c>
      <c r="GU16" s="166">
        <v>0.375</v>
      </c>
      <c r="GV16" s="166">
        <v>0.75</v>
      </c>
      <c r="GW16" s="167">
        <v>0.5</v>
      </c>
      <c r="GX16" s="167">
        <v>0.54166666666666663</v>
      </c>
      <c r="GY16" s="73" t="str">
        <f t="shared" si="34"/>
        <v>8h</v>
      </c>
      <c r="GZ16" s="168">
        <v>0.375</v>
      </c>
      <c r="HA16" s="168">
        <v>0.75</v>
      </c>
      <c r="HB16" s="168">
        <v>0.5</v>
      </c>
      <c r="HC16" s="168">
        <v>0.54166666666666663</v>
      </c>
      <c r="HD16" s="82" t="str">
        <f t="shared" si="35"/>
        <v>8h</v>
      </c>
      <c r="HE16" s="363"/>
      <c r="HF16" s="363"/>
      <c r="HG16" s="363"/>
    </row>
    <row r="17" spans="1:215" x14ac:dyDescent="0.45">
      <c r="A17" s="67"/>
      <c r="B17" s="70">
        <f t="shared" si="36"/>
        <v>46030</v>
      </c>
      <c r="C17" s="71" t="str">
        <f t="shared" si="0"/>
        <v>木</v>
      </c>
      <c r="D17" s="71" t="s">
        <v>22</v>
      </c>
      <c r="E17" s="166">
        <v>0.375</v>
      </c>
      <c r="F17" s="166">
        <v>0.75</v>
      </c>
      <c r="G17" s="167">
        <v>0.5</v>
      </c>
      <c r="H17" s="167">
        <v>0.54166666666666663</v>
      </c>
      <c r="I17" s="73" t="str">
        <f t="shared" si="1"/>
        <v>8h</v>
      </c>
      <c r="J17" s="168">
        <v>0.375</v>
      </c>
      <c r="K17" s="168">
        <v>0.75</v>
      </c>
      <c r="L17" s="168">
        <v>0.5</v>
      </c>
      <c r="M17" s="168">
        <v>0.54166666666666663</v>
      </c>
      <c r="N17" s="82" t="str">
        <f t="shared" si="2"/>
        <v>8h</v>
      </c>
      <c r="O17" s="363"/>
      <c r="P17" s="363"/>
      <c r="Q17" s="363"/>
      <c r="S17" s="67"/>
      <c r="T17" s="70">
        <f t="shared" si="37"/>
        <v>46061</v>
      </c>
      <c r="U17" s="71" t="str">
        <f t="shared" si="3"/>
        <v>日</v>
      </c>
      <c r="V17" s="71"/>
      <c r="W17" s="72"/>
      <c r="X17" s="72"/>
      <c r="Y17" s="44"/>
      <c r="Z17" s="44"/>
      <c r="AA17" s="73" t="str">
        <f t="shared" si="4"/>
        <v/>
      </c>
      <c r="AB17" s="81"/>
      <c r="AC17" s="81"/>
      <c r="AD17" s="81"/>
      <c r="AE17" s="81"/>
      <c r="AF17" s="82" t="str">
        <f t="shared" si="5"/>
        <v/>
      </c>
      <c r="AG17" s="363"/>
      <c r="AH17" s="363"/>
      <c r="AI17" s="363"/>
      <c r="AK17" s="67"/>
      <c r="AL17" s="70">
        <f t="shared" si="38"/>
        <v>46089</v>
      </c>
      <c r="AM17" s="71" t="str">
        <f t="shared" si="6"/>
        <v>日</v>
      </c>
      <c r="AN17" s="71"/>
      <c r="AO17" s="72"/>
      <c r="AP17" s="72"/>
      <c r="AQ17" s="44"/>
      <c r="AR17" s="44"/>
      <c r="AS17" s="73" t="str">
        <f t="shared" si="7"/>
        <v/>
      </c>
      <c r="AT17" s="81"/>
      <c r="AU17" s="81"/>
      <c r="AV17" s="81"/>
      <c r="AW17" s="81"/>
      <c r="AX17" s="82" t="str">
        <f t="shared" si="8"/>
        <v/>
      </c>
      <c r="AY17" s="363"/>
      <c r="AZ17" s="363"/>
      <c r="BA17" s="363"/>
      <c r="BC17" s="67"/>
      <c r="BD17" s="70">
        <f t="shared" si="39"/>
        <v>46120</v>
      </c>
      <c r="BE17" s="71" t="str">
        <f t="shared" si="9"/>
        <v>水</v>
      </c>
      <c r="BF17" s="71" t="s">
        <v>22</v>
      </c>
      <c r="BG17" s="166">
        <v>0.375</v>
      </c>
      <c r="BH17" s="166">
        <v>0.75</v>
      </c>
      <c r="BI17" s="167">
        <v>0.5</v>
      </c>
      <c r="BJ17" s="167">
        <v>0.54166666666666663</v>
      </c>
      <c r="BK17" s="73" t="str">
        <f t="shared" si="10"/>
        <v>8h</v>
      </c>
      <c r="BL17" s="168">
        <v>0.375</v>
      </c>
      <c r="BM17" s="168">
        <v>0.75</v>
      </c>
      <c r="BN17" s="168">
        <v>0.5</v>
      </c>
      <c r="BO17" s="168">
        <v>0.54166666666666663</v>
      </c>
      <c r="BP17" s="82" t="str">
        <f t="shared" si="11"/>
        <v>8h</v>
      </c>
      <c r="BQ17" s="363"/>
      <c r="BR17" s="363"/>
      <c r="BS17" s="363"/>
      <c r="BU17" s="67"/>
      <c r="BV17" s="70">
        <f t="shared" si="40"/>
        <v>46150</v>
      </c>
      <c r="BW17" s="71" t="str">
        <f t="shared" si="12"/>
        <v>金</v>
      </c>
      <c r="BX17" s="71" t="s">
        <v>22</v>
      </c>
      <c r="BY17" s="166">
        <v>0.375</v>
      </c>
      <c r="BZ17" s="166">
        <v>0.75</v>
      </c>
      <c r="CA17" s="167">
        <v>0.5</v>
      </c>
      <c r="CB17" s="167">
        <v>0.54166666666666663</v>
      </c>
      <c r="CC17" s="73" t="str">
        <f t="shared" si="13"/>
        <v>8h</v>
      </c>
      <c r="CD17" s="168">
        <v>0.375</v>
      </c>
      <c r="CE17" s="168">
        <v>0.75</v>
      </c>
      <c r="CF17" s="168">
        <v>0.5</v>
      </c>
      <c r="CG17" s="168">
        <v>0.54166666666666663</v>
      </c>
      <c r="CH17" s="82" t="str">
        <f t="shared" si="14"/>
        <v>8h</v>
      </c>
      <c r="CI17" s="363"/>
      <c r="CJ17" s="363"/>
      <c r="CK17" s="363"/>
      <c r="CM17" s="67"/>
      <c r="CN17" s="70">
        <f t="shared" si="41"/>
        <v>46181</v>
      </c>
      <c r="CO17" s="71" t="str">
        <f t="shared" si="15"/>
        <v>月</v>
      </c>
      <c r="CP17" s="71" t="s">
        <v>22</v>
      </c>
      <c r="CQ17" s="166">
        <v>0.375</v>
      </c>
      <c r="CR17" s="166">
        <v>0.75</v>
      </c>
      <c r="CS17" s="167">
        <v>0.5</v>
      </c>
      <c r="CT17" s="167">
        <v>0.54166666666666663</v>
      </c>
      <c r="CU17" s="73" t="str">
        <f t="shared" si="16"/>
        <v>8h</v>
      </c>
      <c r="CV17" s="168">
        <v>0.375</v>
      </c>
      <c r="CW17" s="168">
        <v>0.75</v>
      </c>
      <c r="CX17" s="168">
        <v>0.5</v>
      </c>
      <c r="CY17" s="168">
        <v>0.54166666666666663</v>
      </c>
      <c r="CZ17" s="82" t="str">
        <f t="shared" si="17"/>
        <v>8h</v>
      </c>
      <c r="DA17" s="363"/>
      <c r="DB17" s="363"/>
      <c r="DC17" s="363"/>
      <c r="DE17" s="67"/>
      <c r="DF17" s="70">
        <f t="shared" si="42"/>
        <v>46211</v>
      </c>
      <c r="DG17" s="71" t="str">
        <f t="shared" si="18"/>
        <v>水</v>
      </c>
      <c r="DH17" s="71" t="s">
        <v>22</v>
      </c>
      <c r="DI17" s="166">
        <v>0.375</v>
      </c>
      <c r="DJ17" s="166">
        <v>0.75</v>
      </c>
      <c r="DK17" s="167">
        <v>0.5</v>
      </c>
      <c r="DL17" s="167">
        <v>0.54166666666666663</v>
      </c>
      <c r="DM17" s="73" t="str">
        <f t="shared" si="19"/>
        <v>8h</v>
      </c>
      <c r="DN17" s="168">
        <v>0.375</v>
      </c>
      <c r="DO17" s="168">
        <v>0.75</v>
      </c>
      <c r="DP17" s="168">
        <v>0.5</v>
      </c>
      <c r="DQ17" s="168">
        <v>0.54166666666666663</v>
      </c>
      <c r="DR17" s="82" t="str">
        <f t="shared" si="20"/>
        <v>8h</v>
      </c>
      <c r="DS17" s="363"/>
      <c r="DT17" s="363"/>
      <c r="DU17" s="363"/>
      <c r="DW17" s="67"/>
      <c r="DX17" s="70">
        <f t="shared" si="43"/>
        <v>46242</v>
      </c>
      <c r="DY17" s="71" t="str">
        <f t="shared" si="21"/>
        <v>土</v>
      </c>
      <c r="DZ17" s="71"/>
      <c r="EA17" s="72"/>
      <c r="EB17" s="72"/>
      <c r="EC17" s="44"/>
      <c r="ED17" s="44"/>
      <c r="EE17" s="73" t="str">
        <f t="shared" si="22"/>
        <v/>
      </c>
      <c r="EF17" s="81"/>
      <c r="EG17" s="81"/>
      <c r="EH17" s="81"/>
      <c r="EI17" s="81"/>
      <c r="EJ17" s="82" t="str">
        <f t="shared" si="23"/>
        <v/>
      </c>
      <c r="EK17" s="363"/>
      <c r="EL17" s="363"/>
      <c r="EM17" s="363"/>
      <c r="EO17" s="67"/>
      <c r="EP17" s="70">
        <f t="shared" si="44"/>
        <v>46273</v>
      </c>
      <c r="EQ17" s="71" t="str">
        <f t="shared" si="24"/>
        <v>火</v>
      </c>
      <c r="ER17" s="71" t="s">
        <v>22</v>
      </c>
      <c r="ES17" s="166">
        <v>0.375</v>
      </c>
      <c r="ET17" s="166">
        <v>0.75</v>
      </c>
      <c r="EU17" s="167">
        <v>0.5</v>
      </c>
      <c r="EV17" s="167">
        <v>0.54166666666666663</v>
      </c>
      <c r="EW17" s="73" t="str">
        <f t="shared" si="25"/>
        <v>8h</v>
      </c>
      <c r="EX17" s="168">
        <v>0.375</v>
      </c>
      <c r="EY17" s="168">
        <v>0.75</v>
      </c>
      <c r="EZ17" s="168">
        <v>0.5</v>
      </c>
      <c r="FA17" s="168">
        <v>0.54166666666666663</v>
      </c>
      <c r="FB17" s="82" t="str">
        <f t="shared" si="26"/>
        <v>8h</v>
      </c>
      <c r="FC17" s="363"/>
      <c r="FD17" s="363"/>
      <c r="FE17" s="363"/>
      <c r="FG17" s="67"/>
      <c r="FH17" s="70">
        <f t="shared" si="45"/>
        <v>46303</v>
      </c>
      <c r="FI17" s="71" t="str">
        <f t="shared" si="27"/>
        <v>木</v>
      </c>
      <c r="FJ17" s="71" t="s">
        <v>22</v>
      </c>
      <c r="FK17" s="166">
        <v>0.375</v>
      </c>
      <c r="FL17" s="166">
        <v>0.75</v>
      </c>
      <c r="FM17" s="167">
        <v>0.5</v>
      </c>
      <c r="FN17" s="167">
        <v>0.54166666666666663</v>
      </c>
      <c r="FO17" s="73" t="str">
        <f t="shared" si="28"/>
        <v>8h</v>
      </c>
      <c r="FP17" s="168">
        <v>0.375</v>
      </c>
      <c r="FQ17" s="168">
        <v>0.75</v>
      </c>
      <c r="FR17" s="168">
        <v>0.5</v>
      </c>
      <c r="FS17" s="168">
        <v>0.54166666666666663</v>
      </c>
      <c r="FT17" s="82" t="str">
        <f t="shared" si="29"/>
        <v>8h</v>
      </c>
      <c r="FU17" s="363"/>
      <c r="FV17" s="363"/>
      <c r="FW17" s="363"/>
      <c r="FY17" s="67"/>
      <c r="FZ17" s="70">
        <f t="shared" si="46"/>
        <v>46334</v>
      </c>
      <c r="GA17" s="71" t="str">
        <f t="shared" si="30"/>
        <v>日</v>
      </c>
      <c r="GB17" s="71"/>
      <c r="GC17" s="72"/>
      <c r="GD17" s="72"/>
      <c r="GE17" s="44"/>
      <c r="GF17" s="44"/>
      <c r="GG17" s="73" t="str">
        <f t="shared" si="31"/>
        <v/>
      </c>
      <c r="GH17" s="81"/>
      <c r="GI17" s="81"/>
      <c r="GJ17" s="81"/>
      <c r="GK17" s="81"/>
      <c r="GL17" s="82" t="str">
        <f t="shared" si="32"/>
        <v/>
      </c>
      <c r="GM17" s="363"/>
      <c r="GN17" s="363"/>
      <c r="GO17" s="363"/>
      <c r="GQ17" s="67"/>
      <c r="GR17" s="70">
        <f t="shared" si="47"/>
        <v>46364</v>
      </c>
      <c r="GS17" s="71" t="str">
        <f t="shared" si="33"/>
        <v>火</v>
      </c>
      <c r="GT17" s="71" t="s">
        <v>22</v>
      </c>
      <c r="GU17" s="166">
        <v>0.375</v>
      </c>
      <c r="GV17" s="166">
        <v>0.75</v>
      </c>
      <c r="GW17" s="167">
        <v>0.5</v>
      </c>
      <c r="GX17" s="167">
        <v>0.54166666666666663</v>
      </c>
      <c r="GY17" s="73" t="str">
        <f t="shared" si="34"/>
        <v>8h</v>
      </c>
      <c r="GZ17" s="168">
        <v>0.375</v>
      </c>
      <c r="HA17" s="168">
        <v>0.75</v>
      </c>
      <c r="HB17" s="168">
        <v>0.5</v>
      </c>
      <c r="HC17" s="168">
        <v>0.54166666666666663</v>
      </c>
      <c r="HD17" s="82" t="str">
        <f t="shared" si="35"/>
        <v>8h</v>
      </c>
      <c r="HE17" s="363"/>
      <c r="HF17" s="363"/>
      <c r="HG17" s="363"/>
    </row>
    <row r="18" spans="1:215" x14ac:dyDescent="0.45">
      <c r="A18" s="67"/>
      <c r="B18" s="70">
        <f t="shared" si="36"/>
        <v>46031</v>
      </c>
      <c r="C18" s="71" t="str">
        <f t="shared" si="0"/>
        <v>金</v>
      </c>
      <c r="D18" s="71" t="s">
        <v>22</v>
      </c>
      <c r="E18" s="166">
        <v>0.375</v>
      </c>
      <c r="F18" s="166">
        <v>0.75</v>
      </c>
      <c r="G18" s="167">
        <v>0.5</v>
      </c>
      <c r="H18" s="167">
        <v>0.54166666666666663</v>
      </c>
      <c r="I18" s="73" t="str">
        <f t="shared" si="1"/>
        <v>8h</v>
      </c>
      <c r="J18" s="168">
        <v>0.375</v>
      </c>
      <c r="K18" s="168">
        <v>0.75</v>
      </c>
      <c r="L18" s="168">
        <v>0.5</v>
      </c>
      <c r="M18" s="168">
        <v>0.54166666666666663</v>
      </c>
      <c r="N18" s="82" t="str">
        <f t="shared" si="2"/>
        <v>8h</v>
      </c>
      <c r="O18" s="363"/>
      <c r="P18" s="363"/>
      <c r="Q18" s="363"/>
      <c r="S18" s="67"/>
      <c r="T18" s="70">
        <f t="shared" si="37"/>
        <v>46062</v>
      </c>
      <c r="U18" s="71" t="str">
        <f t="shared" si="3"/>
        <v>月</v>
      </c>
      <c r="V18" s="71" t="s">
        <v>22</v>
      </c>
      <c r="W18" s="166">
        <v>0.375</v>
      </c>
      <c r="X18" s="166">
        <v>0.75</v>
      </c>
      <c r="Y18" s="167">
        <v>0.5</v>
      </c>
      <c r="Z18" s="167">
        <v>0.54166666666666663</v>
      </c>
      <c r="AA18" s="73" t="str">
        <f t="shared" si="4"/>
        <v>8h</v>
      </c>
      <c r="AB18" s="168">
        <v>0.375</v>
      </c>
      <c r="AC18" s="168">
        <v>0.75</v>
      </c>
      <c r="AD18" s="168">
        <v>0.5</v>
      </c>
      <c r="AE18" s="168">
        <v>0.54166666666666663</v>
      </c>
      <c r="AF18" s="82" t="str">
        <f t="shared" si="5"/>
        <v>8h</v>
      </c>
      <c r="AG18" s="363"/>
      <c r="AH18" s="363"/>
      <c r="AI18" s="363"/>
      <c r="AK18" s="67"/>
      <c r="AL18" s="70">
        <f t="shared" si="38"/>
        <v>46090</v>
      </c>
      <c r="AM18" s="71" t="str">
        <f t="shared" si="6"/>
        <v>月</v>
      </c>
      <c r="AN18" s="71" t="s">
        <v>22</v>
      </c>
      <c r="AO18" s="166">
        <v>0.375</v>
      </c>
      <c r="AP18" s="166">
        <v>0.75</v>
      </c>
      <c r="AQ18" s="167">
        <v>0.5</v>
      </c>
      <c r="AR18" s="167">
        <v>0.54166666666666663</v>
      </c>
      <c r="AS18" s="73" t="str">
        <f t="shared" si="7"/>
        <v>8h</v>
      </c>
      <c r="AT18" s="168">
        <v>0.375</v>
      </c>
      <c r="AU18" s="168">
        <v>0.75</v>
      </c>
      <c r="AV18" s="168">
        <v>0.5</v>
      </c>
      <c r="AW18" s="168">
        <v>0.54166666666666663</v>
      </c>
      <c r="AX18" s="82" t="str">
        <f t="shared" si="8"/>
        <v>8h</v>
      </c>
      <c r="AY18" s="363"/>
      <c r="AZ18" s="363"/>
      <c r="BA18" s="363"/>
      <c r="BC18" s="67"/>
      <c r="BD18" s="70">
        <f t="shared" si="39"/>
        <v>46121</v>
      </c>
      <c r="BE18" s="71" t="str">
        <f t="shared" si="9"/>
        <v>木</v>
      </c>
      <c r="BF18" s="71" t="s">
        <v>22</v>
      </c>
      <c r="BG18" s="166">
        <v>0.375</v>
      </c>
      <c r="BH18" s="166">
        <v>0.75</v>
      </c>
      <c r="BI18" s="167">
        <v>0.5</v>
      </c>
      <c r="BJ18" s="167">
        <v>0.54166666666666663</v>
      </c>
      <c r="BK18" s="73" t="str">
        <f t="shared" si="10"/>
        <v>8h</v>
      </c>
      <c r="BL18" s="168">
        <v>0.375</v>
      </c>
      <c r="BM18" s="168">
        <v>0.75</v>
      </c>
      <c r="BN18" s="168">
        <v>0.5</v>
      </c>
      <c r="BO18" s="168">
        <v>0.54166666666666663</v>
      </c>
      <c r="BP18" s="82" t="str">
        <f t="shared" si="11"/>
        <v>8h</v>
      </c>
      <c r="BQ18" s="363"/>
      <c r="BR18" s="363"/>
      <c r="BS18" s="363"/>
      <c r="BU18" s="67"/>
      <c r="BV18" s="70">
        <f t="shared" si="40"/>
        <v>46151</v>
      </c>
      <c r="BW18" s="71" t="str">
        <f t="shared" si="12"/>
        <v>土</v>
      </c>
      <c r="BX18" s="71"/>
      <c r="BY18" s="72"/>
      <c r="BZ18" s="72"/>
      <c r="CA18" s="44"/>
      <c r="CB18" s="44"/>
      <c r="CC18" s="73" t="str">
        <f t="shared" si="13"/>
        <v/>
      </c>
      <c r="CD18" s="81"/>
      <c r="CE18" s="81"/>
      <c r="CF18" s="81"/>
      <c r="CG18" s="81"/>
      <c r="CH18" s="82" t="str">
        <f t="shared" si="14"/>
        <v/>
      </c>
      <c r="CI18" s="363"/>
      <c r="CJ18" s="363"/>
      <c r="CK18" s="363"/>
      <c r="CM18" s="67"/>
      <c r="CN18" s="70">
        <f t="shared" si="41"/>
        <v>46182</v>
      </c>
      <c r="CO18" s="71" t="str">
        <f t="shared" si="15"/>
        <v>火</v>
      </c>
      <c r="CP18" s="71" t="s">
        <v>22</v>
      </c>
      <c r="CQ18" s="166">
        <v>0.375</v>
      </c>
      <c r="CR18" s="166">
        <v>0.75</v>
      </c>
      <c r="CS18" s="167">
        <v>0.5</v>
      </c>
      <c r="CT18" s="167">
        <v>0.54166666666666663</v>
      </c>
      <c r="CU18" s="73" t="str">
        <f t="shared" si="16"/>
        <v>8h</v>
      </c>
      <c r="CV18" s="168">
        <v>0.375</v>
      </c>
      <c r="CW18" s="168">
        <v>0.75</v>
      </c>
      <c r="CX18" s="168">
        <v>0.5</v>
      </c>
      <c r="CY18" s="168">
        <v>0.54166666666666663</v>
      </c>
      <c r="CZ18" s="82" t="str">
        <f t="shared" si="17"/>
        <v>8h</v>
      </c>
      <c r="DA18" s="363"/>
      <c r="DB18" s="363"/>
      <c r="DC18" s="363"/>
      <c r="DE18" s="67"/>
      <c r="DF18" s="70">
        <f t="shared" si="42"/>
        <v>46212</v>
      </c>
      <c r="DG18" s="71" t="str">
        <f t="shared" si="18"/>
        <v>木</v>
      </c>
      <c r="DH18" s="71" t="s">
        <v>22</v>
      </c>
      <c r="DI18" s="166">
        <v>0.375</v>
      </c>
      <c r="DJ18" s="166">
        <v>0.75</v>
      </c>
      <c r="DK18" s="167">
        <v>0.5</v>
      </c>
      <c r="DL18" s="167">
        <v>0.54166666666666663</v>
      </c>
      <c r="DM18" s="73" t="str">
        <f t="shared" si="19"/>
        <v>8h</v>
      </c>
      <c r="DN18" s="168">
        <v>0.375</v>
      </c>
      <c r="DO18" s="168">
        <v>0.75</v>
      </c>
      <c r="DP18" s="168">
        <v>0.5</v>
      </c>
      <c r="DQ18" s="168">
        <v>0.54166666666666663</v>
      </c>
      <c r="DR18" s="82" t="str">
        <f t="shared" si="20"/>
        <v>8h</v>
      </c>
      <c r="DS18" s="363"/>
      <c r="DT18" s="363"/>
      <c r="DU18" s="363"/>
      <c r="DW18" s="67"/>
      <c r="DX18" s="70">
        <f t="shared" si="43"/>
        <v>46243</v>
      </c>
      <c r="DY18" s="71" t="str">
        <f t="shared" si="21"/>
        <v>日</v>
      </c>
      <c r="DZ18" s="71"/>
      <c r="EA18" s="72"/>
      <c r="EB18" s="72"/>
      <c r="EC18" s="44"/>
      <c r="ED18" s="44"/>
      <c r="EE18" s="73" t="str">
        <f t="shared" si="22"/>
        <v/>
      </c>
      <c r="EF18" s="81"/>
      <c r="EG18" s="81"/>
      <c r="EH18" s="81"/>
      <c r="EI18" s="81"/>
      <c r="EJ18" s="82" t="str">
        <f t="shared" si="23"/>
        <v/>
      </c>
      <c r="EK18" s="363"/>
      <c r="EL18" s="363"/>
      <c r="EM18" s="363"/>
      <c r="EO18" s="67"/>
      <c r="EP18" s="70">
        <f t="shared" si="44"/>
        <v>46274</v>
      </c>
      <c r="EQ18" s="71" t="str">
        <f t="shared" si="24"/>
        <v>水</v>
      </c>
      <c r="ER18" s="71" t="s">
        <v>22</v>
      </c>
      <c r="ES18" s="166">
        <v>0.375</v>
      </c>
      <c r="ET18" s="166">
        <v>0.75</v>
      </c>
      <c r="EU18" s="167">
        <v>0.5</v>
      </c>
      <c r="EV18" s="167">
        <v>0.54166666666666663</v>
      </c>
      <c r="EW18" s="73" t="str">
        <f t="shared" si="25"/>
        <v>8h</v>
      </c>
      <c r="EX18" s="168">
        <v>0.375</v>
      </c>
      <c r="EY18" s="168">
        <v>0.75</v>
      </c>
      <c r="EZ18" s="168">
        <v>0.5</v>
      </c>
      <c r="FA18" s="168">
        <v>0.54166666666666663</v>
      </c>
      <c r="FB18" s="82" t="str">
        <f t="shared" si="26"/>
        <v>8h</v>
      </c>
      <c r="FC18" s="363"/>
      <c r="FD18" s="363"/>
      <c r="FE18" s="363"/>
      <c r="FG18" s="67"/>
      <c r="FH18" s="70">
        <f t="shared" si="45"/>
        <v>46304</v>
      </c>
      <c r="FI18" s="71" t="str">
        <f t="shared" si="27"/>
        <v>金</v>
      </c>
      <c r="FJ18" s="71" t="s">
        <v>22</v>
      </c>
      <c r="FK18" s="166">
        <v>0.375</v>
      </c>
      <c r="FL18" s="166">
        <v>0.75</v>
      </c>
      <c r="FM18" s="167">
        <v>0.5</v>
      </c>
      <c r="FN18" s="167">
        <v>0.54166666666666663</v>
      </c>
      <c r="FO18" s="73" t="str">
        <f t="shared" si="28"/>
        <v>8h</v>
      </c>
      <c r="FP18" s="168">
        <v>0.375</v>
      </c>
      <c r="FQ18" s="168">
        <v>0.75</v>
      </c>
      <c r="FR18" s="168">
        <v>0.5</v>
      </c>
      <c r="FS18" s="168">
        <v>0.54166666666666663</v>
      </c>
      <c r="FT18" s="82" t="str">
        <f t="shared" si="29"/>
        <v>8h</v>
      </c>
      <c r="FU18" s="363"/>
      <c r="FV18" s="363"/>
      <c r="FW18" s="363"/>
      <c r="FY18" s="67"/>
      <c r="FZ18" s="70">
        <f t="shared" si="46"/>
        <v>46335</v>
      </c>
      <c r="GA18" s="71" t="str">
        <f t="shared" si="30"/>
        <v>月</v>
      </c>
      <c r="GB18" s="71" t="s">
        <v>22</v>
      </c>
      <c r="GC18" s="166">
        <v>0.375</v>
      </c>
      <c r="GD18" s="166">
        <v>0.75</v>
      </c>
      <c r="GE18" s="167">
        <v>0.5</v>
      </c>
      <c r="GF18" s="167">
        <v>0.54166666666666663</v>
      </c>
      <c r="GG18" s="73" t="str">
        <f t="shared" si="31"/>
        <v>8h</v>
      </c>
      <c r="GH18" s="168">
        <v>0.375</v>
      </c>
      <c r="GI18" s="168">
        <v>0.75</v>
      </c>
      <c r="GJ18" s="168">
        <v>0.5</v>
      </c>
      <c r="GK18" s="168">
        <v>0.54166666666666663</v>
      </c>
      <c r="GL18" s="82" t="str">
        <f t="shared" si="32"/>
        <v>8h</v>
      </c>
      <c r="GM18" s="363"/>
      <c r="GN18" s="363"/>
      <c r="GO18" s="363"/>
      <c r="GQ18" s="67"/>
      <c r="GR18" s="70">
        <f t="shared" si="47"/>
        <v>46365</v>
      </c>
      <c r="GS18" s="71" t="str">
        <f t="shared" si="33"/>
        <v>水</v>
      </c>
      <c r="GT18" s="71" t="s">
        <v>22</v>
      </c>
      <c r="GU18" s="166">
        <v>0.375</v>
      </c>
      <c r="GV18" s="166">
        <v>0.75</v>
      </c>
      <c r="GW18" s="167">
        <v>0.5</v>
      </c>
      <c r="GX18" s="167">
        <v>0.54166666666666663</v>
      </c>
      <c r="GY18" s="73" t="str">
        <f t="shared" si="34"/>
        <v>8h</v>
      </c>
      <c r="GZ18" s="168">
        <v>0.375</v>
      </c>
      <c r="HA18" s="168">
        <v>0.75</v>
      </c>
      <c r="HB18" s="168">
        <v>0.5</v>
      </c>
      <c r="HC18" s="168">
        <v>0.54166666666666663</v>
      </c>
      <c r="HD18" s="82" t="str">
        <f t="shared" si="35"/>
        <v>8h</v>
      </c>
      <c r="HE18" s="363"/>
      <c r="HF18" s="363"/>
      <c r="HG18" s="363"/>
    </row>
    <row r="19" spans="1:215" x14ac:dyDescent="0.45">
      <c r="A19" s="67"/>
      <c r="B19" s="70">
        <f t="shared" si="36"/>
        <v>46032</v>
      </c>
      <c r="C19" s="71" t="str">
        <f t="shared" si="0"/>
        <v>土</v>
      </c>
      <c r="D19" s="71"/>
      <c r="E19" s="72"/>
      <c r="F19" s="72"/>
      <c r="G19" s="44"/>
      <c r="H19" s="44"/>
      <c r="I19" s="73" t="str">
        <f t="shared" si="1"/>
        <v/>
      </c>
      <c r="J19" s="81"/>
      <c r="K19" s="81"/>
      <c r="L19" s="81"/>
      <c r="M19" s="81"/>
      <c r="N19" s="82" t="str">
        <f t="shared" si="2"/>
        <v/>
      </c>
      <c r="O19" s="363"/>
      <c r="P19" s="363"/>
      <c r="Q19" s="363"/>
      <c r="S19" s="67"/>
      <c r="T19" s="70">
        <f t="shared" si="37"/>
        <v>46063</v>
      </c>
      <c r="U19" s="71" t="str">
        <f t="shared" si="3"/>
        <v>火</v>
      </c>
      <c r="V19" s="71" t="s">
        <v>22</v>
      </c>
      <c r="W19" s="166">
        <v>0.375</v>
      </c>
      <c r="X19" s="166">
        <v>0.75</v>
      </c>
      <c r="Y19" s="167">
        <v>0.5</v>
      </c>
      <c r="Z19" s="167">
        <v>0.54166666666666663</v>
      </c>
      <c r="AA19" s="73" t="str">
        <f t="shared" si="4"/>
        <v>8h</v>
      </c>
      <c r="AB19" s="168">
        <v>0.375</v>
      </c>
      <c r="AC19" s="168">
        <v>0.75</v>
      </c>
      <c r="AD19" s="168">
        <v>0.5</v>
      </c>
      <c r="AE19" s="168">
        <v>0.54166666666666663</v>
      </c>
      <c r="AF19" s="82" t="str">
        <f t="shared" si="5"/>
        <v>8h</v>
      </c>
      <c r="AG19" s="363"/>
      <c r="AH19" s="363"/>
      <c r="AI19" s="363"/>
      <c r="AK19" s="67"/>
      <c r="AL19" s="70">
        <f t="shared" si="38"/>
        <v>46091</v>
      </c>
      <c r="AM19" s="71" t="str">
        <f t="shared" si="6"/>
        <v>火</v>
      </c>
      <c r="AN19" s="71" t="s">
        <v>22</v>
      </c>
      <c r="AO19" s="166">
        <v>0.375</v>
      </c>
      <c r="AP19" s="166">
        <v>0.75</v>
      </c>
      <c r="AQ19" s="167">
        <v>0.5</v>
      </c>
      <c r="AR19" s="167">
        <v>0.54166666666666663</v>
      </c>
      <c r="AS19" s="73" t="str">
        <f t="shared" si="7"/>
        <v>8h</v>
      </c>
      <c r="AT19" s="168">
        <v>0.375</v>
      </c>
      <c r="AU19" s="168">
        <v>0.75</v>
      </c>
      <c r="AV19" s="168">
        <v>0.5</v>
      </c>
      <c r="AW19" s="168">
        <v>0.54166666666666663</v>
      </c>
      <c r="AX19" s="82" t="str">
        <f t="shared" si="8"/>
        <v>8h</v>
      </c>
      <c r="AY19" s="363"/>
      <c r="AZ19" s="363"/>
      <c r="BA19" s="363"/>
      <c r="BC19" s="67"/>
      <c r="BD19" s="70">
        <f t="shared" si="39"/>
        <v>46122</v>
      </c>
      <c r="BE19" s="71" t="str">
        <f t="shared" si="9"/>
        <v>金</v>
      </c>
      <c r="BF19" s="71" t="s">
        <v>22</v>
      </c>
      <c r="BG19" s="166">
        <v>0.375</v>
      </c>
      <c r="BH19" s="166">
        <v>0.75</v>
      </c>
      <c r="BI19" s="167">
        <v>0.5</v>
      </c>
      <c r="BJ19" s="167">
        <v>0.54166666666666663</v>
      </c>
      <c r="BK19" s="73" t="str">
        <f t="shared" si="10"/>
        <v>8h</v>
      </c>
      <c r="BL19" s="168">
        <v>0.375</v>
      </c>
      <c r="BM19" s="168">
        <v>0.75</v>
      </c>
      <c r="BN19" s="168">
        <v>0.5</v>
      </c>
      <c r="BO19" s="168">
        <v>0.54166666666666663</v>
      </c>
      <c r="BP19" s="82" t="str">
        <f t="shared" si="11"/>
        <v>8h</v>
      </c>
      <c r="BQ19" s="363"/>
      <c r="BR19" s="363"/>
      <c r="BS19" s="363"/>
      <c r="BU19" s="67"/>
      <c r="BV19" s="70">
        <f t="shared" si="40"/>
        <v>46152</v>
      </c>
      <c r="BW19" s="71" t="str">
        <f t="shared" si="12"/>
        <v>日</v>
      </c>
      <c r="BX19" s="71"/>
      <c r="BY19" s="72"/>
      <c r="BZ19" s="72"/>
      <c r="CA19" s="44"/>
      <c r="CB19" s="44"/>
      <c r="CC19" s="73" t="str">
        <f t="shared" si="13"/>
        <v/>
      </c>
      <c r="CD19" s="81"/>
      <c r="CE19" s="81"/>
      <c r="CF19" s="81"/>
      <c r="CG19" s="81"/>
      <c r="CH19" s="82" t="str">
        <f t="shared" si="14"/>
        <v/>
      </c>
      <c r="CI19" s="363"/>
      <c r="CJ19" s="363"/>
      <c r="CK19" s="363"/>
      <c r="CM19" s="67"/>
      <c r="CN19" s="70">
        <f t="shared" si="41"/>
        <v>46183</v>
      </c>
      <c r="CO19" s="71" t="str">
        <f t="shared" si="15"/>
        <v>水</v>
      </c>
      <c r="CP19" s="71" t="s">
        <v>22</v>
      </c>
      <c r="CQ19" s="166">
        <v>0.375</v>
      </c>
      <c r="CR19" s="166">
        <v>0.75</v>
      </c>
      <c r="CS19" s="167">
        <v>0.5</v>
      </c>
      <c r="CT19" s="167">
        <v>0.54166666666666663</v>
      </c>
      <c r="CU19" s="73" t="str">
        <f t="shared" si="16"/>
        <v>8h</v>
      </c>
      <c r="CV19" s="168">
        <v>0.375</v>
      </c>
      <c r="CW19" s="168">
        <v>0.75</v>
      </c>
      <c r="CX19" s="168">
        <v>0.5</v>
      </c>
      <c r="CY19" s="168">
        <v>0.54166666666666663</v>
      </c>
      <c r="CZ19" s="82" t="str">
        <f t="shared" si="17"/>
        <v>8h</v>
      </c>
      <c r="DA19" s="363"/>
      <c r="DB19" s="363"/>
      <c r="DC19" s="363"/>
      <c r="DE19" s="67"/>
      <c r="DF19" s="70">
        <f t="shared" si="42"/>
        <v>46213</v>
      </c>
      <c r="DG19" s="71" t="str">
        <f t="shared" si="18"/>
        <v>金</v>
      </c>
      <c r="DH19" s="71" t="s">
        <v>22</v>
      </c>
      <c r="DI19" s="166">
        <v>0.375</v>
      </c>
      <c r="DJ19" s="166">
        <v>0.75</v>
      </c>
      <c r="DK19" s="167">
        <v>0.5</v>
      </c>
      <c r="DL19" s="167">
        <v>0.54166666666666663</v>
      </c>
      <c r="DM19" s="73" t="str">
        <f t="shared" si="19"/>
        <v>8h</v>
      </c>
      <c r="DN19" s="168">
        <v>0.375</v>
      </c>
      <c r="DO19" s="168">
        <v>0.75</v>
      </c>
      <c r="DP19" s="168">
        <v>0.5</v>
      </c>
      <c r="DQ19" s="168">
        <v>0.54166666666666663</v>
      </c>
      <c r="DR19" s="82" t="str">
        <f t="shared" si="20"/>
        <v>8h</v>
      </c>
      <c r="DS19" s="363"/>
      <c r="DT19" s="363"/>
      <c r="DU19" s="363"/>
      <c r="DW19" s="67"/>
      <c r="DX19" s="70">
        <f t="shared" si="43"/>
        <v>46244</v>
      </c>
      <c r="DY19" s="71" t="str">
        <f t="shared" si="21"/>
        <v>月</v>
      </c>
      <c r="DZ19" s="71" t="s">
        <v>22</v>
      </c>
      <c r="EA19" s="166">
        <v>0.375</v>
      </c>
      <c r="EB19" s="166">
        <v>0.75</v>
      </c>
      <c r="EC19" s="167">
        <v>0.5</v>
      </c>
      <c r="ED19" s="167">
        <v>0.54166666666666663</v>
      </c>
      <c r="EE19" s="73" t="str">
        <f t="shared" si="22"/>
        <v>8h</v>
      </c>
      <c r="EF19" s="168">
        <v>0.375</v>
      </c>
      <c r="EG19" s="168">
        <v>0.75</v>
      </c>
      <c r="EH19" s="168">
        <v>0.5</v>
      </c>
      <c r="EI19" s="168">
        <v>0.54166666666666663</v>
      </c>
      <c r="EJ19" s="82" t="str">
        <f t="shared" si="23"/>
        <v>8h</v>
      </c>
      <c r="EK19" s="363"/>
      <c r="EL19" s="363"/>
      <c r="EM19" s="363"/>
      <c r="EO19" s="67"/>
      <c r="EP19" s="70">
        <f t="shared" si="44"/>
        <v>46275</v>
      </c>
      <c r="EQ19" s="71" t="str">
        <f t="shared" si="24"/>
        <v>木</v>
      </c>
      <c r="ER19" s="71" t="s">
        <v>22</v>
      </c>
      <c r="ES19" s="166">
        <v>0.375</v>
      </c>
      <c r="ET19" s="166">
        <v>0.75</v>
      </c>
      <c r="EU19" s="167">
        <v>0.5</v>
      </c>
      <c r="EV19" s="167">
        <v>0.54166666666666663</v>
      </c>
      <c r="EW19" s="73" t="str">
        <f t="shared" si="25"/>
        <v>8h</v>
      </c>
      <c r="EX19" s="168">
        <v>0.375</v>
      </c>
      <c r="EY19" s="168">
        <v>0.75</v>
      </c>
      <c r="EZ19" s="168">
        <v>0.5</v>
      </c>
      <c r="FA19" s="168">
        <v>0.54166666666666663</v>
      </c>
      <c r="FB19" s="82" t="str">
        <f t="shared" si="26"/>
        <v>8h</v>
      </c>
      <c r="FC19" s="363"/>
      <c r="FD19" s="363"/>
      <c r="FE19" s="363"/>
      <c r="FG19" s="67"/>
      <c r="FH19" s="70">
        <f t="shared" si="45"/>
        <v>46305</v>
      </c>
      <c r="FI19" s="71" t="str">
        <f t="shared" si="27"/>
        <v>土</v>
      </c>
      <c r="FJ19" s="71"/>
      <c r="FK19" s="72"/>
      <c r="FL19" s="72"/>
      <c r="FM19" s="44"/>
      <c r="FN19" s="44"/>
      <c r="FO19" s="73" t="str">
        <f t="shared" si="28"/>
        <v/>
      </c>
      <c r="FP19" s="81"/>
      <c r="FQ19" s="81"/>
      <c r="FR19" s="81"/>
      <c r="FS19" s="81"/>
      <c r="FT19" s="82" t="str">
        <f t="shared" si="29"/>
        <v/>
      </c>
      <c r="FU19" s="363"/>
      <c r="FV19" s="363"/>
      <c r="FW19" s="363"/>
      <c r="FY19" s="67"/>
      <c r="FZ19" s="70">
        <f t="shared" si="46"/>
        <v>46336</v>
      </c>
      <c r="GA19" s="71" t="str">
        <f t="shared" si="30"/>
        <v>火</v>
      </c>
      <c r="GB19" s="71" t="s">
        <v>22</v>
      </c>
      <c r="GC19" s="166">
        <v>0.375</v>
      </c>
      <c r="GD19" s="166">
        <v>0.75</v>
      </c>
      <c r="GE19" s="167">
        <v>0.5</v>
      </c>
      <c r="GF19" s="167">
        <v>0.54166666666666663</v>
      </c>
      <c r="GG19" s="73" t="str">
        <f t="shared" si="31"/>
        <v>8h</v>
      </c>
      <c r="GH19" s="168">
        <v>0.375</v>
      </c>
      <c r="GI19" s="168">
        <v>0.75</v>
      </c>
      <c r="GJ19" s="168">
        <v>0.5</v>
      </c>
      <c r="GK19" s="168">
        <v>0.54166666666666663</v>
      </c>
      <c r="GL19" s="82" t="str">
        <f t="shared" si="32"/>
        <v>8h</v>
      </c>
      <c r="GM19" s="363"/>
      <c r="GN19" s="363"/>
      <c r="GO19" s="363"/>
      <c r="GQ19" s="67"/>
      <c r="GR19" s="70">
        <f t="shared" si="47"/>
        <v>46366</v>
      </c>
      <c r="GS19" s="71" t="str">
        <f t="shared" si="33"/>
        <v>木</v>
      </c>
      <c r="GT19" s="71" t="s">
        <v>22</v>
      </c>
      <c r="GU19" s="166">
        <v>0.375</v>
      </c>
      <c r="GV19" s="166">
        <v>0.75</v>
      </c>
      <c r="GW19" s="167">
        <v>0.5</v>
      </c>
      <c r="GX19" s="167">
        <v>0.54166666666666663</v>
      </c>
      <c r="GY19" s="73" t="str">
        <f t="shared" si="34"/>
        <v>8h</v>
      </c>
      <c r="GZ19" s="168">
        <v>0.375</v>
      </c>
      <c r="HA19" s="168">
        <v>0.75</v>
      </c>
      <c r="HB19" s="168">
        <v>0.5</v>
      </c>
      <c r="HC19" s="168">
        <v>0.54166666666666663</v>
      </c>
      <c r="HD19" s="82" t="str">
        <f t="shared" si="35"/>
        <v>8h</v>
      </c>
      <c r="HE19" s="363"/>
      <c r="HF19" s="363"/>
      <c r="HG19" s="363"/>
    </row>
    <row r="20" spans="1:215" x14ac:dyDescent="0.45">
      <c r="A20" s="67"/>
      <c r="B20" s="70">
        <f t="shared" si="36"/>
        <v>46033</v>
      </c>
      <c r="C20" s="71" t="str">
        <f t="shared" si="0"/>
        <v>日</v>
      </c>
      <c r="D20" s="71"/>
      <c r="E20" s="72"/>
      <c r="F20" s="72"/>
      <c r="G20" s="44"/>
      <c r="H20" s="44"/>
      <c r="I20" s="73" t="str">
        <f t="shared" si="1"/>
        <v/>
      </c>
      <c r="J20" s="81"/>
      <c r="K20" s="81"/>
      <c r="L20" s="81"/>
      <c r="M20" s="81"/>
      <c r="N20" s="82" t="str">
        <f t="shared" si="2"/>
        <v/>
      </c>
      <c r="O20" s="363"/>
      <c r="P20" s="363"/>
      <c r="Q20" s="363"/>
      <c r="S20" s="67"/>
      <c r="T20" s="70">
        <f t="shared" si="37"/>
        <v>46064</v>
      </c>
      <c r="U20" s="71" t="str">
        <f t="shared" si="3"/>
        <v>水</v>
      </c>
      <c r="V20" s="71"/>
      <c r="W20" s="72"/>
      <c r="X20" s="72"/>
      <c r="Y20" s="44"/>
      <c r="Z20" s="44"/>
      <c r="AA20" s="73" t="str">
        <f t="shared" si="4"/>
        <v/>
      </c>
      <c r="AB20" s="81"/>
      <c r="AC20" s="81"/>
      <c r="AD20" s="81"/>
      <c r="AE20" s="81"/>
      <c r="AF20" s="82" t="str">
        <f t="shared" si="5"/>
        <v/>
      </c>
      <c r="AG20" s="363"/>
      <c r="AH20" s="363"/>
      <c r="AI20" s="363"/>
      <c r="AK20" s="67"/>
      <c r="AL20" s="70">
        <f t="shared" si="38"/>
        <v>46092</v>
      </c>
      <c r="AM20" s="71" t="str">
        <f t="shared" si="6"/>
        <v>水</v>
      </c>
      <c r="AN20" s="71" t="s">
        <v>22</v>
      </c>
      <c r="AO20" s="166">
        <v>0.375</v>
      </c>
      <c r="AP20" s="166">
        <v>0.75</v>
      </c>
      <c r="AQ20" s="167">
        <v>0.5</v>
      </c>
      <c r="AR20" s="167">
        <v>0.54166666666666663</v>
      </c>
      <c r="AS20" s="73" t="str">
        <f t="shared" si="7"/>
        <v>8h</v>
      </c>
      <c r="AT20" s="168">
        <v>0.375</v>
      </c>
      <c r="AU20" s="168">
        <v>0.75</v>
      </c>
      <c r="AV20" s="168">
        <v>0.5</v>
      </c>
      <c r="AW20" s="168">
        <v>0.54166666666666663</v>
      </c>
      <c r="AX20" s="82" t="str">
        <f t="shared" si="8"/>
        <v>8h</v>
      </c>
      <c r="AY20" s="363"/>
      <c r="AZ20" s="363"/>
      <c r="BA20" s="363"/>
      <c r="BC20" s="67"/>
      <c r="BD20" s="70">
        <f t="shared" si="39"/>
        <v>46123</v>
      </c>
      <c r="BE20" s="71" t="str">
        <f t="shared" si="9"/>
        <v>土</v>
      </c>
      <c r="BF20" s="71"/>
      <c r="BG20" s="72"/>
      <c r="BH20" s="72"/>
      <c r="BI20" s="44"/>
      <c r="BJ20" s="44"/>
      <c r="BK20" s="73" t="str">
        <f t="shared" si="10"/>
        <v/>
      </c>
      <c r="BL20" s="81"/>
      <c r="BM20" s="81"/>
      <c r="BN20" s="81"/>
      <c r="BO20" s="81"/>
      <c r="BP20" s="82" t="str">
        <f t="shared" si="11"/>
        <v/>
      </c>
      <c r="BQ20" s="363"/>
      <c r="BR20" s="363"/>
      <c r="BS20" s="363"/>
      <c r="BU20" s="67"/>
      <c r="BV20" s="70">
        <f t="shared" si="40"/>
        <v>46153</v>
      </c>
      <c r="BW20" s="71" t="str">
        <f t="shared" si="12"/>
        <v>月</v>
      </c>
      <c r="BX20" s="71" t="s">
        <v>22</v>
      </c>
      <c r="BY20" s="166">
        <v>0.375</v>
      </c>
      <c r="BZ20" s="166">
        <v>0.75</v>
      </c>
      <c r="CA20" s="167">
        <v>0.5</v>
      </c>
      <c r="CB20" s="167">
        <v>0.54166666666666663</v>
      </c>
      <c r="CC20" s="73" t="str">
        <f t="shared" si="13"/>
        <v>8h</v>
      </c>
      <c r="CD20" s="168">
        <v>0.375</v>
      </c>
      <c r="CE20" s="168">
        <v>0.75</v>
      </c>
      <c r="CF20" s="168">
        <v>0.5</v>
      </c>
      <c r="CG20" s="168">
        <v>0.54166666666666663</v>
      </c>
      <c r="CH20" s="82" t="str">
        <f t="shared" si="14"/>
        <v>8h</v>
      </c>
      <c r="CI20" s="363"/>
      <c r="CJ20" s="363"/>
      <c r="CK20" s="363"/>
      <c r="CM20" s="67"/>
      <c r="CN20" s="70">
        <f t="shared" si="41"/>
        <v>46184</v>
      </c>
      <c r="CO20" s="71" t="str">
        <f t="shared" si="15"/>
        <v>木</v>
      </c>
      <c r="CP20" s="71" t="s">
        <v>22</v>
      </c>
      <c r="CQ20" s="166">
        <v>0.375</v>
      </c>
      <c r="CR20" s="166">
        <v>0.75</v>
      </c>
      <c r="CS20" s="167">
        <v>0.5</v>
      </c>
      <c r="CT20" s="167">
        <v>0.54166666666666663</v>
      </c>
      <c r="CU20" s="73" t="str">
        <f t="shared" si="16"/>
        <v>8h</v>
      </c>
      <c r="CV20" s="168">
        <v>0.375</v>
      </c>
      <c r="CW20" s="168">
        <v>0.75</v>
      </c>
      <c r="CX20" s="168">
        <v>0.5</v>
      </c>
      <c r="CY20" s="168">
        <v>0.54166666666666663</v>
      </c>
      <c r="CZ20" s="82" t="str">
        <f t="shared" si="17"/>
        <v>8h</v>
      </c>
      <c r="DA20" s="363"/>
      <c r="DB20" s="363"/>
      <c r="DC20" s="363"/>
      <c r="DE20" s="67"/>
      <c r="DF20" s="70">
        <f t="shared" si="42"/>
        <v>46214</v>
      </c>
      <c r="DG20" s="71" t="str">
        <f t="shared" si="18"/>
        <v>土</v>
      </c>
      <c r="DH20" s="71"/>
      <c r="DI20" s="72"/>
      <c r="DJ20" s="72"/>
      <c r="DK20" s="44"/>
      <c r="DL20" s="44"/>
      <c r="DM20" s="73" t="str">
        <f t="shared" si="19"/>
        <v/>
      </c>
      <c r="DN20" s="81"/>
      <c r="DO20" s="81"/>
      <c r="DP20" s="81"/>
      <c r="DQ20" s="81"/>
      <c r="DR20" s="82" t="str">
        <f t="shared" si="20"/>
        <v/>
      </c>
      <c r="DS20" s="363"/>
      <c r="DT20" s="363"/>
      <c r="DU20" s="363"/>
      <c r="DW20" s="67"/>
      <c r="DX20" s="70">
        <f t="shared" si="43"/>
        <v>46245</v>
      </c>
      <c r="DY20" s="71" t="str">
        <f t="shared" si="21"/>
        <v>火</v>
      </c>
      <c r="DZ20" s="71"/>
      <c r="EA20" s="72"/>
      <c r="EB20" s="72"/>
      <c r="EC20" s="44"/>
      <c r="ED20" s="44"/>
      <c r="EE20" s="73" t="str">
        <f t="shared" si="22"/>
        <v/>
      </c>
      <c r="EF20" s="81"/>
      <c r="EG20" s="81"/>
      <c r="EH20" s="81"/>
      <c r="EI20" s="81"/>
      <c r="EJ20" s="82" t="str">
        <f t="shared" si="23"/>
        <v/>
      </c>
      <c r="EK20" s="363"/>
      <c r="EL20" s="363"/>
      <c r="EM20" s="363"/>
      <c r="EO20" s="67"/>
      <c r="EP20" s="70">
        <f t="shared" si="44"/>
        <v>46276</v>
      </c>
      <c r="EQ20" s="71" t="str">
        <f t="shared" si="24"/>
        <v>金</v>
      </c>
      <c r="ER20" s="71" t="s">
        <v>22</v>
      </c>
      <c r="ES20" s="166">
        <v>0.375</v>
      </c>
      <c r="ET20" s="166">
        <v>0.75</v>
      </c>
      <c r="EU20" s="167">
        <v>0.5</v>
      </c>
      <c r="EV20" s="167">
        <v>0.54166666666666663</v>
      </c>
      <c r="EW20" s="73" t="str">
        <f t="shared" si="25"/>
        <v>8h</v>
      </c>
      <c r="EX20" s="168">
        <v>0.375</v>
      </c>
      <c r="EY20" s="168">
        <v>0.75</v>
      </c>
      <c r="EZ20" s="168">
        <v>0.5</v>
      </c>
      <c r="FA20" s="168">
        <v>0.54166666666666663</v>
      </c>
      <c r="FB20" s="82" t="str">
        <f t="shared" si="26"/>
        <v>8h</v>
      </c>
      <c r="FC20" s="363"/>
      <c r="FD20" s="363"/>
      <c r="FE20" s="363"/>
      <c r="FG20" s="67"/>
      <c r="FH20" s="70">
        <f t="shared" si="45"/>
        <v>46306</v>
      </c>
      <c r="FI20" s="71" t="str">
        <f t="shared" si="27"/>
        <v>日</v>
      </c>
      <c r="FJ20" s="71"/>
      <c r="FK20" s="72"/>
      <c r="FL20" s="72"/>
      <c r="FM20" s="44"/>
      <c r="FN20" s="44"/>
      <c r="FO20" s="73" t="str">
        <f t="shared" si="28"/>
        <v/>
      </c>
      <c r="FP20" s="81"/>
      <c r="FQ20" s="81"/>
      <c r="FR20" s="81"/>
      <c r="FS20" s="81"/>
      <c r="FT20" s="82" t="str">
        <f t="shared" si="29"/>
        <v/>
      </c>
      <c r="FU20" s="363"/>
      <c r="FV20" s="363"/>
      <c r="FW20" s="363"/>
      <c r="FY20" s="67"/>
      <c r="FZ20" s="70">
        <f t="shared" si="46"/>
        <v>46337</v>
      </c>
      <c r="GA20" s="71" t="str">
        <f t="shared" si="30"/>
        <v>水</v>
      </c>
      <c r="GB20" s="71" t="s">
        <v>22</v>
      </c>
      <c r="GC20" s="166">
        <v>0.375</v>
      </c>
      <c r="GD20" s="166">
        <v>0.75</v>
      </c>
      <c r="GE20" s="167">
        <v>0.5</v>
      </c>
      <c r="GF20" s="167">
        <v>0.54166666666666663</v>
      </c>
      <c r="GG20" s="73" t="str">
        <f t="shared" si="31"/>
        <v>8h</v>
      </c>
      <c r="GH20" s="168">
        <v>0.375</v>
      </c>
      <c r="GI20" s="168">
        <v>0.75</v>
      </c>
      <c r="GJ20" s="168">
        <v>0.5</v>
      </c>
      <c r="GK20" s="168">
        <v>0.54166666666666663</v>
      </c>
      <c r="GL20" s="82" t="str">
        <f t="shared" si="32"/>
        <v>8h</v>
      </c>
      <c r="GM20" s="363"/>
      <c r="GN20" s="363"/>
      <c r="GO20" s="363"/>
      <c r="GQ20" s="67"/>
      <c r="GR20" s="70">
        <f t="shared" si="47"/>
        <v>46367</v>
      </c>
      <c r="GS20" s="71" t="str">
        <f t="shared" si="33"/>
        <v>金</v>
      </c>
      <c r="GT20" s="71" t="s">
        <v>22</v>
      </c>
      <c r="GU20" s="166">
        <v>0.375</v>
      </c>
      <c r="GV20" s="166">
        <v>0.75</v>
      </c>
      <c r="GW20" s="167">
        <v>0.5</v>
      </c>
      <c r="GX20" s="167">
        <v>0.54166666666666663</v>
      </c>
      <c r="GY20" s="73" t="str">
        <f t="shared" si="34"/>
        <v>8h</v>
      </c>
      <c r="GZ20" s="168">
        <v>0.375</v>
      </c>
      <c r="HA20" s="168">
        <v>0.75</v>
      </c>
      <c r="HB20" s="168">
        <v>0.5</v>
      </c>
      <c r="HC20" s="168">
        <v>0.54166666666666663</v>
      </c>
      <c r="HD20" s="82" t="str">
        <f t="shared" si="35"/>
        <v>8h</v>
      </c>
      <c r="HE20" s="363"/>
      <c r="HF20" s="363"/>
      <c r="HG20" s="363"/>
    </row>
    <row r="21" spans="1:215" x14ac:dyDescent="0.45">
      <c r="A21" s="67"/>
      <c r="B21" s="70">
        <f t="shared" si="36"/>
        <v>46034</v>
      </c>
      <c r="C21" s="71" t="str">
        <f t="shared" si="0"/>
        <v>月</v>
      </c>
      <c r="D21" s="71"/>
      <c r="E21" s="72"/>
      <c r="F21" s="72"/>
      <c r="G21" s="44"/>
      <c r="H21" s="44"/>
      <c r="I21" s="73" t="str">
        <f t="shared" si="1"/>
        <v/>
      </c>
      <c r="J21" s="81"/>
      <c r="K21" s="81"/>
      <c r="L21" s="81"/>
      <c r="M21" s="81"/>
      <c r="N21" s="82" t="str">
        <f t="shared" si="2"/>
        <v/>
      </c>
      <c r="O21" s="363"/>
      <c r="P21" s="363"/>
      <c r="Q21" s="363"/>
      <c r="S21" s="67"/>
      <c r="T21" s="70">
        <f t="shared" si="37"/>
        <v>46065</v>
      </c>
      <c r="U21" s="71" t="str">
        <f t="shared" si="3"/>
        <v>木</v>
      </c>
      <c r="V21" s="71" t="s">
        <v>22</v>
      </c>
      <c r="W21" s="166">
        <v>0.375</v>
      </c>
      <c r="X21" s="166">
        <v>0.75</v>
      </c>
      <c r="Y21" s="167">
        <v>0.5</v>
      </c>
      <c r="Z21" s="167">
        <v>0.54166666666666663</v>
      </c>
      <c r="AA21" s="73" t="str">
        <f t="shared" si="4"/>
        <v>8h</v>
      </c>
      <c r="AB21" s="168">
        <v>0.375</v>
      </c>
      <c r="AC21" s="168">
        <v>0.75</v>
      </c>
      <c r="AD21" s="168">
        <v>0.5</v>
      </c>
      <c r="AE21" s="168">
        <v>0.54166666666666663</v>
      </c>
      <c r="AF21" s="82" t="str">
        <f t="shared" si="5"/>
        <v>8h</v>
      </c>
      <c r="AG21" s="363"/>
      <c r="AH21" s="363"/>
      <c r="AI21" s="363"/>
      <c r="AK21" s="67"/>
      <c r="AL21" s="70">
        <f t="shared" si="38"/>
        <v>46093</v>
      </c>
      <c r="AM21" s="71" t="str">
        <f t="shared" si="6"/>
        <v>木</v>
      </c>
      <c r="AN21" s="71" t="s">
        <v>22</v>
      </c>
      <c r="AO21" s="166">
        <v>0.375</v>
      </c>
      <c r="AP21" s="166">
        <v>0.75</v>
      </c>
      <c r="AQ21" s="167">
        <v>0.5</v>
      </c>
      <c r="AR21" s="167">
        <v>0.54166666666666663</v>
      </c>
      <c r="AS21" s="73" t="str">
        <f t="shared" si="7"/>
        <v>8h</v>
      </c>
      <c r="AT21" s="168">
        <v>0.375</v>
      </c>
      <c r="AU21" s="168">
        <v>0.75</v>
      </c>
      <c r="AV21" s="168">
        <v>0.5</v>
      </c>
      <c r="AW21" s="168">
        <v>0.54166666666666663</v>
      </c>
      <c r="AX21" s="82" t="str">
        <f t="shared" si="8"/>
        <v>8h</v>
      </c>
      <c r="AY21" s="363"/>
      <c r="AZ21" s="363"/>
      <c r="BA21" s="363"/>
      <c r="BC21" s="67"/>
      <c r="BD21" s="70">
        <f t="shared" si="39"/>
        <v>46124</v>
      </c>
      <c r="BE21" s="71" t="str">
        <f t="shared" si="9"/>
        <v>日</v>
      </c>
      <c r="BF21" s="71"/>
      <c r="BG21" s="72"/>
      <c r="BH21" s="72"/>
      <c r="BI21" s="44"/>
      <c r="BJ21" s="44"/>
      <c r="BK21" s="73" t="str">
        <f t="shared" si="10"/>
        <v/>
      </c>
      <c r="BL21" s="81"/>
      <c r="BM21" s="81"/>
      <c r="BN21" s="81"/>
      <c r="BO21" s="81"/>
      <c r="BP21" s="82" t="str">
        <f t="shared" si="11"/>
        <v/>
      </c>
      <c r="BQ21" s="363"/>
      <c r="BR21" s="363"/>
      <c r="BS21" s="363"/>
      <c r="BU21" s="67"/>
      <c r="BV21" s="70">
        <f t="shared" si="40"/>
        <v>46154</v>
      </c>
      <c r="BW21" s="71" t="str">
        <f t="shared" si="12"/>
        <v>火</v>
      </c>
      <c r="BX21" s="71" t="s">
        <v>22</v>
      </c>
      <c r="BY21" s="166">
        <v>0.375</v>
      </c>
      <c r="BZ21" s="166">
        <v>0.75</v>
      </c>
      <c r="CA21" s="167">
        <v>0.5</v>
      </c>
      <c r="CB21" s="167">
        <v>0.54166666666666663</v>
      </c>
      <c r="CC21" s="73" t="str">
        <f t="shared" si="13"/>
        <v>8h</v>
      </c>
      <c r="CD21" s="168">
        <v>0.375</v>
      </c>
      <c r="CE21" s="168">
        <v>0.75</v>
      </c>
      <c r="CF21" s="168">
        <v>0.5</v>
      </c>
      <c r="CG21" s="168">
        <v>0.54166666666666663</v>
      </c>
      <c r="CH21" s="82" t="str">
        <f t="shared" si="14"/>
        <v>8h</v>
      </c>
      <c r="CI21" s="363"/>
      <c r="CJ21" s="363"/>
      <c r="CK21" s="363"/>
      <c r="CM21" s="67"/>
      <c r="CN21" s="70">
        <f t="shared" si="41"/>
        <v>46185</v>
      </c>
      <c r="CO21" s="71" t="str">
        <f t="shared" si="15"/>
        <v>金</v>
      </c>
      <c r="CP21" s="71" t="s">
        <v>22</v>
      </c>
      <c r="CQ21" s="166">
        <v>0.375</v>
      </c>
      <c r="CR21" s="166">
        <v>0.75</v>
      </c>
      <c r="CS21" s="167">
        <v>0.5</v>
      </c>
      <c r="CT21" s="167">
        <v>0.54166666666666663</v>
      </c>
      <c r="CU21" s="73" t="str">
        <f t="shared" si="16"/>
        <v>8h</v>
      </c>
      <c r="CV21" s="168">
        <v>0.375</v>
      </c>
      <c r="CW21" s="168">
        <v>0.75</v>
      </c>
      <c r="CX21" s="168">
        <v>0.5</v>
      </c>
      <c r="CY21" s="168">
        <v>0.54166666666666663</v>
      </c>
      <c r="CZ21" s="82" t="str">
        <f t="shared" si="17"/>
        <v>8h</v>
      </c>
      <c r="DA21" s="363"/>
      <c r="DB21" s="363"/>
      <c r="DC21" s="363"/>
      <c r="DE21" s="67"/>
      <c r="DF21" s="70">
        <f t="shared" si="42"/>
        <v>46215</v>
      </c>
      <c r="DG21" s="71" t="str">
        <f t="shared" si="18"/>
        <v>日</v>
      </c>
      <c r="DH21" s="71"/>
      <c r="DI21" s="72"/>
      <c r="DJ21" s="72"/>
      <c r="DK21" s="44"/>
      <c r="DL21" s="44"/>
      <c r="DM21" s="73" t="str">
        <f t="shared" si="19"/>
        <v/>
      </c>
      <c r="DN21" s="81"/>
      <c r="DO21" s="81"/>
      <c r="DP21" s="81"/>
      <c r="DQ21" s="81"/>
      <c r="DR21" s="82" t="str">
        <f t="shared" si="20"/>
        <v/>
      </c>
      <c r="DS21" s="363"/>
      <c r="DT21" s="363"/>
      <c r="DU21" s="363"/>
      <c r="DW21" s="67"/>
      <c r="DX21" s="70">
        <f t="shared" si="43"/>
        <v>46246</v>
      </c>
      <c r="DY21" s="71" t="str">
        <f t="shared" si="21"/>
        <v>水</v>
      </c>
      <c r="DZ21" s="71" t="s">
        <v>22</v>
      </c>
      <c r="EA21" s="166">
        <v>0.375</v>
      </c>
      <c r="EB21" s="166">
        <v>0.75</v>
      </c>
      <c r="EC21" s="167">
        <v>0.5</v>
      </c>
      <c r="ED21" s="167">
        <v>0.54166666666666663</v>
      </c>
      <c r="EE21" s="73" t="str">
        <f t="shared" si="22"/>
        <v>8h</v>
      </c>
      <c r="EF21" s="168">
        <v>0.375</v>
      </c>
      <c r="EG21" s="168">
        <v>0.75</v>
      </c>
      <c r="EH21" s="168">
        <v>0.5</v>
      </c>
      <c r="EI21" s="168">
        <v>0.54166666666666663</v>
      </c>
      <c r="EJ21" s="82" t="str">
        <f t="shared" si="23"/>
        <v>8h</v>
      </c>
      <c r="EK21" s="363"/>
      <c r="EL21" s="363"/>
      <c r="EM21" s="363"/>
      <c r="EO21" s="67"/>
      <c r="EP21" s="70">
        <f t="shared" si="44"/>
        <v>46277</v>
      </c>
      <c r="EQ21" s="71" t="str">
        <f t="shared" si="24"/>
        <v>土</v>
      </c>
      <c r="ER21" s="71"/>
      <c r="ES21" s="72"/>
      <c r="ET21" s="72"/>
      <c r="EU21" s="44"/>
      <c r="EV21" s="44"/>
      <c r="EW21" s="73" t="str">
        <f t="shared" si="25"/>
        <v/>
      </c>
      <c r="EX21" s="81"/>
      <c r="EY21" s="81"/>
      <c r="EZ21" s="81"/>
      <c r="FA21" s="81"/>
      <c r="FB21" s="82" t="str">
        <f t="shared" si="26"/>
        <v/>
      </c>
      <c r="FC21" s="363"/>
      <c r="FD21" s="363"/>
      <c r="FE21" s="363"/>
      <c r="FG21" s="67"/>
      <c r="FH21" s="70">
        <f t="shared" si="45"/>
        <v>46307</v>
      </c>
      <c r="FI21" s="71" t="str">
        <f t="shared" si="27"/>
        <v>月</v>
      </c>
      <c r="FJ21" s="71"/>
      <c r="FK21" s="72"/>
      <c r="FL21" s="72"/>
      <c r="FM21" s="44"/>
      <c r="FN21" s="44"/>
      <c r="FO21" s="73" t="str">
        <f t="shared" si="28"/>
        <v/>
      </c>
      <c r="FP21" s="81"/>
      <c r="FQ21" s="81"/>
      <c r="FR21" s="81"/>
      <c r="FS21" s="81"/>
      <c r="FT21" s="82" t="str">
        <f t="shared" si="29"/>
        <v/>
      </c>
      <c r="FU21" s="363"/>
      <c r="FV21" s="363"/>
      <c r="FW21" s="363"/>
      <c r="FY21" s="67"/>
      <c r="FZ21" s="70">
        <f t="shared" si="46"/>
        <v>46338</v>
      </c>
      <c r="GA21" s="71" t="str">
        <f t="shared" si="30"/>
        <v>木</v>
      </c>
      <c r="GB21" s="71" t="s">
        <v>22</v>
      </c>
      <c r="GC21" s="166">
        <v>0.375</v>
      </c>
      <c r="GD21" s="166">
        <v>0.75</v>
      </c>
      <c r="GE21" s="167">
        <v>0.5</v>
      </c>
      <c r="GF21" s="167">
        <v>0.54166666666666663</v>
      </c>
      <c r="GG21" s="73" t="str">
        <f t="shared" si="31"/>
        <v>8h</v>
      </c>
      <c r="GH21" s="168">
        <v>0.375</v>
      </c>
      <c r="GI21" s="168">
        <v>0.75</v>
      </c>
      <c r="GJ21" s="168">
        <v>0.5</v>
      </c>
      <c r="GK21" s="168">
        <v>0.54166666666666663</v>
      </c>
      <c r="GL21" s="82" t="str">
        <f t="shared" si="32"/>
        <v>8h</v>
      </c>
      <c r="GM21" s="363"/>
      <c r="GN21" s="363"/>
      <c r="GO21" s="363"/>
      <c r="GQ21" s="67"/>
      <c r="GR21" s="70">
        <f t="shared" si="47"/>
        <v>46368</v>
      </c>
      <c r="GS21" s="71" t="str">
        <f t="shared" si="33"/>
        <v>土</v>
      </c>
      <c r="GT21" s="71"/>
      <c r="GU21" s="72"/>
      <c r="GV21" s="72"/>
      <c r="GW21" s="44"/>
      <c r="GX21" s="44"/>
      <c r="GY21" s="73" t="str">
        <f t="shared" si="34"/>
        <v/>
      </c>
      <c r="GZ21" s="81"/>
      <c r="HA21" s="81"/>
      <c r="HB21" s="81"/>
      <c r="HC21" s="81"/>
      <c r="HD21" s="82" t="str">
        <f t="shared" si="35"/>
        <v/>
      </c>
      <c r="HE21" s="363"/>
      <c r="HF21" s="363"/>
      <c r="HG21" s="363"/>
    </row>
    <row r="22" spans="1:215" x14ac:dyDescent="0.45">
      <c r="A22" s="67"/>
      <c r="B22" s="70">
        <f t="shared" si="36"/>
        <v>46035</v>
      </c>
      <c r="C22" s="71" t="str">
        <f t="shared" si="0"/>
        <v>火</v>
      </c>
      <c r="D22" s="71" t="s">
        <v>22</v>
      </c>
      <c r="E22" s="166">
        <v>0.375</v>
      </c>
      <c r="F22" s="166">
        <v>0.75</v>
      </c>
      <c r="G22" s="167">
        <v>0.5</v>
      </c>
      <c r="H22" s="167">
        <v>0.54166666666666663</v>
      </c>
      <c r="I22" s="73" t="str">
        <f t="shared" si="1"/>
        <v>8h</v>
      </c>
      <c r="J22" s="168">
        <v>0.375</v>
      </c>
      <c r="K22" s="168">
        <v>0.75</v>
      </c>
      <c r="L22" s="168">
        <v>0.5</v>
      </c>
      <c r="M22" s="168">
        <v>0.54166666666666663</v>
      </c>
      <c r="N22" s="82" t="str">
        <f t="shared" si="2"/>
        <v>8h</v>
      </c>
      <c r="O22" s="363"/>
      <c r="P22" s="363"/>
      <c r="Q22" s="363"/>
      <c r="S22" s="67"/>
      <c r="T22" s="70">
        <f t="shared" si="37"/>
        <v>46066</v>
      </c>
      <c r="U22" s="71" t="str">
        <f t="shared" si="3"/>
        <v>金</v>
      </c>
      <c r="V22" s="71" t="s">
        <v>22</v>
      </c>
      <c r="W22" s="166">
        <v>0.375</v>
      </c>
      <c r="X22" s="166">
        <v>0.75</v>
      </c>
      <c r="Y22" s="167">
        <v>0.5</v>
      </c>
      <c r="Z22" s="167">
        <v>0.54166666666666663</v>
      </c>
      <c r="AA22" s="73" t="str">
        <f t="shared" si="4"/>
        <v>8h</v>
      </c>
      <c r="AB22" s="168">
        <v>0.375</v>
      </c>
      <c r="AC22" s="168">
        <v>0.75</v>
      </c>
      <c r="AD22" s="168">
        <v>0.5</v>
      </c>
      <c r="AE22" s="168">
        <v>0.54166666666666663</v>
      </c>
      <c r="AF22" s="82" t="str">
        <f t="shared" si="5"/>
        <v>8h</v>
      </c>
      <c r="AG22" s="363"/>
      <c r="AH22" s="363"/>
      <c r="AI22" s="363"/>
      <c r="AK22" s="67"/>
      <c r="AL22" s="70">
        <f t="shared" si="38"/>
        <v>46094</v>
      </c>
      <c r="AM22" s="71" t="str">
        <f t="shared" si="6"/>
        <v>金</v>
      </c>
      <c r="AN22" s="71" t="s">
        <v>22</v>
      </c>
      <c r="AO22" s="166">
        <v>0.375</v>
      </c>
      <c r="AP22" s="166">
        <v>0.75</v>
      </c>
      <c r="AQ22" s="167">
        <v>0.5</v>
      </c>
      <c r="AR22" s="167">
        <v>0.54166666666666663</v>
      </c>
      <c r="AS22" s="73" t="str">
        <f t="shared" si="7"/>
        <v>8h</v>
      </c>
      <c r="AT22" s="168">
        <v>0.375</v>
      </c>
      <c r="AU22" s="168">
        <v>0.75</v>
      </c>
      <c r="AV22" s="168">
        <v>0.5</v>
      </c>
      <c r="AW22" s="168">
        <v>0.54166666666666663</v>
      </c>
      <c r="AX22" s="82" t="str">
        <f t="shared" si="8"/>
        <v>8h</v>
      </c>
      <c r="AY22" s="363"/>
      <c r="AZ22" s="363"/>
      <c r="BA22" s="363"/>
      <c r="BC22" s="67"/>
      <c r="BD22" s="70">
        <f t="shared" si="39"/>
        <v>46125</v>
      </c>
      <c r="BE22" s="71" t="str">
        <f t="shared" si="9"/>
        <v>月</v>
      </c>
      <c r="BF22" s="71" t="s">
        <v>22</v>
      </c>
      <c r="BG22" s="166">
        <v>0.375</v>
      </c>
      <c r="BH22" s="166">
        <v>0.75</v>
      </c>
      <c r="BI22" s="167">
        <v>0.5</v>
      </c>
      <c r="BJ22" s="167">
        <v>0.54166666666666663</v>
      </c>
      <c r="BK22" s="73" t="str">
        <f t="shared" si="10"/>
        <v>8h</v>
      </c>
      <c r="BL22" s="168">
        <v>0.375</v>
      </c>
      <c r="BM22" s="168">
        <v>0.75</v>
      </c>
      <c r="BN22" s="168">
        <v>0.5</v>
      </c>
      <c r="BO22" s="168">
        <v>0.54166666666666663</v>
      </c>
      <c r="BP22" s="82" t="str">
        <f t="shared" si="11"/>
        <v>8h</v>
      </c>
      <c r="BQ22" s="363"/>
      <c r="BR22" s="363"/>
      <c r="BS22" s="363"/>
      <c r="BU22" s="67"/>
      <c r="BV22" s="70">
        <f t="shared" si="40"/>
        <v>46155</v>
      </c>
      <c r="BW22" s="71" t="str">
        <f t="shared" si="12"/>
        <v>水</v>
      </c>
      <c r="BX22" s="71" t="s">
        <v>22</v>
      </c>
      <c r="BY22" s="166">
        <v>0.375</v>
      </c>
      <c r="BZ22" s="166">
        <v>0.75</v>
      </c>
      <c r="CA22" s="167">
        <v>0.5</v>
      </c>
      <c r="CB22" s="167">
        <v>0.54166666666666663</v>
      </c>
      <c r="CC22" s="73" t="str">
        <f t="shared" si="13"/>
        <v>8h</v>
      </c>
      <c r="CD22" s="168">
        <v>0.375</v>
      </c>
      <c r="CE22" s="168">
        <v>0.75</v>
      </c>
      <c r="CF22" s="168">
        <v>0.5</v>
      </c>
      <c r="CG22" s="168">
        <v>0.54166666666666663</v>
      </c>
      <c r="CH22" s="82" t="str">
        <f t="shared" si="14"/>
        <v>8h</v>
      </c>
      <c r="CI22" s="363"/>
      <c r="CJ22" s="363"/>
      <c r="CK22" s="363"/>
      <c r="CM22" s="67"/>
      <c r="CN22" s="70">
        <f t="shared" si="41"/>
        <v>46186</v>
      </c>
      <c r="CO22" s="71" t="str">
        <f t="shared" si="15"/>
        <v>土</v>
      </c>
      <c r="CP22" s="71"/>
      <c r="CQ22" s="72"/>
      <c r="CR22" s="72"/>
      <c r="CS22" s="44"/>
      <c r="CT22" s="44"/>
      <c r="CU22" s="73" t="str">
        <f t="shared" si="16"/>
        <v/>
      </c>
      <c r="CV22" s="81"/>
      <c r="CW22" s="81"/>
      <c r="CX22" s="81"/>
      <c r="CY22" s="81"/>
      <c r="CZ22" s="82" t="str">
        <f t="shared" si="17"/>
        <v/>
      </c>
      <c r="DA22" s="363"/>
      <c r="DB22" s="363"/>
      <c r="DC22" s="363"/>
      <c r="DE22" s="67"/>
      <c r="DF22" s="70">
        <f t="shared" si="42"/>
        <v>46216</v>
      </c>
      <c r="DG22" s="71" t="str">
        <f t="shared" si="18"/>
        <v>月</v>
      </c>
      <c r="DH22" s="71" t="s">
        <v>22</v>
      </c>
      <c r="DI22" s="166">
        <v>0.375</v>
      </c>
      <c r="DJ22" s="166">
        <v>0.75</v>
      </c>
      <c r="DK22" s="167">
        <v>0.5</v>
      </c>
      <c r="DL22" s="167">
        <v>0.54166666666666663</v>
      </c>
      <c r="DM22" s="73" t="str">
        <f t="shared" si="19"/>
        <v>8h</v>
      </c>
      <c r="DN22" s="168">
        <v>0.375</v>
      </c>
      <c r="DO22" s="168">
        <v>0.75</v>
      </c>
      <c r="DP22" s="168">
        <v>0.5</v>
      </c>
      <c r="DQ22" s="168">
        <v>0.54166666666666663</v>
      </c>
      <c r="DR22" s="82" t="str">
        <f t="shared" si="20"/>
        <v>8h</v>
      </c>
      <c r="DS22" s="363"/>
      <c r="DT22" s="363"/>
      <c r="DU22" s="363"/>
      <c r="DW22" s="67"/>
      <c r="DX22" s="70">
        <f t="shared" si="43"/>
        <v>46247</v>
      </c>
      <c r="DY22" s="71" t="str">
        <f t="shared" si="21"/>
        <v>木</v>
      </c>
      <c r="DZ22" s="71" t="s">
        <v>22</v>
      </c>
      <c r="EA22" s="166">
        <v>0.375</v>
      </c>
      <c r="EB22" s="166">
        <v>0.75</v>
      </c>
      <c r="EC22" s="167">
        <v>0.5</v>
      </c>
      <c r="ED22" s="167">
        <v>0.54166666666666663</v>
      </c>
      <c r="EE22" s="73" t="str">
        <f t="shared" si="22"/>
        <v>8h</v>
      </c>
      <c r="EF22" s="168">
        <v>0.375</v>
      </c>
      <c r="EG22" s="168">
        <v>0.75</v>
      </c>
      <c r="EH22" s="168">
        <v>0.5</v>
      </c>
      <c r="EI22" s="168">
        <v>0.54166666666666663</v>
      </c>
      <c r="EJ22" s="82" t="str">
        <f t="shared" si="23"/>
        <v>8h</v>
      </c>
      <c r="EK22" s="363"/>
      <c r="EL22" s="363"/>
      <c r="EM22" s="363"/>
      <c r="EO22" s="67"/>
      <c r="EP22" s="70">
        <f t="shared" si="44"/>
        <v>46278</v>
      </c>
      <c r="EQ22" s="71" t="str">
        <f t="shared" si="24"/>
        <v>日</v>
      </c>
      <c r="ER22" s="71"/>
      <c r="ES22" s="72"/>
      <c r="ET22" s="72"/>
      <c r="EU22" s="44"/>
      <c r="EV22" s="44"/>
      <c r="EW22" s="73" t="str">
        <f t="shared" si="25"/>
        <v/>
      </c>
      <c r="EX22" s="81"/>
      <c r="EY22" s="81"/>
      <c r="EZ22" s="81"/>
      <c r="FA22" s="81"/>
      <c r="FB22" s="82" t="str">
        <f t="shared" si="26"/>
        <v/>
      </c>
      <c r="FC22" s="363"/>
      <c r="FD22" s="363"/>
      <c r="FE22" s="363"/>
      <c r="FG22" s="67"/>
      <c r="FH22" s="70">
        <f t="shared" si="45"/>
        <v>46308</v>
      </c>
      <c r="FI22" s="71" t="str">
        <f t="shared" si="27"/>
        <v>火</v>
      </c>
      <c r="FJ22" s="71" t="s">
        <v>22</v>
      </c>
      <c r="FK22" s="166">
        <v>0.375</v>
      </c>
      <c r="FL22" s="166">
        <v>0.75</v>
      </c>
      <c r="FM22" s="167">
        <v>0.5</v>
      </c>
      <c r="FN22" s="167">
        <v>0.54166666666666663</v>
      </c>
      <c r="FO22" s="73" t="str">
        <f t="shared" si="28"/>
        <v>8h</v>
      </c>
      <c r="FP22" s="168">
        <v>0.375</v>
      </c>
      <c r="FQ22" s="168">
        <v>0.75</v>
      </c>
      <c r="FR22" s="168">
        <v>0.5</v>
      </c>
      <c r="FS22" s="168">
        <v>0.54166666666666663</v>
      </c>
      <c r="FT22" s="82" t="str">
        <f t="shared" si="29"/>
        <v>8h</v>
      </c>
      <c r="FU22" s="363"/>
      <c r="FV22" s="363"/>
      <c r="FW22" s="363"/>
      <c r="FY22" s="67"/>
      <c r="FZ22" s="70">
        <f t="shared" si="46"/>
        <v>46339</v>
      </c>
      <c r="GA22" s="71" t="str">
        <f t="shared" si="30"/>
        <v>金</v>
      </c>
      <c r="GB22" s="71" t="s">
        <v>22</v>
      </c>
      <c r="GC22" s="166">
        <v>0.375</v>
      </c>
      <c r="GD22" s="166">
        <v>0.75</v>
      </c>
      <c r="GE22" s="167">
        <v>0.5</v>
      </c>
      <c r="GF22" s="167">
        <v>0.54166666666666663</v>
      </c>
      <c r="GG22" s="73" t="str">
        <f t="shared" si="31"/>
        <v>8h</v>
      </c>
      <c r="GH22" s="168">
        <v>0.375</v>
      </c>
      <c r="GI22" s="168">
        <v>0.75</v>
      </c>
      <c r="GJ22" s="168">
        <v>0.5</v>
      </c>
      <c r="GK22" s="168">
        <v>0.54166666666666663</v>
      </c>
      <c r="GL22" s="82" t="str">
        <f t="shared" si="32"/>
        <v>8h</v>
      </c>
      <c r="GM22" s="363"/>
      <c r="GN22" s="363"/>
      <c r="GO22" s="363"/>
      <c r="GQ22" s="67"/>
      <c r="GR22" s="70">
        <f t="shared" si="47"/>
        <v>46369</v>
      </c>
      <c r="GS22" s="71" t="str">
        <f t="shared" si="33"/>
        <v>日</v>
      </c>
      <c r="GT22" s="71"/>
      <c r="GU22" s="72"/>
      <c r="GV22" s="72"/>
      <c r="GW22" s="44"/>
      <c r="GX22" s="44"/>
      <c r="GY22" s="73" t="str">
        <f t="shared" si="34"/>
        <v/>
      </c>
      <c r="GZ22" s="81"/>
      <c r="HA22" s="81"/>
      <c r="HB22" s="81"/>
      <c r="HC22" s="81"/>
      <c r="HD22" s="82" t="str">
        <f t="shared" si="35"/>
        <v/>
      </c>
      <c r="HE22" s="363"/>
      <c r="HF22" s="363"/>
      <c r="HG22" s="363"/>
    </row>
    <row r="23" spans="1:215" x14ac:dyDescent="0.45">
      <c r="A23" s="67"/>
      <c r="B23" s="70">
        <f t="shared" si="36"/>
        <v>46036</v>
      </c>
      <c r="C23" s="71" t="str">
        <f t="shared" si="0"/>
        <v>水</v>
      </c>
      <c r="D23" s="71" t="s">
        <v>22</v>
      </c>
      <c r="E23" s="166">
        <v>0.375</v>
      </c>
      <c r="F23" s="166">
        <v>0.75</v>
      </c>
      <c r="G23" s="167">
        <v>0.5</v>
      </c>
      <c r="H23" s="167">
        <v>0.54166666666666663</v>
      </c>
      <c r="I23" s="73" t="str">
        <f t="shared" si="1"/>
        <v>8h</v>
      </c>
      <c r="J23" s="168">
        <v>0.375</v>
      </c>
      <c r="K23" s="168">
        <v>0.75</v>
      </c>
      <c r="L23" s="168">
        <v>0.5</v>
      </c>
      <c r="M23" s="168">
        <v>0.54166666666666663</v>
      </c>
      <c r="N23" s="82" t="str">
        <f t="shared" si="2"/>
        <v>8h</v>
      </c>
      <c r="O23" s="363"/>
      <c r="P23" s="363"/>
      <c r="Q23" s="363"/>
      <c r="S23" s="67"/>
      <c r="T23" s="70">
        <f t="shared" si="37"/>
        <v>46067</v>
      </c>
      <c r="U23" s="71" t="str">
        <f t="shared" si="3"/>
        <v>土</v>
      </c>
      <c r="V23" s="71"/>
      <c r="W23" s="72"/>
      <c r="X23" s="72"/>
      <c r="Y23" s="44"/>
      <c r="Z23" s="44"/>
      <c r="AA23" s="73" t="str">
        <f t="shared" si="4"/>
        <v/>
      </c>
      <c r="AB23" s="81"/>
      <c r="AC23" s="81"/>
      <c r="AD23" s="81"/>
      <c r="AE23" s="81"/>
      <c r="AF23" s="82" t="str">
        <f t="shared" si="5"/>
        <v/>
      </c>
      <c r="AG23" s="363"/>
      <c r="AH23" s="363"/>
      <c r="AI23" s="363"/>
      <c r="AK23" s="67"/>
      <c r="AL23" s="70">
        <f t="shared" si="38"/>
        <v>46095</v>
      </c>
      <c r="AM23" s="71" t="str">
        <f t="shared" si="6"/>
        <v>土</v>
      </c>
      <c r="AN23" s="71"/>
      <c r="AO23" s="72"/>
      <c r="AP23" s="72"/>
      <c r="AQ23" s="44"/>
      <c r="AR23" s="44"/>
      <c r="AS23" s="73" t="str">
        <f t="shared" si="7"/>
        <v/>
      </c>
      <c r="AT23" s="81"/>
      <c r="AU23" s="81"/>
      <c r="AV23" s="81"/>
      <c r="AW23" s="81"/>
      <c r="AX23" s="82" t="str">
        <f t="shared" si="8"/>
        <v/>
      </c>
      <c r="AY23" s="363"/>
      <c r="AZ23" s="363"/>
      <c r="BA23" s="363"/>
      <c r="BC23" s="67"/>
      <c r="BD23" s="70">
        <f t="shared" si="39"/>
        <v>46126</v>
      </c>
      <c r="BE23" s="71" t="str">
        <f t="shared" si="9"/>
        <v>火</v>
      </c>
      <c r="BF23" s="71" t="s">
        <v>22</v>
      </c>
      <c r="BG23" s="166">
        <v>0.375</v>
      </c>
      <c r="BH23" s="166">
        <v>0.75</v>
      </c>
      <c r="BI23" s="167">
        <v>0.5</v>
      </c>
      <c r="BJ23" s="167">
        <v>0.54166666666666663</v>
      </c>
      <c r="BK23" s="73" t="str">
        <f t="shared" si="10"/>
        <v>8h</v>
      </c>
      <c r="BL23" s="168">
        <v>0.375</v>
      </c>
      <c r="BM23" s="168">
        <v>0.75</v>
      </c>
      <c r="BN23" s="168">
        <v>0.5</v>
      </c>
      <c r="BO23" s="168">
        <v>0.54166666666666663</v>
      </c>
      <c r="BP23" s="82" t="str">
        <f t="shared" si="11"/>
        <v>8h</v>
      </c>
      <c r="BQ23" s="363"/>
      <c r="BR23" s="363"/>
      <c r="BS23" s="363"/>
      <c r="BU23" s="67"/>
      <c r="BV23" s="70">
        <f t="shared" si="40"/>
        <v>46156</v>
      </c>
      <c r="BW23" s="71" t="str">
        <f t="shared" si="12"/>
        <v>木</v>
      </c>
      <c r="BX23" s="71" t="s">
        <v>22</v>
      </c>
      <c r="BY23" s="166">
        <v>0.375</v>
      </c>
      <c r="BZ23" s="166">
        <v>0.75</v>
      </c>
      <c r="CA23" s="167">
        <v>0.5</v>
      </c>
      <c r="CB23" s="167">
        <v>0.54166666666666663</v>
      </c>
      <c r="CC23" s="73" t="str">
        <f t="shared" si="13"/>
        <v>8h</v>
      </c>
      <c r="CD23" s="168">
        <v>0.375</v>
      </c>
      <c r="CE23" s="168">
        <v>0.75</v>
      </c>
      <c r="CF23" s="168">
        <v>0.5</v>
      </c>
      <c r="CG23" s="168">
        <v>0.54166666666666663</v>
      </c>
      <c r="CH23" s="82" t="str">
        <f t="shared" si="14"/>
        <v>8h</v>
      </c>
      <c r="CI23" s="363"/>
      <c r="CJ23" s="363"/>
      <c r="CK23" s="363"/>
      <c r="CM23" s="67"/>
      <c r="CN23" s="70">
        <f t="shared" si="41"/>
        <v>46187</v>
      </c>
      <c r="CO23" s="71" t="str">
        <f t="shared" si="15"/>
        <v>日</v>
      </c>
      <c r="CP23" s="71"/>
      <c r="CQ23" s="72"/>
      <c r="CR23" s="72"/>
      <c r="CS23" s="44"/>
      <c r="CT23" s="44"/>
      <c r="CU23" s="73" t="str">
        <f t="shared" si="16"/>
        <v/>
      </c>
      <c r="CV23" s="81"/>
      <c r="CW23" s="81"/>
      <c r="CX23" s="81"/>
      <c r="CY23" s="81"/>
      <c r="CZ23" s="82" t="str">
        <f t="shared" si="17"/>
        <v/>
      </c>
      <c r="DA23" s="363"/>
      <c r="DB23" s="363"/>
      <c r="DC23" s="363"/>
      <c r="DE23" s="67"/>
      <c r="DF23" s="70">
        <f t="shared" si="42"/>
        <v>46217</v>
      </c>
      <c r="DG23" s="71" t="str">
        <f t="shared" si="18"/>
        <v>火</v>
      </c>
      <c r="DH23" s="71" t="s">
        <v>22</v>
      </c>
      <c r="DI23" s="166">
        <v>0.375</v>
      </c>
      <c r="DJ23" s="166">
        <v>0.75</v>
      </c>
      <c r="DK23" s="167">
        <v>0.5</v>
      </c>
      <c r="DL23" s="167">
        <v>0.54166666666666663</v>
      </c>
      <c r="DM23" s="73" t="str">
        <f t="shared" si="19"/>
        <v>8h</v>
      </c>
      <c r="DN23" s="168">
        <v>0.375</v>
      </c>
      <c r="DO23" s="168">
        <v>0.75</v>
      </c>
      <c r="DP23" s="168">
        <v>0.5</v>
      </c>
      <c r="DQ23" s="168">
        <v>0.54166666666666663</v>
      </c>
      <c r="DR23" s="82" t="str">
        <f t="shared" si="20"/>
        <v>8h</v>
      </c>
      <c r="DS23" s="363"/>
      <c r="DT23" s="363"/>
      <c r="DU23" s="363"/>
      <c r="DW23" s="67"/>
      <c r="DX23" s="70">
        <f t="shared" si="43"/>
        <v>46248</v>
      </c>
      <c r="DY23" s="71" t="str">
        <f t="shared" si="21"/>
        <v>金</v>
      </c>
      <c r="DZ23" s="71" t="s">
        <v>22</v>
      </c>
      <c r="EA23" s="166">
        <v>0.375</v>
      </c>
      <c r="EB23" s="166">
        <v>0.75</v>
      </c>
      <c r="EC23" s="167">
        <v>0.5</v>
      </c>
      <c r="ED23" s="167">
        <v>0.54166666666666663</v>
      </c>
      <c r="EE23" s="73" t="str">
        <f t="shared" si="22"/>
        <v>8h</v>
      </c>
      <c r="EF23" s="168">
        <v>0.375</v>
      </c>
      <c r="EG23" s="168">
        <v>0.75</v>
      </c>
      <c r="EH23" s="168">
        <v>0.5</v>
      </c>
      <c r="EI23" s="168">
        <v>0.54166666666666663</v>
      </c>
      <c r="EJ23" s="82" t="str">
        <f t="shared" si="23"/>
        <v>8h</v>
      </c>
      <c r="EK23" s="363"/>
      <c r="EL23" s="363"/>
      <c r="EM23" s="363"/>
      <c r="EO23" s="67"/>
      <c r="EP23" s="70">
        <f t="shared" si="44"/>
        <v>46279</v>
      </c>
      <c r="EQ23" s="71" t="str">
        <f t="shared" si="24"/>
        <v>月</v>
      </c>
      <c r="ER23" s="71" t="s">
        <v>22</v>
      </c>
      <c r="ES23" s="166">
        <v>0.375</v>
      </c>
      <c r="ET23" s="166">
        <v>0.75</v>
      </c>
      <c r="EU23" s="167">
        <v>0.5</v>
      </c>
      <c r="EV23" s="167">
        <v>0.54166666666666663</v>
      </c>
      <c r="EW23" s="73" t="str">
        <f t="shared" si="25"/>
        <v>8h</v>
      </c>
      <c r="EX23" s="168">
        <v>0.375</v>
      </c>
      <c r="EY23" s="168">
        <v>0.75</v>
      </c>
      <c r="EZ23" s="168">
        <v>0.5</v>
      </c>
      <c r="FA23" s="168">
        <v>0.54166666666666663</v>
      </c>
      <c r="FB23" s="82" t="str">
        <f t="shared" si="26"/>
        <v>8h</v>
      </c>
      <c r="FC23" s="363"/>
      <c r="FD23" s="363"/>
      <c r="FE23" s="363"/>
      <c r="FG23" s="67"/>
      <c r="FH23" s="70">
        <f t="shared" si="45"/>
        <v>46309</v>
      </c>
      <c r="FI23" s="71" t="str">
        <f t="shared" si="27"/>
        <v>水</v>
      </c>
      <c r="FJ23" s="71" t="s">
        <v>22</v>
      </c>
      <c r="FK23" s="166">
        <v>0.375</v>
      </c>
      <c r="FL23" s="166">
        <v>0.75</v>
      </c>
      <c r="FM23" s="167">
        <v>0.5</v>
      </c>
      <c r="FN23" s="167">
        <v>0.54166666666666663</v>
      </c>
      <c r="FO23" s="73" t="str">
        <f t="shared" si="28"/>
        <v>8h</v>
      </c>
      <c r="FP23" s="168">
        <v>0.375</v>
      </c>
      <c r="FQ23" s="168">
        <v>0.75</v>
      </c>
      <c r="FR23" s="168">
        <v>0.5</v>
      </c>
      <c r="FS23" s="168">
        <v>0.54166666666666663</v>
      </c>
      <c r="FT23" s="82" t="str">
        <f t="shared" si="29"/>
        <v>8h</v>
      </c>
      <c r="FU23" s="363"/>
      <c r="FV23" s="363"/>
      <c r="FW23" s="363"/>
      <c r="FY23" s="67"/>
      <c r="FZ23" s="70">
        <f t="shared" si="46"/>
        <v>46340</v>
      </c>
      <c r="GA23" s="71" t="str">
        <f t="shared" si="30"/>
        <v>土</v>
      </c>
      <c r="GB23" s="71"/>
      <c r="GC23" s="72"/>
      <c r="GD23" s="72"/>
      <c r="GE23" s="44"/>
      <c r="GF23" s="44"/>
      <c r="GG23" s="73" t="str">
        <f t="shared" si="31"/>
        <v/>
      </c>
      <c r="GH23" s="81"/>
      <c r="GI23" s="81"/>
      <c r="GJ23" s="81"/>
      <c r="GK23" s="81"/>
      <c r="GL23" s="82" t="str">
        <f t="shared" si="32"/>
        <v/>
      </c>
      <c r="GM23" s="363"/>
      <c r="GN23" s="363"/>
      <c r="GO23" s="363"/>
      <c r="GQ23" s="67"/>
      <c r="GR23" s="70">
        <f t="shared" si="47"/>
        <v>46370</v>
      </c>
      <c r="GS23" s="71" t="str">
        <f t="shared" si="33"/>
        <v>月</v>
      </c>
      <c r="GT23" s="71" t="s">
        <v>22</v>
      </c>
      <c r="GU23" s="166">
        <v>0.375</v>
      </c>
      <c r="GV23" s="166">
        <v>0.75</v>
      </c>
      <c r="GW23" s="167">
        <v>0.5</v>
      </c>
      <c r="GX23" s="167">
        <v>0.54166666666666663</v>
      </c>
      <c r="GY23" s="73" t="str">
        <f t="shared" si="34"/>
        <v>8h</v>
      </c>
      <c r="GZ23" s="168">
        <v>0.375</v>
      </c>
      <c r="HA23" s="168">
        <v>0.75</v>
      </c>
      <c r="HB23" s="168">
        <v>0.5</v>
      </c>
      <c r="HC23" s="168">
        <v>0.54166666666666663</v>
      </c>
      <c r="HD23" s="82" t="str">
        <f t="shared" si="35"/>
        <v>8h</v>
      </c>
      <c r="HE23" s="363"/>
      <c r="HF23" s="363"/>
      <c r="HG23" s="363"/>
    </row>
    <row r="24" spans="1:215" x14ac:dyDescent="0.45">
      <c r="A24" s="67"/>
      <c r="B24" s="70">
        <f t="shared" si="36"/>
        <v>46037</v>
      </c>
      <c r="C24" s="71" t="str">
        <f t="shared" si="0"/>
        <v>木</v>
      </c>
      <c r="D24" s="71" t="s">
        <v>22</v>
      </c>
      <c r="E24" s="166">
        <v>0.375</v>
      </c>
      <c r="F24" s="166">
        <v>0.75</v>
      </c>
      <c r="G24" s="167">
        <v>0.5</v>
      </c>
      <c r="H24" s="167">
        <v>0.54166666666666663</v>
      </c>
      <c r="I24" s="73" t="str">
        <f t="shared" si="1"/>
        <v>8h</v>
      </c>
      <c r="J24" s="168">
        <v>0.375</v>
      </c>
      <c r="K24" s="168">
        <v>0.75</v>
      </c>
      <c r="L24" s="168">
        <v>0.5</v>
      </c>
      <c r="M24" s="168">
        <v>0.54166666666666663</v>
      </c>
      <c r="N24" s="82" t="str">
        <f t="shared" si="2"/>
        <v>8h</v>
      </c>
      <c r="O24" s="363"/>
      <c r="P24" s="363"/>
      <c r="Q24" s="363"/>
      <c r="S24" s="67"/>
      <c r="T24" s="70">
        <f t="shared" si="37"/>
        <v>46068</v>
      </c>
      <c r="U24" s="71" t="str">
        <f t="shared" si="3"/>
        <v>日</v>
      </c>
      <c r="V24" s="71"/>
      <c r="W24" s="72"/>
      <c r="X24" s="72"/>
      <c r="Y24" s="44"/>
      <c r="Z24" s="44"/>
      <c r="AA24" s="73" t="str">
        <f t="shared" si="4"/>
        <v/>
      </c>
      <c r="AB24" s="81"/>
      <c r="AC24" s="81"/>
      <c r="AD24" s="81"/>
      <c r="AE24" s="81"/>
      <c r="AF24" s="82" t="str">
        <f t="shared" si="5"/>
        <v/>
      </c>
      <c r="AG24" s="363"/>
      <c r="AH24" s="363"/>
      <c r="AI24" s="363"/>
      <c r="AK24" s="67"/>
      <c r="AL24" s="70">
        <f t="shared" si="38"/>
        <v>46096</v>
      </c>
      <c r="AM24" s="71" t="str">
        <f t="shared" si="6"/>
        <v>日</v>
      </c>
      <c r="AN24" s="71"/>
      <c r="AO24" s="72"/>
      <c r="AP24" s="72"/>
      <c r="AQ24" s="44"/>
      <c r="AR24" s="44"/>
      <c r="AS24" s="73" t="str">
        <f t="shared" si="7"/>
        <v/>
      </c>
      <c r="AT24" s="81"/>
      <c r="AU24" s="81"/>
      <c r="AV24" s="81"/>
      <c r="AW24" s="81"/>
      <c r="AX24" s="82" t="str">
        <f t="shared" si="8"/>
        <v/>
      </c>
      <c r="AY24" s="363"/>
      <c r="AZ24" s="363"/>
      <c r="BA24" s="363"/>
      <c r="BC24" s="67"/>
      <c r="BD24" s="70">
        <f t="shared" si="39"/>
        <v>46127</v>
      </c>
      <c r="BE24" s="71" t="str">
        <f t="shared" si="9"/>
        <v>水</v>
      </c>
      <c r="BF24" s="71" t="s">
        <v>22</v>
      </c>
      <c r="BG24" s="166">
        <v>0.375</v>
      </c>
      <c r="BH24" s="166">
        <v>0.75</v>
      </c>
      <c r="BI24" s="167">
        <v>0.5</v>
      </c>
      <c r="BJ24" s="167">
        <v>0.54166666666666663</v>
      </c>
      <c r="BK24" s="73" t="str">
        <f t="shared" si="10"/>
        <v>8h</v>
      </c>
      <c r="BL24" s="168">
        <v>0.375</v>
      </c>
      <c r="BM24" s="168">
        <v>0.75</v>
      </c>
      <c r="BN24" s="168">
        <v>0.5</v>
      </c>
      <c r="BO24" s="168">
        <v>0.54166666666666663</v>
      </c>
      <c r="BP24" s="82" t="str">
        <f t="shared" si="11"/>
        <v>8h</v>
      </c>
      <c r="BQ24" s="363"/>
      <c r="BR24" s="363"/>
      <c r="BS24" s="363"/>
      <c r="BU24" s="67"/>
      <c r="BV24" s="70">
        <f t="shared" si="40"/>
        <v>46157</v>
      </c>
      <c r="BW24" s="71" t="str">
        <f t="shared" si="12"/>
        <v>金</v>
      </c>
      <c r="BX24" s="71" t="s">
        <v>22</v>
      </c>
      <c r="BY24" s="166">
        <v>0.375</v>
      </c>
      <c r="BZ24" s="166">
        <v>0.75</v>
      </c>
      <c r="CA24" s="167">
        <v>0.5</v>
      </c>
      <c r="CB24" s="167">
        <v>0.54166666666666663</v>
      </c>
      <c r="CC24" s="73" t="str">
        <f t="shared" si="13"/>
        <v>8h</v>
      </c>
      <c r="CD24" s="168">
        <v>0.375</v>
      </c>
      <c r="CE24" s="168">
        <v>0.75</v>
      </c>
      <c r="CF24" s="168">
        <v>0.5</v>
      </c>
      <c r="CG24" s="168">
        <v>0.54166666666666663</v>
      </c>
      <c r="CH24" s="82" t="str">
        <f t="shared" si="14"/>
        <v>8h</v>
      </c>
      <c r="CI24" s="363"/>
      <c r="CJ24" s="363"/>
      <c r="CK24" s="363"/>
      <c r="CM24" s="67"/>
      <c r="CN24" s="70">
        <f t="shared" si="41"/>
        <v>46188</v>
      </c>
      <c r="CO24" s="71" t="str">
        <f t="shared" si="15"/>
        <v>月</v>
      </c>
      <c r="CP24" s="71" t="s">
        <v>22</v>
      </c>
      <c r="CQ24" s="166">
        <v>0.375</v>
      </c>
      <c r="CR24" s="166">
        <v>0.75</v>
      </c>
      <c r="CS24" s="167">
        <v>0.5</v>
      </c>
      <c r="CT24" s="167">
        <v>0.54166666666666663</v>
      </c>
      <c r="CU24" s="73" t="str">
        <f t="shared" si="16"/>
        <v>8h</v>
      </c>
      <c r="CV24" s="168">
        <v>0.375</v>
      </c>
      <c r="CW24" s="168">
        <v>0.75</v>
      </c>
      <c r="CX24" s="168">
        <v>0.5</v>
      </c>
      <c r="CY24" s="168">
        <v>0.54166666666666663</v>
      </c>
      <c r="CZ24" s="82" t="str">
        <f t="shared" si="17"/>
        <v>8h</v>
      </c>
      <c r="DA24" s="363"/>
      <c r="DB24" s="363"/>
      <c r="DC24" s="363"/>
      <c r="DE24" s="67"/>
      <c r="DF24" s="70">
        <f t="shared" si="42"/>
        <v>46218</v>
      </c>
      <c r="DG24" s="71" t="str">
        <f t="shared" si="18"/>
        <v>水</v>
      </c>
      <c r="DH24" s="71" t="s">
        <v>22</v>
      </c>
      <c r="DI24" s="166">
        <v>0.375</v>
      </c>
      <c r="DJ24" s="166">
        <v>0.75</v>
      </c>
      <c r="DK24" s="167">
        <v>0.5</v>
      </c>
      <c r="DL24" s="167">
        <v>0.54166666666666663</v>
      </c>
      <c r="DM24" s="73" t="str">
        <f t="shared" si="19"/>
        <v>8h</v>
      </c>
      <c r="DN24" s="168">
        <v>0.375</v>
      </c>
      <c r="DO24" s="168">
        <v>0.75</v>
      </c>
      <c r="DP24" s="168">
        <v>0.5</v>
      </c>
      <c r="DQ24" s="168">
        <v>0.54166666666666663</v>
      </c>
      <c r="DR24" s="82" t="str">
        <f t="shared" si="20"/>
        <v>8h</v>
      </c>
      <c r="DS24" s="363"/>
      <c r="DT24" s="363"/>
      <c r="DU24" s="363"/>
      <c r="DW24" s="67"/>
      <c r="DX24" s="70">
        <f t="shared" si="43"/>
        <v>46249</v>
      </c>
      <c r="DY24" s="71" t="str">
        <f t="shared" si="21"/>
        <v>土</v>
      </c>
      <c r="DZ24" s="71"/>
      <c r="EA24" s="72"/>
      <c r="EB24" s="72"/>
      <c r="EC24" s="44"/>
      <c r="ED24" s="44"/>
      <c r="EE24" s="73" t="str">
        <f t="shared" si="22"/>
        <v/>
      </c>
      <c r="EF24" s="81"/>
      <c r="EG24" s="81"/>
      <c r="EH24" s="81"/>
      <c r="EI24" s="81"/>
      <c r="EJ24" s="82" t="str">
        <f t="shared" si="23"/>
        <v/>
      </c>
      <c r="EK24" s="363"/>
      <c r="EL24" s="363"/>
      <c r="EM24" s="363"/>
      <c r="EO24" s="67"/>
      <c r="EP24" s="70">
        <f t="shared" si="44"/>
        <v>46280</v>
      </c>
      <c r="EQ24" s="71" t="str">
        <f t="shared" si="24"/>
        <v>火</v>
      </c>
      <c r="ER24" s="71" t="s">
        <v>22</v>
      </c>
      <c r="ES24" s="166">
        <v>0.375</v>
      </c>
      <c r="ET24" s="166">
        <v>0.75</v>
      </c>
      <c r="EU24" s="167">
        <v>0.5</v>
      </c>
      <c r="EV24" s="167">
        <v>0.54166666666666663</v>
      </c>
      <c r="EW24" s="73" t="str">
        <f t="shared" si="25"/>
        <v>8h</v>
      </c>
      <c r="EX24" s="168">
        <v>0.375</v>
      </c>
      <c r="EY24" s="168">
        <v>0.75</v>
      </c>
      <c r="EZ24" s="168">
        <v>0.5</v>
      </c>
      <c r="FA24" s="168">
        <v>0.54166666666666663</v>
      </c>
      <c r="FB24" s="82" t="str">
        <f t="shared" si="26"/>
        <v>8h</v>
      </c>
      <c r="FC24" s="363"/>
      <c r="FD24" s="363"/>
      <c r="FE24" s="363"/>
      <c r="FG24" s="67"/>
      <c r="FH24" s="70">
        <f t="shared" si="45"/>
        <v>46310</v>
      </c>
      <c r="FI24" s="71" t="str">
        <f t="shared" si="27"/>
        <v>木</v>
      </c>
      <c r="FJ24" s="71" t="s">
        <v>22</v>
      </c>
      <c r="FK24" s="166">
        <v>0.375</v>
      </c>
      <c r="FL24" s="166">
        <v>0.75</v>
      </c>
      <c r="FM24" s="167">
        <v>0.5</v>
      </c>
      <c r="FN24" s="167">
        <v>0.54166666666666663</v>
      </c>
      <c r="FO24" s="73" t="str">
        <f t="shared" si="28"/>
        <v>8h</v>
      </c>
      <c r="FP24" s="168">
        <v>0.375</v>
      </c>
      <c r="FQ24" s="168">
        <v>0.75</v>
      </c>
      <c r="FR24" s="168">
        <v>0.5</v>
      </c>
      <c r="FS24" s="168">
        <v>0.54166666666666663</v>
      </c>
      <c r="FT24" s="82" t="str">
        <f t="shared" si="29"/>
        <v>8h</v>
      </c>
      <c r="FU24" s="363"/>
      <c r="FV24" s="363"/>
      <c r="FW24" s="363"/>
      <c r="FY24" s="67"/>
      <c r="FZ24" s="70">
        <f t="shared" si="46"/>
        <v>46341</v>
      </c>
      <c r="GA24" s="71" t="str">
        <f t="shared" si="30"/>
        <v>日</v>
      </c>
      <c r="GB24" s="71"/>
      <c r="GC24" s="72"/>
      <c r="GD24" s="72"/>
      <c r="GE24" s="44"/>
      <c r="GF24" s="44"/>
      <c r="GG24" s="73" t="str">
        <f t="shared" si="31"/>
        <v/>
      </c>
      <c r="GH24" s="81"/>
      <c r="GI24" s="81"/>
      <c r="GJ24" s="81"/>
      <c r="GK24" s="81"/>
      <c r="GL24" s="82" t="str">
        <f t="shared" si="32"/>
        <v/>
      </c>
      <c r="GM24" s="363"/>
      <c r="GN24" s="363"/>
      <c r="GO24" s="363"/>
      <c r="GQ24" s="67"/>
      <c r="GR24" s="70">
        <f t="shared" si="47"/>
        <v>46371</v>
      </c>
      <c r="GS24" s="71" t="str">
        <f t="shared" si="33"/>
        <v>火</v>
      </c>
      <c r="GT24" s="71" t="s">
        <v>22</v>
      </c>
      <c r="GU24" s="166">
        <v>0.375</v>
      </c>
      <c r="GV24" s="166">
        <v>0.75</v>
      </c>
      <c r="GW24" s="167">
        <v>0.5</v>
      </c>
      <c r="GX24" s="167">
        <v>0.54166666666666663</v>
      </c>
      <c r="GY24" s="73" t="str">
        <f t="shared" si="34"/>
        <v>8h</v>
      </c>
      <c r="GZ24" s="168">
        <v>0.375</v>
      </c>
      <c r="HA24" s="168">
        <v>0.75</v>
      </c>
      <c r="HB24" s="168">
        <v>0.5</v>
      </c>
      <c r="HC24" s="168">
        <v>0.54166666666666663</v>
      </c>
      <c r="HD24" s="82" t="str">
        <f t="shared" si="35"/>
        <v>8h</v>
      </c>
      <c r="HE24" s="363"/>
      <c r="HF24" s="363"/>
      <c r="HG24" s="363"/>
    </row>
    <row r="25" spans="1:215" x14ac:dyDescent="0.45">
      <c r="A25" s="67"/>
      <c r="B25" s="70">
        <f t="shared" si="36"/>
        <v>46038</v>
      </c>
      <c r="C25" s="71" t="str">
        <f t="shared" si="0"/>
        <v>金</v>
      </c>
      <c r="D25" s="71" t="s">
        <v>22</v>
      </c>
      <c r="E25" s="166">
        <v>0.375</v>
      </c>
      <c r="F25" s="166">
        <v>0.75</v>
      </c>
      <c r="G25" s="167">
        <v>0.5</v>
      </c>
      <c r="H25" s="167">
        <v>0.54166666666666663</v>
      </c>
      <c r="I25" s="73" t="str">
        <f t="shared" si="1"/>
        <v>8h</v>
      </c>
      <c r="J25" s="168">
        <v>0.375</v>
      </c>
      <c r="K25" s="168">
        <v>0.75</v>
      </c>
      <c r="L25" s="168">
        <v>0.5</v>
      </c>
      <c r="M25" s="168">
        <v>0.54166666666666663</v>
      </c>
      <c r="N25" s="82" t="str">
        <f t="shared" si="2"/>
        <v>8h</v>
      </c>
      <c r="O25" s="363"/>
      <c r="P25" s="363"/>
      <c r="Q25" s="363"/>
      <c r="S25" s="67"/>
      <c r="T25" s="70">
        <f t="shared" si="37"/>
        <v>46069</v>
      </c>
      <c r="U25" s="71" t="str">
        <f t="shared" si="3"/>
        <v>月</v>
      </c>
      <c r="V25" s="71" t="s">
        <v>22</v>
      </c>
      <c r="W25" s="166">
        <v>0.375</v>
      </c>
      <c r="X25" s="166">
        <v>0.75</v>
      </c>
      <c r="Y25" s="167">
        <v>0.5</v>
      </c>
      <c r="Z25" s="167">
        <v>0.54166666666666663</v>
      </c>
      <c r="AA25" s="73" t="str">
        <f t="shared" si="4"/>
        <v>8h</v>
      </c>
      <c r="AB25" s="168">
        <v>0.375</v>
      </c>
      <c r="AC25" s="168">
        <v>0.75</v>
      </c>
      <c r="AD25" s="168">
        <v>0.5</v>
      </c>
      <c r="AE25" s="168">
        <v>0.54166666666666663</v>
      </c>
      <c r="AF25" s="82" t="str">
        <f t="shared" si="5"/>
        <v>8h</v>
      </c>
      <c r="AG25" s="363"/>
      <c r="AH25" s="363"/>
      <c r="AI25" s="363"/>
      <c r="AK25" s="67"/>
      <c r="AL25" s="70">
        <f t="shared" si="38"/>
        <v>46097</v>
      </c>
      <c r="AM25" s="71" t="str">
        <f t="shared" si="6"/>
        <v>月</v>
      </c>
      <c r="AN25" s="71" t="s">
        <v>22</v>
      </c>
      <c r="AO25" s="166">
        <v>0.375</v>
      </c>
      <c r="AP25" s="166">
        <v>0.75</v>
      </c>
      <c r="AQ25" s="167">
        <v>0.5</v>
      </c>
      <c r="AR25" s="167">
        <v>0.54166666666666663</v>
      </c>
      <c r="AS25" s="73" t="str">
        <f t="shared" si="7"/>
        <v>8h</v>
      </c>
      <c r="AT25" s="168">
        <v>0.375</v>
      </c>
      <c r="AU25" s="168">
        <v>0.75</v>
      </c>
      <c r="AV25" s="168">
        <v>0.5</v>
      </c>
      <c r="AW25" s="168">
        <v>0.54166666666666663</v>
      </c>
      <c r="AX25" s="82" t="str">
        <f t="shared" si="8"/>
        <v>8h</v>
      </c>
      <c r="AY25" s="363"/>
      <c r="AZ25" s="363"/>
      <c r="BA25" s="363"/>
      <c r="BC25" s="67"/>
      <c r="BD25" s="70">
        <f t="shared" si="39"/>
        <v>46128</v>
      </c>
      <c r="BE25" s="71" t="str">
        <f t="shared" si="9"/>
        <v>木</v>
      </c>
      <c r="BF25" s="71" t="s">
        <v>22</v>
      </c>
      <c r="BG25" s="166">
        <v>0.375</v>
      </c>
      <c r="BH25" s="166">
        <v>0.75</v>
      </c>
      <c r="BI25" s="167">
        <v>0.5</v>
      </c>
      <c r="BJ25" s="167">
        <v>0.54166666666666663</v>
      </c>
      <c r="BK25" s="73" t="str">
        <f t="shared" si="10"/>
        <v>8h</v>
      </c>
      <c r="BL25" s="168">
        <v>0.375</v>
      </c>
      <c r="BM25" s="168">
        <v>0.75</v>
      </c>
      <c r="BN25" s="168">
        <v>0.5</v>
      </c>
      <c r="BO25" s="168">
        <v>0.54166666666666663</v>
      </c>
      <c r="BP25" s="82" t="str">
        <f t="shared" si="11"/>
        <v>8h</v>
      </c>
      <c r="BQ25" s="363"/>
      <c r="BR25" s="363"/>
      <c r="BS25" s="363"/>
      <c r="BU25" s="67"/>
      <c r="BV25" s="70">
        <f t="shared" si="40"/>
        <v>46158</v>
      </c>
      <c r="BW25" s="71" t="str">
        <f t="shared" si="12"/>
        <v>土</v>
      </c>
      <c r="BX25" s="71"/>
      <c r="BY25" s="72"/>
      <c r="BZ25" s="72"/>
      <c r="CA25" s="44"/>
      <c r="CB25" s="44"/>
      <c r="CC25" s="73" t="str">
        <f t="shared" si="13"/>
        <v/>
      </c>
      <c r="CD25" s="81"/>
      <c r="CE25" s="81"/>
      <c r="CF25" s="81"/>
      <c r="CG25" s="81"/>
      <c r="CH25" s="82" t="str">
        <f t="shared" si="14"/>
        <v/>
      </c>
      <c r="CI25" s="363"/>
      <c r="CJ25" s="363"/>
      <c r="CK25" s="363"/>
      <c r="CM25" s="67"/>
      <c r="CN25" s="70">
        <f t="shared" si="41"/>
        <v>46189</v>
      </c>
      <c r="CO25" s="71" t="str">
        <f t="shared" si="15"/>
        <v>火</v>
      </c>
      <c r="CP25" s="71" t="s">
        <v>22</v>
      </c>
      <c r="CQ25" s="166">
        <v>0.375</v>
      </c>
      <c r="CR25" s="166">
        <v>0.75</v>
      </c>
      <c r="CS25" s="167">
        <v>0.5</v>
      </c>
      <c r="CT25" s="167">
        <v>0.54166666666666663</v>
      </c>
      <c r="CU25" s="73" t="str">
        <f t="shared" si="16"/>
        <v>8h</v>
      </c>
      <c r="CV25" s="168">
        <v>0.375</v>
      </c>
      <c r="CW25" s="168">
        <v>0.75</v>
      </c>
      <c r="CX25" s="168">
        <v>0.5</v>
      </c>
      <c r="CY25" s="168">
        <v>0.54166666666666663</v>
      </c>
      <c r="CZ25" s="82" t="str">
        <f t="shared" si="17"/>
        <v>8h</v>
      </c>
      <c r="DA25" s="363"/>
      <c r="DB25" s="363"/>
      <c r="DC25" s="363"/>
      <c r="DE25" s="67"/>
      <c r="DF25" s="70">
        <f t="shared" si="42"/>
        <v>46219</v>
      </c>
      <c r="DG25" s="71" t="str">
        <f t="shared" si="18"/>
        <v>木</v>
      </c>
      <c r="DH25" s="71" t="s">
        <v>22</v>
      </c>
      <c r="DI25" s="166">
        <v>0.375</v>
      </c>
      <c r="DJ25" s="166">
        <v>0.75</v>
      </c>
      <c r="DK25" s="167">
        <v>0.5</v>
      </c>
      <c r="DL25" s="167">
        <v>0.54166666666666663</v>
      </c>
      <c r="DM25" s="73" t="str">
        <f t="shared" si="19"/>
        <v>8h</v>
      </c>
      <c r="DN25" s="168">
        <v>0.375</v>
      </c>
      <c r="DO25" s="168">
        <v>0.75</v>
      </c>
      <c r="DP25" s="168">
        <v>0.5</v>
      </c>
      <c r="DQ25" s="168">
        <v>0.54166666666666663</v>
      </c>
      <c r="DR25" s="82" t="str">
        <f t="shared" si="20"/>
        <v>8h</v>
      </c>
      <c r="DS25" s="363"/>
      <c r="DT25" s="363"/>
      <c r="DU25" s="363"/>
      <c r="DW25" s="67"/>
      <c r="DX25" s="70">
        <f t="shared" si="43"/>
        <v>46250</v>
      </c>
      <c r="DY25" s="71" t="str">
        <f t="shared" si="21"/>
        <v>日</v>
      </c>
      <c r="DZ25" s="71"/>
      <c r="EA25" s="72"/>
      <c r="EB25" s="72"/>
      <c r="EC25" s="44"/>
      <c r="ED25" s="44"/>
      <c r="EE25" s="73" t="str">
        <f t="shared" si="22"/>
        <v/>
      </c>
      <c r="EF25" s="81"/>
      <c r="EG25" s="81"/>
      <c r="EH25" s="81"/>
      <c r="EI25" s="81"/>
      <c r="EJ25" s="82" t="str">
        <f t="shared" si="23"/>
        <v/>
      </c>
      <c r="EK25" s="363"/>
      <c r="EL25" s="363"/>
      <c r="EM25" s="363"/>
      <c r="EO25" s="67"/>
      <c r="EP25" s="70">
        <f t="shared" si="44"/>
        <v>46281</v>
      </c>
      <c r="EQ25" s="71" t="str">
        <f t="shared" si="24"/>
        <v>水</v>
      </c>
      <c r="ER25" s="71" t="s">
        <v>22</v>
      </c>
      <c r="ES25" s="166">
        <v>0.375</v>
      </c>
      <c r="ET25" s="166">
        <v>0.75</v>
      </c>
      <c r="EU25" s="167">
        <v>0.5</v>
      </c>
      <c r="EV25" s="167">
        <v>0.54166666666666663</v>
      </c>
      <c r="EW25" s="73" t="str">
        <f t="shared" si="25"/>
        <v>8h</v>
      </c>
      <c r="EX25" s="168">
        <v>0.375</v>
      </c>
      <c r="EY25" s="168">
        <v>0.75</v>
      </c>
      <c r="EZ25" s="168">
        <v>0.5</v>
      </c>
      <c r="FA25" s="168">
        <v>0.54166666666666663</v>
      </c>
      <c r="FB25" s="82" t="str">
        <f t="shared" si="26"/>
        <v>8h</v>
      </c>
      <c r="FC25" s="363"/>
      <c r="FD25" s="363"/>
      <c r="FE25" s="363"/>
      <c r="FG25" s="67"/>
      <c r="FH25" s="70">
        <f t="shared" si="45"/>
        <v>46311</v>
      </c>
      <c r="FI25" s="71" t="str">
        <f t="shared" si="27"/>
        <v>金</v>
      </c>
      <c r="FJ25" s="71" t="s">
        <v>22</v>
      </c>
      <c r="FK25" s="166">
        <v>0.375</v>
      </c>
      <c r="FL25" s="166">
        <v>0.75</v>
      </c>
      <c r="FM25" s="167">
        <v>0.5</v>
      </c>
      <c r="FN25" s="167">
        <v>0.54166666666666663</v>
      </c>
      <c r="FO25" s="73" t="str">
        <f t="shared" si="28"/>
        <v>8h</v>
      </c>
      <c r="FP25" s="168">
        <v>0.375</v>
      </c>
      <c r="FQ25" s="168">
        <v>0.75</v>
      </c>
      <c r="FR25" s="168">
        <v>0.5</v>
      </c>
      <c r="FS25" s="168">
        <v>0.54166666666666663</v>
      </c>
      <c r="FT25" s="82" t="str">
        <f t="shared" si="29"/>
        <v>8h</v>
      </c>
      <c r="FU25" s="363"/>
      <c r="FV25" s="363"/>
      <c r="FW25" s="363"/>
      <c r="FY25" s="67"/>
      <c r="FZ25" s="70">
        <f t="shared" si="46"/>
        <v>46342</v>
      </c>
      <c r="GA25" s="71" t="str">
        <f t="shared" si="30"/>
        <v>月</v>
      </c>
      <c r="GB25" s="71" t="s">
        <v>22</v>
      </c>
      <c r="GC25" s="166">
        <v>0.375</v>
      </c>
      <c r="GD25" s="166">
        <v>0.75</v>
      </c>
      <c r="GE25" s="167">
        <v>0.5</v>
      </c>
      <c r="GF25" s="167">
        <v>0.54166666666666663</v>
      </c>
      <c r="GG25" s="73" t="str">
        <f t="shared" si="31"/>
        <v>8h</v>
      </c>
      <c r="GH25" s="168">
        <v>0.375</v>
      </c>
      <c r="GI25" s="168">
        <v>0.75</v>
      </c>
      <c r="GJ25" s="168">
        <v>0.5</v>
      </c>
      <c r="GK25" s="168">
        <v>0.54166666666666663</v>
      </c>
      <c r="GL25" s="82" t="str">
        <f t="shared" si="32"/>
        <v>8h</v>
      </c>
      <c r="GM25" s="363"/>
      <c r="GN25" s="363"/>
      <c r="GO25" s="363"/>
      <c r="GQ25" s="67"/>
      <c r="GR25" s="70">
        <f t="shared" si="47"/>
        <v>46372</v>
      </c>
      <c r="GS25" s="71" t="str">
        <f t="shared" si="33"/>
        <v>水</v>
      </c>
      <c r="GT25" s="71" t="s">
        <v>22</v>
      </c>
      <c r="GU25" s="166">
        <v>0.375</v>
      </c>
      <c r="GV25" s="166">
        <v>0.75</v>
      </c>
      <c r="GW25" s="167">
        <v>0.5</v>
      </c>
      <c r="GX25" s="167">
        <v>0.54166666666666663</v>
      </c>
      <c r="GY25" s="73" t="str">
        <f t="shared" si="34"/>
        <v>8h</v>
      </c>
      <c r="GZ25" s="168">
        <v>0.375</v>
      </c>
      <c r="HA25" s="168">
        <v>0.75</v>
      </c>
      <c r="HB25" s="168">
        <v>0.5</v>
      </c>
      <c r="HC25" s="168">
        <v>0.54166666666666663</v>
      </c>
      <c r="HD25" s="82" t="str">
        <f t="shared" si="35"/>
        <v>8h</v>
      </c>
      <c r="HE25" s="363"/>
      <c r="HF25" s="363"/>
      <c r="HG25" s="363"/>
    </row>
    <row r="26" spans="1:215" x14ac:dyDescent="0.45">
      <c r="A26" s="67"/>
      <c r="B26" s="70">
        <f t="shared" si="36"/>
        <v>46039</v>
      </c>
      <c r="C26" s="71" t="str">
        <f t="shared" si="0"/>
        <v>土</v>
      </c>
      <c r="D26" s="71"/>
      <c r="E26" s="72"/>
      <c r="F26" s="72"/>
      <c r="G26" s="44"/>
      <c r="H26" s="44"/>
      <c r="I26" s="73" t="str">
        <f t="shared" si="1"/>
        <v/>
      </c>
      <c r="J26" s="81"/>
      <c r="K26" s="81"/>
      <c r="L26" s="81"/>
      <c r="M26" s="81"/>
      <c r="N26" s="82" t="str">
        <f t="shared" si="2"/>
        <v/>
      </c>
      <c r="O26" s="363"/>
      <c r="P26" s="363"/>
      <c r="Q26" s="363"/>
      <c r="S26" s="67"/>
      <c r="T26" s="70">
        <f t="shared" si="37"/>
        <v>46070</v>
      </c>
      <c r="U26" s="71" t="str">
        <f t="shared" si="3"/>
        <v>火</v>
      </c>
      <c r="V26" s="71" t="s">
        <v>22</v>
      </c>
      <c r="W26" s="166">
        <v>0.375</v>
      </c>
      <c r="X26" s="166">
        <v>0.75</v>
      </c>
      <c r="Y26" s="167">
        <v>0.5</v>
      </c>
      <c r="Z26" s="167">
        <v>0.54166666666666663</v>
      </c>
      <c r="AA26" s="73" t="str">
        <f t="shared" si="4"/>
        <v>8h</v>
      </c>
      <c r="AB26" s="168">
        <v>0.375</v>
      </c>
      <c r="AC26" s="168">
        <v>0.75</v>
      </c>
      <c r="AD26" s="168">
        <v>0.5</v>
      </c>
      <c r="AE26" s="168">
        <v>0.54166666666666663</v>
      </c>
      <c r="AF26" s="82" t="str">
        <f t="shared" si="5"/>
        <v>8h</v>
      </c>
      <c r="AG26" s="363"/>
      <c r="AH26" s="363"/>
      <c r="AI26" s="363"/>
      <c r="AK26" s="67"/>
      <c r="AL26" s="70">
        <f t="shared" si="38"/>
        <v>46098</v>
      </c>
      <c r="AM26" s="71" t="str">
        <f t="shared" si="6"/>
        <v>火</v>
      </c>
      <c r="AN26" s="71" t="s">
        <v>22</v>
      </c>
      <c r="AO26" s="166">
        <v>0.375</v>
      </c>
      <c r="AP26" s="166">
        <v>0.75</v>
      </c>
      <c r="AQ26" s="167">
        <v>0.5</v>
      </c>
      <c r="AR26" s="167">
        <v>0.54166666666666663</v>
      </c>
      <c r="AS26" s="73" t="str">
        <f t="shared" si="7"/>
        <v>8h</v>
      </c>
      <c r="AT26" s="168">
        <v>0.375</v>
      </c>
      <c r="AU26" s="168">
        <v>0.75</v>
      </c>
      <c r="AV26" s="168">
        <v>0.5</v>
      </c>
      <c r="AW26" s="168">
        <v>0.54166666666666663</v>
      </c>
      <c r="AX26" s="82" t="str">
        <f t="shared" si="8"/>
        <v>8h</v>
      </c>
      <c r="AY26" s="363"/>
      <c r="AZ26" s="363"/>
      <c r="BA26" s="363"/>
      <c r="BC26" s="67"/>
      <c r="BD26" s="70">
        <f t="shared" si="39"/>
        <v>46129</v>
      </c>
      <c r="BE26" s="71" t="str">
        <f t="shared" si="9"/>
        <v>金</v>
      </c>
      <c r="BF26" s="71" t="s">
        <v>22</v>
      </c>
      <c r="BG26" s="166">
        <v>0.375</v>
      </c>
      <c r="BH26" s="166">
        <v>0.75</v>
      </c>
      <c r="BI26" s="167">
        <v>0.5</v>
      </c>
      <c r="BJ26" s="167">
        <v>0.54166666666666663</v>
      </c>
      <c r="BK26" s="73" t="str">
        <f t="shared" si="10"/>
        <v>8h</v>
      </c>
      <c r="BL26" s="168">
        <v>0.375</v>
      </c>
      <c r="BM26" s="168">
        <v>0.75</v>
      </c>
      <c r="BN26" s="168">
        <v>0.5</v>
      </c>
      <c r="BO26" s="168">
        <v>0.54166666666666663</v>
      </c>
      <c r="BP26" s="82" t="str">
        <f t="shared" si="11"/>
        <v>8h</v>
      </c>
      <c r="BQ26" s="363"/>
      <c r="BR26" s="363"/>
      <c r="BS26" s="363"/>
      <c r="BU26" s="67"/>
      <c r="BV26" s="70">
        <f t="shared" si="40"/>
        <v>46159</v>
      </c>
      <c r="BW26" s="71" t="str">
        <f t="shared" si="12"/>
        <v>日</v>
      </c>
      <c r="BX26" s="71"/>
      <c r="BY26" s="72"/>
      <c r="BZ26" s="72"/>
      <c r="CA26" s="44"/>
      <c r="CB26" s="44"/>
      <c r="CC26" s="73" t="str">
        <f t="shared" si="13"/>
        <v/>
      </c>
      <c r="CD26" s="81"/>
      <c r="CE26" s="81"/>
      <c r="CF26" s="81"/>
      <c r="CG26" s="81"/>
      <c r="CH26" s="82" t="str">
        <f t="shared" si="14"/>
        <v/>
      </c>
      <c r="CI26" s="363"/>
      <c r="CJ26" s="363"/>
      <c r="CK26" s="363"/>
      <c r="CM26" s="67"/>
      <c r="CN26" s="70">
        <f t="shared" si="41"/>
        <v>46190</v>
      </c>
      <c r="CO26" s="71" t="str">
        <f t="shared" si="15"/>
        <v>水</v>
      </c>
      <c r="CP26" s="71" t="s">
        <v>22</v>
      </c>
      <c r="CQ26" s="166">
        <v>0.375</v>
      </c>
      <c r="CR26" s="166">
        <v>0.75</v>
      </c>
      <c r="CS26" s="167">
        <v>0.5</v>
      </c>
      <c r="CT26" s="167">
        <v>0.54166666666666663</v>
      </c>
      <c r="CU26" s="73" t="str">
        <f t="shared" si="16"/>
        <v>8h</v>
      </c>
      <c r="CV26" s="168">
        <v>0.375</v>
      </c>
      <c r="CW26" s="168">
        <v>0.75</v>
      </c>
      <c r="CX26" s="168">
        <v>0.5</v>
      </c>
      <c r="CY26" s="168">
        <v>0.54166666666666663</v>
      </c>
      <c r="CZ26" s="82" t="str">
        <f t="shared" si="17"/>
        <v>8h</v>
      </c>
      <c r="DA26" s="363"/>
      <c r="DB26" s="363"/>
      <c r="DC26" s="363"/>
      <c r="DE26" s="67"/>
      <c r="DF26" s="70">
        <f t="shared" si="42"/>
        <v>46220</v>
      </c>
      <c r="DG26" s="71" t="str">
        <f t="shared" si="18"/>
        <v>金</v>
      </c>
      <c r="DH26" s="71" t="s">
        <v>22</v>
      </c>
      <c r="DI26" s="166">
        <v>0.375</v>
      </c>
      <c r="DJ26" s="166">
        <v>0.75</v>
      </c>
      <c r="DK26" s="167">
        <v>0.5</v>
      </c>
      <c r="DL26" s="167">
        <v>0.54166666666666663</v>
      </c>
      <c r="DM26" s="73" t="str">
        <f t="shared" si="19"/>
        <v>8h</v>
      </c>
      <c r="DN26" s="168">
        <v>0.375</v>
      </c>
      <c r="DO26" s="168">
        <v>0.75</v>
      </c>
      <c r="DP26" s="168">
        <v>0.5</v>
      </c>
      <c r="DQ26" s="168">
        <v>0.54166666666666663</v>
      </c>
      <c r="DR26" s="82" t="str">
        <f t="shared" si="20"/>
        <v>8h</v>
      </c>
      <c r="DS26" s="363"/>
      <c r="DT26" s="363"/>
      <c r="DU26" s="363"/>
      <c r="DW26" s="67"/>
      <c r="DX26" s="70">
        <f t="shared" si="43"/>
        <v>46251</v>
      </c>
      <c r="DY26" s="71" t="str">
        <f t="shared" si="21"/>
        <v>月</v>
      </c>
      <c r="DZ26" s="71" t="s">
        <v>22</v>
      </c>
      <c r="EA26" s="166">
        <v>0.375</v>
      </c>
      <c r="EB26" s="166">
        <v>0.75</v>
      </c>
      <c r="EC26" s="167">
        <v>0.5</v>
      </c>
      <c r="ED26" s="167">
        <v>0.54166666666666663</v>
      </c>
      <c r="EE26" s="73" t="str">
        <f t="shared" si="22"/>
        <v>8h</v>
      </c>
      <c r="EF26" s="168">
        <v>0.375</v>
      </c>
      <c r="EG26" s="168">
        <v>0.75</v>
      </c>
      <c r="EH26" s="168">
        <v>0.5</v>
      </c>
      <c r="EI26" s="168">
        <v>0.54166666666666663</v>
      </c>
      <c r="EJ26" s="82" t="str">
        <f t="shared" si="23"/>
        <v>8h</v>
      </c>
      <c r="EK26" s="363"/>
      <c r="EL26" s="363"/>
      <c r="EM26" s="363"/>
      <c r="EO26" s="67"/>
      <c r="EP26" s="70">
        <f t="shared" si="44"/>
        <v>46282</v>
      </c>
      <c r="EQ26" s="71" t="str">
        <f t="shared" si="24"/>
        <v>木</v>
      </c>
      <c r="ER26" s="71" t="s">
        <v>22</v>
      </c>
      <c r="ES26" s="166">
        <v>0.375</v>
      </c>
      <c r="ET26" s="166">
        <v>0.75</v>
      </c>
      <c r="EU26" s="167">
        <v>0.5</v>
      </c>
      <c r="EV26" s="167">
        <v>0.54166666666666663</v>
      </c>
      <c r="EW26" s="73" t="str">
        <f t="shared" si="25"/>
        <v>8h</v>
      </c>
      <c r="EX26" s="168">
        <v>0.375</v>
      </c>
      <c r="EY26" s="168">
        <v>0.75</v>
      </c>
      <c r="EZ26" s="168">
        <v>0.5</v>
      </c>
      <c r="FA26" s="168">
        <v>0.54166666666666663</v>
      </c>
      <c r="FB26" s="82" t="str">
        <f t="shared" si="26"/>
        <v>8h</v>
      </c>
      <c r="FC26" s="363"/>
      <c r="FD26" s="363"/>
      <c r="FE26" s="363"/>
      <c r="FG26" s="67"/>
      <c r="FH26" s="70">
        <f t="shared" si="45"/>
        <v>46312</v>
      </c>
      <c r="FI26" s="71" t="str">
        <f t="shared" si="27"/>
        <v>土</v>
      </c>
      <c r="FJ26" s="71"/>
      <c r="FK26" s="72"/>
      <c r="FL26" s="72"/>
      <c r="FM26" s="44"/>
      <c r="FN26" s="44"/>
      <c r="FO26" s="73" t="str">
        <f t="shared" si="28"/>
        <v/>
      </c>
      <c r="FP26" s="81"/>
      <c r="FQ26" s="81"/>
      <c r="FR26" s="81"/>
      <c r="FS26" s="81"/>
      <c r="FT26" s="82" t="str">
        <f t="shared" si="29"/>
        <v/>
      </c>
      <c r="FU26" s="363"/>
      <c r="FV26" s="363"/>
      <c r="FW26" s="363"/>
      <c r="FY26" s="67"/>
      <c r="FZ26" s="70">
        <f t="shared" si="46"/>
        <v>46343</v>
      </c>
      <c r="GA26" s="71" t="str">
        <f t="shared" si="30"/>
        <v>火</v>
      </c>
      <c r="GB26" s="71" t="s">
        <v>22</v>
      </c>
      <c r="GC26" s="166">
        <v>0.375</v>
      </c>
      <c r="GD26" s="166">
        <v>0.75</v>
      </c>
      <c r="GE26" s="167">
        <v>0.5</v>
      </c>
      <c r="GF26" s="167">
        <v>0.54166666666666663</v>
      </c>
      <c r="GG26" s="73" t="str">
        <f t="shared" si="31"/>
        <v>8h</v>
      </c>
      <c r="GH26" s="168">
        <v>0.375</v>
      </c>
      <c r="GI26" s="168">
        <v>0.75</v>
      </c>
      <c r="GJ26" s="168">
        <v>0.5</v>
      </c>
      <c r="GK26" s="168">
        <v>0.54166666666666663</v>
      </c>
      <c r="GL26" s="82" t="str">
        <f t="shared" si="32"/>
        <v>8h</v>
      </c>
      <c r="GM26" s="363"/>
      <c r="GN26" s="363"/>
      <c r="GO26" s="363"/>
      <c r="GQ26" s="67"/>
      <c r="GR26" s="70">
        <f t="shared" si="47"/>
        <v>46373</v>
      </c>
      <c r="GS26" s="71" t="str">
        <f t="shared" si="33"/>
        <v>木</v>
      </c>
      <c r="GT26" s="71" t="s">
        <v>22</v>
      </c>
      <c r="GU26" s="166">
        <v>0.375</v>
      </c>
      <c r="GV26" s="166">
        <v>0.75</v>
      </c>
      <c r="GW26" s="167">
        <v>0.5</v>
      </c>
      <c r="GX26" s="167">
        <v>0.54166666666666663</v>
      </c>
      <c r="GY26" s="73" t="str">
        <f t="shared" si="34"/>
        <v>8h</v>
      </c>
      <c r="GZ26" s="168">
        <v>0.375</v>
      </c>
      <c r="HA26" s="168">
        <v>0.75</v>
      </c>
      <c r="HB26" s="168">
        <v>0.5</v>
      </c>
      <c r="HC26" s="168">
        <v>0.54166666666666663</v>
      </c>
      <c r="HD26" s="82" t="str">
        <f t="shared" si="35"/>
        <v>8h</v>
      </c>
      <c r="HE26" s="363"/>
      <c r="HF26" s="363"/>
      <c r="HG26" s="363"/>
    </row>
    <row r="27" spans="1:215" x14ac:dyDescent="0.45">
      <c r="A27" s="67"/>
      <c r="B27" s="70">
        <f t="shared" si="36"/>
        <v>46040</v>
      </c>
      <c r="C27" s="71" t="str">
        <f t="shared" si="0"/>
        <v>日</v>
      </c>
      <c r="D27" s="71"/>
      <c r="E27" s="72"/>
      <c r="F27" s="72"/>
      <c r="G27" s="44"/>
      <c r="H27" s="44"/>
      <c r="I27" s="73" t="str">
        <f t="shared" si="1"/>
        <v/>
      </c>
      <c r="J27" s="81"/>
      <c r="K27" s="81"/>
      <c r="L27" s="81"/>
      <c r="M27" s="81"/>
      <c r="N27" s="82" t="str">
        <f t="shared" si="2"/>
        <v/>
      </c>
      <c r="O27" s="363"/>
      <c r="P27" s="363"/>
      <c r="Q27" s="363"/>
      <c r="S27" s="67"/>
      <c r="T27" s="70">
        <f t="shared" si="37"/>
        <v>46071</v>
      </c>
      <c r="U27" s="71" t="str">
        <f t="shared" si="3"/>
        <v>水</v>
      </c>
      <c r="V27" s="71" t="s">
        <v>22</v>
      </c>
      <c r="W27" s="166">
        <v>0.375</v>
      </c>
      <c r="X27" s="166">
        <v>0.75</v>
      </c>
      <c r="Y27" s="167">
        <v>0.5</v>
      </c>
      <c r="Z27" s="167">
        <v>0.54166666666666663</v>
      </c>
      <c r="AA27" s="73" t="str">
        <f t="shared" si="4"/>
        <v>8h</v>
      </c>
      <c r="AB27" s="168">
        <v>0.375</v>
      </c>
      <c r="AC27" s="168">
        <v>0.75</v>
      </c>
      <c r="AD27" s="168">
        <v>0.5</v>
      </c>
      <c r="AE27" s="168">
        <v>0.54166666666666663</v>
      </c>
      <c r="AF27" s="82" t="str">
        <f t="shared" si="5"/>
        <v>8h</v>
      </c>
      <c r="AG27" s="363"/>
      <c r="AH27" s="363"/>
      <c r="AI27" s="363"/>
      <c r="AK27" s="67"/>
      <c r="AL27" s="70">
        <f t="shared" si="38"/>
        <v>46099</v>
      </c>
      <c r="AM27" s="71" t="str">
        <f t="shared" si="6"/>
        <v>水</v>
      </c>
      <c r="AN27" s="71" t="s">
        <v>22</v>
      </c>
      <c r="AO27" s="166">
        <v>0.375</v>
      </c>
      <c r="AP27" s="166">
        <v>0.75</v>
      </c>
      <c r="AQ27" s="167">
        <v>0.5</v>
      </c>
      <c r="AR27" s="167">
        <v>0.54166666666666663</v>
      </c>
      <c r="AS27" s="73" t="str">
        <f t="shared" si="7"/>
        <v>8h</v>
      </c>
      <c r="AT27" s="168">
        <v>0.375</v>
      </c>
      <c r="AU27" s="168">
        <v>0.75</v>
      </c>
      <c r="AV27" s="168">
        <v>0.5</v>
      </c>
      <c r="AW27" s="168">
        <v>0.54166666666666663</v>
      </c>
      <c r="AX27" s="82" t="str">
        <f t="shared" si="8"/>
        <v>8h</v>
      </c>
      <c r="AY27" s="363"/>
      <c r="AZ27" s="363"/>
      <c r="BA27" s="363"/>
      <c r="BC27" s="67"/>
      <c r="BD27" s="70">
        <f t="shared" si="39"/>
        <v>46130</v>
      </c>
      <c r="BE27" s="71" t="str">
        <f t="shared" si="9"/>
        <v>土</v>
      </c>
      <c r="BF27" s="71"/>
      <c r="BG27" s="72"/>
      <c r="BH27" s="72"/>
      <c r="BI27" s="44"/>
      <c r="BJ27" s="44"/>
      <c r="BK27" s="73" t="str">
        <f t="shared" si="10"/>
        <v/>
      </c>
      <c r="BL27" s="81"/>
      <c r="BM27" s="81"/>
      <c r="BN27" s="81"/>
      <c r="BO27" s="81"/>
      <c r="BP27" s="82" t="str">
        <f t="shared" si="11"/>
        <v/>
      </c>
      <c r="BQ27" s="363"/>
      <c r="BR27" s="363"/>
      <c r="BS27" s="363"/>
      <c r="BU27" s="67"/>
      <c r="BV27" s="70">
        <f t="shared" si="40"/>
        <v>46160</v>
      </c>
      <c r="BW27" s="71" t="str">
        <f t="shared" si="12"/>
        <v>月</v>
      </c>
      <c r="BX27" s="71" t="s">
        <v>22</v>
      </c>
      <c r="BY27" s="166">
        <v>0.375</v>
      </c>
      <c r="BZ27" s="166">
        <v>0.75</v>
      </c>
      <c r="CA27" s="167">
        <v>0.5</v>
      </c>
      <c r="CB27" s="167">
        <v>0.54166666666666663</v>
      </c>
      <c r="CC27" s="73" t="str">
        <f t="shared" si="13"/>
        <v>8h</v>
      </c>
      <c r="CD27" s="168">
        <v>0.375</v>
      </c>
      <c r="CE27" s="168">
        <v>0.75</v>
      </c>
      <c r="CF27" s="168">
        <v>0.5</v>
      </c>
      <c r="CG27" s="168">
        <v>0.54166666666666663</v>
      </c>
      <c r="CH27" s="82" t="str">
        <f t="shared" si="14"/>
        <v>8h</v>
      </c>
      <c r="CI27" s="363"/>
      <c r="CJ27" s="363"/>
      <c r="CK27" s="363"/>
      <c r="CM27" s="67"/>
      <c r="CN27" s="70">
        <f t="shared" si="41"/>
        <v>46191</v>
      </c>
      <c r="CO27" s="71" t="str">
        <f t="shared" si="15"/>
        <v>木</v>
      </c>
      <c r="CP27" s="71" t="s">
        <v>22</v>
      </c>
      <c r="CQ27" s="166">
        <v>0.375</v>
      </c>
      <c r="CR27" s="166">
        <v>0.75</v>
      </c>
      <c r="CS27" s="167">
        <v>0.5</v>
      </c>
      <c r="CT27" s="167">
        <v>0.54166666666666663</v>
      </c>
      <c r="CU27" s="73" t="str">
        <f t="shared" si="16"/>
        <v>8h</v>
      </c>
      <c r="CV27" s="168">
        <v>0.375</v>
      </c>
      <c r="CW27" s="168">
        <v>0.75</v>
      </c>
      <c r="CX27" s="168">
        <v>0.5</v>
      </c>
      <c r="CY27" s="168">
        <v>0.54166666666666663</v>
      </c>
      <c r="CZ27" s="82" t="str">
        <f t="shared" si="17"/>
        <v>8h</v>
      </c>
      <c r="DA27" s="363"/>
      <c r="DB27" s="363"/>
      <c r="DC27" s="363"/>
      <c r="DE27" s="67"/>
      <c r="DF27" s="70">
        <f t="shared" si="42"/>
        <v>46221</v>
      </c>
      <c r="DG27" s="71" t="str">
        <f t="shared" si="18"/>
        <v>土</v>
      </c>
      <c r="DH27" s="71"/>
      <c r="DI27" s="72"/>
      <c r="DJ27" s="72"/>
      <c r="DK27" s="44"/>
      <c r="DL27" s="44"/>
      <c r="DM27" s="73" t="str">
        <f t="shared" si="19"/>
        <v/>
      </c>
      <c r="DN27" s="81"/>
      <c r="DO27" s="81"/>
      <c r="DP27" s="81"/>
      <c r="DQ27" s="81"/>
      <c r="DR27" s="82" t="str">
        <f t="shared" si="20"/>
        <v/>
      </c>
      <c r="DS27" s="363"/>
      <c r="DT27" s="363"/>
      <c r="DU27" s="363"/>
      <c r="DW27" s="67"/>
      <c r="DX27" s="70">
        <f t="shared" si="43"/>
        <v>46252</v>
      </c>
      <c r="DY27" s="71" t="str">
        <f t="shared" si="21"/>
        <v>火</v>
      </c>
      <c r="DZ27" s="71" t="s">
        <v>22</v>
      </c>
      <c r="EA27" s="166">
        <v>0.375</v>
      </c>
      <c r="EB27" s="166">
        <v>0.75</v>
      </c>
      <c r="EC27" s="167">
        <v>0.5</v>
      </c>
      <c r="ED27" s="167">
        <v>0.54166666666666663</v>
      </c>
      <c r="EE27" s="73" t="str">
        <f t="shared" si="22"/>
        <v>8h</v>
      </c>
      <c r="EF27" s="168">
        <v>0.375</v>
      </c>
      <c r="EG27" s="168">
        <v>0.75</v>
      </c>
      <c r="EH27" s="168">
        <v>0.5</v>
      </c>
      <c r="EI27" s="168">
        <v>0.54166666666666663</v>
      </c>
      <c r="EJ27" s="82" t="str">
        <f t="shared" si="23"/>
        <v>8h</v>
      </c>
      <c r="EK27" s="363"/>
      <c r="EL27" s="363"/>
      <c r="EM27" s="363"/>
      <c r="EO27" s="67"/>
      <c r="EP27" s="70">
        <f t="shared" si="44"/>
        <v>46283</v>
      </c>
      <c r="EQ27" s="71" t="str">
        <f t="shared" si="24"/>
        <v>金</v>
      </c>
      <c r="ER27" s="71" t="s">
        <v>22</v>
      </c>
      <c r="ES27" s="166">
        <v>0.375</v>
      </c>
      <c r="ET27" s="166">
        <v>0.75</v>
      </c>
      <c r="EU27" s="167">
        <v>0.5</v>
      </c>
      <c r="EV27" s="167">
        <v>0.54166666666666663</v>
      </c>
      <c r="EW27" s="73" t="str">
        <f t="shared" si="25"/>
        <v>8h</v>
      </c>
      <c r="EX27" s="168">
        <v>0.375</v>
      </c>
      <c r="EY27" s="168">
        <v>0.75</v>
      </c>
      <c r="EZ27" s="168">
        <v>0.5</v>
      </c>
      <c r="FA27" s="168">
        <v>0.54166666666666663</v>
      </c>
      <c r="FB27" s="82" t="str">
        <f t="shared" si="26"/>
        <v>8h</v>
      </c>
      <c r="FC27" s="363"/>
      <c r="FD27" s="363"/>
      <c r="FE27" s="363"/>
      <c r="FG27" s="67"/>
      <c r="FH27" s="70">
        <f t="shared" si="45"/>
        <v>46313</v>
      </c>
      <c r="FI27" s="71" t="str">
        <f t="shared" si="27"/>
        <v>日</v>
      </c>
      <c r="FJ27" s="71"/>
      <c r="FK27" s="72"/>
      <c r="FL27" s="72"/>
      <c r="FM27" s="44"/>
      <c r="FN27" s="44"/>
      <c r="FO27" s="73" t="str">
        <f t="shared" si="28"/>
        <v/>
      </c>
      <c r="FP27" s="81"/>
      <c r="FQ27" s="81"/>
      <c r="FR27" s="81"/>
      <c r="FS27" s="81"/>
      <c r="FT27" s="82" t="str">
        <f t="shared" si="29"/>
        <v/>
      </c>
      <c r="FU27" s="363"/>
      <c r="FV27" s="363"/>
      <c r="FW27" s="363"/>
      <c r="FY27" s="67"/>
      <c r="FZ27" s="70">
        <f t="shared" si="46"/>
        <v>46344</v>
      </c>
      <c r="GA27" s="71" t="str">
        <f t="shared" si="30"/>
        <v>水</v>
      </c>
      <c r="GB27" s="71" t="s">
        <v>22</v>
      </c>
      <c r="GC27" s="166">
        <v>0.375</v>
      </c>
      <c r="GD27" s="166">
        <v>0.75</v>
      </c>
      <c r="GE27" s="167">
        <v>0.5</v>
      </c>
      <c r="GF27" s="167">
        <v>0.54166666666666663</v>
      </c>
      <c r="GG27" s="73" t="str">
        <f t="shared" si="31"/>
        <v>8h</v>
      </c>
      <c r="GH27" s="168">
        <v>0.375</v>
      </c>
      <c r="GI27" s="168">
        <v>0.75</v>
      </c>
      <c r="GJ27" s="168">
        <v>0.5</v>
      </c>
      <c r="GK27" s="168">
        <v>0.54166666666666663</v>
      </c>
      <c r="GL27" s="82" t="str">
        <f t="shared" si="32"/>
        <v>8h</v>
      </c>
      <c r="GM27" s="363"/>
      <c r="GN27" s="363"/>
      <c r="GO27" s="363"/>
      <c r="GQ27" s="67"/>
      <c r="GR27" s="70">
        <f t="shared" si="47"/>
        <v>46374</v>
      </c>
      <c r="GS27" s="71" t="str">
        <f t="shared" si="33"/>
        <v>金</v>
      </c>
      <c r="GT27" s="71" t="s">
        <v>22</v>
      </c>
      <c r="GU27" s="166">
        <v>0.375</v>
      </c>
      <c r="GV27" s="166">
        <v>0.75</v>
      </c>
      <c r="GW27" s="167">
        <v>0.5</v>
      </c>
      <c r="GX27" s="167">
        <v>0.54166666666666663</v>
      </c>
      <c r="GY27" s="73" t="str">
        <f t="shared" si="34"/>
        <v>8h</v>
      </c>
      <c r="GZ27" s="168">
        <v>0.375</v>
      </c>
      <c r="HA27" s="168">
        <v>0.75</v>
      </c>
      <c r="HB27" s="168">
        <v>0.5</v>
      </c>
      <c r="HC27" s="168">
        <v>0.54166666666666663</v>
      </c>
      <c r="HD27" s="82" t="str">
        <f t="shared" si="35"/>
        <v>8h</v>
      </c>
      <c r="HE27" s="363"/>
      <c r="HF27" s="363"/>
      <c r="HG27" s="363"/>
    </row>
    <row r="28" spans="1:215" x14ac:dyDescent="0.45">
      <c r="A28" s="67"/>
      <c r="B28" s="70">
        <f t="shared" si="36"/>
        <v>46041</v>
      </c>
      <c r="C28" s="71" t="str">
        <f t="shared" si="0"/>
        <v>月</v>
      </c>
      <c r="D28" s="71" t="s">
        <v>22</v>
      </c>
      <c r="E28" s="166">
        <v>0.375</v>
      </c>
      <c r="F28" s="166">
        <v>0.75</v>
      </c>
      <c r="G28" s="167">
        <v>0.5</v>
      </c>
      <c r="H28" s="167">
        <v>0.54166666666666663</v>
      </c>
      <c r="I28" s="73" t="str">
        <f t="shared" si="1"/>
        <v>8h</v>
      </c>
      <c r="J28" s="168">
        <v>0.375</v>
      </c>
      <c r="K28" s="168">
        <v>0.75</v>
      </c>
      <c r="L28" s="168">
        <v>0.5</v>
      </c>
      <c r="M28" s="168">
        <v>0.54166666666666663</v>
      </c>
      <c r="N28" s="82" t="str">
        <f t="shared" si="2"/>
        <v>8h</v>
      </c>
      <c r="O28" s="363"/>
      <c r="P28" s="363"/>
      <c r="Q28" s="363"/>
      <c r="S28" s="67"/>
      <c r="T28" s="70">
        <f t="shared" si="37"/>
        <v>46072</v>
      </c>
      <c r="U28" s="71" t="str">
        <f t="shared" si="3"/>
        <v>木</v>
      </c>
      <c r="V28" s="71" t="s">
        <v>22</v>
      </c>
      <c r="W28" s="166">
        <v>0.375</v>
      </c>
      <c r="X28" s="166">
        <v>0.75</v>
      </c>
      <c r="Y28" s="167">
        <v>0.5</v>
      </c>
      <c r="Z28" s="167">
        <v>0.54166666666666663</v>
      </c>
      <c r="AA28" s="73" t="str">
        <f t="shared" si="4"/>
        <v>8h</v>
      </c>
      <c r="AB28" s="168">
        <v>0.375</v>
      </c>
      <c r="AC28" s="168">
        <v>0.75</v>
      </c>
      <c r="AD28" s="168">
        <v>0.5</v>
      </c>
      <c r="AE28" s="168">
        <v>0.54166666666666663</v>
      </c>
      <c r="AF28" s="82" t="str">
        <f t="shared" si="5"/>
        <v>8h</v>
      </c>
      <c r="AG28" s="363"/>
      <c r="AH28" s="363"/>
      <c r="AI28" s="363"/>
      <c r="AK28" s="67"/>
      <c r="AL28" s="70">
        <f t="shared" si="38"/>
        <v>46100</v>
      </c>
      <c r="AM28" s="71" t="str">
        <f t="shared" si="6"/>
        <v>木</v>
      </c>
      <c r="AN28" s="71" t="s">
        <v>22</v>
      </c>
      <c r="AO28" s="166">
        <v>0.375</v>
      </c>
      <c r="AP28" s="166">
        <v>0.75</v>
      </c>
      <c r="AQ28" s="167">
        <v>0.5</v>
      </c>
      <c r="AR28" s="167">
        <v>0.54166666666666663</v>
      </c>
      <c r="AS28" s="73" t="str">
        <f t="shared" si="7"/>
        <v>8h</v>
      </c>
      <c r="AT28" s="168">
        <v>0.375</v>
      </c>
      <c r="AU28" s="168">
        <v>0.75</v>
      </c>
      <c r="AV28" s="168">
        <v>0.5</v>
      </c>
      <c r="AW28" s="168">
        <v>0.54166666666666663</v>
      </c>
      <c r="AX28" s="82" t="str">
        <f t="shared" si="8"/>
        <v>8h</v>
      </c>
      <c r="AY28" s="363"/>
      <c r="AZ28" s="363"/>
      <c r="BA28" s="363"/>
      <c r="BC28" s="67"/>
      <c r="BD28" s="70">
        <f t="shared" si="39"/>
        <v>46131</v>
      </c>
      <c r="BE28" s="71" t="str">
        <f t="shared" si="9"/>
        <v>日</v>
      </c>
      <c r="BF28" s="71"/>
      <c r="BG28" s="72"/>
      <c r="BH28" s="72"/>
      <c r="BI28" s="44"/>
      <c r="BJ28" s="44"/>
      <c r="BK28" s="73" t="str">
        <f t="shared" si="10"/>
        <v/>
      </c>
      <c r="BL28" s="81"/>
      <c r="BM28" s="81"/>
      <c r="BN28" s="81"/>
      <c r="BO28" s="81"/>
      <c r="BP28" s="82" t="str">
        <f t="shared" si="11"/>
        <v/>
      </c>
      <c r="BQ28" s="363"/>
      <c r="BR28" s="363"/>
      <c r="BS28" s="363"/>
      <c r="BU28" s="67"/>
      <c r="BV28" s="70">
        <f t="shared" si="40"/>
        <v>46161</v>
      </c>
      <c r="BW28" s="71" t="str">
        <f t="shared" si="12"/>
        <v>火</v>
      </c>
      <c r="BX28" s="71" t="s">
        <v>22</v>
      </c>
      <c r="BY28" s="166">
        <v>0.375</v>
      </c>
      <c r="BZ28" s="166">
        <v>0.75</v>
      </c>
      <c r="CA28" s="167">
        <v>0.5</v>
      </c>
      <c r="CB28" s="167">
        <v>0.54166666666666663</v>
      </c>
      <c r="CC28" s="73" t="str">
        <f t="shared" si="13"/>
        <v>8h</v>
      </c>
      <c r="CD28" s="168">
        <v>0.375</v>
      </c>
      <c r="CE28" s="168">
        <v>0.75</v>
      </c>
      <c r="CF28" s="168">
        <v>0.5</v>
      </c>
      <c r="CG28" s="168">
        <v>0.54166666666666663</v>
      </c>
      <c r="CH28" s="82" t="str">
        <f t="shared" si="14"/>
        <v>8h</v>
      </c>
      <c r="CI28" s="363"/>
      <c r="CJ28" s="363"/>
      <c r="CK28" s="363"/>
      <c r="CM28" s="67"/>
      <c r="CN28" s="70">
        <f t="shared" si="41"/>
        <v>46192</v>
      </c>
      <c r="CO28" s="71" t="str">
        <f t="shared" si="15"/>
        <v>金</v>
      </c>
      <c r="CP28" s="71" t="s">
        <v>22</v>
      </c>
      <c r="CQ28" s="166">
        <v>0.375</v>
      </c>
      <c r="CR28" s="166">
        <v>0.75</v>
      </c>
      <c r="CS28" s="167">
        <v>0.5</v>
      </c>
      <c r="CT28" s="167">
        <v>0.54166666666666663</v>
      </c>
      <c r="CU28" s="73" t="str">
        <f t="shared" si="16"/>
        <v>8h</v>
      </c>
      <c r="CV28" s="168">
        <v>0.375</v>
      </c>
      <c r="CW28" s="168">
        <v>0.75</v>
      </c>
      <c r="CX28" s="168">
        <v>0.5</v>
      </c>
      <c r="CY28" s="168">
        <v>0.54166666666666663</v>
      </c>
      <c r="CZ28" s="82" t="str">
        <f t="shared" si="17"/>
        <v>8h</v>
      </c>
      <c r="DA28" s="363"/>
      <c r="DB28" s="363"/>
      <c r="DC28" s="363"/>
      <c r="DE28" s="67"/>
      <c r="DF28" s="70">
        <f t="shared" si="42"/>
        <v>46222</v>
      </c>
      <c r="DG28" s="71" t="str">
        <f t="shared" si="18"/>
        <v>日</v>
      </c>
      <c r="DH28" s="71"/>
      <c r="DI28" s="72"/>
      <c r="DJ28" s="72"/>
      <c r="DK28" s="44"/>
      <c r="DL28" s="44"/>
      <c r="DM28" s="73" t="str">
        <f t="shared" si="19"/>
        <v/>
      </c>
      <c r="DN28" s="81"/>
      <c r="DO28" s="81"/>
      <c r="DP28" s="81"/>
      <c r="DQ28" s="81"/>
      <c r="DR28" s="82" t="str">
        <f t="shared" si="20"/>
        <v/>
      </c>
      <c r="DS28" s="363"/>
      <c r="DT28" s="363"/>
      <c r="DU28" s="363"/>
      <c r="DW28" s="67"/>
      <c r="DX28" s="70">
        <f t="shared" si="43"/>
        <v>46253</v>
      </c>
      <c r="DY28" s="71" t="str">
        <f t="shared" si="21"/>
        <v>水</v>
      </c>
      <c r="DZ28" s="71" t="s">
        <v>22</v>
      </c>
      <c r="EA28" s="166">
        <v>0.375</v>
      </c>
      <c r="EB28" s="166">
        <v>0.75</v>
      </c>
      <c r="EC28" s="167">
        <v>0.5</v>
      </c>
      <c r="ED28" s="167">
        <v>0.54166666666666663</v>
      </c>
      <c r="EE28" s="73" t="str">
        <f t="shared" si="22"/>
        <v>8h</v>
      </c>
      <c r="EF28" s="168">
        <v>0.375</v>
      </c>
      <c r="EG28" s="168">
        <v>0.75</v>
      </c>
      <c r="EH28" s="168">
        <v>0.5</v>
      </c>
      <c r="EI28" s="168">
        <v>0.54166666666666663</v>
      </c>
      <c r="EJ28" s="82" t="str">
        <f t="shared" si="23"/>
        <v>8h</v>
      </c>
      <c r="EK28" s="363"/>
      <c r="EL28" s="363"/>
      <c r="EM28" s="363"/>
      <c r="EO28" s="67"/>
      <c r="EP28" s="70">
        <f t="shared" si="44"/>
        <v>46284</v>
      </c>
      <c r="EQ28" s="71" t="str">
        <f t="shared" si="24"/>
        <v>土</v>
      </c>
      <c r="ER28" s="71"/>
      <c r="ES28" s="72"/>
      <c r="ET28" s="72"/>
      <c r="EU28" s="44"/>
      <c r="EV28" s="44"/>
      <c r="EW28" s="73" t="str">
        <f t="shared" si="25"/>
        <v/>
      </c>
      <c r="EX28" s="81"/>
      <c r="EY28" s="81"/>
      <c r="EZ28" s="81"/>
      <c r="FA28" s="81"/>
      <c r="FB28" s="82" t="str">
        <f t="shared" si="26"/>
        <v/>
      </c>
      <c r="FC28" s="363"/>
      <c r="FD28" s="363"/>
      <c r="FE28" s="363"/>
      <c r="FG28" s="67"/>
      <c r="FH28" s="70">
        <f t="shared" si="45"/>
        <v>46314</v>
      </c>
      <c r="FI28" s="71" t="str">
        <f t="shared" si="27"/>
        <v>月</v>
      </c>
      <c r="FJ28" s="71" t="s">
        <v>22</v>
      </c>
      <c r="FK28" s="166">
        <v>0.375</v>
      </c>
      <c r="FL28" s="166">
        <v>0.75</v>
      </c>
      <c r="FM28" s="167">
        <v>0.5</v>
      </c>
      <c r="FN28" s="167">
        <v>0.54166666666666663</v>
      </c>
      <c r="FO28" s="73" t="str">
        <f t="shared" si="28"/>
        <v>8h</v>
      </c>
      <c r="FP28" s="168">
        <v>0.375</v>
      </c>
      <c r="FQ28" s="168">
        <v>0.75</v>
      </c>
      <c r="FR28" s="168">
        <v>0.5</v>
      </c>
      <c r="FS28" s="168">
        <v>0.54166666666666663</v>
      </c>
      <c r="FT28" s="82" t="str">
        <f t="shared" si="29"/>
        <v>8h</v>
      </c>
      <c r="FU28" s="363"/>
      <c r="FV28" s="363"/>
      <c r="FW28" s="363"/>
      <c r="FY28" s="67"/>
      <c r="FZ28" s="70">
        <f t="shared" si="46"/>
        <v>46345</v>
      </c>
      <c r="GA28" s="71" t="str">
        <f t="shared" si="30"/>
        <v>木</v>
      </c>
      <c r="GB28" s="71" t="s">
        <v>22</v>
      </c>
      <c r="GC28" s="166">
        <v>0.375</v>
      </c>
      <c r="GD28" s="166">
        <v>0.75</v>
      </c>
      <c r="GE28" s="167">
        <v>0.5</v>
      </c>
      <c r="GF28" s="167">
        <v>0.54166666666666663</v>
      </c>
      <c r="GG28" s="73" t="str">
        <f t="shared" si="31"/>
        <v>8h</v>
      </c>
      <c r="GH28" s="168">
        <v>0.375</v>
      </c>
      <c r="GI28" s="168">
        <v>0.75</v>
      </c>
      <c r="GJ28" s="168">
        <v>0.5</v>
      </c>
      <c r="GK28" s="168">
        <v>0.54166666666666663</v>
      </c>
      <c r="GL28" s="82" t="str">
        <f t="shared" si="32"/>
        <v>8h</v>
      </c>
      <c r="GM28" s="363"/>
      <c r="GN28" s="363"/>
      <c r="GO28" s="363"/>
      <c r="GQ28" s="67"/>
      <c r="GR28" s="70">
        <f t="shared" si="47"/>
        <v>46375</v>
      </c>
      <c r="GS28" s="71" t="str">
        <f t="shared" si="33"/>
        <v>土</v>
      </c>
      <c r="GT28" s="71"/>
      <c r="GU28" s="72"/>
      <c r="GV28" s="72"/>
      <c r="GW28" s="44"/>
      <c r="GX28" s="44"/>
      <c r="GY28" s="73" t="str">
        <f t="shared" si="34"/>
        <v/>
      </c>
      <c r="GZ28" s="81"/>
      <c r="HA28" s="81"/>
      <c r="HB28" s="81"/>
      <c r="HC28" s="81"/>
      <c r="HD28" s="82" t="str">
        <f t="shared" si="35"/>
        <v/>
      </c>
      <c r="HE28" s="363"/>
      <c r="HF28" s="363"/>
      <c r="HG28" s="363"/>
    </row>
    <row r="29" spans="1:215" x14ac:dyDescent="0.45">
      <c r="A29" s="67"/>
      <c r="B29" s="70">
        <f t="shared" si="36"/>
        <v>46042</v>
      </c>
      <c r="C29" s="71" t="str">
        <f t="shared" si="0"/>
        <v>火</v>
      </c>
      <c r="D29" s="71" t="s">
        <v>22</v>
      </c>
      <c r="E29" s="166">
        <v>0.375</v>
      </c>
      <c r="F29" s="166">
        <v>0.75</v>
      </c>
      <c r="G29" s="167">
        <v>0.5</v>
      </c>
      <c r="H29" s="167">
        <v>0.54166666666666663</v>
      </c>
      <c r="I29" s="73" t="str">
        <f t="shared" si="1"/>
        <v>8h</v>
      </c>
      <c r="J29" s="168">
        <v>0.375</v>
      </c>
      <c r="K29" s="168">
        <v>0.75</v>
      </c>
      <c r="L29" s="168">
        <v>0.5</v>
      </c>
      <c r="M29" s="168">
        <v>0.54166666666666663</v>
      </c>
      <c r="N29" s="82" t="str">
        <f t="shared" si="2"/>
        <v>8h</v>
      </c>
      <c r="O29" s="363"/>
      <c r="P29" s="363"/>
      <c r="Q29" s="363"/>
      <c r="S29" s="67"/>
      <c r="T29" s="70">
        <f t="shared" si="37"/>
        <v>46073</v>
      </c>
      <c r="U29" s="71" t="str">
        <f t="shared" si="3"/>
        <v>金</v>
      </c>
      <c r="V29" s="71" t="s">
        <v>22</v>
      </c>
      <c r="W29" s="166">
        <v>0.375</v>
      </c>
      <c r="X29" s="166">
        <v>0.75</v>
      </c>
      <c r="Y29" s="167">
        <v>0.5</v>
      </c>
      <c r="Z29" s="167">
        <v>0.54166666666666663</v>
      </c>
      <c r="AA29" s="73" t="str">
        <f t="shared" si="4"/>
        <v>8h</v>
      </c>
      <c r="AB29" s="168">
        <v>0.375</v>
      </c>
      <c r="AC29" s="168">
        <v>0.75</v>
      </c>
      <c r="AD29" s="168">
        <v>0.5</v>
      </c>
      <c r="AE29" s="168">
        <v>0.54166666666666663</v>
      </c>
      <c r="AF29" s="82" t="str">
        <f t="shared" si="5"/>
        <v>8h</v>
      </c>
      <c r="AG29" s="363"/>
      <c r="AH29" s="363"/>
      <c r="AI29" s="363"/>
      <c r="AK29" s="67"/>
      <c r="AL29" s="70">
        <f t="shared" si="38"/>
        <v>46101</v>
      </c>
      <c r="AM29" s="71" t="str">
        <f t="shared" si="6"/>
        <v>金</v>
      </c>
      <c r="AN29" s="71"/>
      <c r="AO29" s="72"/>
      <c r="AP29" s="72"/>
      <c r="AQ29" s="44"/>
      <c r="AR29" s="44"/>
      <c r="AS29" s="73" t="str">
        <f t="shared" si="7"/>
        <v/>
      </c>
      <c r="AT29" s="81"/>
      <c r="AU29" s="81"/>
      <c r="AV29" s="81"/>
      <c r="AW29" s="81"/>
      <c r="AX29" s="82" t="str">
        <f t="shared" si="8"/>
        <v/>
      </c>
      <c r="AY29" s="363"/>
      <c r="AZ29" s="363"/>
      <c r="BA29" s="363"/>
      <c r="BC29" s="67"/>
      <c r="BD29" s="70">
        <f t="shared" si="39"/>
        <v>46132</v>
      </c>
      <c r="BE29" s="71" t="str">
        <f t="shared" si="9"/>
        <v>月</v>
      </c>
      <c r="BF29" s="71" t="s">
        <v>22</v>
      </c>
      <c r="BG29" s="166">
        <v>0.375</v>
      </c>
      <c r="BH29" s="166">
        <v>0.75</v>
      </c>
      <c r="BI29" s="167">
        <v>0.5</v>
      </c>
      <c r="BJ29" s="167">
        <v>0.54166666666666663</v>
      </c>
      <c r="BK29" s="73" t="str">
        <f t="shared" si="10"/>
        <v>8h</v>
      </c>
      <c r="BL29" s="168">
        <v>0.375</v>
      </c>
      <c r="BM29" s="168">
        <v>0.75</v>
      </c>
      <c r="BN29" s="168">
        <v>0.5</v>
      </c>
      <c r="BO29" s="168">
        <v>0.54166666666666663</v>
      </c>
      <c r="BP29" s="82" t="str">
        <f t="shared" si="11"/>
        <v>8h</v>
      </c>
      <c r="BQ29" s="363"/>
      <c r="BR29" s="363"/>
      <c r="BS29" s="363"/>
      <c r="BU29" s="67"/>
      <c r="BV29" s="70">
        <f t="shared" si="40"/>
        <v>46162</v>
      </c>
      <c r="BW29" s="71" t="str">
        <f t="shared" si="12"/>
        <v>水</v>
      </c>
      <c r="BX29" s="71" t="s">
        <v>22</v>
      </c>
      <c r="BY29" s="166">
        <v>0.375</v>
      </c>
      <c r="BZ29" s="166">
        <v>0.75</v>
      </c>
      <c r="CA29" s="167">
        <v>0.5</v>
      </c>
      <c r="CB29" s="167">
        <v>0.54166666666666663</v>
      </c>
      <c r="CC29" s="73" t="str">
        <f t="shared" si="13"/>
        <v>8h</v>
      </c>
      <c r="CD29" s="168">
        <v>0.375</v>
      </c>
      <c r="CE29" s="168">
        <v>0.75</v>
      </c>
      <c r="CF29" s="168">
        <v>0.5</v>
      </c>
      <c r="CG29" s="168">
        <v>0.54166666666666663</v>
      </c>
      <c r="CH29" s="82" t="str">
        <f t="shared" si="14"/>
        <v>8h</v>
      </c>
      <c r="CI29" s="363"/>
      <c r="CJ29" s="363"/>
      <c r="CK29" s="363"/>
      <c r="CM29" s="67"/>
      <c r="CN29" s="70">
        <f t="shared" si="41"/>
        <v>46193</v>
      </c>
      <c r="CO29" s="71" t="str">
        <f t="shared" si="15"/>
        <v>土</v>
      </c>
      <c r="CP29" s="71"/>
      <c r="CQ29" s="72"/>
      <c r="CR29" s="72"/>
      <c r="CS29" s="44"/>
      <c r="CT29" s="44"/>
      <c r="CU29" s="73" t="str">
        <f t="shared" si="16"/>
        <v/>
      </c>
      <c r="CV29" s="81"/>
      <c r="CW29" s="81"/>
      <c r="CX29" s="81"/>
      <c r="CY29" s="81"/>
      <c r="CZ29" s="82" t="str">
        <f t="shared" si="17"/>
        <v/>
      </c>
      <c r="DA29" s="363"/>
      <c r="DB29" s="363"/>
      <c r="DC29" s="363"/>
      <c r="DE29" s="67"/>
      <c r="DF29" s="70">
        <f t="shared" si="42"/>
        <v>46223</v>
      </c>
      <c r="DG29" s="71" t="str">
        <f t="shared" si="18"/>
        <v>月</v>
      </c>
      <c r="DH29" s="71"/>
      <c r="DI29" s="72"/>
      <c r="DJ29" s="72"/>
      <c r="DK29" s="44"/>
      <c r="DL29" s="44"/>
      <c r="DM29" s="73" t="str">
        <f t="shared" si="19"/>
        <v/>
      </c>
      <c r="DN29" s="81"/>
      <c r="DO29" s="81"/>
      <c r="DP29" s="81"/>
      <c r="DQ29" s="81"/>
      <c r="DR29" s="82" t="str">
        <f t="shared" si="20"/>
        <v/>
      </c>
      <c r="DS29" s="363"/>
      <c r="DT29" s="363"/>
      <c r="DU29" s="363"/>
      <c r="DW29" s="67"/>
      <c r="DX29" s="70">
        <f t="shared" si="43"/>
        <v>46254</v>
      </c>
      <c r="DY29" s="71" t="str">
        <f t="shared" si="21"/>
        <v>木</v>
      </c>
      <c r="DZ29" s="71" t="s">
        <v>22</v>
      </c>
      <c r="EA29" s="166">
        <v>0.375</v>
      </c>
      <c r="EB29" s="166">
        <v>0.75</v>
      </c>
      <c r="EC29" s="167">
        <v>0.5</v>
      </c>
      <c r="ED29" s="167">
        <v>0.54166666666666663</v>
      </c>
      <c r="EE29" s="73" t="str">
        <f t="shared" si="22"/>
        <v>8h</v>
      </c>
      <c r="EF29" s="168">
        <v>0.375</v>
      </c>
      <c r="EG29" s="168">
        <v>0.75</v>
      </c>
      <c r="EH29" s="168">
        <v>0.5</v>
      </c>
      <c r="EI29" s="168">
        <v>0.54166666666666663</v>
      </c>
      <c r="EJ29" s="82" t="str">
        <f t="shared" si="23"/>
        <v>8h</v>
      </c>
      <c r="EK29" s="363"/>
      <c r="EL29" s="363"/>
      <c r="EM29" s="363"/>
      <c r="EO29" s="67"/>
      <c r="EP29" s="70">
        <f t="shared" si="44"/>
        <v>46285</v>
      </c>
      <c r="EQ29" s="71" t="str">
        <f t="shared" si="24"/>
        <v>日</v>
      </c>
      <c r="ER29" s="71"/>
      <c r="ES29" s="72"/>
      <c r="ET29" s="72"/>
      <c r="EU29" s="44"/>
      <c r="EV29" s="44"/>
      <c r="EW29" s="73" t="str">
        <f t="shared" si="25"/>
        <v/>
      </c>
      <c r="EX29" s="81"/>
      <c r="EY29" s="81"/>
      <c r="EZ29" s="81"/>
      <c r="FA29" s="81"/>
      <c r="FB29" s="82" t="str">
        <f t="shared" si="26"/>
        <v/>
      </c>
      <c r="FC29" s="363"/>
      <c r="FD29" s="363"/>
      <c r="FE29" s="363"/>
      <c r="FG29" s="67"/>
      <c r="FH29" s="70">
        <f t="shared" si="45"/>
        <v>46315</v>
      </c>
      <c r="FI29" s="71" t="str">
        <f t="shared" si="27"/>
        <v>火</v>
      </c>
      <c r="FJ29" s="71" t="s">
        <v>22</v>
      </c>
      <c r="FK29" s="166">
        <v>0.375</v>
      </c>
      <c r="FL29" s="166">
        <v>0.75</v>
      </c>
      <c r="FM29" s="167">
        <v>0.5</v>
      </c>
      <c r="FN29" s="167">
        <v>0.54166666666666663</v>
      </c>
      <c r="FO29" s="73" t="str">
        <f t="shared" si="28"/>
        <v>8h</v>
      </c>
      <c r="FP29" s="168">
        <v>0.375</v>
      </c>
      <c r="FQ29" s="168">
        <v>0.75</v>
      </c>
      <c r="FR29" s="168">
        <v>0.5</v>
      </c>
      <c r="FS29" s="168">
        <v>0.54166666666666663</v>
      </c>
      <c r="FT29" s="82" t="str">
        <f t="shared" si="29"/>
        <v>8h</v>
      </c>
      <c r="FU29" s="363"/>
      <c r="FV29" s="363"/>
      <c r="FW29" s="363"/>
      <c r="FY29" s="67"/>
      <c r="FZ29" s="70">
        <f t="shared" si="46"/>
        <v>46346</v>
      </c>
      <c r="GA29" s="71" t="str">
        <f t="shared" si="30"/>
        <v>金</v>
      </c>
      <c r="GB29" s="71" t="s">
        <v>22</v>
      </c>
      <c r="GC29" s="166">
        <v>0.375</v>
      </c>
      <c r="GD29" s="166">
        <v>0.75</v>
      </c>
      <c r="GE29" s="167">
        <v>0.5</v>
      </c>
      <c r="GF29" s="167">
        <v>0.54166666666666663</v>
      </c>
      <c r="GG29" s="73" t="str">
        <f t="shared" si="31"/>
        <v>8h</v>
      </c>
      <c r="GH29" s="168">
        <v>0.375</v>
      </c>
      <c r="GI29" s="168">
        <v>0.75</v>
      </c>
      <c r="GJ29" s="168">
        <v>0.5</v>
      </c>
      <c r="GK29" s="168">
        <v>0.54166666666666663</v>
      </c>
      <c r="GL29" s="82" t="str">
        <f t="shared" si="32"/>
        <v>8h</v>
      </c>
      <c r="GM29" s="363"/>
      <c r="GN29" s="363"/>
      <c r="GO29" s="363"/>
      <c r="GQ29" s="67"/>
      <c r="GR29" s="70">
        <f t="shared" si="47"/>
        <v>46376</v>
      </c>
      <c r="GS29" s="71" t="str">
        <f t="shared" si="33"/>
        <v>日</v>
      </c>
      <c r="GT29" s="71"/>
      <c r="GU29" s="72"/>
      <c r="GV29" s="72"/>
      <c r="GW29" s="44"/>
      <c r="GX29" s="44"/>
      <c r="GY29" s="73" t="str">
        <f t="shared" si="34"/>
        <v/>
      </c>
      <c r="GZ29" s="81"/>
      <c r="HA29" s="81"/>
      <c r="HB29" s="81"/>
      <c r="HC29" s="81"/>
      <c r="HD29" s="82" t="str">
        <f t="shared" si="35"/>
        <v/>
      </c>
      <c r="HE29" s="363"/>
      <c r="HF29" s="363"/>
      <c r="HG29" s="363"/>
    </row>
    <row r="30" spans="1:215" x14ac:dyDescent="0.45">
      <c r="A30" s="67"/>
      <c r="B30" s="70">
        <f t="shared" si="36"/>
        <v>46043</v>
      </c>
      <c r="C30" s="71" t="str">
        <f t="shared" si="0"/>
        <v>水</v>
      </c>
      <c r="D30" s="71" t="s">
        <v>22</v>
      </c>
      <c r="E30" s="166">
        <v>0.375</v>
      </c>
      <c r="F30" s="166">
        <v>0.75</v>
      </c>
      <c r="G30" s="167">
        <v>0.5</v>
      </c>
      <c r="H30" s="167">
        <v>0.54166666666666663</v>
      </c>
      <c r="I30" s="73" t="str">
        <f t="shared" si="1"/>
        <v>8h</v>
      </c>
      <c r="J30" s="168">
        <v>0.375</v>
      </c>
      <c r="K30" s="168">
        <v>0.75</v>
      </c>
      <c r="L30" s="168">
        <v>0.5</v>
      </c>
      <c r="M30" s="168">
        <v>0.54166666666666663</v>
      </c>
      <c r="N30" s="82" t="str">
        <f t="shared" si="2"/>
        <v>8h</v>
      </c>
      <c r="O30" s="363"/>
      <c r="P30" s="363"/>
      <c r="Q30" s="363"/>
      <c r="S30" s="67"/>
      <c r="T30" s="70">
        <f t="shared" si="37"/>
        <v>46074</v>
      </c>
      <c r="U30" s="71" t="str">
        <f t="shared" si="3"/>
        <v>土</v>
      </c>
      <c r="V30" s="71"/>
      <c r="W30" s="72"/>
      <c r="X30" s="72"/>
      <c r="Y30" s="44"/>
      <c r="Z30" s="44"/>
      <c r="AA30" s="73" t="str">
        <f t="shared" si="4"/>
        <v/>
      </c>
      <c r="AB30" s="81"/>
      <c r="AC30" s="81"/>
      <c r="AD30" s="81"/>
      <c r="AE30" s="81"/>
      <c r="AF30" s="82" t="str">
        <f t="shared" si="5"/>
        <v/>
      </c>
      <c r="AG30" s="363"/>
      <c r="AH30" s="363"/>
      <c r="AI30" s="363"/>
      <c r="AK30" s="67"/>
      <c r="AL30" s="70">
        <f t="shared" si="38"/>
        <v>46102</v>
      </c>
      <c r="AM30" s="71" t="str">
        <f t="shared" si="6"/>
        <v>土</v>
      </c>
      <c r="AN30" s="71"/>
      <c r="AO30" s="72"/>
      <c r="AP30" s="72"/>
      <c r="AQ30" s="44"/>
      <c r="AR30" s="44"/>
      <c r="AS30" s="73" t="str">
        <f t="shared" si="7"/>
        <v/>
      </c>
      <c r="AT30" s="81"/>
      <c r="AU30" s="81"/>
      <c r="AV30" s="81"/>
      <c r="AW30" s="81"/>
      <c r="AX30" s="82" t="str">
        <f t="shared" si="8"/>
        <v/>
      </c>
      <c r="AY30" s="363"/>
      <c r="AZ30" s="363"/>
      <c r="BA30" s="363"/>
      <c r="BC30" s="67"/>
      <c r="BD30" s="70">
        <f t="shared" si="39"/>
        <v>46133</v>
      </c>
      <c r="BE30" s="71" t="str">
        <f t="shared" si="9"/>
        <v>火</v>
      </c>
      <c r="BF30" s="71" t="s">
        <v>22</v>
      </c>
      <c r="BG30" s="166">
        <v>0.375</v>
      </c>
      <c r="BH30" s="166">
        <v>0.75</v>
      </c>
      <c r="BI30" s="167">
        <v>0.5</v>
      </c>
      <c r="BJ30" s="167">
        <v>0.54166666666666663</v>
      </c>
      <c r="BK30" s="73" t="str">
        <f t="shared" si="10"/>
        <v>8h</v>
      </c>
      <c r="BL30" s="168">
        <v>0.375</v>
      </c>
      <c r="BM30" s="168">
        <v>0.75</v>
      </c>
      <c r="BN30" s="168">
        <v>0.5</v>
      </c>
      <c r="BO30" s="168">
        <v>0.54166666666666663</v>
      </c>
      <c r="BP30" s="82" t="str">
        <f t="shared" si="11"/>
        <v>8h</v>
      </c>
      <c r="BQ30" s="363"/>
      <c r="BR30" s="363"/>
      <c r="BS30" s="363"/>
      <c r="BU30" s="67"/>
      <c r="BV30" s="70">
        <f t="shared" si="40"/>
        <v>46163</v>
      </c>
      <c r="BW30" s="71" t="str">
        <f t="shared" si="12"/>
        <v>木</v>
      </c>
      <c r="BX30" s="71" t="s">
        <v>22</v>
      </c>
      <c r="BY30" s="166">
        <v>0.375</v>
      </c>
      <c r="BZ30" s="166">
        <v>0.75</v>
      </c>
      <c r="CA30" s="167">
        <v>0.5</v>
      </c>
      <c r="CB30" s="167">
        <v>0.54166666666666663</v>
      </c>
      <c r="CC30" s="73" t="str">
        <f t="shared" si="13"/>
        <v>8h</v>
      </c>
      <c r="CD30" s="168">
        <v>0.375</v>
      </c>
      <c r="CE30" s="168">
        <v>0.75</v>
      </c>
      <c r="CF30" s="168">
        <v>0.5</v>
      </c>
      <c r="CG30" s="168">
        <v>0.54166666666666663</v>
      </c>
      <c r="CH30" s="82" t="str">
        <f t="shared" si="14"/>
        <v>8h</v>
      </c>
      <c r="CI30" s="363"/>
      <c r="CJ30" s="363"/>
      <c r="CK30" s="363"/>
      <c r="CM30" s="67"/>
      <c r="CN30" s="70">
        <f t="shared" si="41"/>
        <v>46194</v>
      </c>
      <c r="CO30" s="71" t="str">
        <f t="shared" si="15"/>
        <v>日</v>
      </c>
      <c r="CP30" s="71"/>
      <c r="CQ30" s="72"/>
      <c r="CR30" s="72"/>
      <c r="CS30" s="44"/>
      <c r="CT30" s="44"/>
      <c r="CU30" s="73" t="str">
        <f t="shared" si="16"/>
        <v/>
      </c>
      <c r="CV30" s="81"/>
      <c r="CW30" s="81"/>
      <c r="CX30" s="81"/>
      <c r="CY30" s="81"/>
      <c r="CZ30" s="82" t="str">
        <f t="shared" si="17"/>
        <v/>
      </c>
      <c r="DA30" s="363"/>
      <c r="DB30" s="363"/>
      <c r="DC30" s="363"/>
      <c r="DE30" s="67"/>
      <c r="DF30" s="70">
        <f t="shared" si="42"/>
        <v>46224</v>
      </c>
      <c r="DG30" s="71" t="str">
        <f t="shared" si="18"/>
        <v>火</v>
      </c>
      <c r="DH30" s="71" t="s">
        <v>22</v>
      </c>
      <c r="DI30" s="166">
        <v>0.375</v>
      </c>
      <c r="DJ30" s="166">
        <v>0.75</v>
      </c>
      <c r="DK30" s="167">
        <v>0.5</v>
      </c>
      <c r="DL30" s="167">
        <v>0.54166666666666663</v>
      </c>
      <c r="DM30" s="73" t="str">
        <f t="shared" si="19"/>
        <v>8h</v>
      </c>
      <c r="DN30" s="168">
        <v>0.375</v>
      </c>
      <c r="DO30" s="168">
        <v>0.75</v>
      </c>
      <c r="DP30" s="168">
        <v>0.5</v>
      </c>
      <c r="DQ30" s="168">
        <v>0.54166666666666663</v>
      </c>
      <c r="DR30" s="82" t="str">
        <f t="shared" si="20"/>
        <v>8h</v>
      </c>
      <c r="DS30" s="363"/>
      <c r="DT30" s="363"/>
      <c r="DU30" s="363"/>
      <c r="DW30" s="67"/>
      <c r="DX30" s="70">
        <f t="shared" si="43"/>
        <v>46255</v>
      </c>
      <c r="DY30" s="71" t="str">
        <f t="shared" si="21"/>
        <v>金</v>
      </c>
      <c r="DZ30" s="71" t="s">
        <v>22</v>
      </c>
      <c r="EA30" s="166">
        <v>0.375</v>
      </c>
      <c r="EB30" s="166">
        <v>0.75</v>
      </c>
      <c r="EC30" s="167">
        <v>0.5</v>
      </c>
      <c r="ED30" s="167">
        <v>0.54166666666666663</v>
      </c>
      <c r="EE30" s="73" t="str">
        <f t="shared" si="22"/>
        <v>8h</v>
      </c>
      <c r="EF30" s="168">
        <v>0.375</v>
      </c>
      <c r="EG30" s="168">
        <v>0.75</v>
      </c>
      <c r="EH30" s="168">
        <v>0.5</v>
      </c>
      <c r="EI30" s="168">
        <v>0.54166666666666663</v>
      </c>
      <c r="EJ30" s="82" t="str">
        <f t="shared" si="23"/>
        <v>8h</v>
      </c>
      <c r="EK30" s="363"/>
      <c r="EL30" s="363"/>
      <c r="EM30" s="363"/>
      <c r="EO30" s="67"/>
      <c r="EP30" s="70">
        <f t="shared" si="44"/>
        <v>46286</v>
      </c>
      <c r="EQ30" s="71" t="str">
        <f t="shared" si="24"/>
        <v>月</v>
      </c>
      <c r="ER30" s="71"/>
      <c r="ES30" s="72"/>
      <c r="ET30" s="72"/>
      <c r="EU30" s="44"/>
      <c r="EV30" s="44"/>
      <c r="EW30" s="73" t="str">
        <f t="shared" si="25"/>
        <v/>
      </c>
      <c r="EX30" s="81"/>
      <c r="EY30" s="81"/>
      <c r="EZ30" s="81"/>
      <c r="FA30" s="81"/>
      <c r="FB30" s="82" t="str">
        <f t="shared" si="26"/>
        <v/>
      </c>
      <c r="FC30" s="363"/>
      <c r="FD30" s="363"/>
      <c r="FE30" s="363"/>
      <c r="FG30" s="67"/>
      <c r="FH30" s="70">
        <f t="shared" si="45"/>
        <v>46316</v>
      </c>
      <c r="FI30" s="71" t="str">
        <f t="shared" si="27"/>
        <v>水</v>
      </c>
      <c r="FJ30" s="71" t="s">
        <v>22</v>
      </c>
      <c r="FK30" s="166">
        <v>0.375</v>
      </c>
      <c r="FL30" s="166">
        <v>0.75</v>
      </c>
      <c r="FM30" s="167">
        <v>0.5</v>
      </c>
      <c r="FN30" s="167">
        <v>0.54166666666666663</v>
      </c>
      <c r="FO30" s="73" t="str">
        <f t="shared" si="28"/>
        <v>8h</v>
      </c>
      <c r="FP30" s="168">
        <v>0.375</v>
      </c>
      <c r="FQ30" s="168">
        <v>0.75</v>
      </c>
      <c r="FR30" s="168">
        <v>0.5</v>
      </c>
      <c r="FS30" s="168">
        <v>0.54166666666666663</v>
      </c>
      <c r="FT30" s="82" t="str">
        <f t="shared" si="29"/>
        <v>8h</v>
      </c>
      <c r="FU30" s="363"/>
      <c r="FV30" s="363"/>
      <c r="FW30" s="363"/>
      <c r="FY30" s="67"/>
      <c r="FZ30" s="70">
        <f t="shared" si="46"/>
        <v>46347</v>
      </c>
      <c r="GA30" s="71" t="str">
        <f t="shared" si="30"/>
        <v>土</v>
      </c>
      <c r="GB30" s="71"/>
      <c r="GC30" s="72"/>
      <c r="GD30" s="72"/>
      <c r="GE30" s="44"/>
      <c r="GF30" s="44"/>
      <c r="GG30" s="73" t="str">
        <f t="shared" si="31"/>
        <v/>
      </c>
      <c r="GH30" s="81"/>
      <c r="GI30" s="81"/>
      <c r="GJ30" s="81"/>
      <c r="GK30" s="81"/>
      <c r="GL30" s="82" t="str">
        <f t="shared" si="32"/>
        <v/>
      </c>
      <c r="GM30" s="363"/>
      <c r="GN30" s="363"/>
      <c r="GO30" s="363"/>
      <c r="GQ30" s="67"/>
      <c r="GR30" s="70">
        <f t="shared" si="47"/>
        <v>46377</v>
      </c>
      <c r="GS30" s="71" t="str">
        <f t="shared" si="33"/>
        <v>月</v>
      </c>
      <c r="GT30" s="71" t="s">
        <v>22</v>
      </c>
      <c r="GU30" s="166">
        <v>0.375</v>
      </c>
      <c r="GV30" s="166">
        <v>0.75</v>
      </c>
      <c r="GW30" s="167">
        <v>0.5</v>
      </c>
      <c r="GX30" s="167">
        <v>0.54166666666666663</v>
      </c>
      <c r="GY30" s="73" t="str">
        <f t="shared" si="34"/>
        <v>8h</v>
      </c>
      <c r="GZ30" s="168">
        <v>0.375</v>
      </c>
      <c r="HA30" s="168">
        <v>0.75</v>
      </c>
      <c r="HB30" s="168">
        <v>0.5</v>
      </c>
      <c r="HC30" s="168">
        <v>0.54166666666666663</v>
      </c>
      <c r="HD30" s="82" t="str">
        <f t="shared" si="35"/>
        <v>8h</v>
      </c>
      <c r="HE30" s="363"/>
      <c r="HF30" s="363"/>
      <c r="HG30" s="363"/>
    </row>
    <row r="31" spans="1:215" x14ac:dyDescent="0.45">
      <c r="A31" s="67"/>
      <c r="B31" s="70">
        <f t="shared" si="36"/>
        <v>46044</v>
      </c>
      <c r="C31" s="71" t="str">
        <f t="shared" si="0"/>
        <v>木</v>
      </c>
      <c r="D31" s="71" t="s">
        <v>22</v>
      </c>
      <c r="E31" s="166">
        <v>0.375</v>
      </c>
      <c r="F31" s="166">
        <v>0.75</v>
      </c>
      <c r="G31" s="167">
        <v>0.5</v>
      </c>
      <c r="H31" s="167">
        <v>0.54166666666666663</v>
      </c>
      <c r="I31" s="73" t="str">
        <f t="shared" si="1"/>
        <v>8h</v>
      </c>
      <c r="J31" s="168">
        <v>0.375</v>
      </c>
      <c r="K31" s="168">
        <v>0.75</v>
      </c>
      <c r="L31" s="168">
        <v>0.5</v>
      </c>
      <c r="M31" s="168">
        <v>0.54166666666666663</v>
      </c>
      <c r="N31" s="82" t="str">
        <f t="shared" si="2"/>
        <v>8h</v>
      </c>
      <c r="O31" s="363"/>
      <c r="P31" s="363"/>
      <c r="Q31" s="363"/>
      <c r="S31" s="67"/>
      <c r="T31" s="70">
        <f t="shared" si="37"/>
        <v>46075</v>
      </c>
      <c r="U31" s="71" t="str">
        <f t="shared" si="3"/>
        <v>日</v>
      </c>
      <c r="V31" s="71"/>
      <c r="W31" s="72"/>
      <c r="X31" s="72"/>
      <c r="Y31" s="44"/>
      <c r="Z31" s="44"/>
      <c r="AA31" s="73" t="str">
        <f t="shared" si="4"/>
        <v/>
      </c>
      <c r="AB31" s="81"/>
      <c r="AC31" s="81"/>
      <c r="AD31" s="81"/>
      <c r="AE31" s="81"/>
      <c r="AF31" s="82" t="str">
        <f t="shared" si="5"/>
        <v/>
      </c>
      <c r="AG31" s="363"/>
      <c r="AH31" s="363"/>
      <c r="AI31" s="363"/>
      <c r="AK31" s="67"/>
      <c r="AL31" s="70">
        <f t="shared" si="38"/>
        <v>46103</v>
      </c>
      <c r="AM31" s="71" t="str">
        <f t="shared" si="6"/>
        <v>日</v>
      </c>
      <c r="AN31" s="71"/>
      <c r="AO31" s="72"/>
      <c r="AP31" s="72"/>
      <c r="AQ31" s="44"/>
      <c r="AR31" s="44"/>
      <c r="AS31" s="73" t="str">
        <f t="shared" si="7"/>
        <v/>
      </c>
      <c r="AT31" s="81"/>
      <c r="AU31" s="81"/>
      <c r="AV31" s="81"/>
      <c r="AW31" s="81"/>
      <c r="AX31" s="82" t="str">
        <f t="shared" si="8"/>
        <v/>
      </c>
      <c r="AY31" s="363"/>
      <c r="AZ31" s="363"/>
      <c r="BA31" s="363"/>
      <c r="BC31" s="67"/>
      <c r="BD31" s="70">
        <f t="shared" si="39"/>
        <v>46134</v>
      </c>
      <c r="BE31" s="71" t="str">
        <f t="shared" si="9"/>
        <v>水</v>
      </c>
      <c r="BF31" s="71" t="s">
        <v>22</v>
      </c>
      <c r="BG31" s="166">
        <v>0.375</v>
      </c>
      <c r="BH31" s="166">
        <v>0.75</v>
      </c>
      <c r="BI31" s="167">
        <v>0.5</v>
      </c>
      <c r="BJ31" s="167">
        <v>0.54166666666666663</v>
      </c>
      <c r="BK31" s="73" t="str">
        <f t="shared" si="10"/>
        <v>8h</v>
      </c>
      <c r="BL31" s="168">
        <v>0.375</v>
      </c>
      <c r="BM31" s="168">
        <v>0.75</v>
      </c>
      <c r="BN31" s="168">
        <v>0.5</v>
      </c>
      <c r="BO31" s="168">
        <v>0.54166666666666663</v>
      </c>
      <c r="BP31" s="82" t="str">
        <f t="shared" si="11"/>
        <v>8h</v>
      </c>
      <c r="BQ31" s="363"/>
      <c r="BR31" s="363"/>
      <c r="BS31" s="363"/>
      <c r="BU31" s="67"/>
      <c r="BV31" s="70">
        <f t="shared" si="40"/>
        <v>46164</v>
      </c>
      <c r="BW31" s="71" t="str">
        <f t="shared" si="12"/>
        <v>金</v>
      </c>
      <c r="BX31" s="71" t="s">
        <v>22</v>
      </c>
      <c r="BY31" s="166">
        <v>0.375</v>
      </c>
      <c r="BZ31" s="166">
        <v>0.75</v>
      </c>
      <c r="CA31" s="167">
        <v>0.5</v>
      </c>
      <c r="CB31" s="167">
        <v>0.54166666666666663</v>
      </c>
      <c r="CC31" s="73" t="str">
        <f t="shared" si="13"/>
        <v>8h</v>
      </c>
      <c r="CD31" s="168">
        <v>0.375</v>
      </c>
      <c r="CE31" s="168">
        <v>0.75</v>
      </c>
      <c r="CF31" s="168">
        <v>0.5</v>
      </c>
      <c r="CG31" s="168">
        <v>0.54166666666666663</v>
      </c>
      <c r="CH31" s="82" t="str">
        <f t="shared" si="14"/>
        <v>8h</v>
      </c>
      <c r="CI31" s="363"/>
      <c r="CJ31" s="363"/>
      <c r="CK31" s="363"/>
      <c r="CM31" s="67"/>
      <c r="CN31" s="70">
        <f t="shared" si="41"/>
        <v>46195</v>
      </c>
      <c r="CO31" s="71" t="str">
        <f t="shared" si="15"/>
        <v>月</v>
      </c>
      <c r="CP31" s="71" t="s">
        <v>22</v>
      </c>
      <c r="CQ31" s="166">
        <v>0.375</v>
      </c>
      <c r="CR31" s="166">
        <v>0.75</v>
      </c>
      <c r="CS31" s="167">
        <v>0.5</v>
      </c>
      <c r="CT31" s="167">
        <v>0.54166666666666663</v>
      </c>
      <c r="CU31" s="73" t="str">
        <f t="shared" si="16"/>
        <v>8h</v>
      </c>
      <c r="CV31" s="168">
        <v>0.375</v>
      </c>
      <c r="CW31" s="168">
        <v>0.75</v>
      </c>
      <c r="CX31" s="168">
        <v>0.5</v>
      </c>
      <c r="CY31" s="168">
        <v>0.54166666666666663</v>
      </c>
      <c r="CZ31" s="82" t="str">
        <f t="shared" si="17"/>
        <v>8h</v>
      </c>
      <c r="DA31" s="363"/>
      <c r="DB31" s="363"/>
      <c r="DC31" s="363"/>
      <c r="DE31" s="67"/>
      <c r="DF31" s="70">
        <f t="shared" si="42"/>
        <v>46225</v>
      </c>
      <c r="DG31" s="71" t="str">
        <f t="shared" si="18"/>
        <v>水</v>
      </c>
      <c r="DH31" s="71" t="s">
        <v>22</v>
      </c>
      <c r="DI31" s="166">
        <v>0.375</v>
      </c>
      <c r="DJ31" s="166">
        <v>0.75</v>
      </c>
      <c r="DK31" s="167">
        <v>0.5</v>
      </c>
      <c r="DL31" s="167">
        <v>0.54166666666666663</v>
      </c>
      <c r="DM31" s="73" t="str">
        <f t="shared" si="19"/>
        <v>8h</v>
      </c>
      <c r="DN31" s="168">
        <v>0.375</v>
      </c>
      <c r="DO31" s="168">
        <v>0.75</v>
      </c>
      <c r="DP31" s="168">
        <v>0.5</v>
      </c>
      <c r="DQ31" s="168">
        <v>0.54166666666666663</v>
      </c>
      <c r="DR31" s="82" t="str">
        <f t="shared" si="20"/>
        <v>8h</v>
      </c>
      <c r="DS31" s="363"/>
      <c r="DT31" s="363"/>
      <c r="DU31" s="363"/>
      <c r="DW31" s="67"/>
      <c r="DX31" s="70">
        <f t="shared" si="43"/>
        <v>46256</v>
      </c>
      <c r="DY31" s="71" t="str">
        <f t="shared" si="21"/>
        <v>土</v>
      </c>
      <c r="DZ31" s="71"/>
      <c r="EA31" s="72"/>
      <c r="EB31" s="72"/>
      <c r="EC31" s="44"/>
      <c r="ED31" s="44"/>
      <c r="EE31" s="73" t="str">
        <f t="shared" si="22"/>
        <v/>
      </c>
      <c r="EF31" s="81"/>
      <c r="EG31" s="81"/>
      <c r="EH31" s="81"/>
      <c r="EI31" s="81"/>
      <c r="EJ31" s="82" t="str">
        <f t="shared" si="23"/>
        <v/>
      </c>
      <c r="EK31" s="363"/>
      <c r="EL31" s="363"/>
      <c r="EM31" s="363"/>
      <c r="EO31" s="67"/>
      <c r="EP31" s="70">
        <f t="shared" si="44"/>
        <v>46287</v>
      </c>
      <c r="EQ31" s="71" t="str">
        <f t="shared" si="24"/>
        <v>火</v>
      </c>
      <c r="ER31" s="71"/>
      <c r="ES31" s="72"/>
      <c r="ET31" s="72"/>
      <c r="EU31" s="44"/>
      <c r="EV31" s="44"/>
      <c r="EW31" s="73" t="str">
        <f t="shared" si="25"/>
        <v/>
      </c>
      <c r="EX31" s="81"/>
      <c r="EY31" s="81"/>
      <c r="EZ31" s="81"/>
      <c r="FA31" s="81"/>
      <c r="FB31" s="82" t="str">
        <f t="shared" si="26"/>
        <v/>
      </c>
      <c r="FC31" s="363"/>
      <c r="FD31" s="363"/>
      <c r="FE31" s="363"/>
      <c r="FG31" s="67"/>
      <c r="FH31" s="70">
        <f t="shared" si="45"/>
        <v>46317</v>
      </c>
      <c r="FI31" s="71" t="str">
        <f t="shared" si="27"/>
        <v>木</v>
      </c>
      <c r="FJ31" s="71" t="s">
        <v>22</v>
      </c>
      <c r="FK31" s="166">
        <v>0.375</v>
      </c>
      <c r="FL31" s="166">
        <v>0.75</v>
      </c>
      <c r="FM31" s="167">
        <v>0.5</v>
      </c>
      <c r="FN31" s="167">
        <v>0.54166666666666663</v>
      </c>
      <c r="FO31" s="73" t="str">
        <f t="shared" si="28"/>
        <v>8h</v>
      </c>
      <c r="FP31" s="168">
        <v>0.375</v>
      </c>
      <c r="FQ31" s="168">
        <v>0.75</v>
      </c>
      <c r="FR31" s="168">
        <v>0.5</v>
      </c>
      <c r="FS31" s="168">
        <v>0.54166666666666663</v>
      </c>
      <c r="FT31" s="82" t="str">
        <f t="shared" si="29"/>
        <v>8h</v>
      </c>
      <c r="FU31" s="363"/>
      <c r="FV31" s="363"/>
      <c r="FW31" s="363"/>
      <c r="FY31" s="67"/>
      <c r="FZ31" s="70">
        <f t="shared" si="46"/>
        <v>46348</v>
      </c>
      <c r="GA31" s="71" t="str">
        <f t="shared" si="30"/>
        <v>日</v>
      </c>
      <c r="GB31" s="71"/>
      <c r="GC31" s="72"/>
      <c r="GD31" s="72"/>
      <c r="GE31" s="44"/>
      <c r="GF31" s="44"/>
      <c r="GG31" s="73" t="str">
        <f t="shared" si="31"/>
        <v/>
      </c>
      <c r="GH31" s="81"/>
      <c r="GI31" s="81"/>
      <c r="GJ31" s="81"/>
      <c r="GK31" s="81"/>
      <c r="GL31" s="82" t="str">
        <f t="shared" si="32"/>
        <v/>
      </c>
      <c r="GM31" s="363"/>
      <c r="GN31" s="363"/>
      <c r="GO31" s="363"/>
      <c r="GQ31" s="67"/>
      <c r="GR31" s="70">
        <f t="shared" si="47"/>
        <v>46378</v>
      </c>
      <c r="GS31" s="71" t="str">
        <f t="shared" si="33"/>
        <v>火</v>
      </c>
      <c r="GT31" s="71" t="s">
        <v>22</v>
      </c>
      <c r="GU31" s="166">
        <v>0.375</v>
      </c>
      <c r="GV31" s="166">
        <v>0.75</v>
      </c>
      <c r="GW31" s="167">
        <v>0.5</v>
      </c>
      <c r="GX31" s="167">
        <v>0.54166666666666663</v>
      </c>
      <c r="GY31" s="73" t="str">
        <f t="shared" si="34"/>
        <v>8h</v>
      </c>
      <c r="GZ31" s="168">
        <v>0.375</v>
      </c>
      <c r="HA31" s="168">
        <v>0.75</v>
      </c>
      <c r="HB31" s="168">
        <v>0.5</v>
      </c>
      <c r="HC31" s="168">
        <v>0.54166666666666663</v>
      </c>
      <c r="HD31" s="82" t="str">
        <f t="shared" si="35"/>
        <v>8h</v>
      </c>
      <c r="HE31" s="363"/>
      <c r="HF31" s="363"/>
      <c r="HG31" s="363"/>
    </row>
    <row r="32" spans="1:215" x14ac:dyDescent="0.45">
      <c r="A32" s="67"/>
      <c r="B32" s="70">
        <f t="shared" si="36"/>
        <v>46045</v>
      </c>
      <c r="C32" s="71" t="str">
        <f t="shared" si="0"/>
        <v>金</v>
      </c>
      <c r="D32" s="71" t="s">
        <v>22</v>
      </c>
      <c r="E32" s="166">
        <v>0.375</v>
      </c>
      <c r="F32" s="166">
        <v>0.75</v>
      </c>
      <c r="G32" s="167">
        <v>0.5</v>
      </c>
      <c r="H32" s="167">
        <v>0.54166666666666663</v>
      </c>
      <c r="I32" s="73" t="str">
        <f t="shared" si="1"/>
        <v>8h</v>
      </c>
      <c r="J32" s="168">
        <v>0.375</v>
      </c>
      <c r="K32" s="168">
        <v>0.75</v>
      </c>
      <c r="L32" s="168">
        <v>0.5</v>
      </c>
      <c r="M32" s="168">
        <v>0.54166666666666663</v>
      </c>
      <c r="N32" s="82" t="str">
        <f t="shared" si="2"/>
        <v>8h</v>
      </c>
      <c r="O32" s="363"/>
      <c r="P32" s="363"/>
      <c r="Q32" s="363"/>
      <c r="S32" s="67"/>
      <c r="T32" s="70">
        <f t="shared" si="37"/>
        <v>46076</v>
      </c>
      <c r="U32" s="71" t="str">
        <f t="shared" si="3"/>
        <v>月</v>
      </c>
      <c r="V32" s="71"/>
      <c r="W32" s="72"/>
      <c r="X32" s="72"/>
      <c r="Y32" s="44"/>
      <c r="Z32" s="44"/>
      <c r="AA32" s="73" t="str">
        <f t="shared" si="4"/>
        <v/>
      </c>
      <c r="AB32" s="81"/>
      <c r="AC32" s="81"/>
      <c r="AD32" s="81"/>
      <c r="AE32" s="81"/>
      <c r="AF32" s="82" t="str">
        <f t="shared" si="5"/>
        <v/>
      </c>
      <c r="AG32" s="363"/>
      <c r="AH32" s="363"/>
      <c r="AI32" s="363"/>
      <c r="AK32" s="67"/>
      <c r="AL32" s="70">
        <f t="shared" si="38"/>
        <v>46104</v>
      </c>
      <c r="AM32" s="71" t="str">
        <f t="shared" si="6"/>
        <v>月</v>
      </c>
      <c r="AN32" s="71" t="s">
        <v>22</v>
      </c>
      <c r="AO32" s="166">
        <v>0.375</v>
      </c>
      <c r="AP32" s="166">
        <v>0.75</v>
      </c>
      <c r="AQ32" s="167">
        <v>0.5</v>
      </c>
      <c r="AR32" s="167">
        <v>0.54166666666666663</v>
      </c>
      <c r="AS32" s="73" t="str">
        <f t="shared" si="7"/>
        <v>8h</v>
      </c>
      <c r="AT32" s="168">
        <v>0.375</v>
      </c>
      <c r="AU32" s="168">
        <v>0.75</v>
      </c>
      <c r="AV32" s="168">
        <v>0.5</v>
      </c>
      <c r="AW32" s="168">
        <v>0.54166666666666663</v>
      </c>
      <c r="AX32" s="82" t="str">
        <f t="shared" si="8"/>
        <v>8h</v>
      </c>
      <c r="AY32" s="363"/>
      <c r="AZ32" s="363"/>
      <c r="BA32" s="363"/>
      <c r="BC32" s="67"/>
      <c r="BD32" s="70">
        <f t="shared" si="39"/>
        <v>46135</v>
      </c>
      <c r="BE32" s="71" t="str">
        <f t="shared" si="9"/>
        <v>木</v>
      </c>
      <c r="BF32" s="71" t="s">
        <v>22</v>
      </c>
      <c r="BG32" s="166">
        <v>0.375</v>
      </c>
      <c r="BH32" s="166">
        <v>0.75</v>
      </c>
      <c r="BI32" s="167">
        <v>0.5</v>
      </c>
      <c r="BJ32" s="167">
        <v>0.54166666666666663</v>
      </c>
      <c r="BK32" s="73" t="str">
        <f t="shared" si="10"/>
        <v>8h</v>
      </c>
      <c r="BL32" s="168">
        <v>0.375</v>
      </c>
      <c r="BM32" s="168">
        <v>0.75</v>
      </c>
      <c r="BN32" s="168">
        <v>0.5</v>
      </c>
      <c r="BO32" s="168">
        <v>0.54166666666666663</v>
      </c>
      <c r="BP32" s="82" t="str">
        <f t="shared" si="11"/>
        <v>8h</v>
      </c>
      <c r="BQ32" s="363"/>
      <c r="BR32" s="363"/>
      <c r="BS32" s="363"/>
      <c r="BU32" s="67"/>
      <c r="BV32" s="70">
        <f t="shared" si="40"/>
        <v>46165</v>
      </c>
      <c r="BW32" s="71" t="str">
        <f t="shared" si="12"/>
        <v>土</v>
      </c>
      <c r="BX32" s="71"/>
      <c r="BY32" s="72"/>
      <c r="BZ32" s="72"/>
      <c r="CA32" s="44"/>
      <c r="CB32" s="44"/>
      <c r="CC32" s="73" t="str">
        <f t="shared" si="13"/>
        <v/>
      </c>
      <c r="CD32" s="81"/>
      <c r="CE32" s="81"/>
      <c r="CF32" s="81"/>
      <c r="CG32" s="81"/>
      <c r="CH32" s="82" t="str">
        <f t="shared" si="14"/>
        <v/>
      </c>
      <c r="CI32" s="363"/>
      <c r="CJ32" s="363"/>
      <c r="CK32" s="363"/>
      <c r="CM32" s="67"/>
      <c r="CN32" s="70">
        <f t="shared" si="41"/>
        <v>46196</v>
      </c>
      <c r="CO32" s="71" t="str">
        <f t="shared" si="15"/>
        <v>火</v>
      </c>
      <c r="CP32" s="71" t="s">
        <v>22</v>
      </c>
      <c r="CQ32" s="166">
        <v>0.375</v>
      </c>
      <c r="CR32" s="166">
        <v>0.75</v>
      </c>
      <c r="CS32" s="167">
        <v>0.5</v>
      </c>
      <c r="CT32" s="167">
        <v>0.54166666666666663</v>
      </c>
      <c r="CU32" s="73" t="str">
        <f t="shared" si="16"/>
        <v>8h</v>
      </c>
      <c r="CV32" s="168">
        <v>0.375</v>
      </c>
      <c r="CW32" s="168">
        <v>0.75</v>
      </c>
      <c r="CX32" s="168">
        <v>0.5</v>
      </c>
      <c r="CY32" s="168">
        <v>0.54166666666666663</v>
      </c>
      <c r="CZ32" s="82" t="str">
        <f t="shared" si="17"/>
        <v>8h</v>
      </c>
      <c r="DA32" s="363"/>
      <c r="DB32" s="363"/>
      <c r="DC32" s="363"/>
      <c r="DE32" s="67"/>
      <c r="DF32" s="70">
        <f t="shared" si="42"/>
        <v>46226</v>
      </c>
      <c r="DG32" s="71" t="str">
        <f t="shared" si="18"/>
        <v>木</v>
      </c>
      <c r="DH32" s="71" t="s">
        <v>22</v>
      </c>
      <c r="DI32" s="166">
        <v>0.375</v>
      </c>
      <c r="DJ32" s="166">
        <v>0.75</v>
      </c>
      <c r="DK32" s="167">
        <v>0.5</v>
      </c>
      <c r="DL32" s="167">
        <v>0.54166666666666663</v>
      </c>
      <c r="DM32" s="73" t="str">
        <f t="shared" si="19"/>
        <v>8h</v>
      </c>
      <c r="DN32" s="168">
        <v>0.375</v>
      </c>
      <c r="DO32" s="168">
        <v>0.75</v>
      </c>
      <c r="DP32" s="168">
        <v>0.5</v>
      </c>
      <c r="DQ32" s="168">
        <v>0.54166666666666663</v>
      </c>
      <c r="DR32" s="82" t="str">
        <f t="shared" si="20"/>
        <v>8h</v>
      </c>
      <c r="DS32" s="363"/>
      <c r="DT32" s="363"/>
      <c r="DU32" s="363"/>
      <c r="DW32" s="67"/>
      <c r="DX32" s="70">
        <f t="shared" si="43"/>
        <v>46257</v>
      </c>
      <c r="DY32" s="71" t="str">
        <f t="shared" si="21"/>
        <v>日</v>
      </c>
      <c r="DZ32" s="71"/>
      <c r="EA32" s="72"/>
      <c r="EB32" s="72"/>
      <c r="EC32" s="44"/>
      <c r="ED32" s="44"/>
      <c r="EE32" s="73" t="str">
        <f t="shared" si="22"/>
        <v/>
      </c>
      <c r="EF32" s="81"/>
      <c r="EG32" s="81"/>
      <c r="EH32" s="81"/>
      <c r="EI32" s="81"/>
      <c r="EJ32" s="82" t="str">
        <f t="shared" si="23"/>
        <v/>
      </c>
      <c r="EK32" s="363"/>
      <c r="EL32" s="363"/>
      <c r="EM32" s="363"/>
      <c r="EO32" s="67"/>
      <c r="EP32" s="70">
        <f t="shared" si="44"/>
        <v>46288</v>
      </c>
      <c r="EQ32" s="71" t="str">
        <f t="shared" si="24"/>
        <v>水</v>
      </c>
      <c r="ER32" s="71"/>
      <c r="ES32" s="72"/>
      <c r="ET32" s="72"/>
      <c r="EU32" s="44"/>
      <c r="EV32" s="44"/>
      <c r="EW32" s="73" t="str">
        <f t="shared" si="25"/>
        <v/>
      </c>
      <c r="EX32" s="81"/>
      <c r="EY32" s="81"/>
      <c r="EZ32" s="81"/>
      <c r="FA32" s="81"/>
      <c r="FB32" s="82" t="str">
        <f t="shared" si="26"/>
        <v/>
      </c>
      <c r="FC32" s="363"/>
      <c r="FD32" s="363"/>
      <c r="FE32" s="363"/>
      <c r="FG32" s="67"/>
      <c r="FH32" s="70">
        <f t="shared" si="45"/>
        <v>46318</v>
      </c>
      <c r="FI32" s="71" t="str">
        <f t="shared" si="27"/>
        <v>金</v>
      </c>
      <c r="FJ32" s="71" t="s">
        <v>22</v>
      </c>
      <c r="FK32" s="166">
        <v>0.375</v>
      </c>
      <c r="FL32" s="166">
        <v>0.75</v>
      </c>
      <c r="FM32" s="167">
        <v>0.5</v>
      </c>
      <c r="FN32" s="167">
        <v>0.54166666666666663</v>
      </c>
      <c r="FO32" s="73" t="str">
        <f t="shared" si="28"/>
        <v>8h</v>
      </c>
      <c r="FP32" s="168">
        <v>0.375</v>
      </c>
      <c r="FQ32" s="168">
        <v>0.75</v>
      </c>
      <c r="FR32" s="168">
        <v>0.5</v>
      </c>
      <c r="FS32" s="168">
        <v>0.54166666666666663</v>
      </c>
      <c r="FT32" s="82" t="str">
        <f t="shared" si="29"/>
        <v>8h</v>
      </c>
      <c r="FU32" s="363"/>
      <c r="FV32" s="363"/>
      <c r="FW32" s="363"/>
      <c r="FY32" s="67"/>
      <c r="FZ32" s="70">
        <f t="shared" si="46"/>
        <v>46349</v>
      </c>
      <c r="GA32" s="71" t="str">
        <f t="shared" si="30"/>
        <v>月</v>
      </c>
      <c r="GB32" s="71"/>
      <c r="GC32" s="72"/>
      <c r="GD32" s="72"/>
      <c r="GE32" s="44"/>
      <c r="GF32" s="44"/>
      <c r="GG32" s="73" t="str">
        <f t="shared" si="31"/>
        <v/>
      </c>
      <c r="GH32" s="81"/>
      <c r="GI32" s="81"/>
      <c r="GJ32" s="81"/>
      <c r="GK32" s="81"/>
      <c r="GL32" s="82" t="str">
        <f t="shared" si="32"/>
        <v/>
      </c>
      <c r="GM32" s="363"/>
      <c r="GN32" s="363"/>
      <c r="GO32" s="363"/>
      <c r="GQ32" s="67"/>
      <c r="GR32" s="70">
        <f t="shared" si="47"/>
        <v>46379</v>
      </c>
      <c r="GS32" s="71" t="str">
        <f t="shared" si="33"/>
        <v>水</v>
      </c>
      <c r="GT32" s="71" t="s">
        <v>22</v>
      </c>
      <c r="GU32" s="166">
        <v>0.375</v>
      </c>
      <c r="GV32" s="166">
        <v>0.75</v>
      </c>
      <c r="GW32" s="167">
        <v>0.5</v>
      </c>
      <c r="GX32" s="167">
        <v>0.54166666666666663</v>
      </c>
      <c r="GY32" s="73" t="str">
        <f t="shared" si="34"/>
        <v>8h</v>
      </c>
      <c r="GZ32" s="168">
        <v>0.375</v>
      </c>
      <c r="HA32" s="168">
        <v>0.75</v>
      </c>
      <c r="HB32" s="168">
        <v>0.5</v>
      </c>
      <c r="HC32" s="168">
        <v>0.54166666666666663</v>
      </c>
      <c r="HD32" s="82" t="str">
        <f t="shared" si="35"/>
        <v>8h</v>
      </c>
      <c r="HE32" s="363"/>
      <c r="HF32" s="363"/>
      <c r="HG32" s="363"/>
    </row>
    <row r="33" spans="1:215" x14ac:dyDescent="0.45">
      <c r="A33" s="67"/>
      <c r="B33" s="70">
        <f t="shared" si="36"/>
        <v>46046</v>
      </c>
      <c r="C33" s="71" t="str">
        <f t="shared" si="0"/>
        <v>土</v>
      </c>
      <c r="D33" s="71"/>
      <c r="E33" s="72"/>
      <c r="F33" s="72"/>
      <c r="G33" s="44"/>
      <c r="H33" s="44"/>
      <c r="I33" s="73" t="str">
        <f t="shared" si="1"/>
        <v/>
      </c>
      <c r="J33" s="81"/>
      <c r="K33" s="81"/>
      <c r="L33" s="81"/>
      <c r="M33" s="81"/>
      <c r="N33" s="82" t="str">
        <f t="shared" si="2"/>
        <v/>
      </c>
      <c r="O33" s="363"/>
      <c r="P33" s="363"/>
      <c r="Q33" s="363"/>
      <c r="S33" s="67"/>
      <c r="T33" s="70">
        <f t="shared" si="37"/>
        <v>46077</v>
      </c>
      <c r="U33" s="71" t="str">
        <f t="shared" si="3"/>
        <v>火</v>
      </c>
      <c r="V33" s="71" t="s">
        <v>22</v>
      </c>
      <c r="W33" s="166">
        <v>0.375</v>
      </c>
      <c r="X33" s="166">
        <v>0.75</v>
      </c>
      <c r="Y33" s="167">
        <v>0.5</v>
      </c>
      <c r="Z33" s="167">
        <v>0.54166666666666663</v>
      </c>
      <c r="AA33" s="73" t="str">
        <f t="shared" si="4"/>
        <v>8h</v>
      </c>
      <c r="AB33" s="168">
        <v>0.375</v>
      </c>
      <c r="AC33" s="168">
        <v>0.75</v>
      </c>
      <c r="AD33" s="168">
        <v>0.5</v>
      </c>
      <c r="AE33" s="168">
        <v>0.54166666666666663</v>
      </c>
      <c r="AF33" s="82" t="str">
        <f t="shared" si="5"/>
        <v>8h</v>
      </c>
      <c r="AG33" s="363"/>
      <c r="AH33" s="363"/>
      <c r="AI33" s="363"/>
      <c r="AK33" s="67"/>
      <c r="AL33" s="70">
        <f t="shared" si="38"/>
        <v>46105</v>
      </c>
      <c r="AM33" s="71" t="str">
        <f t="shared" si="6"/>
        <v>火</v>
      </c>
      <c r="AN33" s="71" t="s">
        <v>22</v>
      </c>
      <c r="AO33" s="166">
        <v>0.375</v>
      </c>
      <c r="AP33" s="166">
        <v>0.75</v>
      </c>
      <c r="AQ33" s="167">
        <v>0.5</v>
      </c>
      <c r="AR33" s="167">
        <v>0.54166666666666663</v>
      </c>
      <c r="AS33" s="73" t="str">
        <f t="shared" si="7"/>
        <v>8h</v>
      </c>
      <c r="AT33" s="168">
        <v>0.375</v>
      </c>
      <c r="AU33" s="168">
        <v>0.75</v>
      </c>
      <c r="AV33" s="168">
        <v>0.5</v>
      </c>
      <c r="AW33" s="168">
        <v>0.54166666666666663</v>
      </c>
      <c r="AX33" s="82" t="str">
        <f t="shared" si="8"/>
        <v>8h</v>
      </c>
      <c r="AY33" s="363"/>
      <c r="AZ33" s="363"/>
      <c r="BA33" s="363"/>
      <c r="BC33" s="67"/>
      <c r="BD33" s="70">
        <f t="shared" si="39"/>
        <v>46136</v>
      </c>
      <c r="BE33" s="71" t="str">
        <f t="shared" si="9"/>
        <v>金</v>
      </c>
      <c r="BF33" s="71" t="s">
        <v>22</v>
      </c>
      <c r="BG33" s="166">
        <v>0.375</v>
      </c>
      <c r="BH33" s="166">
        <v>0.75</v>
      </c>
      <c r="BI33" s="167">
        <v>0.5</v>
      </c>
      <c r="BJ33" s="167">
        <v>0.54166666666666663</v>
      </c>
      <c r="BK33" s="73" t="str">
        <f t="shared" si="10"/>
        <v>8h</v>
      </c>
      <c r="BL33" s="168">
        <v>0.375</v>
      </c>
      <c r="BM33" s="168">
        <v>0.75</v>
      </c>
      <c r="BN33" s="168">
        <v>0.5</v>
      </c>
      <c r="BO33" s="168">
        <v>0.54166666666666663</v>
      </c>
      <c r="BP33" s="82" t="str">
        <f t="shared" si="11"/>
        <v>8h</v>
      </c>
      <c r="BQ33" s="363"/>
      <c r="BR33" s="363"/>
      <c r="BS33" s="363"/>
      <c r="BU33" s="67"/>
      <c r="BV33" s="70">
        <f t="shared" si="40"/>
        <v>46166</v>
      </c>
      <c r="BW33" s="71" t="str">
        <f t="shared" si="12"/>
        <v>日</v>
      </c>
      <c r="BX33" s="71"/>
      <c r="BY33" s="72"/>
      <c r="BZ33" s="72"/>
      <c r="CA33" s="44"/>
      <c r="CB33" s="44"/>
      <c r="CC33" s="73" t="str">
        <f t="shared" si="13"/>
        <v/>
      </c>
      <c r="CD33" s="81"/>
      <c r="CE33" s="81"/>
      <c r="CF33" s="81"/>
      <c r="CG33" s="81"/>
      <c r="CH33" s="82" t="str">
        <f t="shared" si="14"/>
        <v/>
      </c>
      <c r="CI33" s="363"/>
      <c r="CJ33" s="363"/>
      <c r="CK33" s="363"/>
      <c r="CM33" s="67"/>
      <c r="CN33" s="70">
        <f t="shared" si="41"/>
        <v>46197</v>
      </c>
      <c r="CO33" s="71" t="str">
        <f t="shared" si="15"/>
        <v>水</v>
      </c>
      <c r="CP33" s="71" t="s">
        <v>22</v>
      </c>
      <c r="CQ33" s="166">
        <v>0.375</v>
      </c>
      <c r="CR33" s="166">
        <v>0.75</v>
      </c>
      <c r="CS33" s="167">
        <v>0.5</v>
      </c>
      <c r="CT33" s="167">
        <v>0.54166666666666663</v>
      </c>
      <c r="CU33" s="73" t="str">
        <f t="shared" si="16"/>
        <v>8h</v>
      </c>
      <c r="CV33" s="168">
        <v>0.375</v>
      </c>
      <c r="CW33" s="168">
        <v>0.75</v>
      </c>
      <c r="CX33" s="168">
        <v>0.5</v>
      </c>
      <c r="CY33" s="168">
        <v>0.54166666666666663</v>
      </c>
      <c r="CZ33" s="82" t="str">
        <f t="shared" si="17"/>
        <v>8h</v>
      </c>
      <c r="DA33" s="363"/>
      <c r="DB33" s="363"/>
      <c r="DC33" s="363"/>
      <c r="DE33" s="67"/>
      <c r="DF33" s="70">
        <f t="shared" si="42"/>
        <v>46227</v>
      </c>
      <c r="DG33" s="71" t="str">
        <f t="shared" si="18"/>
        <v>金</v>
      </c>
      <c r="DH33" s="71" t="s">
        <v>22</v>
      </c>
      <c r="DI33" s="166">
        <v>0.375</v>
      </c>
      <c r="DJ33" s="166">
        <v>0.75</v>
      </c>
      <c r="DK33" s="167">
        <v>0.5</v>
      </c>
      <c r="DL33" s="167">
        <v>0.54166666666666663</v>
      </c>
      <c r="DM33" s="73" t="str">
        <f t="shared" si="19"/>
        <v>8h</v>
      </c>
      <c r="DN33" s="168">
        <v>0.375</v>
      </c>
      <c r="DO33" s="168">
        <v>0.75</v>
      </c>
      <c r="DP33" s="168">
        <v>0.5</v>
      </c>
      <c r="DQ33" s="168">
        <v>0.54166666666666663</v>
      </c>
      <c r="DR33" s="82" t="str">
        <f t="shared" si="20"/>
        <v>8h</v>
      </c>
      <c r="DS33" s="363"/>
      <c r="DT33" s="363"/>
      <c r="DU33" s="363"/>
      <c r="DW33" s="67"/>
      <c r="DX33" s="70">
        <f t="shared" si="43"/>
        <v>46258</v>
      </c>
      <c r="DY33" s="71" t="str">
        <f t="shared" si="21"/>
        <v>月</v>
      </c>
      <c r="DZ33" s="71" t="s">
        <v>22</v>
      </c>
      <c r="EA33" s="166">
        <v>0.375</v>
      </c>
      <c r="EB33" s="166">
        <v>0.75</v>
      </c>
      <c r="EC33" s="167">
        <v>0.5</v>
      </c>
      <c r="ED33" s="167">
        <v>0.54166666666666663</v>
      </c>
      <c r="EE33" s="73" t="str">
        <f t="shared" si="22"/>
        <v>8h</v>
      </c>
      <c r="EF33" s="168">
        <v>0.375</v>
      </c>
      <c r="EG33" s="168">
        <v>0.75</v>
      </c>
      <c r="EH33" s="168">
        <v>0.5</v>
      </c>
      <c r="EI33" s="168">
        <v>0.54166666666666663</v>
      </c>
      <c r="EJ33" s="82" t="str">
        <f t="shared" si="23"/>
        <v>8h</v>
      </c>
      <c r="EK33" s="363"/>
      <c r="EL33" s="363"/>
      <c r="EM33" s="363"/>
      <c r="EO33" s="67"/>
      <c r="EP33" s="70">
        <f t="shared" si="44"/>
        <v>46289</v>
      </c>
      <c r="EQ33" s="71" t="str">
        <f t="shared" si="24"/>
        <v>木</v>
      </c>
      <c r="ER33" s="71" t="s">
        <v>22</v>
      </c>
      <c r="ES33" s="166">
        <v>0.375</v>
      </c>
      <c r="ET33" s="166">
        <v>0.75</v>
      </c>
      <c r="EU33" s="167">
        <v>0.5</v>
      </c>
      <c r="EV33" s="167">
        <v>0.54166666666666663</v>
      </c>
      <c r="EW33" s="73" t="str">
        <f t="shared" si="25"/>
        <v>8h</v>
      </c>
      <c r="EX33" s="168">
        <v>0.375</v>
      </c>
      <c r="EY33" s="168">
        <v>0.75</v>
      </c>
      <c r="EZ33" s="168">
        <v>0.5</v>
      </c>
      <c r="FA33" s="168">
        <v>0.54166666666666663</v>
      </c>
      <c r="FB33" s="82" t="str">
        <f t="shared" si="26"/>
        <v>8h</v>
      </c>
      <c r="FC33" s="363"/>
      <c r="FD33" s="363"/>
      <c r="FE33" s="363"/>
      <c r="FG33" s="67"/>
      <c r="FH33" s="70">
        <f t="shared" si="45"/>
        <v>46319</v>
      </c>
      <c r="FI33" s="71" t="str">
        <f t="shared" si="27"/>
        <v>土</v>
      </c>
      <c r="FJ33" s="71"/>
      <c r="FK33" s="72"/>
      <c r="FL33" s="72"/>
      <c r="FM33" s="44"/>
      <c r="FN33" s="44"/>
      <c r="FO33" s="73" t="str">
        <f t="shared" si="28"/>
        <v/>
      </c>
      <c r="FP33" s="81"/>
      <c r="FQ33" s="81"/>
      <c r="FR33" s="81"/>
      <c r="FS33" s="81"/>
      <c r="FT33" s="82" t="str">
        <f t="shared" si="29"/>
        <v/>
      </c>
      <c r="FU33" s="363"/>
      <c r="FV33" s="363"/>
      <c r="FW33" s="363"/>
      <c r="FY33" s="67"/>
      <c r="FZ33" s="70">
        <f t="shared" si="46"/>
        <v>46350</v>
      </c>
      <c r="GA33" s="71" t="str">
        <f t="shared" si="30"/>
        <v>火</v>
      </c>
      <c r="GB33" s="71" t="s">
        <v>22</v>
      </c>
      <c r="GC33" s="166">
        <v>0.375</v>
      </c>
      <c r="GD33" s="166">
        <v>0.75</v>
      </c>
      <c r="GE33" s="167">
        <v>0.5</v>
      </c>
      <c r="GF33" s="167">
        <v>0.54166666666666663</v>
      </c>
      <c r="GG33" s="73" t="str">
        <f t="shared" si="31"/>
        <v>8h</v>
      </c>
      <c r="GH33" s="168">
        <v>0.375</v>
      </c>
      <c r="GI33" s="168">
        <v>0.75</v>
      </c>
      <c r="GJ33" s="168">
        <v>0.5</v>
      </c>
      <c r="GK33" s="168">
        <v>0.54166666666666663</v>
      </c>
      <c r="GL33" s="82" t="str">
        <f t="shared" si="32"/>
        <v>8h</v>
      </c>
      <c r="GM33" s="363"/>
      <c r="GN33" s="363"/>
      <c r="GO33" s="363"/>
      <c r="GQ33" s="67"/>
      <c r="GR33" s="70">
        <f t="shared" si="47"/>
        <v>46380</v>
      </c>
      <c r="GS33" s="71" t="str">
        <f t="shared" si="33"/>
        <v>木</v>
      </c>
      <c r="GT33" s="71" t="s">
        <v>22</v>
      </c>
      <c r="GU33" s="166">
        <v>0.375</v>
      </c>
      <c r="GV33" s="166">
        <v>0.75</v>
      </c>
      <c r="GW33" s="167">
        <v>0.5</v>
      </c>
      <c r="GX33" s="167">
        <v>0.54166666666666663</v>
      </c>
      <c r="GY33" s="73" t="str">
        <f t="shared" si="34"/>
        <v>8h</v>
      </c>
      <c r="GZ33" s="168">
        <v>0.375</v>
      </c>
      <c r="HA33" s="168">
        <v>0.75</v>
      </c>
      <c r="HB33" s="168">
        <v>0.5</v>
      </c>
      <c r="HC33" s="168">
        <v>0.54166666666666663</v>
      </c>
      <c r="HD33" s="82" t="str">
        <f t="shared" si="35"/>
        <v>8h</v>
      </c>
      <c r="HE33" s="363"/>
      <c r="HF33" s="363"/>
      <c r="HG33" s="363"/>
    </row>
    <row r="34" spans="1:215" x14ac:dyDescent="0.45">
      <c r="A34" s="67"/>
      <c r="B34" s="70">
        <f t="shared" si="36"/>
        <v>46047</v>
      </c>
      <c r="C34" s="71" t="str">
        <f t="shared" si="0"/>
        <v>日</v>
      </c>
      <c r="D34" s="71"/>
      <c r="E34" s="72"/>
      <c r="F34" s="72"/>
      <c r="G34" s="44"/>
      <c r="H34" s="44"/>
      <c r="I34" s="73" t="str">
        <f t="shared" si="1"/>
        <v/>
      </c>
      <c r="J34" s="81"/>
      <c r="K34" s="81"/>
      <c r="L34" s="81"/>
      <c r="M34" s="81"/>
      <c r="N34" s="82" t="str">
        <f t="shared" si="2"/>
        <v/>
      </c>
      <c r="O34" s="363"/>
      <c r="P34" s="363"/>
      <c r="Q34" s="363"/>
      <c r="S34" s="67"/>
      <c r="T34" s="70">
        <f t="shared" si="37"/>
        <v>46078</v>
      </c>
      <c r="U34" s="71" t="str">
        <f t="shared" si="3"/>
        <v>水</v>
      </c>
      <c r="V34" s="71" t="s">
        <v>22</v>
      </c>
      <c r="W34" s="166">
        <v>0.375</v>
      </c>
      <c r="X34" s="166">
        <v>0.75</v>
      </c>
      <c r="Y34" s="167">
        <v>0.5</v>
      </c>
      <c r="Z34" s="167">
        <v>0.54166666666666663</v>
      </c>
      <c r="AA34" s="73" t="str">
        <f t="shared" si="4"/>
        <v>8h</v>
      </c>
      <c r="AB34" s="168">
        <v>0.375</v>
      </c>
      <c r="AC34" s="168">
        <v>0.75</v>
      </c>
      <c r="AD34" s="168">
        <v>0.5</v>
      </c>
      <c r="AE34" s="168">
        <v>0.54166666666666663</v>
      </c>
      <c r="AF34" s="82" t="str">
        <f t="shared" si="5"/>
        <v>8h</v>
      </c>
      <c r="AG34" s="363"/>
      <c r="AH34" s="363"/>
      <c r="AI34" s="363"/>
      <c r="AK34" s="67"/>
      <c r="AL34" s="70">
        <f t="shared" si="38"/>
        <v>46106</v>
      </c>
      <c r="AM34" s="71" t="str">
        <f t="shared" si="6"/>
        <v>水</v>
      </c>
      <c r="AN34" s="71" t="s">
        <v>22</v>
      </c>
      <c r="AO34" s="166">
        <v>0.375</v>
      </c>
      <c r="AP34" s="166">
        <v>0.75</v>
      </c>
      <c r="AQ34" s="167">
        <v>0.5</v>
      </c>
      <c r="AR34" s="167">
        <v>0.54166666666666663</v>
      </c>
      <c r="AS34" s="73" t="str">
        <f t="shared" si="7"/>
        <v>8h</v>
      </c>
      <c r="AT34" s="168">
        <v>0.375</v>
      </c>
      <c r="AU34" s="168">
        <v>0.75</v>
      </c>
      <c r="AV34" s="168">
        <v>0.5</v>
      </c>
      <c r="AW34" s="168">
        <v>0.54166666666666663</v>
      </c>
      <c r="AX34" s="82" t="str">
        <f t="shared" si="8"/>
        <v>8h</v>
      </c>
      <c r="AY34" s="363"/>
      <c r="AZ34" s="363"/>
      <c r="BA34" s="363"/>
      <c r="BC34" s="67"/>
      <c r="BD34" s="70">
        <f t="shared" si="39"/>
        <v>46137</v>
      </c>
      <c r="BE34" s="71" t="str">
        <f t="shared" si="9"/>
        <v>土</v>
      </c>
      <c r="BF34" s="71"/>
      <c r="BG34" s="72"/>
      <c r="BH34" s="72"/>
      <c r="BI34" s="44"/>
      <c r="BJ34" s="44"/>
      <c r="BK34" s="73" t="str">
        <f t="shared" si="10"/>
        <v/>
      </c>
      <c r="BL34" s="81"/>
      <c r="BM34" s="81"/>
      <c r="BN34" s="81"/>
      <c r="BO34" s="81"/>
      <c r="BP34" s="82" t="str">
        <f t="shared" si="11"/>
        <v/>
      </c>
      <c r="BQ34" s="363"/>
      <c r="BR34" s="363"/>
      <c r="BS34" s="363"/>
      <c r="BU34" s="67"/>
      <c r="BV34" s="70">
        <f t="shared" si="40"/>
        <v>46167</v>
      </c>
      <c r="BW34" s="71" t="str">
        <f t="shared" si="12"/>
        <v>月</v>
      </c>
      <c r="BX34" s="71" t="s">
        <v>22</v>
      </c>
      <c r="BY34" s="166">
        <v>0.375</v>
      </c>
      <c r="BZ34" s="166">
        <v>0.75</v>
      </c>
      <c r="CA34" s="167">
        <v>0.5</v>
      </c>
      <c r="CB34" s="167">
        <v>0.54166666666666663</v>
      </c>
      <c r="CC34" s="73" t="str">
        <f t="shared" si="13"/>
        <v>8h</v>
      </c>
      <c r="CD34" s="168">
        <v>0.375</v>
      </c>
      <c r="CE34" s="168">
        <v>0.75</v>
      </c>
      <c r="CF34" s="168">
        <v>0.5</v>
      </c>
      <c r="CG34" s="168">
        <v>0.54166666666666663</v>
      </c>
      <c r="CH34" s="82" t="str">
        <f t="shared" si="14"/>
        <v>8h</v>
      </c>
      <c r="CI34" s="363"/>
      <c r="CJ34" s="363"/>
      <c r="CK34" s="363"/>
      <c r="CM34" s="67"/>
      <c r="CN34" s="70">
        <f t="shared" si="41"/>
        <v>46198</v>
      </c>
      <c r="CO34" s="71" t="str">
        <f t="shared" si="15"/>
        <v>木</v>
      </c>
      <c r="CP34" s="71" t="s">
        <v>22</v>
      </c>
      <c r="CQ34" s="166">
        <v>0.375</v>
      </c>
      <c r="CR34" s="166">
        <v>0.75</v>
      </c>
      <c r="CS34" s="167">
        <v>0.5</v>
      </c>
      <c r="CT34" s="167">
        <v>0.54166666666666663</v>
      </c>
      <c r="CU34" s="73" t="str">
        <f t="shared" si="16"/>
        <v>8h</v>
      </c>
      <c r="CV34" s="168">
        <v>0.375</v>
      </c>
      <c r="CW34" s="168">
        <v>0.75</v>
      </c>
      <c r="CX34" s="168">
        <v>0.5</v>
      </c>
      <c r="CY34" s="168">
        <v>0.54166666666666663</v>
      </c>
      <c r="CZ34" s="82" t="str">
        <f t="shared" si="17"/>
        <v>8h</v>
      </c>
      <c r="DA34" s="363"/>
      <c r="DB34" s="363"/>
      <c r="DC34" s="363"/>
      <c r="DE34" s="67"/>
      <c r="DF34" s="70">
        <f t="shared" si="42"/>
        <v>46228</v>
      </c>
      <c r="DG34" s="71" t="str">
        <f t="shared" si="18"/>
        <v>土</v>
      </c>
      <c r="DH34" s="71"/>
      <c r="DI34" s="72"/>
      <c r="DJ34" s="72"/>
      <c r="DK34" s="44"/>
      <c r="DL34" s="44"/>
      <c r="DM34" s="73" t="str">
        <f t="shared" si="19"/>
        <v/>
      </c>
      <c r="DN34" s="81"/>
      <c r="DO34" s="81"/>
      <c r="DP34" s="81"/>
      <c r="DQ34" s="81"/>
      <c r="DR34" s="82" t="str">
        <f t="shared" si="20"/>
        <v/>
      </c>
      <c r="DS34" s="363"/>
      <c r="DT34" s="363"/>
      <c r="DU34" s="363"/>
      <c r="DW34" s="67"/>
      <c r="DX34" s="70">
        <f t="shared" si="43"/>
        <v>46259</v>
      </c>
      <c r="DY34" s="71" t="str">
        <f t="shared" si="21"/>
        <v>火</v>
      </c>
      <c r="DZ34" s="71" t="s">
        <v>22</v>
      </c>
      <c r="EA34" s="166">
        <v>0.375</v>
      </c>
      <c r="EB34" s="166">
        <v>0.75</v>
      </c>
      <c r="EC34" s="167">
        <v>0.5</v>
      </c>
      <c r="ED34" s="167">
        <v>0.54166666666666663</v>
      </c>
      <c r="EE34" s="73" t="str">
        <f t="shared" si="22"/>
        <v>8h</v>
      </c>
      <c r="EF34" s="168">
        <v>0.375</v>
      </c>
      <c r="EG34" s="168">
        <v>0.75</v>
      </c>
      <c r="EH34" s="168">
        <v>0.5</v>
      </c>
      <c r="EI34" s="168">
        <v>0.54166666666666663</v>
      </c>
      <c r="EJ34" s="82" t="str">
        <f t="shared" si="23"/>
        <v>8h</v>
      </c>
      <c r="EK34" s="363"/>
      <c r="EL34" s="363"/>
      <c r="EM34" s="363"/>
      <c r="EO34" s="67"/>
      <c r="EP34" s="70">
        <f t="shared" si="44"/>
        <v>46290</v>
      </c>
      <c r="EQ34" s="71" t="str">
        <f t="shared" si="24"/>
        <v>金</v>
      </c>
      <c r="ER34" s="71" t="s">
        <v>22</v>
      </c>
      <c r="ES34" s="166">
        <v>0.375</v>
      </c>
      <c r="ET34" s="166">
        <v>0.75</v>
      </c>
      <c r="EU34" s="167">
        <v>0.5</v>
      </c>
      <c r="EV34" s="167">
        <v>0.54166666666666663</v>
      </c>
      <c r="EW34" s="73" t="str">
        <f t="shared" si="25"/>
        <v>8h</v>
      </c>
      <c r="EX34" s="168">
        <v>0.375</v>
      </c>
      <c r="EY34" s="168">
        <v>0.75</v>
      </c>
      <c r="EZ34" s="168">
        <v>0.5</v>
      </c>
      <c r="FA34" s="168">
        <v>0.54166666666666663</v>
      </c>
      <c r="FB34" s="82" t="str">
        <f t="shared" si="26"/>
        <v>8h</v>
      </c>
      <c r="FC34" s="363"/>
      <c r="FD34" s="363"/>
      <c r="FE34" s="363"/>
      <c r="FG34" s="67"/>
      <c r="FH34" s="70">
        <f t="shared" si="45"/>
        <v>46320</v>
      </c>
      <c r="FI34" s="71" t="str">
        <f t="shared" si="27"/>
        <v>日</v>
      </c>
      <c r="FJ34" s="71"/>
      <c r="FK34" s="72"/>
      <c r="FL34" s="72"/>
      <c r="FM34" s="44"/>
      <c r="FN34" s="44"/>
      <c r="FO34" s="73" t="str">
        <f t="shared" si="28"/>
        <v/>
      </c>
      <c r="FP34" s="81"/>
      <c r="FQ34" s="81"/>
      <c r="FR34" s="81"/>
      <c r="FS34" s="81"/>
      <c r="FT34" s="82" t="str">
        <f t="shared" si="29"/>
        <v/>
      </c>
      <c r="FU34" s="363"/>
      <c r="FV34" s="363"/>
      <c r="FW34" s="363"/>
      <c r="FY34" s="67"/>
      <c r="FZ34" s="70">
        <f t="shared" si="46"/>
        <v>46351</v>
      </c>
      <c r="GA34" s="71" t="str">
        <f t="shared" si="30"/>
        <v>水</v>
      </c>
      <c r="GB34" s="71" t="s">
        <v>22</v>
      </c>
      <c r="GC34" s="166">
        <v>0.375</v>
      </c>
      <c r="GD34" s="166">
        <v>0.75</v>
      </c>
      <c r="GE34" s="167">
        <v>0.5</v>
      </c>
      <c r="GF34" s="167">
        <v>0.54166666666666663</v>
      </c>
      <c r="GG34" s="73" t="str">
        <f t="shared" si="31"/>
        <v>8h</v>
      </c>
      <c r="GH34" s="168">
        <v>0.375</v>
      </c>
      <c r="GI34" s="168">
        <v>0.75</v>
      </c>
      <c r="GJ34" s="168">
        <v>0.5</v>
      </c>
      <c r="GK34" s="168">
        <v>0.54166666666666663</v>
      </c>
      <c r="GL34" s="82" t="str">
        <f t="shared" si="32"/>
        <v>8h</v>
      </c>
      <c r="GM34" s="363"/>
      <c r="GN34" s="363"/>
      <c r="GO34" s="363"/>
      <c r="GQ34" s="67"/>
      <c r="GR34" s="70">
        <f t="shared" si="47"/>
        <v>46381</v>
      </c>
      <c r="GS34" s="71" t="str">
        <f t="shared" si="33"/>
        <v>金</v>
      </c>
      <c r="GT34" s="71" t="s">
        <v>22</v>
      </c>
      <c r="GU34" s="166">
        <v>0.375</v>
      </c>
      <c r="GV34" s="166">
        <v>0.75</v>
      </c>
      <c r="GW34" s="167">
        <v>0.5</v>
      </c>
      <c r="GX34" s="167">
        <v>0.54166666666666663</v>
      </c>
      <c r="GY34" s="73" t="str">
        <f t="shared" si="34"/>
        <v>8h</v>
      </c>
      <c r="GZ34" s="168">
        <v>0.375</v>
      </c>
      <c r="HA34" s="168">
        <v>0.75</v>
      </c>
      <c r="HB34" s="168">
        <v>0.5</v>
      </c>
      <c r="HC34" s="168">
        <v>0.54166666666666663</v>
      </c>
      <c r="HD34" s="82" t="str">
        <f t="shared" si="35"/>
        <v>8h</v>
      </c>
      <c r="HE34" s="363"/>
      <c r="HF34" s="363"/>
      <c r="HG34" s="363"/>
    </row>
    <row r="35" spans="1:215" x14ac:dyDescent="0.45">
      <c r="A35" s="67"/>
      <c r="B35" s="70">
        <f t="shared" si="36"/>
        <v>46048</v>
      </c>
      <c r="C35" s="71" t="str">
        <f t="shared" si="0"/>
        <v>月</v>
      </c>
      <c r="D35" s="71" t="s">
        <v>22</v>
      </c>
      <c r="E35" s="166">
        <v>0.375</v>
      </c>
      <c r="F35" s="166">
        <v>0.75</v>
      </c>
      <c r="G35" s="167">
        <v>0.5</v>
      </c>
      <c r="H35" s="167">
        <v>0.54166666666666663</v>
      </c>
      <c r="I35" s="73" t="str">
        <f t="shared" si="1"/>
        <v>8h</v>
      </c>
      <c r="J35" s="168">
        <v>0.375</v>
      </c>
      <c r="K35" s="168">
        <v>0.75</v>
      </c>
      <c r="L35" s="168">
        <v>0.5</v>
      </c>
      <c r="M35" s="168">
        <v>0.54166666666666663</v>
      </c>
      <c r="N35" s="82" t="str">
        <f t="shared" si="2"/>
        <v>8h</v>
      </c>
      <c r="O35" s="363"/>
      <c r="P35" s="363"/>
      <c r="Q35" s="363"/>
      <c r="S35" s="67"/>
      <c r="T35" s="70">
        <f t="shared" si="37"/>
        <v>46079</v>
      </c>
      <c r="U35" s="71" t="str">
        <f t="shared" si="3"/>
        <v>木</v>
      </c>
      <c r="V35" s="71" t="s">
        <v>22</v>
      </c>
      <c r="W35" s="166">
        <v>0.375</v>
      </c>
      <c r="X35" s="166">
        <v>0.75</v>
      </c>
      <c r="Y35" s="167">
        <v>0.5</v>
      </c>
      <c r="Z35" s="167">
        <v>0.54166666666666663</v>
      </c>
      <c r="AA35" s="73" t="str">
        <f t="shared" si="4"/>
        <v>8h</v>
      </c>
      <c r="AB35" s="168">
        <v>0.375</v>
      </c>
      <c r="AC35" s="168">
        <v>0.75</v>
      </c>
      <c r="AD35" s="168">
        <v>0.5</v>
      </c>
      <c r="AE35" s="168">
        <v>0.54166666666666663</v>
      </c>
      <c r="AF35" s="82" t="str">
        <f t="shared" si="5"/>
        <v>8h</v>
      </c>
      <c r="AG35" s="363"/>
      <c r="AH35" s="363"/>
      <c r="AI35" s="363"/>
      <c r="AK35" s="67"/>
      <c r="AL35" s="70">
        <f t="shared" si="38"/>
        <v>46107</v>
      </c>
      <c r="AM35" s="71" t="str">
        <f t="shared" si="6"/>
        <v>木</v>
      </c>
      <c r="AN35" s="71" t="s">
        <v>22</v>
      </c>
      <c r="AO35" s="166">
        <v>0.375</v>
      </c>
      <c r="AP35" s="166">
        <v>0.75</v>
      </c>
      <c r="AQ35" s="167">
        <v>0.5</v>
      </c>
      <c r="AR35" s="167">
        <v>0.54166666666666663</v>
      </c>
      <c r="AS35" s="73" t="str">
        <f t="shared" si="7"/>
        <v>8h</v>
      </c>
      <c r="AT35" s="168">
        <v>0.375</v>
      </c>
      <c r="AU35" s="168">
        <v>0.75</v>
      </c>
      <c r="AV35" s="168">
        <v>0.5</v>
      </c>
      <c r="AW35" s="168">
        <v>0.54166666666666663</v>
      </c>
      <c r="AX35" s="82" t="str">
        <f t="shared" si="8"/>
        <v>8h</v>
      </c>
      <c r="AY35" s="363"/>
      <c r="AZ35" s="363"/>
      <c r="BA35" s="363"/>
      <c r="BC35" s="67"/>
      <c r="BD35" s="70">
        <f t="shared" si="39"/>
        <v>46138</v>
      </c>
      <c r="BE35" s="71" t="str">
        <f t="shared" si="9"/>
        <v>日</v>
      </c>
      <c r="BF35" s="71"/>
      <c r="BG35" s="72"/>
      <c r="BH35" s="72"/>
      <c r="BI35" s="44"/>
      <c r="BJ35" s="44"/>
      <c r="BK35" s="73" t="str">
        <f t="shared" si="10"/>
        <v/>
      </c>
      <c r="BL35" s="81"/>
      <c r="BM35" s="81"/>
      <c r="BN35" s="81"/>
      <c r="BO35" s="81"/>
      <c r="BP35" s="82" t="str">
        <f t="shared" si="11"/>
        <v/>
      </c>
      <c r="BQ35" s="363"/>
      <c r="BR35" s="363"/>
      <c r="BS35" s="363"/>
      <c r="BU35" s="67"/>
      <c r="BV35" s="70">
        <f t="shared" si="40"/>
        <v>46168</v>
      </c>
      <c r="BW35" s="71" t="str">
        <f t="shared" si="12"/>
        <v>火</v>
      </c>
      <c r="BX35" s="71" t="s">
        <v>22</v>
      </c>
      <c r="BY35" s="166">
        <v>0.375</v>
      </c>
      <c r="BZ35" s="166">
        <v>0.75</v>
      </c>
      <c r="CA35" s="167">
        <v>0.5</v>
      </c>
      <c r="CB35" s="167">
        <v>0.54166666666666663</v>
      </c>
      <c r="CC35" s="73" t="str">
        <f t="shared" si="13"/>
        <v>8h</v>
      </c>
      <c r="CD35" s="168">
        <v>0.375</v>
      </c>
      <c r="CE35" s="168">
        <v>0.75</v>
      </c>
      <c r="CF35" s="168">
        <v>0.5</v>
      </c>
      <c r="CG35" s="168">
        <v>0.54166666666666663</v>
      </c>
      <c r="CH35" s="82" t="str">
        <f t="shared" si="14"/>
        <v>8h</v>
      </c>
      <c r="CI35" s="363"/>
      <c r="CJ35" s="363"/>
      <c r="CK35" s="363"/>
      <c r="CM35" s="67"/>
      <c r="CN35" s="70">
        <f t="shared" si="41"/>
        <v>46199</v>
      </c>
      <c r="CO35" s="71" t="str">
        <f t="shared" si="15"/>
        <v>金</v>
      </c>
      <c r="CP35" s="71" t="s">
        <v>22</v>
      </c>
      <c r="CQ35" s="166">
        <v>0.375</v>
      </c>
      <c r="CR35" s="166">
        <v>0.75</v>
      </c>
      <c r="CS35" s="167">
        <v>0.5</v>
      </c>
      <c r="CT35" s="167">
        <v>0.54166666666666663</v>
      </c>
      <c r="CU35" s="73" t="str">
        <f t="shared" si="16"/>
        <v>8h</v>
      </c>
      <c r="CV35" s="168">
        <v>0.375</v>
      </c>
      <c r="CW35" s="168">
        <v>0.75</v>
      </c>
      <c r="CX35" s="168">
        <v>0.5</v>
      </c>
      <c r="CY35" s="168">
        <v>0.54166666666666663</v>
      </c>
      <c r="CZ35" s="82" t="str">
        <f t="shared" si="17"/>
        <v>8h</v>
      </c>
      <c r="DA35" s="363"/>
      <c r="DB35" s="363"/>
      <c r="DC35" s="363"/>
      <c r="DE35" s="67"/>
      <c r="DF35" s="70">
        <f t="shared" si="42"/>
        <v>46229</v>
      </c>
      <c r="DG35" s="71" t="str">
        <f t="shared" si="18"/>
        <v>日</v>
      </c>
      <c r="DH35" s="71"/>
      <c r="DI35" s="72"/>
      <c r="DJ35" s="72"/>
      <c r="DK35" s="44"/>
      <c r="DL35" s="44"/>
      <c r="DM35" s="73" t="str">
        <f t="shared" si="19"/>
        <v/>
      </c>
      <c r="DN35" s="81"/>
      <c r="DO35" s="81"/>
      <c r="DP35" s="81"/>
      <c r="DQ35" s="81"/>
      <c r="DR35" s="82" t="str">
        <f t="shared" si="20"/>
        <v/>
      </c>
      <c r="DS35" s="363"/>
      <c r="DT35" s="363"/>
      <c r="DU35" s="363"/>
      <c r="DW35" s="67"/>
      <c r="DX35" s="70">
        <f t="shared" si="43"/>
        <v>46260</v>
      </c>
      <c r="DY35" s="71" t="str">
        <f t="shared" si="21"/>
        <v>水</v>
      </c>
      <c r="DZ35" s="71" t="s">
        <v>22</v>
      </c>
      <c r="EA35" s="166">
        <v>0.375</v>
      </c>
      <c r="EB35" s="166">
        <v>0.75</v>
      </c>
      <c r="EC35" s="167">
        <v>0.5</v>
      </c>
      <c r="ED35" s="167">
        <v>0.54166666666666663</v>
      </c>
      <c r="EE35" s="73" t="str">
        <f t="shared" si="22"/>
        <v>8h</v>
      </c>
      <c r="EF35" s="168">
        <v>0.375</v>
      </c>
      <c r="EG35" s="168">
        <v>0.75</v>
      </c>
      <c r="EH35" s="168">
        <v>0.5</v>
      </c>
      <c r="EI35" s="168">
        <v>0.54166666666666663</v>
      </c>
      <c r="EJ35" s="82" t="str">
        <f t="shared" si="23"/>
        <v>8h</v>
      </c>
      <c r="EK35" s="363"/>
      <c r="EL35" s="363"/>
      <c r="EM35" s="363"/>
      <c r="EO35" s="67"/>
      <c r="EP35" s="70">
        <f t="shared" si="44"/>
        <v>46291</v>
      </c>
      <c r="EQ35" s="71" t="str">
        <f t="shared" si="24"/>
        <v>土</v>
      </c>
      <c r="ER35" s="71"/>
      <c r="ES35" s="72"/>
      <c r="ET35" s="72"/>
      <c r="EU35" s="44"/>
      <c r="EV35" s="44"/>
      <c r="EW35" s="73" t="str">
        <f t="shared" si="25"/>
        <v/>
      </c>
      <c r="EX35" s="81"/>
      <c r="EY35" s="81"/>
      <c r="EZ35" s="81"/>
      <c r="FA35" s="81"/>
      <c r="FB35" s="82" t="str">
        <f t="shared" si="26"/>
        <v/>
      </c>
      <c r="FC35" s="363"/>
      <c r="FD35" s="363"/>
      <c r="FE35" s="363"/>
      <c r="FG35" s="67"/>
      <c r="FH35" s="70">
        <f t="shared" si="45"/>
        <v>46321</v>
      </c>
      <c r="FI35" s="71" t="str">
        <f t="shared" si="27"/>
        <v>月</v>
      </c>
      <c r="FJ35" s="71" t="s">
        <v>22</v>
      </c>
      <c r="FK35" s="166">
        <v>0.375</v>
      </c>
      <c r="FL35" s="166">
        <v>0.75</v>
      </c>
      <c r="FM35" s="167">
        <v>0.5</v>
      </c>
      <c r="FN35" s="167">
        <v>0.54166666666666663</v>
      </c>
      <c r="FO35" s="73" t="str">
        <f t="shared" si="28"/>
        <v>8h</v>
      </c>
      <c r="FP35" s="168">
        <v>0.375</v>
      </c>
      <c r="FQ35" s="168">
        <v>0.75</v>
      </c>
      <c r="FR35" s="168">
        <v>0.5</v>
      </c>
      <c r="FS35" s="168">
        <v>0.54166666666666663</v>
      </c>
      <c r="FT35" s="82" t="str">
        <f t="shared" si="29"/>
        <v>8h</v>
      </c>
      <c r="FU35" s="363"/>
      <c r="FV35" s="363"/>
      <c r="FW35" s="363"/>
      <c r="FY35" s="67"/>
      <c r="FZ35" s="70">
        <f t="shared" si="46"/>
        <v>46352</v>
      </c>
      <c r="GA35" s="71" t="str">
        <f t="shared" si="30"/>
        <v>木</v>
      </c>
      <c r="GB35" s="71" t="s">
        <v>22</v>
      </c>
      <c r="GC35" s="166">
        <v>0.375</v>
      </c>
      <c r="GD35" s="166">
        <v>0.75</v>
      </c>
      <c r="GE35" s="167">
        <v>0.5</v>
      </c>
      <c r="GF35" s="167">
        <v>0.54166666666666663</v>
      </c>
      <c r="GG35" s="73" t="str">
        <f t="shared" si="31"/>
        <v>8h</v>
      </c>
      <c r="GH35" s="168">
        <v>0.375</v>
      </c>
      <c r="GI35" s="168">
        <v>0.75</v>
      </c>
      <c r="GJ35" s="168">
        <v>0.5</v>
      </c>
      <c r="GK35" s="168">
        <v>0.54166666666666663</v>
      </c>
      <c r="GL35" s="82" t="str">
        <f t="shared" si="32"/>
        <v>8h</v>
      </c>
      <c r="GM35" s="363"/>
      <c r="GN35" s="363"/>
      <c r="GO35" s="363"/>
      <c r="GQ35" s="67"/>
      <c r="GR35" s="70">
        <f t="shared" si="47"/>
        <v>46382</v>
      </c>
      <c r="GS35" s="71" t="str">
        <f t="shared" si="33"/>
        <v>土</v>
      </c>
      <c r="GT35" s="71"/>
      <c r="GU35" s="72"/>
      <c r="GV35" s="72"/>
      <c r="GW35" s="44"/>
      <c r="GX35" s="44"/>
      <c r="GY35" s="73" t="str">
        <f t="shared" si="34"/>
        <v/>
      </c>
      <c r="GZ35" s="81"/>
      <c r="HA35" s="81"/>
      <c r="HB35" s="81"/>
      <c r="HC35" s="81"/>
      <c r="HD35" s="82" t="str">
        <f t="shared" si="35"/>
        <v/>
      </c>
      <c r="HE35" s="363"/>
      <c r="HF35" s="363"/>
      <c r="HG35" s="363"/>
    </row>
    <row r="36" spans="1:215" x14ac:dyDescent="0.45">
      <c r="A36" s="67"/>
      <c r="B36" s="70">
        <f t="shared" si="36"/>
        <v>46049</v>
      </c>
      <c r="C36" s="71" t="str">
        <f t="shared" si="0"/>
        <v>火</v>
      </c>
      <c r="D36" s="71" t="s">
        <v>22</v>
      </c>
      <c r="E36" s="166">
        <v>0.375</v>
      </c>
      <c r="F36" s="166">
        <v>0.75</v>
      </c>
      <c r="G36" s="167">
        <v>0.5</v>
      </c>
      <c r="H36" s="167">
        <v>0.54166666666666663</v>
      </c>
      <c r="I36" s="73" t="str">
        <f t="shared" si="1"/>
        <v>8h</v>
      </c>
      <c r="J36" s="168">
        <v>0.375</v>
      </c>
      <c r="K36" s="168">
        <v>0.75</v>
      </c>
      <c r="L36" s="168">
        <v>0.5</v>
      </c>
      <c r="M36" s="168">
        <v>0.54166666666666663</v>
      </c>
      <c r="N36" s="82" t="str">
        <f t="shared" si="2"/>
        <v>8h</v>
      </c>
      <c r="O36" s="363"/>
      <c r="P36" s="363"/>
      <c r="Q36" s="363"/>
      <c r="S36" s="67"/>
      <c r="T36" s="70">
        <f t="shared" si="37"/>
        <v>46080</v>
      </c>
      <c r="U36" s="71" t="str">
        <f t="shared" si="3"/>
        <v>金</v>
      </c>
      <c r="V36" s="71" t="s">
        <v>22</v>
      </c>
      <c r="W36" s="166">
        <v>0.375</v>
      </c>
      <c r="X36" s="166">
        <v>0.75</v>
      </c>
      <c r="Y36" s="167">
        <v>0.5</v>
      </c>
      <c r="Z36" s="167">
        <v>0.54166666666666663</v>
      </c>
      <c r="AA36" s="73" t="str">
        <f t="shared" si="4"/>
        <v>8h</v>
      </c>
      <c r="AB36" s="168">
        <v>0.375</v>
      </c>
      <c r="AC36" s="168">
        <v>0.75</v>
      </c>
      <c r="AD36" s="168">
        <v>0.5</v>
      </c>
      <c r="AE36" s="168">
        <v>0.54166666666666663</v>
      </c>
      <c r="AF36" s="82" t="str">
        <f t="shared" si="5"/>
        <v>8h</v>
      </c>
      <c r="AG36" s="363"/>
      <c r="AH36" s="363"/>
      <c r="AI36" s="363"/>
      <c r="AK36" s="67"/>
      <c r="AL36" s="70">
        <f t="shared" si="38"/>
        <v>46108</v>
      </c>
      <c r="AM36" s="71" t="str">
        <f t="shared" si="6"/>
        <v>金</v>
      </c>
      <c r="AN36" s="71" t="s">
        <v>22</v>
      </c>
      <c r="AO36" s="166">
        <v>0.375</v>
      </c>
      <c r="AP36" s="166">
        <v>0.75</v>
      </c>
      <c r="AQ36" s="167">
        <v>0.5</v>
      </c>
      <c r="AR36" s="167">
        <v>0.54166666666666663</v>
      </c>
      <c r="AS36" s="73" t="str">
        <f t="shared" si="7"/>
        <v>8h</v>
      </c>
      <c r="AT36" s="168">
        <v>0.375</v>
      </c>
      <c r="AU36" s="168">
        <v>0.75</v>
      </c>
      <c r="AV36" s="168">
        <v>0.5</v>
      </c>
      <c r="AW36" s="168">
        <v>0.54166666666666663</v>
      </c>
      <c r="AX36" s="82" t="str">
        <f t="shared" si="8"/>
        <v>8h</v>
      </c>
      <c r="AY36" s="363"/>
      <c r="AZ36" s="363"/>
      <c r="BA36" s="363"/>
      <c r="BC36" s="67"/>
      <c r="BD36" s="70">
        <f t="shared" si="39"/>
        <v>46139</v>
      </c>
      <c r="BE36" s="71" t="str">
        <f t="shared" si="9"/>
        <v>月</v>
      </c>
      <c r="BF36" s="71" t="s">
        <v>22</v>
      </c>
      <c r="BG36" s="166">
        <v>0.375</v>
      </c>
      <c r="BH36" s="166">
        <v>0.75</v>
      </c>
      <c r="BI36" s="167">
        <v>0.5</v>
      </c>
      <c r="BJ36" s="167">
        <v>0.54166666666666663</v>
      </c>
      <c r="BK36" s="73" t="str">
        <f t="shared" si="10"/>
        <v>8h</v>
      </c>
      <c r="BL36" s="168">
        <v>0.375</v>
      </c>
      <c r="BM36" s="168">
        <v>0.75</v>
      </c>
      <c r="BN36" s="168">
        <v>0.5</v>
      </c>
      <c r="BO36" s="168">
        <v>0.54166666666666663</v>
      </c>
      <c r="BP36" s="82" t="str">
        <f t="shared" si="11"/>
        <v>8h</v>
      </c>
      <c r="BQ36" s="363"/>
      <c r="BR36" s="363"/>
      <c r="BS36" s="363"/>
      <c r="BU36" s="67"/>
      <c r="BV36" s="70">
        <f t="shared" si="40"/>
        <v>46169</v>
      </c>
      <c r="BW36" s="71" t="str">
        <f t="shared" si="12"/>
        <v>水</v>
      </c>
      <c r="BX36" s="71" t="s">
        <v>22</v>
      </c>
      <c r="BY36" s="166">
        <v>0.375</v>
      </c>
      <c r="BZ36" s="166">
        <v>0.75</v>
      </c>
      <c r="CA36" s="167">
        <v>0.5</v>
      </c>
      <c r="CB36" s="167">
        <v>0.54166666666666663</v>
      </c>
      <c r="CC36" s="73" t="str">
        <f t="shared" si="13"/>
        <v>8h</v>
      </c>
      <c r="CD36" s="168">
        <v>0.375</v>
      </c>
      <c r="CE36" s="168">
        <v>0.75</v>
      </c>
      <c r="CF36" s="168">
        <v>0.5</v>
      </c>
      <c r="CG36" s="168">
        <v>0.54166666666666663</v>
      </c>
      <c r="CH36" s="82" t="str">
        <f t="shared" si="14"/>
        <v>8h</v>
      </c>
      <c r="CI36" s="363"/>
      <c r="CJ36" s="363"/>
      <c r="CK36" s="363"/>
      <c r="CM36" s="67"/>
      <c r="CN36" s="70">
        <f t="shared" si="41"/>
        <v>46200</v>
      </c>
      <c r="CO36" s="71" t="str">
        <f t="shared" si="15"/>
        <v>土</v>
      </c>
      <c r="CP36" s="71"/>
      <c r="CQ36" s="72"/>
      <c r="CR36" s="72"/>
      <c r="CS36" s="44"/>
      <c r="CT36" s="44"/>
      <c r="CU36" s="73" t="str">
        <f t="shared" si="16"/>
        <v/>
      </c>
      <c r="CV36" s="81"/>
      <c r="CW36" s="81"/>
      <c r="CX36" s="81"/>
      <c r="CY36" s="81"/>
      <c r="CZ36" s="82" t="str">
        <f t="shared" si="17"/>
        <v/>
      </c>
      <c r="DA36" s="363"/>
      <c r="DB36" s="363"/>
      <c r="DC36" s="363"/>
      <c r="DE36" s="67"/>
      <c r="DF36" s="70">
        <f t="shared" si="42"/>
        <v>46230</v>
      </c>
      <c r="DG36" s="71" t="str">
        <f t="shared" si="18"/>
        <v>月</v>
      </c>
      <c r="DH36" s="71" t="s">
        <v>22</v>
      </c>
      <c r="DI36" s="166">
        <v>0.375</v>
      </c>
      <c r="DJ36" s="166">
        <v>0.75</v>
      </c>
      <c r="DK36" s="167">
        <v>0.5</v>
      </c>
      <c r="DL36" s="167">
        <v>0.54166666666666663</v>
      </c>
      <c r="DM36" s="73" t="str">
        <f t="shared" si="19"/>
        <v>8h</v>
      </c>
      <c r="DN36" s="168">
        <v>0.375</v>
      </c>
      <c r="DO36" s="168">
        <v>0.75</v>
      </c>
      <c r="DP36" s="168">
        <v>0.5</v>
      </c>
      <c r="DQ36" s="168">
        <v>0.54166666666666663</v>
      </c>
      <c r="DR36" s="82" t="str">
        <f t="shared" si="20"/>
        <v>8h</v>
      </c>
      <c r="DS36" s="363"/>
      <c r="DT36" s="363"/>
      <c r="DU36" s="363"/>
      <c r="DW36" s="67"/>
      <c r="DX36" s="70">
        <f t="shared" si="43"/>
        <v>46261</v>
      </c>
      <c r="DY36" s="71" t="str">
        <f t="shared" si="21"/>
        <v>木</v>
      </c>
      <c r="DZ36" s="71" t="s">
        <v>22</v>
      </c>
      <c r="EA36" s="166">
        <v>0.375</v>
      </c>
      <c r="EB36" s="166">
        <v>0.75</v>
      </c>
      <c r="EC36" s="167">
        <v>0.5</v>
      </c>
      <c r="ED36" s="167">
        <v>0.54166666666666663</v>
      </c>
      <c r="EE36" s="73" t="str">
        <f t="shared" si="22"/>
        <v>8h</v>
      </c>
      <c r="EF36" s="168">
        <v>0.375</v>
      </c>
      <c r="EG36" s="168">
        <v>0.75</v>
      </c>
      <c r="EH36" s="168">
        <v>0.5</v>
      </c>
      <c r="EI36" s="168">
        <v>0.54166666666666663</v>
      </c>
      <c r="EJ36" s="82" t="str">
        <f t="shared" si="23"/>
        <v>8h</v>
      </c>
      <c r="EK36" s="363"/>
      <c r="EL36" s="363"/>
      <c r="EM36" s="363"/>
      <c r="EO36" s="67"/>
      <c r="EP36" s="70">
        <f t="shared" si="44"/>
        <v>46292</v>
      </c>
      <c r="EQ36" s="71" t="str">
        <f t="shared" si="24"/>
        <v>日</v>
      </c>
      <c r="ER36" s="71"/>
      <c r="ES36" s="72"/>
      <c r="ET36" s="72"/>
      <c r="EU36" s="44"/>
      <c r="EV36" s="44"/>
      <c r="EW36" s="73" t="str">
        <f t="shared" si="25"/>
        <v/>
      </c>
      <c r="EX36" s="81"/>
      <c r="EY36" s="81"/>
      <c r="EZ36" s="81"/>
      <c r="FA36" s="81"/>
      <c r="FB36" s="82" t="str">
        <f t="shared" si="26"/>
        <v/>
      </c>
      <c r="FC36" s="363"/>
      <c r="FD36" s="363"/>
      <c r="FE36" s="363"/>
      <c r="FG36" s="67"/>
      <c r="FH36" s="70">
        <f t="shared" si="45"/>
        <v>46322</v>
      </c>
      <c r="FI36" s="71" t="str">
        <f t="shared" si="27"/>
        <v>火</v>
      </c>
      <c r="FJ36" s="71" t="s">
        <v>22</v>
      </c>
      <c r="FK36" s="166">
        <v>0.375</v>
      </c>
      <c r="FL36" s="166">
        <v>0.75</v>
      </c>
      <c r="FM36" s="167">
        <v>0.5</v>
      </c>
      <c r="FN36" s="167">
        <v>0.54166666666666663</v>
      </c>
      <c r="FO36" s="73" t="str">
        <f t="shared" si="28"/>
        <v>8h</v>
      </c>
      <c r="FP36" s="168">
        <v>0.375</v>
      </c>
      <c r="FQ36" s="168">
        <v>0.75</v>
      </c>
      <c r="FR36" s="168">
        <v>0.5</v>
      </c>
      <c r="FS36" s="168">
        <v>0.54166666666666663</v>
      </c>
      <c r="FT36" s="82" t="str">
        <f t="shared" si="29"/>
        <v>8h</v>
      </c>
      <c r="FU36" s="363"/>
      <c r="FV36" s="363"/>
      <c r="FW36" s="363"/>
      <c r="FY36" s="67"/>
      <c r="FZ36" s="70">
        <f t="shared" si="46"/>
        <v>46353</v>
      </c>
      <c r="GA36" s="71" t="str">
        <f t="shared" si="30"/>
        <v>金</v>
      </c>
      <c r="GB36" s="71" t="s">
        <v>22</v>
      </c>
      <c r="GC36" s="166">
        <v>0.375</v>
      </c>
      <c r="GD36" s="166">
        <v>0.75</v>
      </c>
      <c r="GE36" s="167">
        <v>0.5</v>
      </c>
      <c r="GF36" s="167">
        <v>0.54166666666666663</v>
      </c>
      <c r="GG36" s="73" t="str">
        <f t="shared" si="31"/>
        <v>8h</v>
      </c>
      <c r="GH36" s="168">
        <v>0.375</v>
      </c>
      <c r="GI36" s="168">
        <v>0.75</v>
      </c>
      <c r="GJ36" s="168">
        <v>0.5</v>
      </c>
      <c r="GK36" s="168">
        <v>0.54166666666666663</v>
      </c>
      <c r="GL36" s="82" t="str">
        <f t="shared" si="32"/>
        <v>8h</v>
      </c>
      <c r="GM36" s="363"/>
      <c r="GN36" s="363"/>
      <c r="GO36" s="363"/>
      <c r="GQ36" s="67"/>
      <c r="GR36" s="70">
        <f t="shared" si="47"/>
        <v>46383</v>
      </c>
      <c r="GS36" s="71" t="str">
        <f t="shared" si="33"/>
        <v>日</v>
      </c>
      <c r="GT36" s="71"/>
      <c r="GU36" s="72"/>
      <c r="GV36" s="72"/>
      <c r="GW36" s="44"/>
      <c r="GX36" s="44"/>
      <c r="GY36" s="73" t="str">
        <f t="shared" si="34"/>
        <v/>
      </c>
      <c r="GZ36" s="81"/>
      <c r="HA36" s="81"/>
      <c r="HB36" s="81"/>
      <c r="HC36" s="81"/>
      <c r="HD36" s="82" t="str">
        <f t="shared" si="35"/>
        <v/>
      </c>
      <c r="HE36" s="363"/>
      <c r="HF36" s="363"/>
      <c r="HG36" s="363"/>
    </row>
    <row r="37" spans="1:215" x14ac:dyDescent="0.45">
      <c r="A37" s="67"/>
      <c r="B37" s="70">
        <f t="shared" si="36"/>
        <v>46050</v>
      </c>
      <c r="C37" s="71" t="str">
        <f t="shared" si="0"/>
        <v>水</v>
      </c>
      <c r="D37" s="71" t="s">
        <v>22</v>
      </c>
      <c r="E37" s="166">
        <v>0.375</v>
      </c>
      <c r="F37" s="166">
        <v>0.75</v>
      </c>
      <c r="G37" s="167">
        <v>0.5</v>
      </c>
      <c r="H37" s="167">
        <v>0.54166666666666663</v>
      </c>
      <c r="I37" s="73" t="str">
        <f t="shared" si="1"/>
        <v>8h</v>
      </c>
      <c r="J37" s="168">
        <v>0.375</v>
      </c>
      <c r="K37" s="168">
        <v>0.75</v>
      </c>
      <c r="L37" s="168">
        <v>0.5</v>
      </c>
      <c r="M37" s="168">
        <v>0.54166666666666663</v>
      </c>
      <c r="N37" s="82" t="str">
        <f t="shared" si="2"/>
        <v>8h</v>
      </c>
      <c r="O37" s="363"/>
      <c r="P37" s="363"/>
      <c r="Q37" s="363"/>
      <c r="S37" s="67"/>
      <c r="T37" s="70">
        <f t="shared" si="37"/>
        <v>46081</v>
      </c>
      <c r="U37" s="71" t="str">
        <f t="shared" si="3"/>
        <v>土</v>
      </c>
      <c r="V37" s="71"/>
      <c r="W37" s="72"/>
      <c r="X37" s="72"/>
      <c r="Y37" s="44"/>
      <c r="Z37" s="44"/>
      <c r="AA37" s="73" t="str">
        <f t="shared" si="4"/>
        <v/>
      </c>
      <c r="AB37" s="81"/>
      <c r="AC37" s="81"/>
      <c r="AD37" s="81"/>
      <c r="AE37" s="81"/>
      <c r="AF37" s="82" t="str">
        <f t="shared" si="5"/>
        <v/>
      </c>
      <c r="AG37" s="363"/>
      <c r="AH37" s="363"/>
      <c r="AI37" s="363"/>
      <c r="AK37" s="67"/>
      <c r="AL37" s="70">
        <f t="shared" si="38"/>
        <v>46109</v>
      </c>
      <c r="AM37" s="71" t="str">
        <f t="shared" si="6"/>
        <v>土</v>
      </c>
      <c r="AN37" s="71"/>
      <c r="AO37" s="72"/>
      <c r="AP37" s="72"/>
      <c r="AQ37" s="44"/>
      <c r="AR37" s="44"/>
      <c r="AS37" s="73" t="str">
        <f t="shared" si="7"/>
        <v/>
      </c>
      <c r="AT37" s="81"/>
      <c r="AU37" s="81"/>
      <c r="AV37" s="81"/>
      <c r="AW37" s="81"/>
      <c r="AX37" s="82" t="str">
        <f t="shared" si="8"/>
        <v/>
      </c>
      <c r="AY37" s="363"/>
      <c r="AZ37" s="363"/>
      <c r="BA37" s="363"/>
      <c r="BC37" s="67"/>
      <c r="BD37" s="70">
        <f t="shared" si="39"/>
        <v>46140</v>
      </c>
      <c r="BE37" s="71" t="str">
        <f t="shared" si="9"/>
        <v>火</v>
      </c>
      <c r="BF37" s="71" t="s">
        <v>22</v>
      </c>
      <c r="BG37" s="166">
        <v>0.375</v>
      </c>
      <c r="BH37" s="166">
        <v>0.75</v>
      </c>
      <c r="BI37" s="167">
        <v>0.5</v>
      </c>
      <c r="BJ37" s="167">
        <v>0.54166666666666663</v>
      </c>
      <c r="BK37" s="73" t="str">
        <f t="shared" si="10"/>
        <v>8h</v>
      </c>
      <c r="BL37" s="168">
        <v>0.375</v>
      </c>
      <c r="BM37" s="168">
        <v>0.75</v>
      </c>
      <c r="BN37" s="168">
        <v>0.5</v>
      </c>
      <c r="BO37" s="168">
        <v>0.54166666666666663</v>
      </c>
      <c r="BP37" s="82" t="str">
        <f t="shared" si="11"/>
        <v>8h</v>
      </c>
      <c r="BQ37" s="363"/>
      <c r="BR37" s="363"/>
      <c r="BS37" s="363"/>
      <c r="BU37" s="67"/>
      <c r="BV37" s="70">
        <f t="shared" si="40"/>
        <v>46170</v>
      </c>
      <c r="BW37" s="71" t="str">
        <f t="shared" si="12"/>
        <v>木</v>
      </c>
      <c r="BX37" s="71" t="s">
        <v>22</v>
      </c>
      <c r="BY37" s="166">
        <v>0.375</v>
      </c>
      <c r="BZ37" s="166">
        <v>0.75</v>
      </c>
      <c r="CA37" s="167">
        <v>0.5</v>
      </c>
      <c r="CB37" s="167">
        <v>0.54166666666666663</v>
      </c>
      <c r="CC37" s="73" t="str">
        <f t="shared" si="13"/>
        <v>8h</v>
      </c>
      <c r="CD37" s="168">
        <v>0.375</v>
      </c>
      <c r="CE37" s="168">
        <v>0.75</v>
      </c>
      <c r="CF37" s="168">
        <v>0.5</v>
      </c>
      <c r="CG37" s="168">
        <v>0.54166666666666663</v>
      </c>
      <c r="CH37" s="82" t="str">
        <f t="shared" si="14"/>
        <v>8h</v>
      </c>
      <c r="CI37" s="363"/>
      <c r="CJ37" s="363"/>
      <c r="CK37" s="363"/>
      <c r="CM37" s="67"/>
      <c r="CN37" s="70">
        <f t="shared" si="41"/>
        <v>46201</v>
      </c>
      <c r="CO37" s="71" t="str">
        <f t="shared" si="15"/>
        <v>日</v>
      </c>
      <c r="CP37" s="71"/>
      <c r="CQ37" s="72"/>
      <c r="CR37" s="72"/>
      <c r="CS37" s="44"/>
      <c r="CT37" s="44"/>
      <c r="CU37" s="73" t="str">
        <f t="shared" si="16"/>
        <v/>
      </c>
      <c r="CV37" s="81"/>
      <c r="CW37" s="81"/>
      <c r="CX37" s="81"/>
      <c r="CY37" s="81"/>
      <c r="CZ37" s="82" t="str">
        <f t="shared" si="17"/>
        <v/>
      </c>
      <c r="DA37" s="363"/>
      <c r="DB37" s="363"/>
      <c r="DC37" s="363"/>
      <c r="DE37" s="67"/>
      <c r="DF37" s="70">
        <f t="shared" si="42"/>
        <v>46231</v>
      </c>
      <c r="DG37" s="71" t="str">
        <f t="shared" si="18"/>
        <v>火</v>
      </c>
      <c r="DH37" s="71" t="s">
        <v>22</v>
      </c>
      <c r="DI37" s="166">
        <v>0.375</v>
      </c>
      <c r="DJ37" s="166">
        <v>0.75</v>
      </c>
      <c r="DK37" s="167">
        <v>0.5</v>
      </c>
      <c r="DL37" s="167">
        <v>0.54166666666666663</v>
      </c>
      <c r="DM37" s="73" t="str">
        <f t="shared" si="19"/>
        <v>8h</v>
      </c>
      <c r="DN37" s="168">
        <v>0.375</v>
      </c>
      <c r="DO37" s="168">
        <v>0.75</v>
      </c>
      <c r="DP37" s="168">
        <v>0.5</v>
      </c>
      <c r="DQ37" s="168">
        <v>0.54166666666666663</v>
      </c>
      <c r="DR37" s="82" t="str">
        <f t="shared" si="20"/>
        <v>8h</v>
      </c>
      <c r="DS37" s="363"/>
      <c r="DT37" s="363"/>
      <c r="DU37" s="363"/>
      <c r="DW37" s="67"/>
      <c r="DX37" s="70">
        <f t="shared" si="43"/>
        <v>46262</v>
      </c>
      <c r="DY37" s="71" t="str">
        <f t="shared" si="21"/>
        <v>金</v>
      </c>
      <c r="DZ37" s="71" t="s">
        <v>22</v>
      </c>
      <c r="EA37" s="166">
        <v>0.375</v>
      </c>
      <c r="EB37" s="166">
        <v>0.75</v>
      </c>
      <c r="EC37" s="167">
        <v>0.5</v>
      </c>
      <c r="ED37" s="167">
        <v>0.54166666666666663</v>
      </c>
      <c r="EE37" s="73" t="str">
        <f t="shared" si="22"/>
        <v>8h</v>
      </c>
      <c r="EF37" s="168">
        <v>0.375</v>
      </c>
      <c r="EG37" s="168">
        <v>0.75</v>
      </c>
      <c r="EH37" s="168">
        <v>0.5</v>
      </c>
      <c r="EI37" s="168">
        <v>0.54166666666666663</v>
      </c>
      <c r="EJ37" s="82" t="str">
        <f t="shared" si="23"/>
        <v>8h</v>
      </c>
      <c r="EK37" s="363"/>
      <c r="EL37" s="363"/>
      <c r="EM37" s="363"/>
      <c r="EO37" s="67"/>
      <c r="EP37" s="70">
        <f t="shared" si="44"/>
        <v>46293</v>
      </c>
      <c r="EQ37" s="71" t="str">
        <f t="shared" si="24"/>
        <v>月</v>
      </c>
      <c r="ER37" s="71" t="s">
        <v>22</v>
      </c>
      <c r="ES37" s="166">
        <v>0.375</v>
      </c>
      <c r="ET37" s="166">
        <v>0.75</v>
      </c>
      <c r="EU37" s="167">
        <v>0.5</v>
      </c>
      <c r="EV37" s="167">
        <v>0.54166666666666663</v>
      </c>
      <c r="EW37" s="73" t="str">
        <f t="shared" si="25"/>
        <v>8h</v>
      </c>
      <c r="EX37" s="168">
        <v>0.375</v>
      </c>
      <c r="EY37" s="168">
        <v>0.75</v>
      </c>
      <c r="EZ37" s="168">
        <v>0.5</v>
      </c>
      <c r="FA37" s="168">
        <v>0.54166666666666663</v>
      </c>
      <c r="FB37" s="82" t="str">
        <f t="shared" si="26"/>
        <v>8h</v>
      </c>
      <c r="FC37" s="363"/>
      <c r="FD37" s="363"/>
      <c r="FE37" s="363"/>
      <c r="FG37" s="67"/>
      <c r="FH37" s="70">
        <f t="shared" si="45"/>
        <v>46323</v>
      </c>
      <c r="FI37" s="71" t="str">
        <f t="shared" si="27"/>
        <v>水</v>
      </c>
      <c r="FJ37" s="71" t="s">
        <v>22</v>
      </c>
      <c r="FK37" s="166">
        <v>0.375</v>
      </c>
      <c r="FL37" s="166">
        <v>0.75</v>
      </c>
      <c r="FM37" s="167">
        <v>0.5</v>
      </c>
      <c r="FN37" s="167">
        <v>0.54166666666666663</v>
      </c>
      <c r="FO37" s="73" t="str">
        <f t="shared" si="28"/>
        <v>8h</v>
      </c>
      <c r="FP37" s="168">
        <v>0.375</v>
      </c>
      <c r="FQ37" s="168">
        <v>0.75</v>
      </c>
      <c r="FR37" s="168">
        <v>0.5</v>
      </c>
      <c r="FS37" s="168">
        <v>0.54166666666666663</v>
      </c>
      <c r="FT37" s="82" t="str">
        <f t="shared" si="29"/>
        <v>8h</v>
      </c>
      <c r="FU37" s="363"/>
      <c r="FV37" s="363"/>
      <c r="FW37" s="363"/>
      <c r="FY37" s="67"/>
      <c r="FZ37" s="70">
        <f t="shared" si="46"/>
        <v>46354</v>
      </c>
      <c r="GA37" s="71" t="str">
        <f t="shared" si="30"/>
        <v>土</v>
      </c>
      <c r="GB37" s="71"/>
      <c r="GC37" s="72"/>
      <c r="GD37" s="72"/>
      <c r="GE37" s="44"/>
      <c r="GF37" s="44"/>
      <c r="GG37" s="73" t="str">
        <f t="shared" si="31"/>
        <v/>
      </c>
      <c r="GH37" s="81"/>
      <c r="GI37" s="81"/>
      <c r="GJ37" s="81"/>
      <c r="GK37" s="81"/>
      <c r="GL37" s="82" t="str">
        <f t="shared" si="32"/>
        <v/>
      </c>
      <c r="GM37" s="363"/>
      <c r="GN37" s="363"/>
      <c r="GO37" s="363"/>
      <c r="GQ37" s="67"/>
      <c r="GR37" s="70">
        <f t="shared" si="47"/>
        <v>46384</v>
      </c>
      <c r="GS37" s="71" t="str">
        <f t="shared" si="33"/>
        <v>月</v>
      </c>
      <c r="GT37" s="71" t="s">
        <v>22</v>
      </c>
      <c r="GU37" s="166">
        <v>0.375</v>
      </c>
      <c r="GV37" s="166">
        <v>0.75</v>
      </c>
      <c r="GW37" s="167">
        <v>0.5</v>
      </c>
      <c r="GX37" s="167">
        <v>0.54166666666666663</v>
      </c>
      <c r="GY37" s="73" t="str">
        <f t="shared" si="34"/>
        <v>8h</v>
      </c>
      <c r="GZ37" s="168">
        <v>0.375</v>
      </c>
      <c r="HA37" s="168">
        <v>0.75</v>
      </c>
      <c r="HB37" s="168">
        <v>0.5</v>
      </c>
      <c r="HC37" s="168">
        <v>0.54166666666666663</v>
      </c>
      <c r="HD37" s="82" t="str">
        <f t="shared" si="35"/>
        <v>8h</v>
      </c>
      <c r="HE37" s="363"/>
      <c r="HF37" s="363"/>
      <c r="HG37" s="363"/>
    </row>
    <row r="38" spans="1:215" x14ac:dyDescent="0.45">
      <c r="A38" s="67"/>
      <c r="B38" s="70">
        <f t="shared" si="36"/>
        <v>46051</v>
      </c>
      <c r="C38" s="71" t="str">
        <f t="shared" si="0"/>
        <v>木</v>
      </c>
      <c r="D38" s="71" t="s">
        <v>22</v>
      </c>
      <c r="E38" s="166">
        <v>0.375</v>
      </c>
      <c r="F38" s="166">
        <v>0.75</v>
      </c>
      <c r="G38" s="167">
        <v>0.5</v>
      </c>
      <c r="H38" s="167">
        <v>0.54166666666666663</v>
      </c>
      <c r="I38" s="73" t="str">
        <f t="shared" si="1"/>
        <v>8h</v>
      </c>
      <c r="J38" s="168">
        <v>0.375</v>
      </c>
      <c r="K38" s="168">
        <v>0.75</v>
      </c>
      <c r="L38" s="168">
        <v>0.5</v>
      </c>
      <c r="M38" s="168">
        <v>0.54166666666666663</v>
      </c>
      <c r="N38" s="82" t="str">
        <f t="shared" si="2"/>
        <v>8h</v>
      </c>
      <c r="O38" s="363"/>
      <c r="P38" s="363"/>
      <c r="Q38" s="363"/>
      <c r="S38" s="67"/>
      <c r="T38" s="70" t="str">
        <f t="shared" si="37"/>
        <v/>
      </c>
      <c r="U38" s="71" t="str">
        <f t="shared" si="3"/>
        <v/>
      </c>
      <c r="V38" s="71"/>
      <c r="W38" s="72"/>
      <c r="X38" s="72"/>
      <c r="Y38" s="44"/>
      <c r="Z38" s="44"/>
      <c r="AA38" s="73" t="str">
        <f t="shared" si="4"/>
        <v/>
      </c>
      <c r="AB38" s="81"/>
      <c r="AC38" s="81"/>
      <c r="AD38" s="81"/>
      <c r="AE38" s="81"/>
      <c r="AF38" s="82" t="str">
        <f t="shared" si="5"/>
        <v/>
      </c>
      <c r="AG38" s="363"/>
      <c r="AH38" s="363"/>
      <c r="AI38" s="363"/>
      <c r="AK38" s="67"/>
      <c r="AL38" s="70">
        <f t="shared" si="38"/>
        <v>46110</v>
      </c>
      <c r="AM38" s="71" t="str">
        <f t="shared" si="6"/>
        <v>日</v>
      </c>
      <c r="AN38" s="71"/>
      <c r="AO38" s="72"/>
      <c r="AP38" s="72"/>
      <c r="AQ38" s="44"/>
      <c r="AR38" s="44"/>
      <c r="AS38" s="73" t="str">
        <f t="shared" si="7"/>
        <v/>
      </c>
      <c r="AT38" s="81"/>
      <c r="AU38" s="81"/>
      <c r="AV38" s="81"/>
      <c r="AW38" s="81"/>
      <c r="AX38" s="82" t="str">
        <f t="shared" si="8"/>
        <v/>
      </c>
      <c r="AY38" s="363"/>
      <c r="AZ38" s="363"/>
      <c r="BA38" s="363"/>
      <c r="BC38" s="67"/>
      <c r="BD38" s="70">
        <f t="shared" si="39"/>
        <v>46141</v>
      </c>
      <c r="BE38" s="71" t="str">
        <f t="shared" si="9"/>
        <v>水</v>
      </c>
      <c r="BF38" s="71"/>
      <c r="BG38" s="72"/>
      <c r="BH38" s="72"/>
      <c r="BI38" s="44"/>
      <c r="BJ38" s="44"/>
      <c r="BK38" s="73" t="str">
        <f t="shared" si="10"/>
        <v/>
      </c>
      <c r="BL38" s="81"/>
      <c r="BM38" s="81"/>
      <c r="BN38" s="81"/>
      <c r="BO38" s="81"/>
      <c r="BP38" s="82" t="str">
        <f t="shared" si="11"/>
        <v/>
      </c>
      <c r="BQ38" s="363"/>
      <c r="BR38" s="363"/>
      <c r="BS38" s="363"/>
      <c r="BU38" s="67"/>
      <c r="BV38" s="70">
        <f t="shared" si="40"/>
        <v>46171</v>
      </c>
      <c r="BW38" s="71" t="str">
        <f t="shared" si="12"/>
        <v>金</v>
      </c>
      <c r="BX38" s="71" t="s">
        <v>22</v>
      </c>
      <c r="BY38" s="166">
        <v>0.375</v>
      </c>
      <c r="BZ38" s="166">
        <v>0.75</v>
      </c>
      <c r="CA38" s="167">
        <v>0.5</v>
      </c>
      <c r="CB38" s="167">
        <v>0.54166666666666663</v>
      </c>
      <c r="CC38" s="73" t="str">
        <f t="shared" si="13"/>
        <v>8h</v>
      </c>
      <c r="CD38" s="168">
        <v>0.375</v>
      </c>
      <c r="CE38" s="168">
        <v>0.75</v>
      </c>
      <c r="CF38" s="168">
        <v>0.5</v>
      </c>
      <c r="CG38" s="168">
        <v>0.54166666666666663</v>
      </c>
      <c r="CH38" s="82" t="str">
        <f t="shared" si="14"/>
        <v>8h</v>
      </c>
      <c r="CI38" s="363"/>
      <c r="CJ38" s="363"/>
      <c r="CK38" s="363"/>
      <c r="CM38" s="67"/>
      <c r="CN38" s="70">
        <f t="shared" si="41"/>
        <v>46202</v>
      </c>
      <c r="CO38" s="71" t="str">
        <f t="shared" si="15"/>
        <v>月</v>
      </c>
      <c r="CP38" s="71" t="s">
        <v>22</v>
      </c>
      <c r="CQ38" s="166">
        <v>0.375</v>
      </c>
      <c r="CR38" s="166">
        <v>0.75</v>
      </c>
      <c r="CS38" s="167">
        <v>0.5</v>
      </c>
      <c r="CT38" s="167">
        <v>0.54166666666666663</v>
      </c>
      <c r="CU38" s="73" t="str">
        <f t="shared" si="16"/>
        <v>8h</v>
      </c>
      <c r="CV38" s="168">
        <v>0.375</v>
      </c>
      <c r="CW38" s="168">
        <v>0.75</v>
      </c>
      <c r="CX38" s="168">
        <v>0.5</v>
      </c>
      <c r="CY38" s="168">
        <v>0.54166666666666663</v>
      </c>
      <c r="CZ38" s="82" t="str">
        <f t="shared" si="17"/>
        <v>8h</v>
      </c>
      <c r="DA38" s="363"/>
      <c r="DB38" s="363"/>
      <c r="DC38" s="363"/>
      <c r="DE38" s="67"/>
      <c r="DF38" s="70">
        <f t="shared" si="42"/>
        <v>46232</v>
      </c>
      <c r="DG38" s="71" t="str">
        <f t="shared" si="18"/>
        <v>水</v>
      </c>
      <c r="DH38" s="71" t="s">
        <v>22</v>
      </c>
      <c r="DI38" s="166">
        <v>0.375</v>
      </c>
      <c r="DJ38" s="166">
        <v>0.75</v>
      </c>
      <c r="DK38" s="167">
        <v>0.5</v>
      </c>
      <c r="DL38" s="167">
        <v>0.54166666666666663</v>
      </c>
      <c r="DM38" s="73" t="str">
        <f t="shared" si="19"/>
        <v>8h</v>
      </c>
      <c r="DN38" s="168">
        <v>0.375</v>
      </c>
      <c r="DO38" s="168">
        <v>0.75</v>
      </c>
      <c r="DP38" s="168">
        <v>0.5</v>
      </c>
      <c r="DQ38" s="168">
        <v>0.54166666666666663</v>
      </c>
      <c r="DR38" s="82" t="str">
        <f t="shared" si="20"/>
        <v>8h</v>
      </c>
      <c r="DS38" s="363"/>
      <c r="DT38" s="363"/>
      <c r="DU38" s="363"/>
      <c r="DW38" s="67"/>
      <c r="DX38" s="70">
        <f t="shared" si="43"/>
        <v>46263</v>
      </c>
      <c r="DY38" s="71" t="str">
        <f t="shared" si="21"/>
        <v>土</v>
      </c>
      <c r="DZ38" s="71"/>
      <c r="EA38" s="72"/>
      <c r="EB38" s="72"/>
      <c r="EC38" s="44"/>
      <c r="ED38" s="44"/>
      <c r="EE38" s="73" t="str">
        <f t="shared" si="22"/>
        <v/>
      </c>
      <c r="EF38" s="81"/>
      <c r="EG38" s="81"/>
      <c r="EH38" s="81"/>
      <c r="EI38" s="81"/>
      <c r="EJ38" s="82" t="str">
        <f t="shared" si="23"/>
        <v/>
      </c>
      <c r="EK38" s="363"/>
      <c r="EL38" s="363"/>
      <c r="EM38" s="363"/>
      <c r="EO38" s="67"/>
      <c r="EP38" s="70">
        <f t="shared" si="44"/>
        <v>46294</v>
      </c>
      <c r="EQ38" s="71" t="str">
        <f t="shared" si="24"/>
        <v>火</v>
      </c>
      <c r="ER38" s="71" t="s">
        <v>22</v>
      </c>
      <c r="ES38" s="166">
        <v>0.375</v>
      </c>
      <c r="ET38" s="166">
        <v>0.75</v>
      </c>
      <c r="EU38" s="167">
        <v>0.5</v>
      </c>
      <c r="EV38" s="167">
        <v>0.54166666666666663</v>
      </c>
      <c r="EW38" s="73" t="str">
        <f t="shared" si="25"/>
        <v>8h</v>
      </c>
      <c r="EX38" s="168">
        <v>0.375</v>
      </c>
      <c r="EY38" s="168">
        <v>0.75</v>
      </c>
      <c r="EZ38" s="168">
        <v>0.5</v>
      </c>
      <c r="FA38" s="168">
        <v>0.54166666666666663</v>
      </c>
      <c r="FB38" s="82" t="str">
        <f t="shared" si="26"/>
        <v>8h</v>
      </c>
      <c r="FC38" s="363"/>
      <c r="FD38" s="363"/>
      <c r="FE38" s="363"/>
      <c r="FG38" s="67"/>
      <c r="FH38" s="70">
        <f t="shared" si="45"/>
        <v>46324</v>
      </c>
      <c r="FI38" s="71" t="str">
        <f t="shared" si="27"/>
        <v>木</v>
      </c>
      <c r="FJ38" s="71" t="s">
        <v>22</v>
      </c>
      <c r="FK38" s="166">
        <v>0.375</v>
      </c>
      <c r="FL38" s="166">
        <v>0.75</v>
      </c>
      <c r="FM38" s="167">
        <v>0.5</v>
      </c>
      <c r="FN38" s="167">
        <v>0.54166666666666663</v>
      </c>
      <c r="FO38" s="73" t="str">
        <f t="shared" si="28"/>
        <v>8h</v>
      </c>
      <c r="FP38" s="168">
        <v>0.375</v>
      </c>
      <c r="FQ38" s="168">
        <v>0.75</v>
      </c>
      <c r="FR38" s="168">
        <v>0.5</v>
      </c>
      <c r="FS38" s="168">
        <v>0.54166666666666663</v>
      </c>
      <c r="FT38" s="82" t="str">
        <f t="shared" si="29"/>
        <v>8h</v>
      </c>
      <c r="FU38" s="363"/>
      <c r="FV38" s="363"/>
      <c r="FW38" s="363"/>
      <c r="FY38" s="67"/>
      <c r="FZ38" s="70">
        <f t="shared" si="46"/>
        <v>46355</v>
      </c>
      <c r="GA38" s="71" t="str">
        <f t="shared" si="30"/>
        <v>日</v>
      </c>
      <c r="GB38" s="71"/>
      <c r="GC38" s="72"/>
      <c r="GD38" s="72"/>
      <c r="GE38" s="44"/>
      <c r="GF38" s="44"/>
      <c r="GG38" s="73" t="str">
        <f t="shared" si="31"/>
        <v/>
      </c>
      <c r="GH38" s="81"/>
      <c r="GI38" s="81"/>
      <c r="GJ38" s="81"/>
      <c r="GK38" s="81"/>
      <c r="GL38" s="82" t="str">
        <f t="shared" si="32"/>
        <v/>
      </c>
      <c r="GM38" s="363"/>
      <c r="GN38" s="363"/>
      <c r="GO38" s="363"/>
      <c r="GQ38" s="67"/>
      <c r="GR38" s="70">
        <f t="shared" si="47"/>
        <v>46385</v>
      </c>
      <c r="GS38" s="71" t="str">
        <f t="shared" si="33"/>
        <v>火</v>
      </c>
      <c r="GT38" s="71"/>
      <c r="GU38" s="72"/>
      <c r="GV38" s="72"/>
      <c r="GW38" s="44"/>
      <c r="GX38" s="44"/>
      <c r="GY38" s="73" t="str">
        <f t="shared" si="34"/>
        <v/>
      </c>
      <c r="GZ38" s="81"/>
      <c r="HA38" s="81"/>
      <c r="HB38" s="81"/>
      <c r="HC38" s="81"/>
      <c r="HD38" s="82" t="str">
        <f t="shared" si="35"/>
        <v/>
      </c>
      <c r="HE38" s="363"/>
      <c r="HF38" s="363"/>
      <c r="HG38" s="363"/>
    </row>
    <row r="39" spans="1:215" x14ac:dyDescent="0.45">
      <c r="A39" s="67"/>
      <c r="B39" s="70">
        <f t="shared" si="36"/>
        <v>46052</v>
      </c>
      <c r="C39" s="71" t="str">
        <f t="shared" si="0"/>
        <v>金</v>
      </c>
      <c r="D39" s="71" t="s">
        <v>22</v>
      </c>
      <c r="E39" s="166">
        <v>0.375</v>
      </c>
      <c r="F39" s="166">
        <v>0.75</v>
      </c>
      <c r="G39" s="167">
        <v>0.5</v>
      </c>
      <c r="H39" s="167">
        <v>0.54166666666666663</v>
      </c>
      <c r="I39" s="73" t="str">
        <f t="shared" si="1"/>
        <v>8h</v>
      </c>
      <c r="J39" s="168">
        <v>0.375</v>
      </c>
      <c r="K39" s="168">
        <v>0.75</v>
      </c>
      <c r="L39" s="168">
        <v>0.5</v>
      </c>
      <c r="M39" s="168">
        <v>0.54166666666666663</v>
      </c>
      <c r="N39" s="82" t="str">
        <f t="shared" si="2"/>
        <v>8h</v>
      </c>
      <c r="O39" s="363"/>
      <c r="P39" s="363"/>
      <c r="Q39" s="363"/>
      <c r="S39" s="67"/>
      <c r="T39" s="70" t="str">
        <f t="shared" si="37"/>
        <v/>
      </c>
      <c r="U39" s="71" t="str">
        <f t="shared" si="3"/>
        <v/>
      </c>
      <c r="V39" s="71"/>
      <c r="W39" s="72"/>
      <c r="X39" s="72"/>
      <c r="Y39" s="44"/>
      <c r="Z39" s="44"/>
      <c r="AA39" s="73" t="str">
        <f t="shared" si="4"/>
        <v/>
      </c>
      <c r="AB39" s="81"/>
      <c r="AC39" s="81"/>
      <c r="AD39" s="81"/>
      <c r="AE39" s="81"/>
      <c r="AF39" s="82" t="str">
        <f t="shared" si="5"/>
        <v/>
      </c>
      <c r="AG39" s="363"/>
      <c r="AH39" s="363"/>
      <c r="AI39" s="363"/>
      <c r="AK39" s="67"/>
      <c r="AL39" s="70">
        <f t="shared" si="38"/>
        <v>46111</v>
      </c>
      <c r="AM39" s="71" t="str">
        <f t="shared" si="6"/>
        <v>月</v>
      </c>
      <c r="AN39" s="71" t="s">
        <v>22</v>
      </c>
      <c r="AO39" s="166">
        <v>0.375</v>
      </c>
      <c r="AP39" s="166">
        <v>0.75</v>
      </c>
      <c r="AQ39" s="167">
        <v>0.5</v>
      </c>
      <c r="AR39" s="167">
        <v>0.54166666666666663</v>
      </c>
      <c r="AS39" s="73" t="str">
        <f t="shared" si="7"/>
        <v>8h</v>
      </c>
      <c r="AT39" s="168">
        <v>0.375</v>
      </c>
      <c r="AU39" s="168">
        <v>0.75</v>
      </c>
      <c r="AV39" s="168">
        <v>0.5</v>
      </c>
      <c r="AW39" s="168">
        <v>0.54166666666666663</v>
      </c>
      <c r="AX39" s="82" t="str">
        <f t="shared" si="8"/>
        <v>8h</v>
      </c>
      <c r="AY39" s="363"/>
      <c r="AZ39" s="363"/>
      <c r="BA39" s="363"/>
      <c r="BC39" s="67"/>
      <c r="BD39" s="70">
        <f t="shared" si="39"/>
        <v>46142</v>
      </c>
      <c r="BE39" s="71" t="str">
        <f t="shared" si="9"/>
        <v>木</v>
      </c>
      <c r="BF39" s="71" t="s">
        <v>22</v>
      </c>
      <c r="BG39" s="166">
        <v>0.375</v>
      </c>
      <c r="BH39" s="166">
        <v>0.75</v>
      </c>
      <c r="BI39" s="167">
        <v>0.5</v>
      </c>
      <c r="BJ39" s="167">
        <v>0.54166666666666663</v>
      </c>
      <c r="BK39" s="73" t="str">
        <f t="shared" si="10"/>
        <v>8h</v>
      </c>
      <c r="BL39" s="168">
        <v>0.375</v>
      </c>
      <c r="BM39" s="168">
        <v>0.75</v>
      </c>
      <c r="BN39" s="168">
        <v>0.5</v>
      </c>
      <c r="BO39" s="168">
        <v>0.54166666666666663</v>
      </c>
      <c r="BP39" s="82" t="str">
        <f t="shared" si="11"/>
        <v>8h</v>
      </c>
      <c r="BQ39" s="363"/>
      <c r="BR39" s="363"/>
      <c r="BS39" s="363"/>
      <c r="BU39" s="67"/>
      <c r="BV39" s="70">
        <f t="shared" si="40"/>
        <v>46172</v>
      </c>
      <c r="BW39" s="71" t="str">
        <f t="shared" si="12"/>
        <v>土</v>
      </c>
      <c r="BX39" s="71"/>
      <c r="BY39" s="72"/>
      <c r="BZ39" s="72"/>
      <c r="CA39" s="44"/>
      <c r="CB39" s="44"/>
      <c r="CC39" s="73" t="str">
        <f t="shared" si="13"/>
        <v/>
      </c>
      <c r="CD39" s="81"/>
      <c r="CE39" s="81"/>
      <c r="CF39" s="81"/>
      <c r="CG39" s="81"/>
      <c r="CH39" s="82" t="str">
        <f t="shared" si="14"/>
        <v/>
      </c>
      <c r="CI39" s="363"/>
      <c r="CJ39" s="363"/>
      <c r="CK39" s="363"/>
      <c r="CM39" s="67"/>
      <c r="CN39" s="70">
        <f t="shared" si="41"/>
        <v>46203</v>
      </c>
      <c r="CO39" s="71" t="str">
        <f t="shared" si="15"/>
        <v>火</v>
      </c>
      <c r="CP39" s="71" t="s">
        <v>22</v>
      </c>
      <c r="CQ39" s="166">
        <v>0.375</v>
      </c>
      <c r="CR39" s="166">
        <v>0.75</v>
      </c>
      <c r="CS39" s="167">
        <v>0.5</v>
      </c>
      <c r="CT39" s="167">
        <v>0.54166666666666663</v>
      </c>
      <c r="CU39" s="73" t="str">
        <f t="shared" si="16"/>
        <v>8h</v>
      </c>
      <c r="CV39" s="168">
        <v>0.375</v>
      </c>
      <c r="CW39" s="168">
        <v>0.75</v>
      </c>
      <c r="CX39" s="168">
        <v>0.5</v>
      </c>
      <c r="CY39" s="168">
        <v>0.54166666666666663</v>
      </c>
      <c r="CZ39" s="82" t="str">
        <f t="shared" si="17"/>
        <v>8h</v>
      </c>
      <c r="DA39" s="363"/>
      <c r="DB39" s="363"/>
      <c r="DC39" s="363"/>
      <c r="DE39" s="67"/>
      <c r="DF39" s="70">
        <f t="shared" si="42"/>
        <v>46233</v>
      </c>
      <c r="DG39" s="71" t="str">
        <f t="shared" si="18"/>
        <v>木</v>
      </c>
      <c r="DH39" s="71" t="s">
        <v>22</v>
      </c>
      <c r="DI39" s="166">
        <v>0.375</v>
      </c>
      <c r="DJ39" s="166">
        <v>0.75</v>
      </c>
      <c r="DK39" s="167">
        <v>0.5</v>
      </c>
      <c r="DL39" s="167">
        <v>0.54166666666666663</v>
      </c>
      <c r="DM39" s="73" t="str">
        <f t="shared" si="19"/>
        <v>8h</v>
      </c>
      <c r="DN39" s="168">
        <v>0.375</v>
      </c>
      <c r="DO39" s="168">
        <v>0.75</v>
      </c>
      <c r="DP39" s="168">
        <v>0.5</v>
      </c>
      <c r="DQ39" s="168">
        <v>0.54166666666666663</v>
      </c>
      <c r="DR39" s="82" t="str">
        <f t="shared" si="20"/>
        <v>8h</v>
      </c>
      <c r="DS39" s="363"/>
      <c r="DT39" s="363"/>
      <c r="DU39" s="363"/>
      <c r="DW39" s="67"/>
      <c r="DX39" s="70">
        <f t="shared" si="43"/>
        <v>46264</v>
      </c>
      <c r="DY39" s="71" t="str">
        <f t="shared" si="21"/>
        <v>日</v>
      </c>
      <c r="DZ39" s="71"/>
      <c r="EA39" s="72"/>
      <c r="EB39" s="72"/>
      <c r="EC39" s="44"/>
      <c r="ED39" s="44"/>
      <c r="EE39" s="73" t="str">
        <f t="shared" si="22"/>
        <v/>
      </c>
      <c r="EF39" s="81"/>
      <c r="EG39" s="81"/>
      <c r="EH39" s="81"/>
      <c r="EI39" s="81"/>
      <c r="EJ39" s="82" t="str">
        <f t="shared" si="23"/>
        <v/>
      </c>
      <c r="EK39" s="363"/>
      <c r="EL39" s="363"/>
      <c r="EM39" s="363"/>
      <c r="EO39" s="67"/>
      <c r="EP39" s="70">
        <f t="shared" si="44"/>
        <v>46295</v>
      </c>
      <c r="EQ39" s="71" t="str">
        <f t="shared" si="24"/>
        <v>水</v>
      </c>
      <c r="ER39" s="71" t="s">
        <v>22</v>
      </c>
      <c r="ES39" s="166">
        <v>0.375</v>
      </c>
      <c r="ET39" s="166">
        <v>0.75</v>
      </c>
      <c r="EU39" s="167">
        <v>0.5</v>
      </c>
      <c r="EV39" s="167">
        <v>0.54166666666666663</v>
      </c>
      <c r="EW39" s="73" t="str">
        <f t="shared" si="25"/>
        <v>8h</v>
      </c>
      <c r="EX39" s="168">
        <v>0.375</v>
      </c>
      <c r="EY39" s="168">
        <v>0.75</v>
      </c>
      <c r="EZ39" s="168">
        <v>0.5</v>
      </c>
      <c r="FA39" s="168">
        <v>0.54166666666666663</v>
      </c>
      <c r="FB39" s="82" t="str">
        <f t="shared" si="26"/>
        <v>8h</v>
      </c>
      <c r="FC39" s="363"/>
      <c r="FD39" s="363"/>
      <c r="FE39" s="363"/>
      <c r="FG39" s="67"/>
      <c r="FH39" s="70">
        <f t="shared" si="45"/>
        <v>46325</v>
      </c>
      <c r="FI39" s="71" t="str">
        <f t="shared" si="27"/>
        <v>金</v>
      </c>
      <c r="FJ39" s="71" t="s">
        <v>22</v>
      </c>
      <c r="FK39" s="166">
        <v>0.375</v>
      </c>
      <c r="FL39" s="166">
        <v>0.75</v>
      </c>
      <c r="FM39" s="167">
        <v>0.5</v>
      </c>
      <c r="FN39" s="167">
        <v>0.54166666666666663</v>
      </c>
      <c r="FO39" s="73" t="str">
        <f t="shared" si="28"/>
        <v>8h</v>
      </c>
      <c r="FP39" s="168">
        <v>0.375</v>
      </c>
      <c r="FQ39" s="168">
        <v>0.75</v>
      </c>
      <c r="FR39" s="168">
        <v>0.5</v>
      </c>
      <c r="FS39" s="168">
        <v>0.54166666666666663</v>
      </c>
      <c r="FT39" s="82" t="str">
        <f t="shared" si="29"/>
        <v>8h</v>
      </c>
      <c r="FU39" s="363"/>
      <c r="FV39" s="363"/>
      <c r="FW39" s="363"/>
      <c r="FY39" s="67"/>
      <c r="FZ39" s="70">
        <f t="shared" si="46"/>
        <v>46356</v>
      </c>
      <c r="GA39" s="71" t="str">
        <f t="shared" si="30"/>
        <v>月</v>
      </c>
      <c r="GB39" s="71" t="s">
        <v>22</v>
      </c>
      <c r="GC39" s="166">
        <v>0.375</v>
      </c>
      <c r="GD39" s="166">
        <v>0.75</v>
      </c>
      <c r="GE39" s="167">
        <v>0.5</v>
      </c>
      <c r="GF39" s="167">
        <v>0.54166666666666663</v>
      </c>
      <c r="GG39" s="73" t="str">
        <f t="shared" si="31"/>
        <v>8h</v>
      </c>
      <c r="GH39" s="168">
        <v>0.375</v>
      </c>
      <c r="GI39" s="168">
        <v>0.75</v>
      </c>
      <c r="GJ39" s="168">
        <v>0.5</v>
      </c>
      <c r="GK39" s="168">
        <v>0.54166666666666663</v>
      </c>
      <c r="GL39" s="82" t="str">
        <f t="shared" si="32"/>
        <v>8h</v>
      </c>
      <c r="GM39" s="363"/>
      <c r="GN39" s="363"/>
      <c r="GO39" s="363"/>
      <c r="GQ39" s="67"/>
      <c r="GR39" s="70">
        <f t="shared" si="47"/>
        <v>46386</v>
      </c>
      <c r="GS39" s="71" t="str">
        <f t="shared" si="33"/>
        <v>水</v>
      </c>
      <c r="GT39" s="71"/>
      <c r="GU39" s="72"/>
      <c r="GV39" s="72"/>
      <c r="GW39" s="44"/>
      <c r="GX39" s="44"/>
      <c r="GY39" s="73" t="str">
        <f t="shared" si="34"/>
        <v/>
      </c>
      <c r="GZ39" s="81"/>
      <c r="HA39" s="81"/>
      <c r="HB39" s="81"/>
      <c r="HC39" s="81"/>
      <c r="HD39" s="82" t="str">
        <f t="shared" si="35"/>
        <v/>
      </c>
      <c r="HE39" s="363"/>
      <c r="HF39" s="363"/>
      <c r="HG39" s="363"/>
    </row>
    <row r="40" spans="1:215" x14ac:dyDescent="0.45">
      <c r="A40" s="67"/>
      <c r="B40" s="74">
        <f t="shared" si="36"/>
        <v>46053</v>
      </c>
      <c r="C40" s="75" t="str">
        <f t="shared" si="0"/>
        <v>土</v>
      </c>
      <c r="D40" s="75"/>
      <c r="E40" s="76"/>
      <c r="F40" s="76"/>
      <c r="G40" s="45"/>
      <c r="H40" s="45"/>
      <c r="I40" s="77" t="str">
        <f t="shared" si="1"/>
        <v/>
      </c>
      <c r="J40" s="83"/>
      <c r="K40" s="83"/>
      <c r="L40" s="83"/>
      <c r="M40" s="83"/>
      <c r="N40" s="84" t="str">
        <f t="shared" si="2"/>
        <v/>
      </c>
      <c r="O40" s="364"/>
      <c r="P40" s="364"/>
      <c r="Q40" s="364"/>
      <c r="S40" s="67"/>
      <c r="T40" s="74" t="str">
        <f t="shared" si="37"/>
        <v/>
      </c>
      <c r="U40" s="75" t="str">
        <f t="shared" si="3"/>
        <v/>
      </c>
      <c r="V40" s="75"/>
      <c r="W40" s="76"/>
      <c r="X40" s="76"/>
      <c r="Y40" s="45"/>
      <c r="Z40" s="45"/>
      <c r="AA40" s="77" t="str">
        <f t="shared" si="4"/>
        <v/>
      </c>
      <c r="AB40" s="83"/>
      <c r="AC40" s="83"/>
      <c r="AD40" s="83"/>
      <c r="AE40" s="83"/>
      <c r="AF40" s="84" t="str">
        <f t="shared" si="5"/>
        <v/>
      </c>
      <c r="AG40" s="364"/>
      <c r="AH40" s="364"/>
      <c r="AI40" s="364"/>
      <c r="AK40" s="67"/>
      <c r="AL40" s="74">
        <f t="shared" si="38"/>
        <v>46112</v>
      </c>
      <c r="AM40" s="75" t="str">
        <f t="shared" si="6"/>
        <v>火</v>
      </c>
      <c r="AN40" s="75" t="s">
        <v>22</v>
      </c>
      <c r="AO40" s="169">
        <v>0.375</v>
      </c>
      <c r="AP40" s="169">
        <v>0.75</v>
      </c>
      <c r="AQ40" s="170">
        <v>0.5</v>
      </c>
      <c r="AR40" s="170">
        <v>0.54166666666666663</v>
      </c>
      <c r="AS40" s="77" t="str">
        <f t="shared" si="7"/>
        <v>8h</v>
      </c>
      <c r="AT40" s="171">
        <v>0.375</v>
      </c>
      <c r="AU40" s="171">
        <v>0.75</v>
      </c>
      <c r="AV40" s="171">
        <v>0.5</v>
      </c>
      <c r="AW40" s="171">
        <v>0.54166666666666663</v>
      </c>
      <c r="AX40" s="84" t="str">
        <f t="shared" si="8"/>
        <v>8h</v>
      </c>
      <c r="AY40" s="364"/>
      <c r="AZ40" s="364"/>
      <c r="BA40" s="364"/>
      <c r="BC40" s="67"/>
      <c r="BD40" s="74" t="str">
        <f t="shared" si="39"/>
        <v/>
      </c>
      <c r="BE40" s="75" t="str">
        <f t="shared" si="9"/>
        <v/>
      </c>
      <c r="BF40" s="75"/>
      <c r="BG40" s="76"/>
      <c r="BH40" s="76"/>
      <c r="BI40" s="45"/>
      <c r="BJ40" s="45"/>
      <c r="BK40" s="77" t="str">
        <f t="shared" si="10"/>
        <v/>
      </c>
      <c r="BL40" s="83"/>
      <c r="BM40" s="83"/>
      <c r="BN40" s="83"/>
      <c r="BO40" s="83"/>
      <c r="BP40" s="84" t="str">
        <f t="shared" si="11"/>
        <v/>
      </c>
      <c r="BQ40" s="364"/>
      <c r="BR40" s="364"/>
      <c r="BS40" s="364"/>
      <c r="BU40" s="67"/>
      <c r="BV40" s="74">
        <f t="shared" si="40"/>
        <v>46173</v>
      </c>
      <c r="BW40" s="75" t="str">
        <f t="shared" si="12"/>
        <v>日</v>
      </c>
      <c r="BX40" s="75"/>
      <c r="BY40" s="76"/>
      <c r="BZ40" s="76"/>
      <c r="CA40" s="45"/>
      <c r="CB40" s="45"/>
      <c r="CC40" s="77" t="str">
        <f t="shared" si="13"/>
        <v/>
      </c>
      <c r="CD40" s="83"/>
      <c r="CE40" s="83"/>
      <c r="CF40" s="83"/>
      <c r="CG40" s="83"/>
      <c r="CH40" s="84" t="str">
        <f t="shared" si="14"/>
        <v/>
      </c>
      <c r="CI40" s="364"/>
      <c r="CJ40" s="364"/>
      <c r="CK40" s="364"/>
      <c r="CM40" s="67"/>
      <c r="CN40" s="74" t="str">
        <f t="shared" si="41"/>
        <v/>
      </c>
      <c r="CO40" s="75" t="str">
        <f t="shared" si="15"/>
        <v/>
      </c>
      <c r="CP40" s="75"/>
      <c r="CQ40" s="76"/>
      <c r="CR40" s="76"/>
      <c r="CS40" s="45"/>
      <c r="CT40" s="45"/>
      <c r="CU40" s="77" t="str">
        <f t="shared" si="16"/>
        <v/>
      </c>
      <c r="CV40" s="83"/>
      <c r="CW40" s="83"/>
      <c r="CX40" s="83"/>
      <c r="CY40" s="83"/>
      <c r="CZ40" s="84" t="str">
        <f t="shared" si="17"/>
        <v/>
      </c>
      <c r="DA40" s="364"/>
      <c r="DB40" s="364"/>
      <c r="DC40" s="364"/>
      <c r="DE40" s="67"/>
      <c r="DF40" s="74">
        <f t="shared" si="42"/>
        <v>46234</v>
      </c>
      <c r="DG40" s="75" t="str">
        <f t="shared" si="18"/>
        <v>金</v>
      </c>
      <c r="DH40" s="75" t="s">
        <v>22</v>
      </c>
      <c r="DI40" s="169">
        <v>0.375</v>
      </c>
      <c r="DJ40" s="169">
        <v>0.75</v>
      </c>
      <c r="DK40" s="170">
        <v>0.5</v>
      </c>
      <c r="DL40" s="170">
        <v>0.54166666666666663</v>
      </c>
      <c r="DM40" s="77" t="str">
        <f t="shared" si="19"/>
        <v>8h</v>
      </c>
      <c r="DN40" s="171">
        <v>0.375</v>
      </c>
      <c r="DO40" s="171">
        <v>0.75</v>
      </c>
      <c r="DP40" s="171">
        <v>0.5</v>
      </c>
      <c r="DQ40" s="171">
        <v>0.54166666666666663</v>
      </c>
      <c r="DR40" s="84" t="str">
        <f t="shared" si="20"/>
        <v>8h</v>
      </c>
      <c r="DS40" s="364"/>
      <c r="DT40" s="364"/>
      <c r="DU40" s="364"/>
      <c r="DW40" s="67"/>
      <c r="DX40" s="74">
        <f t="shared" si="43"/>
        <v>46265</v>
      </c>
      <c r="DY40" s="75" t="str">
        <f t="shared" si="21"/>
        <v>月</v>
      </c>
      <c r="DZ40" s="75" t="s">
        <v>22</v>
      </c>
      <c r="EA40" s="169">
        <v>0.375</v>
      </c>
      <c r="EB40" s="169">
        <v>0.75</v>
      </c>
      <c r="EC40" s="170">
        <v>0.5</v>
      </c>
      <c r="ED40" s="170">
        <v>0.54166666666666663</v>
      </c>
      <c r="EE40" s="77" t="str">
        <f t="shared" si="22"/>
        <v>8h</v>
      </c>
      <c r="EF40" s="171">
        <v>0.375</v>
      </c>
      <c r="EG40" s="171">
        <v>0.75</v>
      </c>
      <c r="EH40" s="171">
        <v>0.5</v>
      </c>
      <c r="EI40" s="171">
        <v>0.54166666666666663</v>
      </c>
      <c r="EJ40" s="84" t="str">
        <f t="shared" si="23"/>
        <v>8h</v>
      </c>
      <c r="EK40" s="364"/>
      <c r="EL40" s="364"/>
      <c r="EM40" s="364"/>
      <c r="EO40" s="67"/>
      <c r="EP40" s="74" t="str">
        <f t="shared" si="44"/>
        <v/>
      </c>
      <c r="EQ40" s="75" t="str">
        <f t="shared" si="24"/>
        <v/>
      </c>
      <c r="ER40" s="75"/>
      <c r="ES40" s="76"/>
      <c r="ET40" s="76"/>
      <c r="EU40" s="45"/>
      <c r="EV40" s="45"/>
      <c r="EW40" s="77" t="str">
        <f t="shared" si="25"/>
        <v/>
      </c>
      <c r="EX40" s="83"/>
      <c r="EY40" s="83"/>
      <c r="EZ40" s="83"/>
      <c r="FA40" s="83"/>
      <c r="FB40" s="84" t="str">
        <f t="shared" si="26"/>
        <v/>
      </c>
      <c r="FC40" s="364"/>
      <c r="FD40" s="364"/>
      <c r="FE40" s="364"/>
      <c r="FG40" s="67"/>
      <c r="FH40" s="74">
        <f t="shared" si="45"/>
        <v>46326</v>
      </c>
      <c r="FI40" s="75" t="str">
        <f t="shared" si="27"/>
        <v>土</v>
      </c>
      <c r="FJ40" s="75"/>
      <c r="FK40" s="76"/>
      <c r="FL40" s="76"/>
      <c r="FM40" s="45"/>
      <c r="FN40" s="45"/>
      <c r="FO40" s="77" t="str">
        <f t="shared" si="28"/>
        <v/>
      </c>
      <c r="FP40" s="83"/>
      <c r="FQ40" s="83"/>
      <c r="FR40" s="83"/>
      <c r="FS40" s="83"/>
      <c r="FT40" s="84" t="str">
        <f t="shared" si="29"/>
        <v/>
      </c>
      <c r="FU40" s="364"/>
      <c r="FV40" s="364"/>
      <c r="FW40" s="364"/>
      <c r="FY40" s="67"/>
      <c r="FZ40" s="74" t="str">
        <f t="shared" si="46"/>
        <v/>
      </c>
      <c r="GA40" s="75" t="str">
        <f t="shared" si="30"/>
        <v/>
      </c>
      <c r="GB40" s="75"/>
      <c r="GC40" s="76"/>
      <c r="GD40" s="76"/>
      <c r="GE40" s="45"/>
      <c r="GF40" s="45"/>
      <c r="GG40" s="77" t="str">
        <f t="shared" si="31"/>
        <v/>
      </c>
      <c r="GH40" s="83"/>
      <c r="GI40" s="83"/>
      <c r="GJ40" s="83"/>
      <c r="GK40" s="83"/>
      <c r="GL40" s="84" t="str">
        <f t="shared" si="32"/>
        <v/>
      </c>
      <c r="GM40" s="364"/>
      <c r="GN40" s="364"/>
      <c r="GO40" s="364"/>
      <c r="GQ40" s="67"/>
      <c r="GR40" s="74">
        <f t="shared" si="47"/>
        <v>46387</v>
      </c>
      <c r="GS40" s="75" t="str">
        <f t="shared" si="33"/>
        <v>木</v>
      </c>
      <c r="GT40" s="75"/>
      <c r="GU40" s="76"/>
      <c r="GV40" s="76"/>
      <c r="GW40" s="45"/>
      <c r="GX40" s="45"/>
      <c r="GY40" s="77" t="str">
        <f t="shared" si="34"/>
        <v/>
      </c>
      <c r="GZ40" s="83"/>
      <c r="HA40" s="83"/>
      <c r="HB40" s="83"/>
      <c r="HC40" s="83"/>
      <c r="HD40" s="84" t="str">
        <f t="shared" si="35"/>
        <v/>
      </c>
      <c r="HE40" s="364"/>
      <c r="HF40" s="364"/>
      <c r="HG40" s="364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383" priority="1" stopIfTrue="1">
      <formula>$B10=""</formula>
    </cfRule>
  </conditionalFormatting>
  <conditionalFormatting sqref="C10:C40">
    <cfRule type="expression" dxfId="382" priority="3" stopIfTrue="1">
      <formula>WEEKDAY(B10,2)=7</formula>
    </cfRule>
    <cfRule type="expression" dxfId="381" priority="4" stopIfTrue="1">
      <formula>WEEKDAY(B10,2)=6</formula>
    </cfRule>
  </conditionalFormatting>
  <conditionalFormatting sqref="T10:AI40">
    <cfRule type="expression" dxfId="380" priority="5" stopIfTrue="1">
      <formula>$T10=""</formula>
    </cfRule>
  </conditionalFormatting>
  <conditionalFormatting sqref="U10:U40">
    <cfRule type="expression" dxfId="379" priority="7" stopIfTrue="1">
      <formula>WEEKDAY(T10,2)=7</formula>
    </cfRule>
    <cfRule type="expression" dxfId="378" priority="8" stopIfTrue="1">
      <formula>WEEKDAY(T10,2)=6</formula>
    </cfRule>
  </conditionalFormatting>
  <conditionalFormatting sqref="AL10:BA40">
    <cfRule type="expression" dxfId="377" priority="9" stopIfTrue="1">
      <formula>$AL10=""</formula>
    </cfRule>
  </conditionalFormatting>
  <conditionalFormatting sqref="AM10:AM40">
    <cfRule type="expression" dxfId="376" priority="11" stopIfTrue="1">
      <formula>WEEKDAY(AL10,2)=7</formula>
    </cfRule>
    <cfRule type="expression" dxfId="375" priority="12" stopIfTrue="1">
      <formula>WEEKDAY(AL10,2)=6</formula>
    </cfRule>
  </conditionalFormatting>
  <conditionalFormatting sqref="BD10:BS40">
    <cfRule type="expression" dxfId="374" priority="13" stopIfTrue="1">
      <formula>$BD10=""</formula>
    </cfRule>
  </conditionalFormatting>
  <conditionalFormatting sqref="BE10:BE40">
    <cfRule type="expression" dxfId="373" priority="15" stopIfTrue="1">
      <formula>WEEKDAY(BD10,2)=7</formula>
    </cfRule>
    <cfRule type="expression" dxfId="372" priority="16" stopIfTrue="1">
      <formula>WEEKDAY(BD10,2)=6</formula>
    </cfRule>
  </conditionalFormatting>
  <conditionalFormatting sqref="BV10:CK40">
    <cfRule type="expression" dxfId="371" priority="17" stopIfTrue="1">
      <formula>$BV10=""</formula>
    </cfRule>
  </conditionalFormatting>
  <conditionalFormatting sqref="BW10:BW40">
    <cfRule type="expression" dxfId="370" priority="19" stopIfTrue="1">
      <formula>WEEKDAY(BV10,2)=7</formula>
    </cfRule>
    <cfRule type="expression" dxfId="369" priority="20" stopIfTrue="1">
      <formula>WEEKDAY(BV10,2)=6</formula>
    </cfRule>
  </conditionalFormatting>
  <conditionalFormatting sqref="CN10:DC40">
    <cfRule type="expression" dxfId="368" priority="21" stopIfTrue="1">
      <formula>$CN10=""</formula>
    </cfRule>
  </conditionalFormatting>
  <conditionalFormatting sqref="CO10:CO40">
    <cfRule type="expression" dxfId="367" priority="23" stopIfTrue="1">
      <formula>WEEKDAY(CN10,2)=7</formula>
    </cfRule>
    <cfRule type="expression" dxfId="366" priority="24" stopIfTrue="1">
      <formula>WEEKDAY(CN10,2)=6</formula>
    </cfRule>
  </conditionalFormatting>
  <conditionalFormatting sqref="DF10:DU40">
    <cfRule type="expression" dxfId="365" priority="25" stopIfTrue="1">
      <formula>$DF10=""</formula>
    </cfRule>
  </conditionalFormatting>
  <conditionalFormatting sqref="DG10:DG40">
    <cfRule type="expression" dxfId="364" priority="27" stopIfTrue="1">
      <formula>WEEKDAY(DF10,2)=7</formula>
    </cfRule>
    <cfRule type="expression" dxfId="363" priority="28" stopIfTrue="1">
      <formula>WEEKDAY(DF10,2)=6</formula>
    </cfRule>
  </conditionalFormatting>
  <conditionalFormatting sqref="DX10:EM40">
    <cfRule type="expression" dxfId="362" priority="29" stopIfTrue="1">
      <formula>$DX10=""</formula>
    </cfRule>
  </conditionalFormatting>
  <conditionalFormatting sqref="DY10:DY40">
    <cfRule type="expression" dxfId="361" priority="31" stopIfTrue="1">
      <formula>WEEKDAY(DX10,2)=7</formula>
    </cfRule>
    <cfRule type="expression" dxfId="360" priority="32" stopIfTrue="1">
      <formula>WEEKDAY(DX10,2)=6</formula>
    </cfRule>
  </conditionalFormatting>
  <conditionalFormatting sqref="EP10:FE40">
    <cfRule type="expression" dxfId="359" priority="33" stopIfTrue="1">
      <formula>$EP10=""</formula>
    </cfRule>
  </conditionalFormatting>
  <conditionalFormatting sqref="EQ10:EQ40">
    <cfRule type="expression" dxfId="358" priority="35" stopIfTrue="1">
      <formula>WEEKDAY(EP10,2)=7</formula>
    </cfRule>
    <cfRule type="expression" dxfId="357" priority="36" stopIfTrue="1">
      <formula>WEEKDAY(EP10,2)=6</formula>
    </cfRule>
  </conditionalFormatting>
  <conditionalFormatting sqref="FH10:FW40">
    <cfRule type="expression" dxfId="356" priority="37" stopIfTrue="1">
      <formula>$FH10=""</formula>
    </cfRule>
  </conditionalFormatting>
  <conditionalFormatting sqref="FI10:FI40">
    <cfRule type="expression" dxfId="355" priority="39" stopIfTrue="1">
      <formula>WEEKDAY(FH10,2)=7</formula>
    </cfRule>
    <cfRule type="expression" dxfId="354" priority="40" stopIfTrue="1">
      <formula>WEEKDAY(FH10,2)=6</formula>
    </cfRule>
  </conditionalFormatting>
  <conditionalFormatting sqref="FZ10:GO40">
    <cfRule type="expression" dxfId="353" priority="41" stopIfTrue="1">
      <formula>$FZ10=""</formula>
    </cfRule>
  </conditionalFormatting>
  <conditionalFormatting sqref="GA10:GA40">
    <cfRule type="expression" dxfId="352" priority="43" stopIfTrue="1">
      <formula>WEEKDAY(FZ10,2)=7</formula>
    </cfRule>
  </conditionalFormatting>
  <conditionalFormatting sqref="GA10:GA40">
    <cfRule type="expression" dxfId="351" priority="44" stopIfTrue="1">
      <formula>WEEKDAY(FZ10,2)=6</formula>
    </cfRule>
  </conditionalFormatting>
  <conditionalFormatting sqref="GR10:HG40">
    <cfRule type="expression" dxfId="350" priority="45" stopIfTrue="1">
      <formula>$GR10=""</formula>
    </cfRule>
  </conditionalFormatting>
  <conditionalFormatting sqref="GS10:GS40">
    <cfRule type="expression" dxfId="349" priority="47" stopIfTrue="1">
      <formula>WEEKDAY(GR10,2)=7</formula>
    </cfRule>
  </conditionalFormatting>
  <conditionalFormatting sqref="GS10:GS40">
    <cfRule type="expression" dxfId="348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1E5DE6F-0494-428B-BCE4-E402A76B33BB}">
            <xm:f>COUNTIF(祝日!$B:$B,B10)&gt;0</xm:f>
            <x14:dxf>
              <fill>
                <patternFill>
                  <bgColor rgb="FFFF3232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53758CCC-9B0C-452D-8369-4B157AAC6ADB}">
            <xm:f>COUNTIF(祝日!$B:$B,T10)&gt;0</xm:f>
            <x14:dxf>
              <fill>
                <patternFill>
                  <bgColor rgb="FFFF3232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8E37ADD6-6120-47F8-BD5D-46F0AFCB2C41}">
            <xm:f>COUNTIF(祝日!$B:$B,AL10)&gt;0</xm:f>
            <x14:dxf>
              <fill>
                <patternFill>
                  <bgColor rgb="FFFF3232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69B1E79-092C-47FD-A7D6-1CB24E3B91E4}">
            <xm:f>COUNTIF(祝日!$B:$B,BD10)&gt;0</xm:f>
            <x14:dxf>
              <fill>
                <patternFill>
                  <bgColor rgb="FFFF3232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B7682E14-C48A-4129-BD7D-506BC84DD110}">
            <xm:f>COUNTIF(祝日!$B:$B,BV10)&gt;0</xm:f>
            <x14:dxf>
              <fill>
                <patternFill>
                  <bgColor rgb="FFFF3232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8C51330F-8C1E-454D-A500-7BEA6309C5B8}">
            <xm:f>COUNTIF(祝日!$B:$B,CN10)&gt;0</xm:f>
            <x14:dxf>
              <fill>
                <patternFill>
                  <bgColor rgb="FFFF3232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1CF72C40-62FE-499E-9183-A11C9E55E4F6}">
            <xm:f>COUNTIF(祝日!$B:$B,DF10)&gt;0</xm:f>
            <x14:dxf>
              <fill>
                <patternFill>
                  <bgColor rgb="FFFF3232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A7FDAA65-ECED-4856-AAC6-F76C3CA2478D}">
            <xm:f>COUNTIF(祝日!$B:$B,DX10)&gt;0</xm:f>
            <x14:dxf>
              <fill>
                <patternFill>
                  <bgColor rgb="FFFF3232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9B8E53B9-2670-4806-A3F5-D47DB05D046F}">
            <xm:f>COUNTIF(祝日!$B:$B,EP10)&gt;0</xm:f>
            <x14:dxf>
              <fill>
                <patternFill>
                  <bgColor rgb="FFFF3232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06805232-CBCF-4A2A-B156-C87AEF945135}">
            <xm:f>COUNTIF(祝日!$B:$B,FH10)&gt;0</xm:f>
            <x14:dxf>
              <fill>
                <patternFill>
                  <bgColor rgb="FFFF3232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CFE93CB6-2CA1-47BF-B105-E2578DCA454E}">
            <xm:f>COUNTIF(祝日!$B:$B,FZ10)&gt;0</xm:f>
            <x14:dxf>
              <fill>
                <patternFill>
                  <bgColor rgb="FFFF3232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A7844711-03F5-415D-9EB0-89F6AF5BC47D}">
            <xm:f>COUNTIF(祝日!$B:$B,GR10)&gt;0</xm:f>
            <x14:dxf>
              <fill>
                <patternFill>
                  <bgColor rgb="FFFF3232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32A29-51D8-42DD-9DF3-7D1CB743A1DF}">
  <sheetPr codeName="Sheet105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55"/>
      <c r="B1" s="374">
        <v>46023</v>
      </c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6"/>
      <c r="S1" s="55"/>
      <c r="T1" s="385">
        <v>46054</v>
      </c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  <c r="AI1" s="376"/>
      <c r="AK1" s="55"/>
      <c r="AL1" s="385">
        <v>46082</v>
      </c>
      <c r="AM1" s="375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6"/>
      <c r="BC1" s="55"/>
      <c r="BD1" s="385">
        <v>46113</v>
      </c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6"/>
      <c r="BU1" s="55"/>
      <c r="BV1" s="385">
        <v>46143</v>
      </c>
      <c r="BW1" s="375"/>
      <c r="BX1" s="375"/>
      <c r="BY1" s="375"/>
      <c r="BZ1" s="375"/>
      <c r="CA1" s="375"/>
      <c r="CB1" s="375"/>
      <c r="CC1" s="375"/>
      <c r="CD1" s="375"/>
      <c r="CE1" s="375"/>
      <c r="CF1" s="375"/>
      <c r="CG1" s="375"/>
      <c r="CH1" s="375"/>
      <c r="CI1" s="375"/>
      <c r="CJ1" s="375"/>
      <c r="CK1" s="376"/>
      <c r="CM1" s="55"/>
      <c r="CN1" s="385">
        <v>46174</v>
      </c>
      <c r="CO1" s="375"/>
      <c r="CP1" s="375"/>
      <c r="CQ1" s="375"/>
      <c r="CR1" s="375"/>
      <c r="CS1" s="375"/>
      <c r="CT1" s="375"/>
      <c r="CU1" s="375"/>
      <c r="CV1" s="375"/>
      <c r="CW1" s="375"/>
      <c r="CX1" s="375"/>
      <c r="CY1" s="375"/>
      <c r="CZ1" s="375"/>
      <c r="DA1" s="375"/>
      <c r="DB1" s="375"/>
      <c r="DC1" s="376"/>
      <c r="DE1" s="55"/>
      <c r="DF1" s="385">
        <v>46204</v>
      </c>
      <c r="DG1" s="375"/>
      <c r="DH1" s="375"/>
      <c r="DI1" s="375"/>
      <c r="DJ1" s="375"/>
      <c r="DK1" s="375"/>
      <c r="DL1" s="375"/>
      <c r="DM1" s="375"/>
      <c r="DN1" s="375"/>
      <c r="DO1" s="375"/>
      <c r="DP1" s="375"/>
      <c r="DQ1" s="375"/>
      <c r="DR1" s="375"/>
      <c r="DS1" s="375"/>
      <c r="DT1" s="375"/>
      <c r="DU1" s="376"/>
      <c r="DW1" s="55"/>
      <c r="DX1" s="385">
        <v>46235</v>
      </c>
      <c r="DY1" s="375"/>
      <c r="DZ1" s="375"/>
      <c r="EA1" s="375"/>
      <c r="EB1" s="375"/>
      <c r="EC1" s="375"/>
      <c r="ED1" s="375"/>
      <c r="EE1" s="375"/>
      <c r="EF1" s="375"/>
      <c r="EG1" s="375"/>
      <c r="EH1" s="375"/>
      <c r="EI1" s="375"/>
      <c r="EJ1" s="375"/>
      <c r="EK1" s="375"/>
      <c r="EL1" s="375"/>
      <c r="EM1" s="376"/>
      <c r="EO1" s="55"/>
      <c r="EP1" s="385">
        <v>46266</v>
      </c>
      <c r="EQ1" s="375"/>
      <c r="ER1" s="375"/>
      <c r="ES1" s="375"/>
      <c r="ET1" s="375"/>
      <c r="EU1" s="375"/>
      <c r="EV1" s="375"/>
      <c r="EW1" s="375"/>
      <c r="EX1" s="375"/>
      <c r="EY1" s="375"/>
      <c r="EZ1" s="375"/>
      <c r="FA1" s="375"/>
      <c r="FB1" s="375"/>
      <c r="FC1" s="375"/>
      <c r="FD1" s="375"/>
      <c r="FE1" s="376"/>
      <c r="FG1" s="55"/>
      <c r="FH1" s="385">
        <v>46296</v>
      </c>
      <c r="FI1" s="375"/>
      <c r="FJ1" s="375"/>
      <c r="FK1" s="375"/>
      <c r="FL1" s="375"/>
      <c r="FM1" s="375"/>
      <c r="FN1" s="375"/>
      <c r="FO1" s="375"/>
      <c r="FP1" s="375"/>
      <c r="FQ1" s="375"/>
      <c r="FR1" s="375"/>
      <c r="FS1" s="375"/>
      <c r="FT1" s="375"/>
      <c r="FU1" s="375"/>
      <c r="FV1" s="375"/>
      <c r="FW1" s="376"/>
      <c r="FY1" s="55"/>
      <c r="FZ1" s="385">
        <v>46327</v>
      </c>
      <c r="GA1" s="375"/>
      <c r="GB1" s="375"/>
      <c r="GC1" s="375"/>
      <c r="GD1" s="375"/>
      <c r="GE1" s="375"/>
      <c r="GF1" s="375"/>
      <c r="GG1" s="375"/>
      <c r="GH1" s="375"/>
      <c r="GI1" s="375"/>
      <c r="GJ1" s="375"/>
      <c r="GK1" s="375"/>
      <c r="GL1" s="375"/>
      <c r="GM1" s="375"/>
      <c r="GN1" s="375"/>
      <c r="GO1" s="376"/>
      <c r="GQ1" s="55"/>
      <c r="GR1" s="385">
        <v>46357</v>
      </c>
      <c r="GS1" s="375"/>
      <c r="GT1" s="375"/>
      <c r="GU1" s="375"/>
      <c r="GV1" s="375"/>
      <c r="GW1" s="375"/>
      <c r="GX1" s="375"/>
      <c r="GY1" s="375"/>
      <c r="GZ1" s="375"/>
      <c r="HA1" s="375"/>
      <c r="HB1" s="375"/>
      <c r="HC1" s="375"/>
      <c r="HD1" s="375"/>
      <c r="HE1" s="375"/>
      <c r="HF1" s="375"/>
      <c r="HG1" s="376"/>
    </row>
    <row r="2" spans="1:215" ht="6" customHeight="1" outlineLevel="1" x14ac:dyDescent="0.45">
      <c r="A2" s="55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1"/>
      <c r="S2" s="55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40"/>
      <c r="AH2" s="240"/>
      <c r="AI2" s="241"/>
      <c r="AK2" s="55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  <c r="AX2" s="240"/>
      <c r="AY2" s="240"/>
      <c r="AZ2" s="240"/>
      <c r="BA2" s="241"/>
      <c r="BC2" s="55"/>
      <c r="BD2" s="240"/>
      <c r="BE2" s="240"/>
      <c r="BF2" s="240"/>
      <c r="BG2" s="240"/>
      <c r="BH2" s="240"/>
      <c r="BI2" s="240"/>
      <c r="BJ2" s="240"/>
      <c r="BK2" s="240"/>
      <c r="BL2" s="240"/>
      <c r="BM2" s="240"/>
      <c r="BN2" s="240"/>
      <c r="BO2" s="240"/>
      <c r="BP2" s="240"/>
      <c r="BQ2" s="240"/>
      <c r="BR2" s="240"/>
      <c r="BS2" s="241"/>
      <c r="BU2" s="55"/>
      <c r="BV2" s="240"/>
      <c r="BW2" s="240"/>
      <c r="BX2" s="240"/>
      <c r="BY2" s="240"/>
      <c r="BZ2" s="240"/>
      <c r="CA2" s="240"/>
      <c r="CB2" s="240"/>
      <c r="CC2" s="240"/>
      <c r="CD2" s="240"/>
      <c r="CE2" s="240"/>
      <c r="CF2" s="240"/>
      <c r="CG2" s="240"/>
      <c r="CH2" s="240"/>
      <c r="CI2" s="240"/>
      <c r="CJ2" s="240"/>
      <c r="CK2" s="241"/>
      <c r="CM2" s="55"/>
      <c r="CN2" s="240"/>
      <c r="CO2" s="240"/>
      <c r="CP2" s="240"/>
      <c r="CQ2" s="240"/>
      <c r="CR2" s="240"/>
      <c r="CS2" s="240"/>
      <c r="CT2" s="240"/>
      <c r="CU2" s="240"/>
      <c r="CV2" s="240"/>
      <c r="CW2" s="240"/>
      <c r="CX2" s="240"/>
      <c r="CY2" s="240"/>
      <c r="CZ2" s="240"/>
      <c r="DA2" s="240"/>
      <c r="DB2" s="240"/>
      <c r="DC2" s="241"/>
      <c r="DE2" s="55"/>
      <c r="DF2" s="240"/>
      <c r="DG2" s="240"/>
      <c r="DH2" s="240"/>
      <c r="DI2" s="240"/>
      <c r="DJ2" s="240"/>
      <c r="DK2" s="240"/>
      <c r="DL2" s="240"/>
      <c r="DM2" s="240"/>
      <c r="DN2" s="240"/>
      <c r="DO2" s="240"/>
      <c r="DP2" s="240"/>
      <c r="DQ2" s="240"/>
      <c r="DR2" s="240"/>
      <c r="DS2" s="240"/>
      <c r="DT2" s="240"/>
      <c r="DU2" s="241"/>
      <c r="DW2" s="55"/>
      <c r="DX2" s="240"/>
      <c r="DY2" s="240"/>
      <c r="DZ2" s="240"/>
      <c r="EA2" s="240"/>
      <c r="EB2" s="240"/>
      <c r="EC2" s="240"/>
      <c r="ED2" s="240"/>
      <c r="EE2" s="240"/>
      <c r="EF2" s="240"/>
      <c r="EG2" s="240"/>
      <c r="EH2" s="240"/>
      <c r="EI2" s="240"/>
      <c r="EJ2" s="240"/>
      <c r="EK2" s="240"/>
      <c r="EL2" s="240"/>
      <c r="EM2" s="241"/>
      <c r="EO2" s="55"/>
      <c r="EP2" s="240"/>
      <c r="EQ2" s="240"/>
      <c r="ER2" s="240"/>
      <c r="ES2" s="240"/>
      <c r="ET2" s="240"/>
      <c r="EU2" s="240"/>
      <c r="EV2" s="240"/>
      <c r="EW2" s="240"/>
      <c r="EX2" s="240"/>
      <c r="EY2" s="240"/>
      <c r="EZ2" s="240"/>
      <c r="FA2" s="240"/>
      <c r="FB2" s="240"/>
      <c r="FC2" s="240"/>
      <c r="FD2" s="240"/>
      <c r="FE2" s="241"/>
      <c r="FG2" s="55"/>
      <c r="FH2" s="240"/>
      <c r="FI2" s="240"/>
      <c r="FJ2" s="240"/>
      <c r="FK2" s="240"/>
      <c r="FL2" s="240"/>
      <c r="FM2" s="240"/>
      <c r="FN2" s="240"/>
      <c r="FO2" s="240"/>
      <c r="FP2" s="240"/>
      <c r="FQ2" s="240"/>
      <c r="FR2" s="240"/>
      <c r="FS2" s="240"/>
      <c r="FT2" s="240"/>
      <c r="FU2" s="240"/>
      <c r="FV2" s="240"/>
      <c r="FW2" s="241"/>
      <c r="FY2" s="55"/>
      <c r="FZ2" s="240"/>
      <c r="GA2" s="240"/>
      <c r="GB2" s="240"/>
      <c r="GC2" s="240"/>
      <c r="GD2" s="240"/>
      <c r="GE2" s="240"/>
      <c r="GF2" s="240"/>
      <c r="GG2" s="240"/>
      <c r="GH2" s="240"/>
      <c r="GI2" s="240"/>
      <c r="GJ2" s="240"/>
      <c r="GK2" s="240"/>
      <c r="GL2" s="240"/>
      <c r="GM2" s="240"/>
      <c r="GN2" s="240"/>
      <c r="GO2" s="241"/>
      <c r="GQ2" s="55"/>
      <c r="GR2" s="240"/>
      <c r="GS2" s="240"/>
      <c r="GT2" s="240"/>
      <c r="GU2" s="240"/>
      <c r="GV2" s="240"/>
      <c r="GW2" s="240"/>
      <c r="GX2" s="240"/>
      <c r="GY2" s="240"/>
      <c r="GZ2" s="240"/>
      <c r="HA2" s="240"/>
      <c r="HB2" s="240"/>
      <c r="HC2" s="240"/>
      <c r="HD2" s="240"/>
      <c r="HE2" s="240"/>
      <c r="HF2" s="240"/>
      <c r="HG2" s="241"/>
    </row>
    <row r="3" spans="1:215" outlineLevel="1" x14ac:dyDescent="0.45">
      <c r="A3" s="55"/>
      <c r="B3" s="377" t="s">
        <v>24</v>
      </c>
      <c r="C3" s="377"/>
      <c r="D3" s="377"/>
      <c r="E3" s="242">
        <f>COUNTIF(D10:D40,"出")</f>
        <v>0</v>
      </c>
      <c r="F3" s="240"/>
      <c r="G3" s="380" t="s">
        <v>35</v>
      </c>
      <c r="H3" s="380"/>
      <c r="I3" s="240"/>
      <c r="J3" s="380" t="s">
        <v>36</v>
      </c>
      <c r="K3" s="380"/>
      <c r="L3" s="240"/>
      <c r="M3" s="240"/>
      <c r="N3" s="240"/>
      <c r="O3" s="240"/>
      <c r="P3" s="240"/>
      <c r="Q3" s="241"/>
      <c r="S3" s="55"/>
      <c r="T3" s="377" t="s">
        <v>24</v>
      </c>
      <c r="U3" s="377"/>
      <c r="V3" s="377"/>
      <c r="W3" s="242">
        <f>COUNTIF(V10:V40,"出")</f>
        <v>0</v>
      </c>
      <c r="X3" s="240"/>
      <c r="Y3" s="380" t="s">
        <v>35</v>
      </c>
      <c r="Z3" s="380"/>
      <c r="AA3" s="240"/>
      <c r="AB3" s="380" t="s">
        <v>36</v>
      </c>
      <c r="AC3" s="380"/>
      <c r="AD3" s="240"/>
      <c r="AE3" s="240"/>
      <c r="AF3" s="240"/>
      <c r="AG3" s="240"/>
      <c r="AH3" s="240"/>
      <c r="AI3" s="241"/>
      <c r="AK3" s="55"/>
      <c r="AL3" s="377" t="s">
        <v>24</v>
      </c>
      <c r="AM3" s="377"/>
      <c r="AN3" s="377"/>
      <c r="AO3" s="242">
        <f>COUNTIF(AN10:AN40,"出")</f>
        <v>0</v>
      </c>
      <c r="AP3" s="240"/>
      <c r="AQ3" s="380" t="s">
        <v>35</v>
      </c>
      <c r="AR3" s="380"/>
      <c r="AS3" s="240"/>
      <c r="AT3" s="380" t="s">
        <v>36</v>
      </c>
      <c r="AU3" s="380"/>
      <c r="AV3" s="240"/>
      <c r="AW3" s="240"/>
      <c r="AX3" s="240"/>
      <c r="AY3" s="240"/>
      <c r="AZ3" s="240"/>
      <c r="BA3" s="241"/>
      <c r="BC3" s="55"/>
      <c r="BD3" s="377" t="s">
        <v>24</v>
      </c>
      <c r="BE3" s="377"/>
      <c r="BF3" s="377"/>
      <c r="BG3" s="242">
        <f>COUNTIF(BF10:BF40,"出")</f>
        <v>0</v>
      </c>
      <c r="BH3" s="240"/>
      <c r="BI3" s="380" t="s">
        <v>35</v>
      </c>
      <c r="BJ3" s="380"/>
      <c r="BK3" s="240"/>
      <c r="BL3" s="380" t="s">
        <v>36</v>
      </c>
      <c r="BM3" s="380"/>
      <c r="BN3" s="240"/>
      <c r="BO3" s="240"/>
      <c r="BP3" s="240"/>
      <c r="BQ3" s="240"/>
      <c r="BR3" s="240"/>
      <c r="BS3" s="241"/>
      <c r="BU3" s="55"/>
      <c r="BV3" s="377" t="s">
        <v>24</v>
      </c>
      <c r="BW3" s="377"/>
      <c r="BX3" s="377"/>
      <c r="BY3" s="242">
        <f>COUNTIF(BX10:BX40,"出")</f>
        <v>0</v>
      </c>
      <c r="BZ3" s="240"/>
      <c r="CA3" s="380" t="s">
        <v>35</v>
      </c>
      <c r="CB3" s="380"/>
      <c r="CC3" s="240"/>
      <c r="CD3" s="380" t="s">
        <v>36</v>
      </c>
      <c r="CE3" s="380"/>
      <c r="CF3" s="240"/>
      <c r="CG3" s="240"/>
      <c r="CH3" s="240"/>
      <c r="CI3" s="240"/>
      <c r="CJ3" s="240"/>
      <c r="CK3" s="241"/>
      <c r="CM3" s="55"/>
      <c r="CN3" s="377" t="s">
        <v>24</v>
      </c>
      <c r="CO3" s="377"/>
      <c r="CP3" s="377"/>
      <c r="CQ3" s="242">
        <f>COUNTIF(CP10:CP40,"出")</f>
        <v>0</v>
      </c>
      <c r="CR3" s="240"/>
      <c r="CS3" s="380" t="s">
        <v>35</v>
      </c>
      <c r="CT3" s="380"/>
      <c r="CU3" s="240"/>
      <c r="CV3" s="380" t="s">
        <v>36</v>
      </c>
      <c r="CW3" s="380"/>
      <c r="CX3" s="240"/>
      <c r="CY3" s="240"/>
      <c r="CZ3" s="240"/>
      <c r="DA3" s="240"/>
      <c r="DB3" s="240"/>
      <c r="DC3" s="241"/>
      <c r="DE3" s="55"/>
      <c r="DF3" s="377" t="s">
        <v>24</v>
      </c>
      <c r="DG3" s="377"/>
      <c r="DH3" s="377"/>
      <c r="DI3" s="242">
        <f>COUNTIF(DH10:DH40,"出")</f>
        <v>0</v>
      </c>
      <c r="DJ3" s="240"/>
      <c r="DK3" s="380" t="s">
        <v>35</v>
      </c>
      <c r="DL3" s="380"/>
      <c r="DM3" s="240"/>
      <c r="DN3" s="380" t="s">
        <v>36</v>
      </c>
      <c r="DO3" s="380"/>
      <c r="DP3" s="240"/>
      <c r="DQ3" s="240"/>
      <c r="DR3" s="240"/>
      <c r="DS3" s="240"/>
      <c r="DT3" s="240"/>
      <c r="DU3" s="241"/>
      <c r="DW3" s="55"/>
      <c r="DX3" s="377" t="s">
        <v>24</v>
      </c>
      <c r="DY3" s="377"/>
      <c r="DZ3" s="377"/>
      <c r="EA3" s="242">
        <f>COUNTIF(DZ10:DZ40,"出")</f>
        <v>0</v>
      </c>
      <c r="EB3" s="240"/>
      <c r="EC3" s="380" t="s">
        <v>35</v>
      </c>
      <c r="ED3" s="380"/>
      <c r="EE3" s="240"/>
      <c r="EF3" s="380" t="s">
        <v>36</v>
      </c>
      <c r="EG3" s="380"/>
      <c r="EH3" s="240"/>
      <c r="EI3" s="240"/>
      <c r="EJ3" s="240"/>
      <c r="EK3" s="240"/>
      <c r="EL3" s="240"/>
      <c r="EM3" s="241"/>
      <c r="EO3" s="55"/>
      <c r="EP3" s="377" t="s">
        <v>24</v>
      </c>
      <c r="EQ3" s="377"/>
      <c r="ER3" s="377"/>
      <c r="ES3" s="242">
        <f>COUNTIF(ER10:ER40,"出")</f>
        <v>0</v>
      </c>
      <c r="ET3" s="240"/>
      <c r="EU3" s="380" t="s">
        <v>35</v>
      </c>
      <c r="EV3" s="380"/>
      <c r="EW3" s="240"/>
      <c r="EX3" s="380" t="s">
        <v>36</v>
      </c>
      <c r="EY3" s="380"/>
      <c r="EZ3" s="240"/>
      <c r="FA3" s="240"/>
      <c r="FB3" s="240"/>
      <c r="FC3" s="240"/>
      <c r="FD3" s="240"/>
      <c r="FE3" s="241"/>
      <c r="FG3" s="55"/>
      <c r="FH3" s="377" t="s">
        <v>24</v>
      </c>
      <c r="FI3" s="377"/>
      <c r="FJ3" s="377"/>
      <c r="FK3" s="242">
        <f>COUNTIF(FJ10:FJ40,"出")</f>
        <v>0</v>
      </c>
      <c r="FL3" s="240"/>
      <c r="FM3" s="380" t="s">
        <v>35</v>
      </c>
      <c r="FN3" s="380"/>
      <c r="FO3" s="240"/>
      <c r="FP3" s="380" t="s">
        <v>36</v>
      </c>
      <c r="FQ3" s="380"/>
      <c r="FR3" s="240"/>
      <c r="FS3" s="240"/>
      <c r="FT3" s="240"/>
      <c r="FU3" s="240"/>
      <c r="FV3" s="240"/>
      <c r="FW3" s="241"/>
      <c r="FY3" s="55"/>
      <c r="FZ3" s="377" t="s">
        <v>24</v>
      </c>
      <c r="GA3" s="377"/>
      <c r="GB3" s="377"/>
      <c r="GC3" s="242">
        <f>COUNTIF(GB10:GB40,"出")</f>
        <v>0</v>
      </c>
      <c r="GD3" s="240"/>
      <c r="GE3" s="380" t="s">
        <v>35</v>
      </c>
      <c r="GF3" s="380"/>
      <c r="GG3" s="240"/>
      <c r="GH3" s="380" t="s">
        <v>36</v>
      </c>
      <c r="GI3" s="380"/>
      <c r="GJ3" s="240"/>
      <c r="GK3" s="240"/>
      <c r="GL3" s="240"/>
      <c r="GM3" s="240"/>
      <c r="GN3" s="240"/>
      <c r="GO3" s="241"/>
      <c r="GQ3" s="55"/>
      <c r="GR3" s="377" t="s">
        <v>24</v>
      </c>
      <c r="GS3" s="377"/>
      <c r="GT3" s="377"/>
      <c r="GU3" s="242">
        <f>COUNTIF(GT10:GT40,"出")</f>
        <v>0</v>
      </c>
      <c r="GV3" s="240"/>
      <c r="GW3" s="380" t="s">
        <v>35</v>
      </c>
      <c r="GX3" s="380"/>
      <c r="GY3" s="240"/>
      <c r="GZ3" s="380" t="s">
        <v>36</v>
      </c>
      <c r="HA3" s="380"/>
      <c r="HB3" s="240"/>
      <c r="HC3" s="240"/>
      <c r="HD3" s="240"/>
      <c r="HE3" s="240"/>
      <c r="HF3" s="240"/>
      <c r="HG3" s="241"/>
    </row>
    <row r="4" spans="1:215" outlineLevel="1" x14ac:dyDescent="0.45">
      <c r="A4" s="55"/>
      <c r="B4" s="378" t="s">
        <v>23</v>
      </c>
      <c r="C4" s="378"/>
      <c r="D4" s="378"/>
      <c r="E4" s="243">
        <f>COUNTIF(D10:D40,"リ")</f>
        <v>19</v>
      </c>
      <c r="F4" s="240"/>
      <c r="G4" s="244" t="s">
        <v>3</v>
      </c>
      <c r="H4" s="244" t="s">
        <v>27</v>
      </c>
      <c r="I4" s="240"/>
      <c r="J4" s="244" t="s">
        <v>3</v>
      </c>
      <c r="K4" s="244" t="s">
        <v>27</v>
      </c>
      <c r="L4" s="240"/>
      <c r="M4" s="240"/>
      <c r="N4" s="240"/>
      <c r="O4" s="240"/>
      <c r="P4" s="240"/>
      <c r="Q4" s="241"/>
      <c r="S4" s="55"/>
      <c r="T4" s="378" t="s">
        <v>23</v>
      </c>
      <c r="U4" s="378"/>
      <c r="V4" s="378"/>
      <c r="W4" s="243">
        <f>COUNTIF(V10:V40,"リ")</f>
        <v>18</v>
      </c>
      <c r="X4" s="240"/>
      <c r="Y4" s="244" t="s">
        <v>3</v>
      </c>
      <c r="Z4" s="244" t="s">
        <v>27</v>
      </c>
      <c r="AA4" s="240"/>
      <c r="AB4" s="244" t="s">
        <v>3</v>
      </c>
      <c r="AC4" s="244" t="s">
        <v>27</v>
      </c>
      <c r="AD4" s="240"/>
      <c r="AE4" s="240"/>
      <c r="AF4" s="240"/>
      <c r="AG4" s="240"/>
      <c r="AH4" s="240"/>
      <c r="AI4" s="241"/>
      <c r="AK4" s="55"/>
      <c r="AL4" s="378" t="s">
        <v>23</v>
      </c>
      <c r="AM4" s="378"/>
      <c r="AN4" s="378"/>
      <c r="AO4" s="243">
        <f>COUNTIF(AN10:AN40,"リ")</f>
        <v>21</v>
      </c>
      <c r="AP4" s="240"/>
      <c r="AQ4" s="244" t="s">
        <v>3</v>
      </c>
      <c r="AR4" s="244" t="s">
        <v>27</v>
      </c>
      <c r="AS4" s="240"/>
      <c r="AT4" s="244" t="s">
        <v>3</v>
      </c>
      <c r="AU4" s="244" t="s">
        <v>27</v>
      </c>
      <c r="AV4" s="240"/>
      <c r="AW4" s="240"/>
      <c r="AX4" s="240"/>
      <c r="AY4" s="240"/>
      <c r="AZ4" s="240"/>
      <c r="BA4" s="241"/>
      <c r="BC4" s="55"/>
      <c r="BD4" s="378" t="s">
        <v>23</v>
      </c>
      <c r="BE4" s="378"/>
      <c r="BF4" s="378"/>
      <c r="BG4" s="243">
        <f>COUNTIF(BF10:BF40,"リ")</f>
        <v>21</v>
      </c>
      <c r="BH4" s="240"/>
      <c r="BI4" s="244" t="s">
        <v>3</v>
      </c>
      <c r="BJ4" s="244" t="s">
        <v>27</v>
      </c>
      <c r="BK4" s="240"/>
      <c r="BL4" s="244" t="s">
        <v>3</v>
      </c>
      <c r="BM4" s="244" t="s">
        <v>27</v>
      </c>
      <c r="BN4" s="240"/>
      <c r="BO4" s="240"/>
      <c r="BP4" s="240"/>
      <c r="BQ4" s="240"/>
      <c r="BR4" s="240"/>
      <c r="BS4" s="241"/>
      <c r="BU4" s="55"/>
      <c r="BV4" s="378" t="s">
        <v>23</v>
      </c>
      <c r="BW4" s="378"/>
      <c r="BX4" s="378"/>
      <c r="BY4" s="243">
        <f>COUNTIF(BX10:BX40,"リ")</f>
        <v>18</v>
      </c>
      <c r="BZ4" s="240"/>
      <c r="CA4" s="244" t="s">
        <v>3</v>
      </c>
      <c r="CB4" s="244" t="s">
        <v>27</v>
      </c>
      <c r="CC4" s="240"/>
      <c r="CD4" s="244" t="s">
        <v>3</v>
      </c>
      <c r="CE4" s="244" t="s">
        <v>27</v>
      </c>
      <c r="CF4" s="240"/>
      <c r="CG4" s="240"/>
      <c r="CH4" s="240"/>
      <c r="CI4" s="240"/>
      <c r="CJ4" s="240"/>
      <c r="CK4" s="241"/>
      <c r="CM4" s="55"/>
      <c r="CN4" s="378" t="s">
        <v>23</v>
      </c>
      <c r="CO4" s="378"/>
      <c r="CP4" s="378"/>
      <c r="CQ4" s="243">
        <f>COUNTIF(CP10:CP40,"リ")</f>
        <v>22</v>
      </c>
      <c r="CR4" s="240"/>
      <c r="CS4" s="244" t="s">
        <v>3</v>
      </c>
      <c r="CT4" s="244" t="s">
        <v>27</v>
      </c>
      <c r="CU4" s="240"/>
      <c r="CV4" s="244" t="s">
        <v>3</v>
      </c>
      <c r="CW4" s="244" t="s">
        <v>27</v>
      </c>
      <c r="CX4" s="240"/>
      <c r="CY4" s="240"/>
      <c r="CZ4" s="240"/>
      <c r="DA4" s="240"/>
      <c r="DB4" s="240"/>
      <c r="DC4" s="241"/>
      <c r="DE4" s="55"/>
      <c r="DF4" s="378" t="s">
        <v>23</v>
      </c>
      <c r="DG4" s="378"/>
      <c r="DH4" s="378"/>
      <c r="DI4" s="243">
        <f>COUNTIF(DH10:DH40,"リ")</f>
        <v>22</v>
      </c>
      <c r="DJ4" s="240"/>
      <c r="DK4" s="244" t="s">
        <v>3</v>
      </c>
      <c r="DL4" s="244" t="s">
        <v>27</v>
      </c>
      <c r="DM4" s="240"/>
      <c r="DN4" s="244" t="s">
        <v>3</v>
      </c>
      <c r="DO4" s="244" t="s">
        <v>27</v>
      </c>
      <c r="DP4" s="240"/>
      <c r="DQ4" s="240"/>
      <c r="DR4" s="240"/>
      <c r="DS4" s="240"/>
      <c r="DT4" s="240"/>
      <c r="DU4" s="241"/>
      <c r="DW4" s="55"/>
      <c r="DX4" s="378" t="s">
        <v>23</v>
      </c>
      <c r="DY4" s="378"/>
      <c r="DZ4" s="378"/>
      <c r="EA4" s="243">
        <f>COUNTIF(DZ10:DZ40,"リ")</f>
        <v>20</v>
      </c>
      <c r="EB4" s="240"/>
      <c r="EC4" s="244" t="s">
        <v>3</v>
      </c>
      <c r="ED4" s="244" t="s">
        <v>27</v>
      </c>
      <c r="EE4" s="240"/>
      <c r="EF4" s="244" t="s">
        <v>3</v>
      </c>
      <c r="EG4" s="244" t="s">
        <v>27</v>
      </c>
      <c r="EH4" s="240"/>
      <c r="EI4" s="240"/>
      <c r="EJ4" s="240"/>
      <c r="EK4" s="240"/>
      <c r="EL4" s="240"/>
      <c r="EM4" s="241"/>
      <c r="EO4" s="55"/>
      <c r="EP4" s="378" t="s">
        <v>23</v>
      </c>
      <c r="EQ4" s="378"/>
      <c r="ER4" s="378"/>
      <c r="ES4" s="243">
        <f>COUNTIF(ER10:ER40,"リ")</f>
        <v>19</v>
      </c>
      <c r="ET4" s="240"/>
      <c r="EU4" s="244" t="s">
        <v>3</v>
      </c>
      <c r="EV4" s="244" t="s">
        <v>27</v>
      </c>
      <c r="EW4" s="240"/>
      <c r="EX4" s="244" t="s">
        <v>3</v>
      </c>
      <c r="EY4" s="244" t="s">
        <v>27</v>
      </c>
      <c r="EZ4" s="240"/>
      <c r="FA4" s="240"/>
      <c r="FB4" s="240"/>
      <c r="FC4" s="240"/>
      <c r="FD4" s="240"/>
      <c r="FE4" s="241"/>
      <c r="FG4" s="55"/>
      <c r="FH4" s="378" t="s">
        <v>23</v>
      </c>
      <c r="FI4" s="378"/>
      <c r="FJ4" s="378"/>
      <c r="FK4" s="243">
        <f>COUNTIF(FJ10:FJ40,"リ")</f>
        <v>21</v>
      </c>
      <c r="FL4" s="240"/>
      <c r="FM4" s="244" t="s">
        <v>3</v>
      </c>
      <c r="FN4" s="244" t="s">
        <v>27</v>
      </c>
      <c r="FO4" s="240"/>
      <c r="FP4" s="244" t="s">
        <v>3</v>
      </c>
      <c r="FQ4" s="244" t="s">
        <v>27</v>
      </c>
      <c r="FR4" s="240"/>
      <c r="FS4" s="240"/>
      <c r="FT4" s="240"/>
      <c r="FU4" s="240"/>
      <c r="FV4" s="240"/>
      <c r="FW4" s="241"/>
      <c r="FY4" s="55"/>
      <c r="FZ4" s="378" t="s">
        <v>23</v>
      </c>
      <c r="GA4" s="378"/>
      <c r="GB4" s="378"/>
      <c r="GC4" s="243">
        <f>COUNTIF(GB10:GB40,"リ")</f>
        <v>19</v>
      </c>
      <c r="GD4" s="240"/>
      <c r="GE4" s="244" t="s">
        <v>3</v>
      </c>
      <c r="GF4" s="244" t="s">
        <v>27</v>
      </c>
      <c r="GG4" s="240"/>
      <c r="GH4" s="244" t="s">
        <v>3</v>
      </c>
      <c r="GI4" s="244" t="s">
        <v>27</v>
      </c>
      <c r="GJ4" s="240"/>
      <c r="GK4" s="240"/>
      <c r="GL4" s="240"/>
      <c r="GM4" s="240"/>
      <c r="GN4" s="240"/>
      <c r="GO4" s="241"/>
      <c r="GQ4" s="55"/>
      <c r="GR4" s="378" t="s">
        <v>23</v>
      </c>
      <c r="GS4" s="378"/>
      <c r="GT4" s="378"/>
      <c r="GU4" s="243">
        <f>COUNTIF(GT10:GT40,"リ")</f>
        <v>20</v>
      </c>
      <c r="GV4" s="240"/>
      <c r="GW4" s="244" t="s">
        <v>3</v>
      </c>
      <c r="GX4" s="244" t="s">
        <v>27</v>
      </c>
      <c r="GY4" s="240"/>
      <c r="GZ4" s="244" t="s">
        <v>3</v>
      </c>
      <c r="HA4" s="244" t="s">
        <v>27</v>
      </c>
      <c r="HB4" s="240"/>
      <c r="HC4" s="240"/>
      <c r="HD4" s="240"/>
      <c r="HE4" s="240"/>
      <c r="HF4" s="240"/>
      <c r="HG4" s="241"/>
    </row>
    <row r="5" spans="1:215" outlineLevel="1" x14ac:dyDescent="0.45">
      <c r="A5" s="55"/>
      <c r="B5" s="379" t="s">
        <v>25</v>
      </c>
      <c r="C5" s="379"/>
      <c r="D5" s="379"/>
      <c r="E5" s="245">
        <f>E3/(E3+E4)</f>
        <v>0</v>
      </c>
      <c r="F5" s="240"/>
      <c r="G5" s="246">
        <f>COUNT(F10:F40)</f>
        <v>19</v>
      </c>
      <c r="H5" s="247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40"/>
      <c r="J5" s="246">
        <f>COUNT(J10:J40)</f>
        <v>19</v>
      </c>
      <c r="K5" s="247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40"/>
      <c r="M5" s="240"/>
      <c r="N5" s="240"/>
      <c r="O5" s="240"/>
      <c r="P5" s="240"/>
      <c r="Q5" s="241"/>
      <c r="S5" s="55"/>
      <c r="T5" s="379" t="s">
        <v>25</v>
      </c>
      <c r="U5" s="379"/>
      <c r="V5" s="379"/>
      <c r="W5" s="245">
        <f>W3/(W3+W4)</f>
        <v>0</v>
      </c>
      <c r="X5" s="240"/>
      <c r="Y5" s="246">
        <f>COUNT(X10:X40)</f>
        <v>18</v>
      </c>
      <c r="Z5" s="247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240"/>
      <c r="AB5" s="246">
        <f>COUNT(AB10:AB40)</f>
        <v>18</v>
      </c>
      <c r="AC5" s="247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240"/>
      <c r="AE5" s="240"/>
      <c r="AF5" s="240"/>
      <c r="AG5" s="240"/>
      <c r="AH5" s="240"/>
      <c r="AI5" s="241"/>
      <c r="AK5" s="55"/>
      <c r="AL5" s="379" t="s">
        <v>25</v>
      </c>
      <c r="AM5" s="379"/>
      <c r="AN5" s="379"/>
      <c r="AO5" s="245">
        <f>AO3/(AO3+AO4)</f>
        <v>0</v>
      </c>
      <c r="AP5" s="240"/>
      <c r="AQ5" s="246">
        <f>COUNT(AP10:AP40)</f>
        <v>21</v>
      </c>
      <c r="AR5" s="247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240"/>
      <c r="AT5" s="246">
        <f>COUNT(AT10:AT40)</f>
        <v>21</v>
      </c>
      <c r="AU5" s="247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240"/>
      <c r="AW5" s="240"/>
      <c r="AX5" s="240"/>
      <c r="AY5" s="240"/>
      <c r="AZ5" s="240"/>
      <c r="BA5" s="241"/>
      <c r="BC5" s="55"/>
      <c r="BD5" s="379" t="s">
        <v>25</v>
      </c>
      <c r="BE5" s="379"/>
      <c r="BF5" s="379"/>
      <c r="BG5" s="245">
        <f>BG3/(BG3+BG4)</f>
        <v>0</v>
      </c>
      <c r="BH5" s="240"/>
      <c r="BI5" s="246">
        <f>COUNT(BH10:BH40)</f>
        <v>21</v>
      </c>
      <c r="BJ5" s="247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240"/>
      <c r="BL5" s="246">
        <f>COUNT(BL10:BL40)</f>
        <v>21</v>
      </c>
      <c r="BM5" s="247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240"/>
      <c r="BO5" s="240"/>
      <c r="BP5" s="240"/>
      <c r="BQ5" s="240"/>
      <c r="BR5" s="240"/>
      <c r="BS5" s="241"/>
      <c r="BU5" s="55"/>
      <c r="BV5" s="379" t="s">
        <v>25</v>
      </c>
      <c r="BW5" s="379"/>
      <c r="BX5" s="379"/>
      <c r="BY5" s="245">
        <f>BY3/(BY3+BY4)</f>
        <v>0</v>
      </c>
      <c r="BZ5" s="240"/>
      <c r="CA5" s="246">
        <f>COUNT(BZ10:BZ40)</f>
        <v>18</v>
      </c>
      <c r="CB5" s="247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240"/>
      <c r="CD5" s="246">
        <f>COUNT(CD10:CD40)</f>
        <v>18</v>
      </c>
      <c r="CE5" s="247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240"/>
      <c r="CG5" s="240"/>
      <c r="CH5" s="240"/>
      <c r="CI5" s="240"/>
      <c r="CJ5" s="240"/>
      <c r="CK5" s="241"/>
      <c r="CM5" s="55"/>
      <c r="CN5" s="379" t="s">
        <v>25</v>
      </c>
      <c r="CO5" s="379"/>
      <c r="CP5" s="379"/>
      <c r="CQ5" s="245">
        <f>CQ3/(CQ3+CQ4)</f>
        <v>0</v>
      </c>
      <c r="CR5" s="240"/>
      <c r="CS5" s="246">
        <f>COUNT(CR10:CR40)</f>
        <v>22</v>
      </c>
      <c r="CT5" s="247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240"/>
      <c r="CV5" s="246">
        <f>COUNT(CV10:CV40)</f>
        <v>22</v>
      </c>
      <c r="CW5" s="247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240"/>
      <c r="CY5" s="240"/>
      <c r="CZ5" s="240"/>
      <c r="DA5" s="240"/>
      <c r="DB5" s="240"/>
      <c r="DC5" s="241"/>
      <c r="DE5" s="55"/>
      <c r="DF5" s="379" t="s">
        <v>25</v>
      </c>
      <c r="DG5" s="379"/>
      <c r="DH5" s="379"/>
      <c r="DI5" s="245">
        <f>DI3/(DI3+DI4)</f>
        <v>0</v>
      </c>
      <c r="DJ5" s="240"/>
      <c r="DK5" s="246">
        <f>COUNT(DJ10:DJ40)</f>
        <v>22</v>
      </c>
      <c r="DL5" s="247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240"/>
      <c r="DN5" s="246">
        <f>COUNT(DN10:DN40)</f>
        <v>22</v>
      </c>
      <c r="DO5" s="247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240"/>
      <c r="DQ5" s="240"/>
      <c r="DR5" s="240"/>
      <c r="DS5" s="240"/>
      <c r="DT5" s="240"/>
      <c r="DU5" s="241"/>
      <c r="DW5" s="55"/>
      <c r="DX5" s="379" t="s">
        <v>25</v>
      </c>
      <c r="DY5" s="379"/>
      <c r="DZ5" s="379"/>
      <c r="EA5" s="245">
        <f>EA3/(EA3+EA4)</f>
        <v>0</v>
      </c>
      <c r="EB5" s="240"/>
      <c r="EC5" s="246">
        <f>COUNT(EB10:EB40)</f>
        <v>20</v>
      </c>
      <c r="ED5" s="247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240"/>
      <c r="EF5" s="246">
        <f>COUNT(EF10:EF40)</f>
        <v>20</v>
      </c>
      <c r="EG5" s="247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240"/>
      <c r="EI5" s="240"/>
      <c r="EJ5" s="240"/>
      <c r="EK5" s="240"/>
      <c r="EL5" s="240"/>
      <c r="EM5" s="241"/>
      <c r="EO5" s="55"/>
      <c r="EP5" s="379" t="s">
        <v>25</v>
      </c>
      <c r="EQ5" s="379"/>
      <c r="ER5" s="379"/>
      <c r="ES5" s="245">
        <f>ES3/(ES3+ES4)</f>
        <v>0</v>
      </c>
      <c r="ET5" s="240"/>
      <c r="EU5" s="246">
        <f>COUNT(ET10:ET40)</f>
        <v>19</v>
      </c>
      <c r="EV5" s="247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240"/>
      <c r="EX5" s="246">
        <f>COUNT(EX10:EX40)</f>
        <v>19</v>
      </c>
      <c r="EY5" s="247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240"/>
      <c r="FA5" s="240"/>
      <c r="FB5" s="240"/>
      <c r="FC5" s="240"/>
      <c r="FD5" s="240"/>
      <c r="FE5" s="241"/>
      <c r="FG5" s="55"/>
      <c r="FH5" s="379" t="s">
        <v>25</v>
      </c>
      <c r="FI5" s="379"/>
      <c r="FJ5" s="379"/>
      <c r="FK5" s="245">
        <f>FK3/(FK3+FK4)</f>
        <v>0</v>
      </c>
      <c r="FL5" s="240"/>
      <c r="FM5" s="246">
        <f>COUNT(FL10:FL40)</f>
        <v>21</v>
      </c>
      <c r="FN5" s="247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240"/>
      <c r="FP5" s="246">
        <f>COUNT(FP10:FP40)</f>
        <v>21</v>
      </c>
      <c r="FQ5" s="247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240"/>
      <c r="FS5" s="240"/>
      <c r="FT5" s="240"/>
      <c r="FU5" s="240"/>
      <c r="FV5" s="240"/>
      <c r="FW5" s="241"/>
      <c r="FY5" s="55"/>
      <c r="FZ5" s="379" t="s">
        <v>25</v>
      </c>
      <c r="GA5" s="379"/>
      <c r="GB5" s="379"/>
      <c r="GC5" s="245">
        <f>GC3/(GC3+GC4)</f>
        <v>0</v>
      </c>
      <c r="GD5" s="240"/>
      <c r="GE5" s="246">
        <f>COUNT(GD10:GD40)</f>
        <v>19</v>
      </c>
      <c r="GF5" s="247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240"/>
      <c r="GH5" s="246">
        <f>COUNT(GH10:GH40)</f>
        <v>19</v>
      </c>
      <c r="GI5" s="247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240"/>
      <c r="GK5" s="240"/>
      <c r="GL5" s="240"/>
      <c r="GM5" s="240"/>
      <c r="GN5" s="240"/>
      <c r="GO5" s="241"/>
      <c r="GQ5" s="55"/>
      <c r="GR5" s="379" t="s">
        <v>25</v>
      </c>
      <c r="GS5" s="379"/>
      <c r="GT5" s="379"/>
      <c r="GU5" s="245">
        <f>GU3/(GU3+GU4)</f>
        <v>0</v>
      </c>
      <c r="GV5" s="240"/>
      <c r="GW5" s="246">
        <f>COUNT(GV10:GV40)</f>
        <v>20</v>
      </c>
      <c r="GX5" s="247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240"/>
      <c r="GZ5" s="246">
        <f>COUNT(GZ10:GZ40)</f>
        <v>20</v>
      </c>
      <c r="HA5" s="247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240"/>
      <c r="HC5" s="240"/>
      <c r="HD5" s="240"/>
      <c r="HE5" s="240"/>
      <c r="HF5" s="240"/>
      <c r="HG5" s="241"/>
    </row>
    <row r="6" spans="1:215" ht="6" customHeight="1" outlineLevel="1" thickBot="1" x14ac:dyDescent="0.5">
      <c r="A6" s="55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9"/>
      <c r="S6" s="55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9"/>
      <c r="AK6" s="55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9"/>
      <c r="BC6" s="55"/>
      <c r="BD6" s="248"/>
      <c r="BE6" s="248"/>
      <c r="BF6" s="248"/>
      <c r="BG6" s="248"/>
      <c r="BH6" s="248"/>
      <c r="BI6" s="248"/>
      <c r="BJ6" s="248"/>
      <c r="BK6" s="248"/>
      <c r="BL6" s="248"/>
      <c r="BM6" s="248"/>
      <c r="BN6" s="248"/>
      <c r="BO6" s="248"/>
      <c r="BP6" s="248"/>
      <c r="BQ6" s="248"/>
      <c r="BR6" s="248"/>
      <c r="BS6" s="249"/>
      <c r="BU6" s="55"/>
      <c r="BV6" s="248"/>
      <c r="BW6" s="248"/>
      <c r="BX6" s="248"/>
      <c r="BY6" s="248"/>
      <c r="BZ6" s="248"/>
      <c r="CA6" s="248"/>
      <c r="CB6" s="248"/>
      <c r="CC6" s="248"/>
      <c r="CD6" s="248"/>
      <c r="CE6" s="248"/>
      <c r="CF6" s="248"/>
      <c r="CG6" s="248"/>
      <c r="CH6" s="248"/>
      <c r="CI6" s="248"/>
      <c r="CJ6" s="248"/>
      <c r="CK6" s="249"/>
      <c r="CM6" s="55"/>
      <c r="CN6" s="248"/>
      <c r="CO6" s="248"/>
      <c r="CP6" s="248"/>
      <c r="CQ6" s="248"/>
      <c r="CR6" s="248"/>
      <c r="CS6" s="248"/>
      <c r="CT6" s="248"/>
      <c r="CU6" s="248"/>
      <c r="CV6" s="248"/>
      <c r="CW6" s="248"/>
      <c r="CX6" s="248"/>
      <c r="CY6" s="248"/>
      <c r="CZ6" s="248"/>
      <c r="DA6" s="248"/>
      <c r="DB6" s="248"/>
      <c r="DC6" s="249"/>
      <c r="DE6" s="55"/>
      <c r="DF6" s="248"/>
      <c r="DG6" s="248"/>
      <c r="DH6" s="248"/>
      <c r="DI6" s="248"/>
      <c r="DJ6" s="248"/>
      <c r="DK6" s="248"/>
      <c r="DL6" s="248"/>
      <c r="DM6" s="248"/>
      <c r="DN6" s="248"/>
      <c r="DO6" s="248"/>
      <c r="DP6" s="248"/>
      <c r="DQ6" s="248"/>
      <c r="DR6" s="248"/>
      <c r="DS6" s="248"/>
      <c r="DT6" s="248"/>
      <c r="DU6" s="249"/>
      <c r="DW6" s="55"/>
      <c r="DX6" s="248"/>
      <c r="DY6" s="248"/>
      <c r="DZ6" s="248"/>
      <c r="EA6" s="248"/>
      <c r="EB6" s="248"/>
      <c r="EC6" s="248"/>
      <c r="ED6" s="248"/>
      <c r="EE6" s="248"/>
      <c r="EF6" s="248"/>
      <c r="EG6" s="248"/>
      <c r="EH6" s="248"/>
      <c r="EI6" s="248"/>
      <c r="EJ6" s="248"/>
      <c r="EK6" s="248"/>
      <c r="EL6" s="248"/>
      <c r="EM6" s="249"/>
      <c r="EO6" s="55"/>
      <c r="EP6" s="248"/>
      <c r="EQ6" s="248"/>
      <c r="ER6" s="248"/>
      <c r="ES6" s="248"/>
      <c r="ET6" s="248"/>
      <c r="EU6" s="248"/>
      <c r="EV6" s="248"/>
      <c r="EW6" s="248"/>
      <c r="EX6" s="248"/>
      <c r="EY6" s="248"/>
      <c r="EZ6" s="248"/>
      <c r="FA6" s="248"/>
      <c r="FB6" s="248"/>
      <c r="FC6" s="248"/>
      <c r="FD6" s="248"/>
      <c r="FE6" s="249"/>
      <c r="FG6" s="55"/>
      <c r="FH6" s="248"/>
      <c r="FI6" s="248"/>
      <c r="FJ6" s="248"/>
      <c r="FK6" s="248"/>
      <c r="FL6" s="248"/>
      <c r="FM6" s="248"/>
      <c r="FN6" s="248"/>
      <c r="FO6" s="248"/>
      <c r="FP6" s="248"/>
      <c r="FQ6" s="248"/>
      <c r="FR6" s="248"/>
      <c r="FS6" s="248"/>
      <c r="FT6" s="248"/>
      <c r="FU6" s="248"/>
      <c r="FV6" s="248"/>
      <c r="FW6" s="249"/>
      <c r="FY6" s="55"/>
      <c r="FZ6" s="248"/>
      <c r="GA6" s="248"/>
      <c r="GB6" s="248"/>
      <c r="GC6" s="248"/>
      <c r="GD6" s="248"/>
      <c r="GE6" s="248"/>
      <c r="GF6" s="248"/>
      <c r="GG6" s="248"/>
      <c r="GH6" s="248"/>
      <c r="GI6" s="248"/>
      <c r="GJ6" s="248"/>
      <c r="GK6" s="248"/>
      <c r="GL6" s="248"/>
      <c r="GM6" s="248"/>
      <c r="GN6" s="248"/>
      <c r="GO6" s="249"/>
      <c r="GQ6" s="55"/>
      <c r="GR6" s="248"/>
      <c r="GS6" s="248"/>
      <c r="GT6" s="248"/>
      <c r="GU6" s="248"/>
      <c r="GV6" s="248"/>
      <c r="GW6" s="248"/>
      <c r="GX6" s="248"/>
      <c r="GY6" s="248"/>
      <c r="GZ6" s="248"/>
      <c r="HA6" s="248"/>
      <c r="HB6" s="248"/>
      <c r="HC6" s="248"/>
      <c r="HD6" s="248"/>
      <c r="HE6" s="248"/>
      <c r="HF6" s="248"/>
      <c r="HG6" s="249"/>
    </row>
    <row r="7" spans="1:215" ht="6" customHeight="1" outlineLevel="1" thickTop="1" x14ac:dyDescent="0.45">
      <c r="A7" s="55"/>
      <c r="S7" s="55"/>
      <c r="AK7" s="55"/>
      <c r="BC7" s="55"/>
      <c r="BU7" s="55"/>
      <c r="CM7" s="55"/>
      <c r="DE7" s="55"/>
      <c r="DW7" s="55"/>
      <c r="EO7" s="55"/>
      <c r="FG7" s="55"/>
      <c r="FY7" s="55"/>
      <c r="GQ7" s="55"/>
    </row>
    <row r="8" spans="1:215" x14ac:dyDescent="0.45">
      <c r="A8" s="368">
        <v>46023</v>
      </c>
      <c r="D8" s="23"/>
      <c r="E8" s="370" t="s">
        <v>26</v>
      </c>
      <c r="F8" s="370"/>
      <c r="G8" s="371" t="s">
        <v>32</v>
      </c>
      <c r="H8" s="371"/>
      <c r="I8" s="23"/>
      <c r="J8" s="372" t="s">
        <v>28</v>
      </c>
      <c r="K8" s="372"/>
      <c r="L8" s="372" t="s">
        <v>32</v>
      </c>
      <c r="M8" s="372"/>
      <c r="N8" s="18"/>
      <c r="O8" s="23"/>
      <c r="P8" s="23"/>
      <c r="Q8" s="23"/>
      <c r="S8" s="368">
        <v>46054</v>
      </c>
      <c r="V8" s="23"/>
      <c r="W8" s="370" t="s">
        <v>26</v>
      </c>
      <c r="X8" s="370"/>
      <c r="Y8" s="371" t="s">
        <v>32</v>
      </c>
      <c r="Z8" s="371"/>
      <c r="AA8" s="23"/>
      <c r="AB8" s="372" t="s">
        <v>28</v>
      </c>
      <c r="AC8" s="372"/>
      <c r="AD8" s="372" t="s">
        <v>32</v>
      </c>
      <c r="AE8" s="372"/>
      <c r="AF8" s="18"/>
      <c r="AG8" s="23"/>
      <c r="AH8" s="23"/>
      <c r="AI8" s="23"/>
      <c r="AK8" s="368">
        <v>46082</v>
      </c>
      <c r="AN8" s="23"/>
      <c r="AO8" s="370" t="s">
        <v>26</v>
      </c>
      <c r="AP8" s="370"/>
      <c r="AQ8" s="371" t="s">
        <v>32</v>
      </c>
      <c r="AR8" s="371"/>
      <c r="AS8" s="23"/>
      <c r="AT8" s="372" t="s">
        <v>28</v>
      </c>
      <c r="AU8" s="372"/>
      <c r="AV8" s="372" t="s">
        <v>32</v>
      </c>
      <c r="AW8" s="372"/>
      <c r="AX8" s="18"/>
      <c r="AY8" s="23"/>
      <c r="AZ8" s="23"/>
      <c r="BA8" s="23"/>
      <c r="BC8" s="368">
        <v>46113</v>
      </c>
      <c r="BF8" s="23"/>
      <c r="BG8" s="370" t="s">
        <v>26</v>
      </c>
      <c r="BH8" s="370"/>
      <c r="BI8" s="371" t="s">
        <v>32</v>
      </c>
      <c r="BJ8" s="371"/>
      <c r="BK8" s="23"/>
      <c r="BL8" s="372" t="s">
        <v>28</v>
      </c>
      <c r="BM8" s="372"/>
      <c r="BN8" s="372" t="s">
        <v>32</v>
      </c>
      <c r="BO8" s="372"/>
      <c r="BP8" s="18"/>
      <c r="BQ8" s="23"/>
      <c r="BR8" s="23"/>
      <c r="BS8" s="23"/>
      <c r="BU8" s="368">
        <v>46143</v>
      </c>
      <c r="BX8" s="23"/>
      <c r="BY8" s="370" t="s">
        <v>26</v>
      </c>
      <c r="BZ8" s="370"/>
      <c r="CA8" s="371" t="s">
        <v>32</v>
      </c>
      <c r="CB8" s="371"/>
      <c r="CC8" s="23"/>
      <c r="CD8" s="372" t="s">
        <v>28</v>
      </c>
      <c r="CE8" s="372"/>
      <c r="CF8" s="372" t="s">
        <v>32</v>
      </c>
      <c r="CG8" s="372"/>
      <c r="CH8" s="18"/>
      <c r="CI8" s="23"/>
      <c r="CJ8" s="23"/>
      <c r="CK8" s="23"/>
      <c r="CM8" s="368">
        <v>46174</v>
      </c>
      <c r="CP8" s="23"/>
      <c r="CQ8" s="370" t="s">
        <v>26</v>
      </c>
      <c r="CR8" s="370"/>
      <c r="CS8" s="371" t="s">
        <v>32</v>
      </c>
      <c r="CT8" s="371"/>
      <c r="CU8" s="23"/>
      <c r="CV8" s="372" t="s">
        <v>28</v>
      </c>
      <c r="CW8" s="372"/>
      <c r="CX8" s="372" t="s">
        <v>32</v>
      </c>
      <c r="CY8" s="372"/>
      <c r="CZ8" s="18"/>
      <c r="DA8" s="23"/>
      <c r="DB8" s="23"/>
      <c r="DC8" s="23"/>
      <c r="DE8" s="368">
        <v>46204</v>
      </c>
      <c r="DH8" s="23"/>
      <c r="DI8" s="370" t="s">
        <v>26</v>
      </c>
      <c r="DJ8" s="370"/>
      <c r="DK8" s="371" t="s">
        <v>32</v>
      </c>
      <c r="DL8" s="371"/>
      <c r="DM8" s="23"/>
      <c r="DN8" s="372" t="s">
        <v>28</v>
      </c>
      <c r="DO8" s="372"/>
      <c r="DP8" s="372" t="s">
        <v>32</v>
      </c>
      <c r="DQ8" s="372"/>
      <c r="DR8" s="18"/>
      <c r="DS8" s="23"/>
      <c r="DT8" s="23"/>
      <c r="DU8" s="23"/>
      <c r="DW8" s="368">
        <v>46235</v>
      </c>
      <c r="DZ8" s="23"/>
      <c r="EA8" s="370" t="s">
        <v>26</v>
      </c>
      <c r="EB8" s="370"/>
      <c r="EC8" s="371" t="s">
        <v>32</v>
      </c>
      <c r="ED8" s="371"/>
      <c r="EE8" s="23"/>
      <c r="EF8" s="372" t="s">
        <v>28</v>
      </c>
      <c r="EG8" s="372"/>
      <c r="EH8" s="372" t="s">
        <v>32</v>
      </c>
      <c r="EI8" s="372"/>
      <c r="EJ8" s="18"/>
      <c r="EK8" s="23"/>
      <c r="EL8" s="23"/>
      <c r="EM8" s="23"/>
      <c r="EO8" s="368">
        <v>46266</v>
      </c>
      <c r="ER8" s="23"/>
      <c r="ES8" s="370" t="s">
        <v>26</v>
      </c>
      <c r="ET8" s="370"/>
      <c r="EU8" s="371" t="s">
        <v>32</v>
      </c>
      <c r="EV8" s="371"/>
      <c r="EW8" s="23"/>
      <c r="EX8" s="372" t="s">
        <v>28</v>
      </c>
      <c r="EY8" s="372"/>
      <c r="EZ8" s="372" t="s">
        <v>32</v>
      </c>
      <c r="FA8" s="372"/>
      <c r="FB8" s="18"/>
      <c r="FC8" s="23"/>
      <c r="FD8" s="23"/>
      <c r="FE8" s="23"/>
      <c r="FG8" s="368">
        <v>46296</v>
      </c>
      <c r="FJ8" s="23"/>
      <c r="FK8" s="370" t="s">
        <v>26</v>
      </c>
      <c r="FL8" s="370"/>
      <c r="FM8" s="371" t="s">
        <v>32</v>
      </c>
      <c r="FN8" s="371"/>
      <c r="FO8" s="23"/>
      <c r="FP8" s="372" t="s">
        <v>28</v>
      </c>
      <c r="FQ8" s="372"/>
      <c r="FR8" s="372" t="s">
        <v>32</v>
      </c>
      <c r="FS8" s="372"/>
      <c r="FT8" s="18"/>
      <c r="FU8" s="23"/>
      <c r="FV8" s="23"/>
      <c r="FW8" s="23"/>
      <c r="FY8" s="368">
        <v>46327</v>
      </c>
      <c r="GB8" s="23"/>
      <c r="GC8" s="370" t="s">
        <v>26</v>
      </c>
      <c r="GD8" s="370"/>
      <c r="GE8" s="371" t="s">
        <v>32</v>
      </c>
      <c r="GF8" s="371"/>
      <c r="GG8" s="23"/>
      <c r="GH8" s="372" t="s">
        <v>28</v>
      </c>
      <c r="GI8" s="372"/>
      <c r="GJ8" s="372" t="s">
        <v>32</v>
      </c>
      <c r="GK8" s="372"/>
      <c r="GL8" s="18"/>
      <c r="GM8" s="23"/>
      <c r="GN8" s="23"/>
      <c r="GO8" s="23"/>
      <c r="GQ8" s="368">
        <v>46357</v>
      </c>
      <c r="GT8" s="23"/>
      <c r="GU8" s="370" t="s">
        <v>26</v>
      </c>
      <c r="GV8" s="370"/>
      <c r="GW8" s="371" t="s">
        <v>32</v>
      </c>
      <c r="GX8" s="371"/>
      <c r="GY8" s="23"/>
      <c r="GZ8" s="372" t="s">
        <v>28</v>
      </c>
      <c r="HA8" s="372"/>
      <c r="HB8" s="372" t="s">
        <v>32</v>
      </c>
      <c r="HC8" s="372"/>
      <c r="HD8" s="18"/>
      <c r="HE8" s="23"/>
      <c r="HF8" s="23"/>
      <c r="HG8" s="23"/>
    </row>
    <row r="9" spans="1:215" x14ac:dyDescent="0.45">
      <c r="A9" s="369"/>
      <c r="B9" s="56"/>
      <c r="C9" s="56"/>
      <c r="D9" s="57" t="s">
        <v>29</v>
      </c>
      <c r="E9" s="57" t="s">
        <v>30</v>
      </c>
      <c r="F9" s="57" t="s">
        <v>31</v>
      </c>
      <c r="G9" s="34" t="s">
        <v>30</v>
      </c>
      <c r="H9" s="34" t="s">
        <v>31</v>
      </c>
      <c r="I9" s="57" t="s">
        <v>27</v>
      </c>
      <c r="J9" s="35" t="s">
        <v>30</v>
      </c>
      <c r="K9" s="35" t="s">
        <v>31</v>
      </c>
      <c r="L9" s="35" t="s">
        <v>30</v>
      </c>
      <c r="M9" s="35" t="s">
        <v>31</v>
      </c>
      <c r="N9" s="35" t="s">
        <v>27</v>
      </c>
      <c r="O9" s="373" t="s">
        <v>33</v>
      </c>
      <c r="P9" s="373"/>
      <c r="Q9" s="373"/>
      <c r="S9" s="369"/>
      <c r="T9" s="56"/>
      <c r="U9" s="56"/>
      <c r="V9" s="57" t="s">
        <v>29</v>
      </c>
      <c r="W9" s="57" t="s">
        <v>30</v>
      </c>
      <c r="X9" s="57" t="s">
        <v>31</v>
      </c>
      <c r="Y9" s="34" t="s">
        <v>30</v>
      </c>
      <c r="Z9" s="34" t="s">
        <v>31</v>
      </c>
      <c r="AA9" s="57" t="s">
        <v>27</v>
      </c>
      <c r="AB9" s="35" t="s">
        <v>30</v>
      </c>
      <c r="AC9" s="35" t="s">
        <v>31</v>
      </c>
      <c r="AD9" s="35" t="s">
        <v>30</v>
      </c>
      <c r="AE9" s="35" t="s">
        <v>31</v>
      </c>
      <c r="AF9" s="35" t="s">
        <v>27</v>
      </c>
      <c r="AG9" s="373" t="s">
        <v>33</v>
      </c>
      <c r="AH9" s="373"/>
      <c r="AI9" s="373"/>
      <c r="AK9" s="369"/>
      <c r="AL9" s="56"/>
      <c r="AM9" s="56"/>
      <c r="AN9" s="57" t="s">
        <v>29</v>
      </c>
      <c r="AO9" s="57" t="s">
        <v>30</v>
      </c>
      <c r="AP9" s="57" t="s">
        <v>31</v>
      </c>
      <c r="AQ9" s="34" t="s">
        <v>30</v>
      </c>
      <c r="AR9" s="34" t="s">
        <v>31</v>
      </c>
      <c r="AS9" s="57" t="s">
        <v>27</v>
      </c>
      <c r="AT9" s="35" t="s">
        <v>30</v>
      </c>
      <c r="AU9" s="35" t="s">
        <v>31</v>
      </c>
      <c r="AV9" s="35" t="s">
        <v>30</v>
      </c>
      <c r="AW9" s="35" t="s">
        <v>31</v>
      </c>
      <c r="AX9" s="35" t="s">
        <v>27</v>
      </c>
      <c r="AY9" s="373" t="s">
        <v>33</v>
      </c>
      <c r="AZ9" s="373"/>
      <c r="BA9" s="373"/>
      <c r="BC9" s="369"/>
      <c r="BD9" s="56"/>
      <c r="BE9" s="56"/>
      <c r="BF9" s="57" t="s">
        <v>29</v>
      </c>
      <c r="BG9" s="57" t="s">
        <v>30</v>
      </c>
      <c r="BH9" s="57" t="s">
        <v>31</v>
      </c>
      <c r="BI9" s="34" t="s">
        <v>30</v>
      </c>
      <c r="BJ9" s="34" t="s">
        <v>31</v>
      </c>
      <c r="BK9" s="57" t="s">
        <v>27</v>
      </c>
      <c r="BL9" s="35" t="s">
        <v>30</v>
      </c>
      <c r="BM9" s="35" t="s">
        <v>31</v>
      </c>
      <c r="BN9" s="35" t="s">
        <v>30</v>
      </c>
      <c r="BO9" s="35" t="s">
        <v>31</v>
      </c>
      <c r="BP9" s="35" t="s">
        <v>27</v>
      </c>
      <c r="BQ9" s="373" t="s">
        <v>33</v>
      </c>
      <c r="BR9" s="373"/>
      <c r="BS9" s="373"/>
      <c r="BU9" s="369"/>
      <c r="BV9" s="56"/>
      <c r="BW9" s="56"/>
      <c r="BX9" s="57" t="s">
        <v>29</v>
      </c>
      <c r="BY9" s="57" t="s">
        <v>30</v>
      </c>
      <c r="BZ9" s="57" t="s">
        <v>31</v>
      </c>
      <c r="CA9" s="34" t="s">
        <v>30</v>
      </c>
      <c r="CB9" s="34" t="s">
        <v>31</v>
      </c>
      <c r="CC9" s="57" t="s">
        <v>27</v>
      </c>
      <c r="CD9" s="35" t="s">
        <v>30</v>
      </c>
      <c r="CE9" s="35" t="s">
        <v>31</v>
      </c>
      <c r="CF9" s="35" t="s">
        <v>30</v>
      </c>
      <c r="CG9" s="35" t="s">
        <v>31</v>
      </c>
      <c r="CH9" s="35" t="s">
        <v>27</v>
      </c>
      <c r="CI9" s="373" t="s">
        <v>33</v>
      </c>
      <c r="CJ9" s="373"/>
      <c r="CK9" s="373"/>
      <c r="CM9" s="369"/>
      <c r="CN9" s="56"/>
      <c r="CO9" s="56"/>
      <c r="CP9" s="57" t="s">
        <v>29</v>
      </c>
      <c r="CQ9" s="57" t="s">
        <v>30</v>
      </c>
      <c r="CR9" s="57" t="s">
        <v>31</v>
      </c>
      <c r="CS9" s="34" t="s">
        <v>30</v>
      </c>
      <c r="CT9" s="34" t="s">
        <v>31</v>
      </c>
      <c r="CU9" s="57" t="s">
        <v>27</v>
      </c>
      <c r="CV9" s="35" t="s">
        <v>30</v>
      </c>
      <c r="CW9" s="35" t="s">
        <v>31</v>
      </c>
      <c r="CX9" s="35" t="s">
        <v>30</v>
      </c>
      <c r="CY9" s="35" t="s">
        <v>31</v>
      </c>
      <c r="CZ9" s="35" t="s">
        <v>27</v>
      </c>
      <c r="DA9" s="373" t="s">
        <v>33</v>
      </c>
      <c r="DB9" s="373"/>
      <c r="DC9" s="373"/>
      <c r="DE9" s="369"/>
      <c r="DF9" s="56"/>
      <c r="DG9" s="56"/>
      <c r="DH9" s="57" t="s">
        <v>29</v>
      </c>
      <c r="DI9" s="57" t="s">
        <v>30</v>
      </c>
      <c r="DJ9" s="57" t="s">
        <v>31</v>
      </c>
      <c r="DK9" s="34" t="s">
        <v>30</v>
      </c>
      <c r="DL9" s="34" t="s">
        <v>31</v>
      </c>
      <c r="DM9" s="57" t="s">
        <v>27</v>
      </c>
      <c r="DN9" s="35" t="s">
        <v>30</v>
      </c>
      <c r="DO9" s="35" t="s">
        <v>31</v>
      </c>
      <c r="DP9" s="35" t="s">
        <v>30</v>
      </c>
      <c r="DQ9" s="35" t="s">
        <v>31</v>
      </c>
      <c r="DR9" s="35" t="s">
        <v>27</v>
      </c>
      <c r="DS9" s="373" t="s">
        <v>33</v>
      </c>
      <c r="DT9" s="373"/>
      <c r="DU9" s="373"/>
      <c r="DW9" s="369"/>
      <c r="DX9" s="56"/>
      <c r="DY9" s="56"/>
      <c r="DZ9" s="57" t="s">
        <v>29</v>
      </c>
      <c r="EA9" s="57" t="s">
        <v>30</v>
      </c>
      <c r="EB9" s="57" t="s">
        <v>31</v>
      </c>
      <c r="EC9" s="34" t="s">
        <v>30</v>
      </c>
      <c r="ED9" s="34" t="s">
        <v>31</v>
      </c>
      <c r="EE9" s="57" t="s">
        <v>27</v>
      </c>
      <c r="EF9" s="35" t="s">
        <v>30</v>
      </c>
      <c r="EG9" s="35" t="s">
        <v>31</v>
      </c>
      <c r="EH9" s="35" t="s">
        <v>30</v>
      </c>
      <c r="EI9" s="35" t="s">
        <v>31</v>
      </c>
      <c r="EJ9" s="35" t="s">
        <v>27</v>
      </c>
      <c r="EK9" s="373" t="s">
        <v>33</v>
      </c>
      <c r="EL9" s="373"/>
      <c r="EM9" s="373"/>
      <c r="EO9" s="369"/>
      <c r="EP9" s="56"/>
      <c r="EQ9" s="56"/>
      <c r="ER9" s="57" t="s">
        <v>29</v>
      </c>
      <c r="ES9" s="57" t="s">
        <v>30</v>
      </c>
      <c r="ET9" s="57" t="s">
        <v>31</v>
      </c>
      <c r="EU9" s="34" t="s">
        <v>30</v>
      </c>
      <c r="EV9" s="34" t="s">
        <v>31</v>
      </c>
      <c r="EW9" s="57" t="s">
        <v>27</v>
      </c>
      <c r="EX9" s="35" t="s">
        <v>30</v>
      </c>
      <c r="EY9" s="35" t="s">
        <v>31</v>
      </c>
      <c r="EZ9" s="35" t="s">
        <v>30</v>
      </c>
      <c r="FA9" s="35" t="s">
        <v>31</v>
      </c>
      <c r="FB9" s="35" t="s">
        <v>27</v>
      </c>
      <c r="FC9" s="373" t="s">
        <v>33</v>
      </c>
      <c r="FD9" s="373"/>
      <c r="FE9" s="373"/>
      <c r="FG9" s="369"/>
      <c r="FH9" s="56"/>
      <c r="FI9" s="56"/>
      <c r="FJ9" s="57" t="s">
        <v>29</v>
      </c>
      <c r="FK9" s="57" t="s">
        <v>30</v>
      </c>
      <c r="FL9" s="57" t="s">
        <v>31</v>
      </c>
      <c r="FM9" s="34" t="s">
        <v>30</v>
      </c>
      <c r="FN9" s="34" t="s">
        <v>31</v>
      </c>
      <c r="FO9" s="57" t="s">
        <v>27</v>
      </c>
      <c r="FP9" s="35" t="s">
        <v>30</v>
      </c>
      <c r="FQ9" s="35" t="s">
        <v>31</v>
      </c>
      <c r="FR9" s="35" t="s">
        <v>30</v>
      </c>
      <c r="FS9" s="35" t="s">
        <v>31</v>
      </c>
      <c r="FT9" s="35" t="s">
        <v>27</v>
      </c>
      <c r="FU9" s="373" t="s">
        <v>33</v>
      </c>
      <c r="FV9" s="373"/>
      <c r="FW9" s="373"/>
      <c r="FY9" s="369"/>
      <c r="FZ9" s="56"/>
      <c r="GA9" s="56"/>
      <c r="GB9" s="57" t="s">
        <v>29</v>
      </c>
      <c r="GC9" s="57" t="s">
        <v>30</v>
      </c>
      <c r="GD9" s="57" t="s">
        <v>31</v>
      </c>
      <c r="GE9" s="34" t="s">
        <v>30</v>
      </c>
      <c r="GF9" s="34" t="s">
        <v>31</v>
      </c>
      <c r="GG9" s="57" t="s">
        <v>27</v>
      </c>
      <c r="GH9" s="35" t="s">
        <v>30</v>
      </c>
      <c r="GI9" s="35" t="s">
        <v>31</v>
      </c>
      <c r="GJ9" s="35" t="s">
        <v>30</v>
      </c>
      <c r="GK9" s="35" t="s">
        <v>31</v>
      </c>
      <c r="GL9" s="35" t="s">
        <v>27</v>
      </c>
      <c r="GM9" s="373" t="s">
        <v>33</v>
      </c>
      <c r="GN9" s="373"/>
      <c r="GO9" s="373"/>
      <c r="GQ9" s="369"/>
      <c r="GR9" s="56"/>
      <c r="GS9" s="56"/>
      <c r="GT9" s="57" t="s">
        <v>29</v>
      </c>
      <c r="GU9" s="57" t="s">
        <v>30</v>
      </c>
      <c r="GV9" s="57" t="s">
        <v>31</v>
      </c>
      <c r="GW9" s="34" t="s">
        <v>30</v>
      </c>
      <c r="GX9" s="34" t="s">
        <v>31</v>
      </c>
      <c r="GY9" s="57" t="s">
        <v>27</v>
      </c>
      <c r="GZ9" s="35" t="s">
        <v>30</v>
      </c>
      <c r="HA9" s="35" t="s">
        <v>31</v>
      </c>
      <c r="HB9" s="35" t="s">
        <v>30</v>
      </c>
      <c r="HC9" s="35" t="s">
        <v>31</v>
      </c>
      <c r="HD9" s="35" t="s">
        <v>27</v>
      </c>
      <c r="HE9" s="373" t="s">
        <v>33</v>
      </c>
      <c r="HF9" s="373"/>
      <c r="HG9" s="373"/>
    </row>
    <row r="10" spans="1:215" x14ac:dyDescent="0.45">
      <c r="A10" s="383" t="s">
        <v>34</v>
      </c>
      <c r="B10" s="58">
        <f>A8</f>
        <v>46023</v>
      </c>
      <c r="C10" s="59" t="str">
        <f t="shared" ref="C10:C40" si="0">TEXT(B10,"aaa")</f>
        <v>木</v>
      </c>
      <c r="D10" s="59"/>
      <c r="E10" s="60"/>
      <c r="F10" s="60"/>
      <c r="G10" s="36"/>
      <c r="H10" s="36"/>
      <c r="I10" s="61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7"/>
      <c r="K10" s="37"/>
      <c r="L10" s="37"/>
      <c r="M10" s="37"/>
      <c r="N10" s="3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81"/>
      <c r="P10" s="381"/>
      <c r="Q10" s="381"/>
      <c r="S10" s="66"/>
      <c r="T10" s="58">
        <f>S8</f>
        <v>46054</v>
      </c>
      <c r="U10" s="59" t="str">
        <f t="shared" ref="U10:U40" si="3">TEXT(T10,"aaa")</f>
        <v>日</v>
      </c>
      <c r="V10" s="59"/>
      <c r="W10" s="60"/>
      <c r="X10" s="60"/>
      <c r="Y10" s="36"/>
      <c r="Z10" s="36"/>
      <c r="AA10" s="61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7"/>
      <c r="AC10" s="37"/>
      <c r="AD10" s="37"/>
      <c r="AE10" s="37"/>
      <c r="AF10" s="3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81"/>
      <c r="AH10" s="381"/>
      <c r="AI10" s="381"/>
      <c r="AK10" s="66"/>
      <c r="AL10" s="58">
        <f>AK8</f>
        <v>46082</v>
      </c>
      <c r="AM10" s="59" t="str">
        <f t="shared" ref="AM10:AM40" si="6">TEXT(AL10,"aaa")</f>
        <v>日</v>
      </c>
      <c r="AN10" s="59"/>
      <c r="AO10" s="60"/>
      <c r="AP10" s="60"/>
      <c r="AQ10" s="36"/>
      <c r="AR10" s="36"/>
      <c r="AS10" s="61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7"/>
      <c r="AU10" s="37"/>
      <c r="AV10" s="37"/>
      <c r="AW10" s="37"/>
      <c r="AX10" s="3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81"/>
      <c r="AZ10" s="381"/>
      <c r="BA10" s="381"/>
      <c r="BC10" s="66"/>
      <c r="BD10" s="58">
        <f>BC8</f>
        <v>46113</v>
      </c>
      <c r="BE10" s="59" t="str">
        <f t="shared" ref="BE10:BE40" si="9">TEXT(BD10,"aaa")</f>
        <v>水</v>
      </c>
      <c r="BF10" s="59" t="s">
        <v>22</v>
      </c>
      <c r="BG10" s="160">
        <v>0.375</v>
      </c>
      <c r="BH10" s="160">
        <v>0.75</v>
      </c>
      <c r="BI10" s="161">
        <v>0.5</v>
      </c>
      <c r="BJ10" s="161">
        <v>0.54166666666666663</v>
      </c>
      <c r="BK10" s="61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162">
        <v>0.375</v>
      </c>
      <c r="BM10" s="162">
        <v>0.75</v>
      </c>
      <c r="BN10" s="162">
        <v>0.5</v>
      </c>
      <c r="BO10" s="162">
        <v>0.54166666666666663</v>
      </c>
      <c r="BP10" s="3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81"/>
      <c r="BR10" s="381"/>
      <c r="BS10" s="381"/>
      <c r="BU10" s="66"/>
      <c r="BV10" s="58">
        <f>BU8</f>
        <v>46143</v>
      </c>
      <c r="BW10" s="59" t="str">
        <f t="shared" ref="BW10:BW40" si="12">TEXT(BV10,"aaa")</f>
        <v>金</v>
      </c>
      <c r="BX10" s="59" t="s">
        <v>22</v>
      </c>
      <c r="BY10" s="160">
        <v>0.375</v>
      </c>
      <c r="BZ10" s="160">
        <v>0.75</v>
      </c>
      <c r="CA10" s="161">
        <v>0.5</v>
      </c>
      <c r="CB10" s="161">
        <v>0.54166666666666663</v>
      </c>
      <c r="CC10" s="61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162">
        <v>0.375</v>
      </c>
      <c r="CE10" s="162">
        <v>0.75</v>
      </c>
      <c r="CF10" s="162">
        <v>0.5</v>
      </c>
      <c r="CG10" s="162">
        <v>0.54166666666666663</v>
      </c>
      <c r="CH10" s="3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81"/>
      <c r="CJ10" s="381"/>
      <c r="CK10" s="381"/>
      <c r="CM10" s="66"/>
      <c r="CN10" s="58">
        <f>CM8</f>
        <v>46174</v>
      </c>
      <c r="CO10" s="59" t="str">
        <f t="shared" ref="CO10:CO40" si="15">TEXT(CN10,"aaa")</f>
        <v>月</v>
      </c>
      <c r="CP10" s="59" t="s">
        <v>22</v>
      </c>
      <c r="CQ10" s="160">
        <v>0.375</v>
      </c>
      <c r="CR10" s="160">
        <v>0.75</v>
      </c>
      <c r="CS10" s="161">
        <v>0.5</v>
      </c>
      <c r="CT10" s="161">
        <v>0.54166666666666663</v>
      </c>
      <c r="CU10" s="61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162">
        <v>0.375</v>
      </c>
      <c r="CW10" s="162">
        <v>0.75</v>
      </c>
      <c r="CX10" s="162">
        <v>0.5</v>
      </c>
      <c r="CY10" s="162">
        <v>0.54166666666666663</v>
      </c>
      <c r="CZ10" s="3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81"/>
      <c r="DB10" s="381"/>
      <c r="DC10" s="381"/>
      <c r="DE10" s="66"/>
      <c r="DF10" s="58">
        <f>DE8</f>
        <v>46204</v>
      </c>
      <c r="DG10" s="59" t="str">
        <f t="shared" ref="DG10:DG40" si="18">TEXT(DF10,"aaa")</f>
        <v>水</v>
      </c>
      <c r="DH10" s="59" t="s">
        <v>22</v>
      </c>
      <c r="DI10" s="160">
        <v>0.375</v>
      </c>
      <c r="DJ10" s="160">
        <v>0.75</v>
      </c>
      <c r="DK10" s="161">
        <v>0.5</v>
      </c>
      <c r="DL10" s="161">
        <v>0.54166666666666663</v>
      </c>
      <c r="DM10" s="61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162">
        <v>0.375</v>
      </c>
      <c r="DO10" s="162">
        <v>0.75</v>
      </c>
      <c r="DP10" s="162">
        <v>0.5</v>
      </c>
      <c r="DQ10" s="162">
        <v>0.54166666666666663</v>
      </c>
      <c r="DR10" s="3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81"/>
      <c r="DT10" s="381"/>
      <c r="DU10" s="381"/>
      <c r="DW10" s="66"/>
      <c r="DX10" s="58">
        <f>DW8</f>
        <v>46235</v>
      </c>
      <c r="DY10" s="59" t="str">
        <f t="shared" ref="DY10:DY40" si="21">TEXT(DX10,"aaa")</f>
        <v>土</v>
      </c>
      <c r="DZ10" s="59"/>
      <c r="EA10" s="60"/>
      <c r="EB10" s="60"/>
      <c r="EC10" s="36"/>
      <c r="ED10" s="36"/>
      <c r="EE10" s="61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7"/>
      <c r="EG10" s="37"/>
      <c r="EH10" s="37"/>
      <c r="EI10" s="37"/>
      <c r="EJ10" s="3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81"/>
      <c r="EL10" s="381"/>
      <c r="EM10" s="381"/>
      <c r="EO10" s="66"/>
      <c r="EP10" s="58">
        <f>EO8</f>
        <v>46266</v>
      </c>
      <c r="EQ10" s="59" t="str">
        <f t="shared" ref="EQ10:EQ40" si="24">TEXT(EP10,"aaa")</f>
        <v>火</v>
      </c>
      <c r="ER10" s="59" t="s">
        <v>22</v>
      </c>
      <c r="ES10" s="160">
        <v>0.375</v>
      </c>
      <c r="ET10" s="160">
        <v>0.75</v>
      </c>
      <c r="EU10" s="161">
        <v>0.5</v>
      </c>
      <c r="EV10" s="161">
        <v>0.54166666666666663</v>
      </c>
      <c r="EW10" s="61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62">
        <v>0.375</v>
      </c>
      <c r="EY10" s="162">
        <v>0.75</v>
      </c>
      <c r="EZ10" s="162">
        <v>0.5</v>
      </c>
      <c r="FA10" s="162">
        <v>0.54166666666666663</v>
      </c>
      <c r="FB10" s="3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81"/>
      <c r="FD10" s="381"/>
      <c r="FE10" s="381"/>
      <c r="FG10" s="66"/>
      <c r="FH10" s="58">
        <f>FG8</f>
        <v>46296</v>
      </c>
      <c r="FI10" s="59" t="str">
        <f t="shared" ref="FI10:FI40" si="27">TEXT(FH10,"aaa")</f>
        <v>木</v>
      </c>
      <c r="FJ10" s="59" t="s">
        <v>22</v>
      </c>
      <c r="FK10" s="160">
        <v>0.375</v>
      </c>
      <c r="FL10" s="160">
        <v>0.75</v>
      </c>
      <c r="FM10" s="161">
        <v>0.5</v>
      </c>
      <c r="FN10" s="161">
        <v>0.54166666666666663</v>
      </c>
      <c r="FO10" s="61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162">
        <v>0.375</v>
      </c>
      <c r="FQ10" s="162">
        <v>0.75</v>
      </c>
      <c r="FR10" s="162">
        <v>0.5</v>
      </c>
      <c r="FS10" s="162">
        <v>0.54166666666666663</v>
      </c>
      <c r="FT10" s="3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81"/>
      <c r="FV10" s="381"/>
      <c r="FW10" s="381"/>
      <c r="FY10" s="66"/>
      <c r="FZ10" s="58">
        <f>FY8</f>
        <v>46327</v>
      </c>
      <c r="GA10" s="59" t="str">
        <f t="shared" ref="GA10:GA40" si="30">TEXT(FZ10,"aaa")</f>
        <v>日</v>
      </c>
      <c r="GB10" s="59"/>
      <c r="GC10" s="60"/>
      <c r="GD10" s="60"/>
      <c r="GE10" s="36"/>
      <c r="GF10" s="36"/>
      <c r="GG10" s="61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7"/>
      <c r="GI10" s="37"/>
      <c r="GJ10" s="37"/>
      <c r="GK10" s="37"/>
      <c r="GL10" s="3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81"/>
      <c r="GN10" s="381"/>
      <c r="GO10" s="381"/>
      <c r="GQ10" s="66"/>
      <c r="GR10" s="58">
        <f>GQ8</f>
        <v>46357</v>
      </c>
      <c r="GS10" s="59" t="str">
        <f t="shared" ref="GS10:GS40" si="33">TEXT(GR10,"aaa")</f>
        <v>火</v>
      </c>
      <c r="GT10" s="59" t="s">
        <v>22</v>
      </c>
      <c r="GU10" s="160">
        <v>0.375</v>
      </c>
      <c r="GV10" s="160">
        <v>0.75</v>
      </c>
      <c r="GW10" s="161">
        <v>0.5</v>
      </c>
      <c r="GX10" s="161">
        <v>0.54166666666666663</v>
      </c>
      <c r="GY10" s="61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162">
        <v>0.375</v>
      </c>
      <c r="HA10" s="162">
        <v>0.75</v>
      </c>
      <c r="HB10" s="162">
        <v>0.5</v>
      </c>
      <c r="HC10" s="162">
        <v>0.54166666666666663</v>
      </c>
      <c r="HD10" s="3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81"/>
      <c r="HF10" s="381"/>
      <c r="HG10" s="381"/>
    </row>
    <row r="11" spans="1:215" x14ac:dyDescent="0.45">
      <c r="A11" s="384"/>
      <c r="B11" s="58">
        <f t="shared" ref="B11:B40" si="36">IF(B10="","",IF(B10+1&lt;=EOMONTH($A$8,0),B10+1,""))</f>
        <v>46024</v>
      </c>
      <c r="C11" s="59" t="str">
        <f t="shared" si="0"/>
        <v>金</v>
      </c>
      <c r="D11" s="59"/>
      <c r="E11" s="60"/>
      <c r="F11" s="60"/>
      <c r="G11" s="36"/>
      <c r="H11" s="36"/>
      <c r="I11" s="61" t="str">
        <f t="shared" si="1"/>
        <v/>
      </c>
      <c r="J11" s="37"/>
      <c r="K11" s="37"/>
      <c r="L11" s="37"/>
      <c r="M11" s="37"/>
      <c r="N11" s="38" t="str">
        <f t="shared" si="2"/>
        <v/>
      </c>
      <c r="O11" s="381"/>
      <c r="P11" s="381"/>
      <c r="Q11" s="381"/>
      <c r="S11" s="55"/>
      <c r="T11" s="58">
        <f t="shared" ref="T11:T40" si="37">IF(T10="","",IF(T10+1&lt;=EOMONTH($S$8,0),T10+1,""))</f>
        <v>46055</v>
      </c>
      <c r="U11" s="59" t="str">
        <f t="shared" si="3"/>
        <v>月</v>
      </c>
      <c r="V11" s="59" t="s">
        <v>22</v>
      </c>
      <c r="W11" s="160">
        <v>0.375</v>
      </c>
      <c r="X11" s="160">
        <v>0.75</v>
      </c>
      <c r="Y11" s="161">
        <v>0.5</v>
      </c>
      <c r="Z11" s="161">
        <v>0.54166666666666663</v>
      </c>
      <c r="AA11" s="61" t="str">
        <f t="shared" si="4"/>
        <v>8h</v>
      </c>
      <c r="AB11" s="162">
        <v>0.375</v>
      </c>
      <c r="AC11" s="162">
        <v>0.75</v>
      </c>
      <c r="AD11" s="162">
        <v>0.5</v>
      </c>
      <c r="AE11" s="162">
        <v>0.54166666666666663</v>
      </c>
      <c r="AF11" s="38" t="str">
        <f t="shared" si="5"/>
        <v>8h</v>
      </c>
      <c r="AG11" s="381"/>
      <c r="AH11" s="381"/>
      <c r="AI11" s="381"/>
      <c r="AK11" s="55"/>
      <c r="AL11" s="58">
        <f t="shared" ref="AL11:AL40" si="38">IF(AL10="","",IF(AL10+1&lt;=EOMONTH($AK$8,0),AL10+1,""))</f>
        <v>46083</v>
      </c>
      <c r="AM11" s="59" t="str">
        <f t="shared" si="6"/>
        <v>月</v>
      </c>
      <c r="AN11" s="59" t="s">
        <v>22</v>
      </c>
      <c r="AO11" s="160">
        <v>0.375</v>
      </c>
      <c r="AP11" s="160">
        <v>0.75</v>
      </c>
      <c r="AQ11" s="161">
        <v>0.5</v>
      </c>
      <c r="AR11" s="161">
        <v>0.54166666666666663</v>
      </c>
      <c r="AS11" s="61" t="str">
        <f t="shared" si="7"/>
        <v>8h</v>
      </c>
      <c r="AT11" s="162">
        <v>0.375</v>
      </c>
      <c r="AU11" s="162">
        <v>0.75</v>
      </c>
      <c r="AV11" s="162">
        <v>0.5</v>
      </c>
      <c r="AW11" s="162">
        <v>0.54166666666666663</v>
      </c>
      <c r="AX11" s="38" t="str">
        <f t="shared" si="8"/>
        <v>8h</v>
      </c>
      <c r="AY11" s="381"/>
      <c r="AZ11" s="381"/>
      <c r="BA11" s="381"/>
      <c r="BC11" s="55"/>
      <c r="BD11" s="58">
        <f t="shared" ref="BD11:BD40" si="39">IF(BD10="","",IF(BD10+1&lt;=EOMONTH($BC$8,0),BD10+1,""))</f>
        <v>46114</v>
      </c>
      <c r="BE11" s="59" t="str">
        <f t="shared" si="9"/>
        <v>木</v>
      </c>
      <c r="BF11" s="59" t="s">
        <v>22</v>
      </c>
      <c r="BG11" s="160">
        <v>0.375</v>
      </c>
      <c r="BH11" s="160">
        <v>0.75</v>
      </c>
      <c r="BI11" s="161">
        <v>0.5</v>
      </c>
      <c r="BJ11" s="161">
        <v>0.54166666666666663</v>
      </c>
      <c r="BK11" s="61" t="str">
        <f t="shared" si="10"/>
        <v>8h</v>
      </c>
      <c r="BL11" s="162">
        <v>0.375</v>
      </c>
      <c r="BM11" s="162">
        <v>0.75</v>
      </c>
      <c r="BN11" s="162">
        <v>0.5</v>
      </c>
      <c r="BO11" s="162">
        <v>0.54166666666666663</v>
      </c>
      <c r="BP11" s="38" t="str">
        <f t="shared" si="11"/>
        <v>8h</v>
      </c>
      <c r="BQ11" s="381"/>
      <c r="BR11" s="381"/>
      <c r="BS11" s="381"/>
      <c r="BU11" s="55"/>
      <c r="BV11" s="58">
        <f t="shared" ref="BV11:BV40" si="40">IF(BV10="","",IF(BV10+1&lt;=EOMONTH($BU$8,0),BV10+1,""))</f>
        <v>46144</v>
      </c>
      <c r="BW11" s="59" t="str">
        <f t="shared" si="12"/>
        <v>土</v>
      </c>
      <c r="BX11" s="59"/>
      <c r="BY11" s="60"/>
      <c r="BZ11" s="60"/>
      <c r="CA11" s="36"/>
      <c r="CB11" s="36"/>
      <c r="CC11" s="61" t="str">
        <f t="shared" si="13"/>
        <v/>
      </c>
      <c r="CD11" s="37"/>
      <c r="CE11" s="37"/>
      <c r="CF11" s="37"/>
      <c r="CG11" s="37"/>
      <c r="CH11" s="38" t="str">
        <f t="shared" si="14"/>
        <v/>
      </c>
      <c r="CI11" s="381"/>
      <c r="CJ11" s="381"/>
      <c r="CK11" s="381"/>
      <c r="CM11" s="55"/>
      <c r="CN11" s="58">
        <f t="shared" ref="CN11:CN40" si="41">IF(CN10="","",IF(CN10+1&lt;=EOMONTH($CM$8,0),CN10+1,""))</f>
        <v>46175</v>
      </c>
      <c r="CO11" s="59" t="str">
        <f t="shared" si="15"/>
        <v>火</v>
      </c>
      <c r="CP11" s="59" t="s">
        <v>22</v>
      </c>
      <c r="CQ11" s="160">
        <v>0.375</v>
      </c>
      <c r="CR11" s="160">
        <v>0.75</v>
      </c>
      <c r="CS11" s="161">
        <v>0.5</v>
      </c>
      <c r="CT11" s="161">
        <v>0.54166666666666663</v>
      </c>
      <c r="CU11" s="61" t="str">
        <f t="shared" si="16"/>
        <v>8h</v>
      </c>
      <c r="CV11" s="162">
        <v>0.375</v>
      </c>
      <c r="CW11" s="162">
        <v>0.75</v>
      </c>
      <c r="CX11" s="162">
        <v>0.5</v>
      </c>
      <c r="CY11" s="162">
        <v>0.54166666666666663</v>
      </c>
      <c r="CZ11" s="38" t="str">
        <f t="shared" si="17"/>
        <v>8h</v>
      </c>
      <c r="DA11" s="381"/>
      <c r="DB11" s="381"/>
      <c r="DC11" s="381"/>
      <c r="DE11" s="55"/>
      <c r="DF11" s="58">
        <f t="shared" ref="DF11:DF40" si="42">IF(DF10="","",IF(DF10+1&lt;=EOMONTH($DE$8,0),DF10+1,""))</f>
        <v>46205</v>
      </c>
      <c r="DG11" s="59" t="str">
        <f t="shared" si="18"/>
        <v>木</v>
      </c>
      <c r="DH11" s="59" t="s">
        <v>22</v>
      </c>
      <c r="DI11" s="160">
        <v>0.375</v>
      </c>
      <c r="DJ11" s="160">
        <v>0.75</v>
      </c>
      <c r="DK11" s="161">
        <v>0.5</v>
      </c>
      <c r="DL11" s="161">
        <v>0.54166666666666663</v>
      </c>
      <c r="DM11" s="61" t="str">
        <f t="shared" si="19"/>
        <v>8h</v>
      </c>
      <c r="DN11" s="162">
        <v>0.375</v>
      </c>
      <c r="DO11" s="162">
        <v>0.75</v>
      </c>
      <c r="DP11" s="162">
        <v>0.5</v>
      </c>
      <c r="DQ11" s="162">
        <v>0.54166666666666663</v>
      </c>
      <c r="DR11" s="38" t="str">
        <f t="shared" si="20"/>
        <v>8h</v>
      </c>
      <c r="DS11" s="381"/>
      <c r="DT11" s="381"/>
      <c r="DU11" s="381"/>
      <c r="DW11" s="55"/>
      <c r="DX11" s="58">
        <f t="shared" ref="DX11:DX40" si="43">IF(DX10="","",IF(DX10+1&lt;=EOMONTH($DW$8,0),DX10+1,""))</f>
        <v>46236</v>
      </c>
      <c r="DY11" s="59" t="str">
        <f t="shared" si="21"/>
        <v>日</v>
      </c>
      <c r="DZ11" s="59"/>
      <c r="EA11" s="60"/>
      <c r="EB11" s="60"/>
      <c r="EC11" s="36"/>
      <c r="ED11" s="36"/>
      <c r="EE11" s="61" t="str">
        <f t="shared" si="22"/>
        <v/>
      </c>
      <c r="EF11" s="37"/>
      <c r="EG11" s="37"/>
      <c r="EH11" s="37"/>
      <c r="EI11" s="37"/>
      <c r="EJ11" s="38" t="str">
        <f t="shared" si="23"/>
        <v/>
      </c>
      <c r="EK11" s="381"/>
      <c r="EL11" s="381"/>
      <c r="EM11" s="381"/>
      <c r="EO11" s="55"/>
      <c r="EP11" s="58">
        <f t="shared" ref="EP11:EP40" si="44">IF(EP10="","",IF(EP10+1&lt;=EOMONTH($EO$8,0),EP10+1,""))</f>
        <v>46267</v>
      </c>
      <c r="EQ11" s="59" t="str">
        <f t="shared" si="24"/>
        <v>水</v>
      </c>
      <c r="ER11" s="59" t="s">
        <v>22</v>
      </c>
      <c r="ES11" s="160">
        <v>0.375</v>
      </c>
      <c r="ET11" s="160">
        <v>0.75</v>
      </c>
      <c r="EU11" s="161">
        <v>0.5</v>
      </c>
      <c r="EV11" s="161">
        <v>0.54166666666666663</v>
      </c>
      <c r="EW11" s="61" t="str">
        <f t="shared" si="25"/>
        <v>8h</v>
      </c>
      <c r="EX11" s="162">
        <v>0.375</v>
      </c>
      <c r="EY11" s="162">
        <v>0.75</v>
      </c>
      <c r="EZ11" s="162">
        <v>0.5</v>
      </c>
      <c r="FA11" s="162">
        <v>0.54166666666666663</v>
      </c>
      <c r="FB11" s="38" t="str">
        <f t="shared" si="26"/>
        <v>8h</v>
      </c>
      <c r="FC11" s="381"/>
      <c r="FD11" s="381"/>
      <c r="FE11" s="381"/>
      <c r="FG11" s="55"/>
      <c r="FH11" s="58">
        <f t="shared" ref="FH11:FH40" si="45">IF(FH10="","",IF(FH10+1&lt;=EOMONTH($FG$8,0),FH10+1,""))</f>
        <v>46297</v>
      </c>
      <c r="FI11" s="59" t="str">
        <f t="shared" si="27"/>
        <v>金</v>
      </c>
      <c r="FJ11" s="59" t="s">
        <v>22</v>
      </c>
      <c r="FK11" s="160">
        <v>0.375</v>
      </c>
      <c r="FL11" s="160">
        <v>0.75</v>
      </c>
      <c r="FM11" s="161">
        <v>0.5</v>
      </c>
      <c r="FN11" s="161">
        <v>0.54166666666666663</v>
      </c>
      <c r="FO11" s="61" t="str">
        <f t="shared" si="28"/>
        <v>8h</v>
      </c>
      <c r="FP11" s="162">
        <v>0.375</v>
      </c>
      <c r="FQ11" s="162">
        <v>0.75</v>
      </c>
      <c r="FR11" s="162">
        <v>0.5</v>
      </c>
      <c r="FS11" s="162">
        <v>0.54166666666666663</v>
      </c>
      <c r="FT11" s="38" t="str">
        <f t="shared" si="29"/>
        <v>8h</v>
      </c>
      <c r="FU11" s="381"/>
      <c r="FV11" s="381"/>
      <c r="FW11" s="381"/>
      <c r="FY11" s="55"/>
      <c r="FZ11" s="58">
        <f t="shared" ref="FZ11:FZ40" si="46">IF(FZ10="","",IF(FZ10+1&lt;=EOMONTH($FY$8,0),FZ10+1,""))</f>
        <v>46328</v>
      </c>
      <c r="GA11" s="59" t="str">
        <f t="shared" si="30"/>
        <v>月</v>
      </c>
      <c r="GB11" s="59" t="s">
        <v>22</v>
      </c>
      <c r="GC11" s="160">
        <v>0.375</v>
      </c>
      <c r="GD11" s="160">
        <v>0.75</v>
      </c>
      <c r="GE11" s="161">
        <v>0.5</v>
      </c>
      <c r="GF11" s="161">
        <v>0.54166666666666663</v>
      </c>
      <c r="GG11" s="61" t="str">
        <f t="shared" si="31"/>
        <v>8h</v>
      </c>
      <c r="GH11" s="162">
        <v>0.375</v>
      </c>
      <c r="GI11" s="162">
        <v>0.75</v>
      </c>
      <c r="GJ11" s="162">
        <v>0.5</v>
      </c>
      <c r="GK11" s="162">
        <v>0.54166666666666663</v>
      </c>
      <c r="GL11" s="38" t="str">
        <f t="shared" si="32"/>
        <v>8h</v>
      </c>
      <c r="GM11" s="381"/>
      <c r="GN11" s="381"/>
      <c r="GO11" s="381"/>
      <c r="GQ11" s="55"/>
      <c r="GR11" s="58">
        <f t="shared" ref="GR11:GR40" si="47">IF(GR10="","",IF(GR10+1&lt;=EOMONTH($GQ$8,0),GR10+1,""))</f>
        <v>46358</v>
      </c>
      <c r="GS11" s="59" t="str">
        <f t="shared" si="33"/>
        <v>水</v>
      </c>
      <c r="GT11" s="59" t="s">
        <v>22</v>
      </c>
      <c r="GU11" s="160">
        <v>0.375</v>
      </c>
      <c r="GV11" s="160">
        <v>0.75</v>
      </c>
      <c r="GW11" s="161">
        <v>0.5</v>
      </c>
      <c r="GX11" s="161">
        <v>0.54166666666666663</v>
      </c>
      <c r="GY11" s="61" t="str">
        <f t="shared" si="34"/>
        <v>8h</v>
      </c>
      <c r="GZ11" s="162">
        <v>0.375</v>
      </c>
      <c r="HA11" s="162">
        <v>0.75</v>
      </c>
      <c r="HB11" s="162">
        <v>0.5</v>
      </c>
      <c r="HC11" s="162">
        <v>0.54166666666666663</v>
      </c>
      <c r="HD11" s="38" t="str">
        <f t="shared" si="35"/>
        <v>8h</v>
      </c>
      <c r="HE11" s="381"/>
      <c r="HF11" s="381"/>
      <c r="HG11" s="381"/>
    </row>
    <row r="12" spans="1:215" x14ac:dyDescent="0.45">
      <c r="A12" s="384"/>
      <c r="B12" s="58">
        <f t="shared" si="36"/>
        <v>46025</v>
      </c>
      <c r="C12" s="59" t="str">
        <f t="shared" si="0"/>
        <v>土</v>
      </c>
      <c r="D12" s="59"/>
      <c r="E12" s="60"/>
      <c r="F12" s="60"/>
      <c r="G12" s="36"/>
      <c r="H12" s="36"/>
      <c r="I12" s="61" t="str">
        <f t="shared" si="1"/>
        <v/>
      </c>
      <c r="J12" s="37"/>
      <c r="K12" s="37"/>
      <c r="L12" s="37"/>
      <c r="M12" s="37"/>
      <c r="N12" s="38" t="str">
        <f t="shared" si="2"/>
        <v/>
      </c>
      <c r="O12" s="381"/>
      <c r="P12" s="381"/>
      <c r="Q12" s="381"/>
      <c r="S12" s="55"/>
      <c r="T12" s="58">
        <f t="shared" si="37"/>
        <v>46056</v>
      </c>
      <c r="U12" s="59" t="str">
        <f t="shared" si="3"/>
        <v>火</v>
      </c>
      <c r="V12" s="59" t="s">
        <v>22</v>
      </c>
      <c r="W12" s="160">
        <v>0.375</v>
      </c>
      <c r="X12" s="160">
        <v>0.75</v>
      </c>
      <c r="Y12" s="161">
        <v>0.5</v>
      </c>
      <c r="Z12" s="161">
        <v>0.54166666666666663</v>
      </c>
      <c r="AA12" s="61" t="str">
        <f t="shared" si="4"/>
        <v>8h</v>
      </c>
      <c r="AB12" s="162">
        <v>0.375</v>
      </c>
      <c r="AC12" s="162">
        <v>0.75</v>
      </c>
      <c r="AD12" s="162">
        <v>0.5</v>
      </c>
      <c r="AE12" s="162">
        <v>0.54166666666666663</v>
      </c>
      <c r="AF12" s="38" t="str">
        <f t="shared" si="5"/>
        <v>8h</v>
      </c>
      <c r="AG12" s="381"/>
      <c r="AH12" s="381"/>
      <c r="AI12" s="381"/>
      <c r="AK12" s="55"/>
      <c r="AL12" s="58">
        <f t="shared" si="38"/>
        <v>46084</v>
      </c>
      <c r="AM12" s="59" t="str">
        <f t="shared" si="6"/>
        <v>火</v>
      </c>
      <c r="AN12" s="59" t="s">
        <v>22</v>
      </c>
      <c r="AO12" s="160">
        <v>0.375</v>
      </c>
      <c r="AP12" s="160">
        <v>0.75</v>
      </c>
      <c r="AQ12" s="161">
        <v>0.5</v>
      </c>
      <c r="AR12" s="161">
        <v>0.54166666666666663</v>
      </c>
      <c r="AS12" s="61" t="str">
        <f t="shared" si="7"/>
        <v>8h</v>
      </c>
      <c r="AT12" s="162">
        <v>0.375</v>
      </c>
      <c r="AU12" s="162">
        <v>0.75</v>
      </c>
      <c r="AV12" s="162">
        <v>0.5</v>
      </c>
      <c r="AW12" s="162">
        <v>0.54166666666666663</v>
      </c>
      <c r="AX12" s="38" t="str">
        <f t="shared" si="8"/>
        <v>8h</v>
      </c>
      <c r="AY12" s="381"/>
      <c r="AZ12" s="381"/>
      <c r="BA12" s="381"/>
      <c r="BC12" s="55"/>
      <c r="BD12" s="58">
        <f t="shared" si="39"/>
        <v>46115</v>
      </c>
      <c r="BE12" s="59" t="str">
        <f t="shared" si="9"/>
        <v>金</v>
      </c>
      <c r="BF12" s="59" t="s">
        <v>22</v>
      </c>
      <c r="BG12" s="160">
        <v>0.375</v>
      </c>
      <c r="BH12" s="160">
        <v>0.75</v>
      </c>
      <c r="BI12" s="161">
        <v>0.5</v>
      </c>
      <c r="BJ12" s="161">
        <v>0.54166666666666663</v>
      </c>
      <c r="BK12" s="61" t="str">
        <f t="shared" si="10"/>
        <v>8h</v>
      </c>
      <c r="BL12" s="162">
        <v>0.375</v>
      </c>
      <c r="BM12" s="162">
        <v>0.75</v>
      </c>
      <c r="BN12" s="162">
        <v>0.5</v>
      </c>
      <c r="BO12" s="162">
        <v>0.54166666666666663</v>
      </c>
      <c r="BP12" s="38" t="str">
        <f t="shared" si="11"/>
        <v>8h</v>
      </c>
      <c r="BQ12" s="381"/>
      <c r="BR12" s="381"/>
      <c r="BS12" s="381"/>
      <c r="BU12" s="55"/>
      <c r="BV12" s="58">
        <f t="shared" si="40"/>
        <v>46145</v>
      </c>
      <c r="BW12" s="59" t="str">
        <f t="shared" si="12"/>
        <v>日</v>
      </c>
      <c r="BX12" s="59"/>
      <c r="BY12" s="60"/>
      <c r="BZ12" s="60"/>
      <c r="CA12" s="36"/>
      <c r="CB12" s="36"/>
      <c r="CC12" s="61" t="str">
        <f t="shared" si="13"/>
        <v/>
      </c>
      <c r="CD12" s="37"/>
      <c r="CE12" s="37"/>
      <c r="CF12" s="37"/>
      <c r="CG12" s="37"/>
      <c r="CH12" s="38" t="str">
        <f t="shared" si="14"/>
        <v/>
      </c>
      <c r="CI12" s="381"/>
      <c r="CJ12" s="381"/>
      <c r="CK12" s="381"/>
      <c r="CM12" s="55"/>
      <c r="CN12" s="58">
        <f t="shared" si="41"/>
        <v>46176</v>
      </c>
      <c r="CO12" s="59" t="str">
        <f t="shared" si="15"/>
        <v>水</v>
      </c>
      <c r="CP12" s="59" t="s">
        <v>22</v>
      </c>
      <c r="CQ12" s="160">
        <v>0.375</v>
      </c>
      <c r="CR12" s="160">
        <v>0.75</v>
      </c>
      <c r="CS12" s="161">
        <v>0.5</v>
      </c>
      <c r="CT12" s="161">
        <v>0.54166666666666663</v>
      </c>
      <c r="CU12" s="61" t="str">
        <f t="shared" si="16"/>
        <v>8h</v>
      </c>
      <c r="CV12" s="162">
        <v>0.375</v>
      </c>
      <c r="CW12" s="162">
        <v>0.75</v>
      </c>
      <c r="CX12" s="162">
        <v>0.5</v>
      </c>
      <c r="CY12" s="162">
        <v>0.54166666666666663</v>
      </c>
      <c r="CZ12" s="38" t="str">
        <f t="shared" si="17"/>
        <v>8h</v>
      </c>
      <c r="DA12" s="381"/>
      <c r="DB12" s="381"/>
      <c r="DC12" s="381"/>
      <c r="DE12" s="55"/>
      <c r="DF12" s="58">
        <f t="shared" si="42"/>
        <v>46206</v>
      </c>
      <c r="DG12" s="59" t="str">
        <f t="shared" si="18"/>
        <v>金</v>
      </c>
      <c r="DH12" s="59" t="s">
        <v>22</v>
      </c>
      <c r="DI12" s="160">
        <v>0.375</v>
      </c>
      <c r="DJ12" s="160">
        <v>0.75</v>
      </c>
      <c r="DK12" s="161">
        <v>0.5</v>
      </c>
      <c r="DL12" s="161">
        <v>0.54166666666666663</v>
      </c>
      <c r="DM12" s="61" t="str">
        <f t="shared" si="19"/>
        <v>8h</v>
      </c>
      <c r="DN12" s="162">
        <v>0.375</v>
      </c>
      <c r="DO12" s="162">
        <v>0.75</v>
      </c>
      <c r="DP12" s="162">
        <v>0.5</v>
      </c>
      <c r="DQ12" s="162">
        <v>0.54166666666666663</v>
      </c>
      <c r="DR12" s="38" t="str">
        <f t="shared" si="20"/>
        <v>8h</v>
      </c>
      <c r="DS12" s="381"/>
      <c r="DT12" s="381"/>
      <c r="DU12" s="381"/>
      <c r="DW12" s="55"/>
      <c r="DX12" s="58">
        <f t="shared" si="43"/>
        <v>46237</v>
      </c>
      <c r="DY12" s="59" t="str">
        <f t="shared" si="21"/>
        <v>月</v>
      </c>
      <c r="DZ12" s="59" t="s">
        <v>22</v>
      </c>
      <c r="EA12" s="160">
        <v>0.375</v>
      </c>
      <c r="EB12" s="160">
        <v>0.75</v>
      </c>
      <c r="EC12" s="161">
        <v>0.5</v>
      </c>
      <c r="ED12" s="161">
        <v>0.54166666666666663</v>
      </c>
      <c r="EE12" s="61" t="str">
        <f t="shared" si="22"/>
        <v>8h</v>
      </c>
      <c r="EF12" s="162">
        <v>0.375</v>
      </c>
      <c r="EG12" s="162">
        <v>0.75</v>
      </c>
      <c r="EH12" s="162">
        <v>0.5</v>
      </c>
      <c r="EI12" s="162">
        <v>0.54166666666666663</v>
      </c>
      <c r="EJ12" s="38" t="str">
        <f t="shared" si="23"/>
        <v>8h</v>
      </c>
      <c r="EK12" s="381"/>
      <c r="EL12" s="381"/>
      <c r="EM12" s="381"/>
      <c r="EO12" s="55"/>
      <c r="EP12" s="58">
        <f t="shared" si="44"/>
        <v>46268</v>
      </c>
      <c r="EQ12" s="59" t="str">
        <f t="shared" si="24"/>
        <v>木</v>
      </c>
      <c r="ER12" s="59" t="s">
        <v>22</v>
      </c>
      <c r="ES12" s="160">
        <v>0.375</v>
      </c>
      <c r="ET12" s="160">
        <v>0.75</v>
      </c>
      <c r="EU12" s="161">
        <v>0.5</v>
      </c>
      <c r="EV12" s="161">
        <v>0.54166666666666663</v>
      </c>
      <c r="EW12" s="61" t="str">
        <f t="shared" si="25"/>
        <v>8h</v>
      </c>
      <c r="EX12" s="162">
        <v>0.375</v>
      </c>
      <c r="EY12" s="162">
        <v>0.75</v>
      </c>
      <c r="EZ12" s="162">
        <v>0.5</v>
      </c>
      <c r="FA12" s="162">
        <v>0.54166666666666663</v>
      </c>
      <c r="FB12" s="38" t="str">
        <f t="shared" si="26"/>
        <v>8h</v>
      </c>
      <c r="FC12" s="381"/>
      <c r="FD12" s="381"/>
      <c r="FE12" s="381"/>
      <c r="FG12" s="55"/>
      <c r="FH12" s="58">
        <f t="shared" si="45"/>
        <v>46298</v>
      </c>
      <c r="FI12" s="59" t="str">
        <f t="shared" si="27"/>
        <v>土</v>
      </c>
      <c r="FJ12" s="59"/>
      <c r="FK12" s="60"/>
      <c r="FL12" s="60"/>
      <c r="FM12" s="36"/>
      <c r="FN12" s="36"/>
      <c r="FO12" s="61" t="str">
        <f t="shared" si="28"/>
        <v/>
      </c>
      <c r="FP12" s="37"/>
      <c r="FQ12" s="37"/>
      <c r="FR12" s="37"/>
      <c r="FS12" s="37"/>
      <c r="FT12" s="38" t="str">
        <f t="shared" si="29"/>
        <v/>
      </c>
      <c r="FU12" s="381"/>
      <c r="FV12" s="381"/>
      <c r="FW12" s="381"/>
      <c r="FY12" s="55"/>
      <c r="FZ12" s="58">
        <f t="shared" si="46"/>
        <v>46329</v>
      </c>
      <c r="GA12" s="59" t="str">
        <f t="shared" si="30"/>
        <v>火</v>
      </c>
      <c r="GB12" s="59"/>
      <c r="GC12" s="60"/>
      <c r="GD12" s="60"/>
      <c r="GE12" s="36"/>
      <c r="GF12" s="36"/>
      <c r="GG12" s="61" t="str">
        <f t="shared" si="31"/>
        <v/>
      </c>
      <c r="GH12" s="37"/>
      <c r="GI12" s="37"/>
      <c r="GJ12" s="37"/>
      <c r="GK12" s="37"/>
      <c r="GL12" s="38" t="str">
        <f t="shared" si="32"/>
        <v/>
      </c>
      <c r="GM12" s="381"/>
      <c r="GN12" s="381"/>
      <c r="GO12" s="381"/>
      <c r="GQ12" s="55"/>
      <c r="GR12" s="58">
        <f t="shared" si="47"/>
        <v>46359</v>
      </c>
      <c r="GS12" s="59" t="str">
        <f t="shared" si="33"/>
        <v>木</v>
      </c>
      <c r="GT12" s="59" t="s">
        <v>22</v>
      </c>
      <c r="GU12" s="160">
        <v>0.375</v>
      </c>
      <c r="GV12" s="160">
        <v>0.75</v>
      </c>
      <c r="GW12" s="161">
        <v>0.5</v>
      </c>
      <c r="GX12" s="161">
        <v>0.54166666666666663</v>
      </c>
      <c r="GY12" s="61" t="str">
        <f t="shared" si="34"/>
        <v>8h</v>
      </c>
      <c r="GZ12" s="162">
        <v>0.375</v>
      </c>
      <c r="HA12" s="162">
        <v>0.75</v>
      </c>
      <c r="HB12" s="162">
        <v>0.5</v>
      </c>
      <c r="HC12" s="162">
        <v>0.54166666666666663</v>
      </c>
      <c r="HD12" s="38" t="str">
        <f t="shared" si="35"/>
        <v>8h</v>
      </c>
      <c r="HE12" s="381"/>
      <c r="HF12" s="381"/>
      <c r="HG12" s="381"/>
    </row>
    <row r="13" spans="1:215" x14ac:dyDescent="0.45">
      <c r="A13" s="384"/>
      <c r="B13" s="58">
        <f t="shared" si="36"/>
        <v>46026</v>
      </c>
      <c r="C13" s="59" t="str">
        <f t="shared" si="0"/>
        <v>日</v>
      </c>
      <c r="D13" s="59"/>
      <c r="E13" s="60"/>
      <c r="F13" s="60"/>
      <c r="G13" s="36"/>
      <c r="H13" s="36"/>
      <c r="I13" s="61" t="str">
        <f t="shared" si="1"/>
        <v/>
      </c>
      <c r="J13" s="37"/>
      <c r="K13" s="37"/>
      <c r="L13" s="37"/>
      <c r="M13" s="37"/>
      <c r="N13" s="38" t="str">
        <f t="shared" si="2"/>
        <v/>
      </c>
      <c r="O13" s="381"/>
      <c r="P13" s="381"/>
      <c r="Q13" s="381"/>
      <c r="S13" s="55"/>
      <c r="T13" s="58">
        <f t="shared" si="37"/>
        <v>46057</v>
      </c>
      <c r="U13" s="59" t="str">
        <f t="shared" si="3"/>
        <v>水</v>
      </c>
      <c r="V13" s="59" t="s">
        <v>22</v>
      </c>
      <c r="W13" s="160">
        <v>0.375</v>
      </c>
      <c r="X13" s="160">
        <v>0.75</v>
      </c>
      <c r="Y13" s="161">
        <v>0.5</v>
      </c>
      <c r="Z13" s="161">
        <v>0.54166666666666663</v>
      </c>
      <c r="AA13" s="61" t="str">
        <f t="shared" si="4"/>
        <v>8h</v>
      </c>
      <c r="AB13" s="162">
        <v>0.375</v>
      </c>
      <c r="AC13" s="162">
        <v>0.75</v>
      </c>
      <c r="AD13" s="162">
        <v>0.5</v>
      </c>
      <c r="AE13" s="162">
        <v>0.54166666666666663</v>
      </c>
      <c r="AF13" s="38" t="str">
        <f t="shared" si="5"/>
        <v>8h</v>
      </c>
      <c r="AG13" s="381"/>
      <c r="AH13" s="381"/>
      <c r="AI13" s="381"/>
      <c r="AK13" s="55"/>
      <c r="AL13" s="58">
        <f t="shared" si="38"/>
        <v>46085</v>
      </c>
      <c r="AM13" s="59" t="str">
        <f t="shared" si="6"/>
        <v>水</v>
      </c>
      <c r="AN13" s="59" t="s">
        <v>22</v>
      </c>
      <c r="AO13" s="160">
        <v>0.375</v>
      </c>
      <c r="AP13" s="160">
        <v>0.75</v>
      </c>
      <c r="AQ13" s="161">
        <v>0.5</v>
      </c>
      <c r="AR13" s="161">
        <v>0.54166666666666663</v>
      </c>
      <c r="AS13" s="61" t="str">
        <f t="shared" si="7"/>
        <v>8h</v>
      </c>
      <c r="AT13" s="162">
        <v>0.375</v>
      </c>
      <c r="AU13" s="162">
        <v>0.75</v>
      </c>
      <c r="AV13" s="162">
        <v>0.5</v>
      </c>
      <c r="AW13" s="162">
        <v>0.54166666666666663</v>
      </c>
      <c r="AX13" s="38" t="str">
        <f t="shared" si="8"/>
        <v>8h</v>
      </c>
      <c r="AY13" s="381"/>
      <c r="AZ13" s="381"/>
      <c r="BA13" s="381"/>
      <c r="BC13" s="55"/>
      <c r="BD13" s="58">
        <f t="shared" si="39"/>
        <v>46116</v>
      </c>
      <c r="BE13" s="59" t="str">
        <f t="shared" si="9"/>
        <v>土</v>
      </c>
      <c r="BF13" s="59"/>
      <c r="BG13" s="60"/>
      <c r="BH13" s="60"/>
      <c r="BI13" s="36"/>
      <c r="BJ13" s="36"/>
      <c r="BK13" s="61" t="str">
        <f t="shared" si="10"/>
        <v/>
      </c>
      <c r="BL13" s="37"/>
      <c r="BM13" s="37"/>
      <c r="BN13" s="37"/>
      <c r="BO13" s="37"/>
      <c r="BP13" s="38" t="str">
        <f t="shared" si="11"/>
        <v/>
      </c>
      <c r="BQ13" s="381"/>
      <c r="BR13" s="381"/>
      <c r="BS13" s="381"/>
      <c r="BU13" s="55"/>
      <c r="BV13" s="58">
        <f t="shared" si="40"/>
        <v>46146</v>
      </c>
      <c r="BW13" s="59" t="str">
        <f t="shared" si="12"/>
        <v>月</v>
      </c>
      <c r="BX13" s="59"/>
      <c r="BY13" s="60"/>
      <c r="BZ13" s="60"/>
      <c r="CA13" s="36"/>
      <c r="CB13" s="36"/>
      <c r="CC13" s="61" t="str">
        <f t="shared" si="13"/>
        <v/>
      </c>
      <c r="CD13" s="37"/>
      <c r="CE13" s="37"/>
      <c r="CF13" s="37"/>
      <c r="CG13" s="37"/>
      <c r="CH13" s="38" t="str">
        <f t="shared" si="14"/>
        <v/>
      </c>
      <c r="CI13" s="381"/>
      <c r="CJ13" s="381"/>
      <c r="CK13" s="381"/>
      <c r="CM13" s="55"/>
      <c r="CN13" s="58">
        <f t="shared" si="41"/>
        <v>46177</v>
      </c>
      <c r="CO13" s="59" t="str">
        <f t="shared" si="15"/>
        <v>木</v>
      </c>
      <c r="CP13" s="59" t="s">
        <v>22</v>
      </c>
      <c r="CQ13" s="160">
        <v>0.375</v>
      </c>
      <c r="CR13" s="160">
        <v>0.75</v>
      </c>
      <c r="CS13" s="161">
        <v>0.5</v>
      </c>
      <c r="CT13" s="161">
        <v>0.54166666666666663</v>
      </c>
      <c r="CU13" s="61" t="str">
        <f t="shared" si="16"/>
        <v>8h</v>
      </c>
      <c r="CV13" s="162">
        <v>0.375</v>
      </c>
      <c r="CW13" s="162">
        <v>0.75</v>
      </c>
      <c r="CX13" s="162">
        <v>0.5</v>
      </c>
      <c r="CY13" s="162">
        <v>0.54166666666666663</v>
      </c>
      <c r="CZ13" s="38" t="str">
        <f t="shared" si="17"/>
        <v>8h</v>
      </c>
      <c r="DA13" s="381"/>
      <c r="DB13" s="381"/>
      <c r="DC13" s="381"/>
      <c r="DE13" s="55"/>
      <c r="DF13" s="58">
        <f t="shared" si="42"/>
        <v>46207</v>
      </c>
      <c r="DG13" s="59" t="str">
        <f t="shared" si="18"/>
        <v>土</v>
      </c>
      <c r="DH13" s="59"/>
      <c r="DI13" s="60"/>
      <c r="DJ13" s="60"/>
      <c r="DK13" s="36"/>
      <c r="DL13" s="36"/>
      <c r="DM13" s="61" t="str">
        <f t="shared" si="19"/>
        <v/>
      </c>
      <c r="DN13" s="37"/>
      <c r="DO13" s="37"/>
      <c r="DP13" s="37"/>
      <c r="DQ13" s="37"/>
      <c r="DR13" s="38" t="str">
        <f t="shared" si="20"/>
        <v/>
      </c>
      <c r="DS13" s="381"/>
      <c r="DT13" s="381"/>
      <c r="DU13" s="381"/>
      <c r="DW13" s="55"/>
      <c r="DX13" s="58">
        <f t="shared" si="43"/>
        <v>46238</v>
      </c>
      <c r="DY13" s="59" t="str">
        <f t="shared" si="21"/>
        <v>火</v>
      </c>
      <c r="DZ13" s="59" t="s">
        <v>22</v>
      </c>
      <c r="EA13" s="160">
        <v>0.375</v>
      </c>
      <c r="EB13" s="160">
        <v>0.75</v>
      </c>
      <c r="EC13" s="161">
        <v>0.5</v>
      </c>
      <c r="ED13" s="161">
        <v>0.54166666666666663</v>
      </c>
      <c r="EE13" s="61" t="str">
        <f t="shared" si="22"/>
        <v>8h</v>
      </c>
      <c r="EF13" s="162">
        <v>0.375</v>
      </c>
      <c r="EG13" s="162">
        <v>0.75</v>
      </c>
      <c r="EH13" s="162">
        <v>0.5</v>
      </c>
      <c r="EI13" s="162">
        <v>0.54166666666666663</v>
      </c>
      <c r="EJ13" s="38" t="str">
        <f t="shared" si="23"/>
        <v>8h</v>
      </c>
      <c r="EK13" s="381"/>
      <c r="EL13" s="381"/>
      <c r="EM13" s="381"/>
      <c r="EO13" s="55"/>
      <c r="EP13" s="58">
        <f t="shared" si="44"/>
        <v>46269</v>
      </c>
      <c r="EQ13" s="59" t="str">
        <f t="shared" si="24"/>
        <v>金</v>
      </c>
      <c r="ER13" s="59" t="s">
        <v>22</v>
      </c>
      <c r="ES13" s="160">
        <v>0.375</v>
      </c>
      <c r="ET13" s="160">
        <v>0.75</v>
      </c>
      <c r="EU13" s="161">
        <v>0.5</v>
      </c>
      <c r="EV13" s="161">
        <v>0.54166666666666663</v>
      </c>
      <c r="EW13" s="61" t="str">
        <f t="shared" si="25"/>
        <v>8h</v>
      </c>
      <c r="EX13" s="162">
        <v>0.375</v>
      </c>
      <c r="EY13" s="162">
        <v>0.75</v>
      </c>
      <c r="EZ13" s="162">
        <v>0.5</v>
      </c>
      <c r="FA13" s="162">
        <v>0.54166666666666663</v>
      </c>
      <c r="FB13" s="38" t="str">
        <f t="shared" si="26"/>
        <v>8h</v>
      </c>
      <c r="FC13" s="381"/>
      <c r="FD13" s="381"/>
      <c r="FE13" s="381"/>
      <c r="FG13" s="55"/>
      <c r="FH13" s="58">
        <f t="shared" si="45"/>
        <v>46299</v>
      </c>
      <c r="FI13" s="59" t="str">
        <f t="shared" si="27"/>
        <v>日</v>
      </c>
      <c r="FJ13" s="59"/>
      <c r="FK13" s="60"/>
      <c r="FL13" s="60"/>
      <c r="FM13" s="36"/>
      <c r="FN13" s="36"/>
      <c r="FO13" s="61" t="str">
        <f t="shared" si="28"/>
        <v/>
      </c>
      <c r="FP13" s="37"/>
      <c r="FQ13" s="37"/>
      <c r="FR13" s="37"/>
      <c r="FS13" s="37"/>
      <c r="FT13" s="38" t="str">
        <f t="shared" si="29"/>
        <v/>
      </c>
      <c r="FU13" s="381"/>
      <c r="FV13" s="381"/>
      <c r="FW13" s="381"/>
      <c r="FY13" s="55"/>
      <c r="FZ13" s="58">
        <f t="shared" si="46"/>
        <v>46330</v>
      </c>
      <c r="GA13" s="59" t="str">
        <f t="shared" si="30"/>
        <v>水</v>
      </c>
      <c r="GB13" s="59" t="s">
        <v>22</v>
      </c>
      <c r="GC13" s="160">
        <v>0.375</v>
      </c>
      <c r="GD13" s="160">
        <v>0.75</v>
      </c>
      <c r="GE13" s="161">
        <v>0.5</v>
      </c>
      <c r="GF13" s="161">
        <v>0.54166666666666663</v>
      </c>
      <c r="GG13" s="61" t="str">
        <f t="shared" si="31"/>
        <v>8h</v>
      </c>
      <c r="GH13" s="162">
        <v>0.375</v>
      </c>
      <c r="GI13" s="162">
        <v>0.75</v>
      </c>
      <c r="GJ13" s="162">
        <v>0.5</v>
      </c>
      <c r="GK13" s="162">
        <v>0.54166666666666663</v>
      </c>
      <c r="GL13" s="38" t="str">
        <f t="shared" si="32"/>
        <v>8h</v>
      </c>
      <c r="GM13" s="381"/>
      <c r="GN13" s="381"/>
      <c r="GO13" s="381"/>
      <c r="GQ13" s="55"/>
      <c r="GR13" s="58">
        <f t="shared" si="47"/>
        <v>46360</v>
      </c>
      <c r="GS13" s="59" t="str">
        <f t="shared" si="33"/>
        <v>金</v>
      </c>
      <c r="GT13" s="59" t="s">
        <v>22</v>
      </c>
      <c r="GU13" s="160">
        <v>0.375</v>
      </c>
      <c r="GV13" s="160">
        <v>0.75</v>
      </c>
      <c r="GW13" s="161">
        <v>0.5</v>
      </c>
      <c r="GX13" s="161">
        <v>0.54166666666666663</v>
      </c>
      <c r="GY13" s="61" t="str">
        <f t="shared" si="34"/>
        <v>8h</v>
      </c>
      <c r="GZ13" s="162">
        <v>0.375</v>
      </c>
      <c r="HA13" s="162">
        <v>0.75</v>
      </c>
      <c r="HB13" s="162">
        <v>0.5</v>
      </c>
      <c r="HC13" s="162">
        <v>0.54166666666666663</v>
      </c>
      <c r="HD13" s="38" t="str">
        <f t="shared" si="35"/>
        <v>8h</v>
      </c>
      <c r="HE13" s="381"/>
      <c r="HF13" s="381"/>
      <c r="HG13" s="381"/>
    </row>
    <row r="14" spans="1:215" x14ac:dyDescent="0.45">
      <c r="A14" s="384"/>
      <c r="B14" s="58">
        <f t="shared" si="36"/>
        <v>46027</v>
      </c>
      <c r="C14" s="59" t="str">
        <f t="shared" si="0"/>
        <v>月</v>
      </c>
      <c r="D14" s="59" t="s">
        <v>22</v>
      </c>
      <c r="E14" s="160">
        <v>0.375</v>
      </c>
      <c r="F14" s="160">
        <v>0.75</v>
      </c>
      <c r="G14" s="161">
        <v>0.5</v>
      </c>
      <c r="H14" s="161">
        <v>0.54166666666666663</v>
      </c>
      <c r="I14" s="61" t="str">
        <f t="shared" si="1"/>
        <v>8h</v>
      </c>
      <c r="J14" s="162">
        <v>0.375</v>
      </c>
      <c r="K14" s="162">
        <v>0.75</v>
      </c>
      <c r="L14" s="162">
        <v>0.5</v>
      </c>
      <c r="M14" s="162">
        <v>0.54166666666666663</v>
      </c>
      <c r="N14" s="38" t="str">
        <f t="shared" si="2"/>
        <v>8h</v>
      </c>
      <c r="O14" s="381"/>
      <c r="P14" s="381"/>
      <c r="Q14" s="381"/>
      <c r="S14" s="55"/>
      <c r="T14" s="58">
        <f t="shared" si="37"/>
        <v>46058</v>
      </c>
      <c r="U14" s="59" t="str">
        <f t="shared" si="3"/>
        <v>木</v>
      </c>
      <c r="V14" s="59" t="s">
        <v>22</v>
      </c>
      <c r="W14" s="160">
        <v>0.375</v>
      </c>
      <c r="X14" s="160">
        <v>0.75</v>
      </c>
      <c r="Y14" s="161">
        <v>0.5</v>
      </c>
      <c r="Z14" s="161">
        <v>0.54166666666666663</v>
      </c>
      <c r="AA14" s="61" t="str">
        <f t="shared" si="4"/>
        <v>8h</v>
      </c>
      <c r="AB14" s="162">
        <v>0.375</v>
      </c>
      <c r="AC14" s="162">
        <v>0.75</v>
      </c>
      <c r="AD14" s="162">
        <v>0.5</v>
      </c>
      <c r="AE14" s="162">
        <v>0.54166666666666663</v>
      </c>
      <c r="AF14" s="38" t="str">
        <f t="shared" si="5"/>
        <v>8h</v>
      </c>
      <c r="AG14" s="381"/>
      <c r="AH14" s="381"/>
      <c r="AI14" s="381"/>
      <c r="AK14" s="55"/>
      <c r="AL14" s="58">
        <f t="shared" si="38"/>
        <v>46086</v>
      </c>
      <c r="AM14" s="59" t="str">
        <f t="shared" si="6"/>
        <v>木</v>
      </c>
      <c r="AN14" s="59" t="s">
        <v>22</v>
      </c>
      <c r="AO14" s="160">
        <v>0.375</v>
      </c>
      <c r="AP14" s="160">
        <v>0.75</v>
      </c>
      <c r="AQ14" s="161">
        <v>0.5</v>
      </c>
      <c r="AR14" s="161">
        <v>0.54166666666666663</v>
      </c>
      <c r="AS14" s="61" t="str">
        <f t="shared" si="7"/>
        <v>8h</v>
      </c>
      <c r="AT14" s="162">
        <v>0.375</v>
      </c>
      <c r="AU14" s="162">
        <v>0.75</v>
      </c>
      <c r="AV14" s="162">
        <v>0.5</v>
      </c>
      <c r="AW14" s="162">
        <v>0.54166666666666663</v>
      </c>
      <c r="AX14" s="38" t="str">
        <f t="shared" si="8"/>
        <v>8h</v>
      </c>
      <c r="AY14" s="381"/>
      <c r="AZ14" s="381"/>
      <c r="BA14" s="381"/>
      <c r="BC14" s="55"/>
      <c r="BD14" s="58">
        <f t="shared" si="39"/>
        <v>46117</v>
      </c>
      <c r="BE14" s="59" t="str">
        <f t="shared" si="9"/>
        <v>日</v>
      </c>
      <c r="BF14" s="59"/>
      <c r="BG14" s="60"/>
      <c r="BH14" s="60"/>
      <c r="BI14" s="36"/>
      <c r="BJ14" s="36"/>
      <c r="BK14" s="61" t="str">
        <f t="shared" si="10"/>
        <v/>
      </c>
      <c r="BL14" s="37"/>
      <c r="BM14" s="37"/>
      <c r="BN14" s="37"/>
      <c r="BO14" s="37"/>
      <c r="BP14" s="38" t="str">
        <f t="shared" si="11"/>
        <v/>
      </c>
      <c r="BQ14" s="381"/>
      <c r="BR14" s="381"/>
      <c r="BS14" s="381"/>
      <c r="BU14" s="55"/>
      <c r="BV14" s="58">
        <f t="shared" si="40"/>
        <v>46147</v>
      </c>
      <c r="BW14" s="59" t="str">
        <f t="shared" si="12"/>
        <v>火</v>
      </c>
      <c r="BX14" s="59"/>
      <c r="BY14" s="60"/>
      <c r="BZ14" s="60"/>
      <c r="CA14" s="36"/>
      <c r="CB14" s="36"/>
      <c r="CC14" s="61" t="str">
        <f t="shared" si="13"/>
        <v/>
      </c>
      <c r="CD14" s="37"/>
      <c r="CE14" s="37"/>
      <c r="CF14" s="37"/>
      <c r="CG14" s="37"/>
      <c r="CH14" s="38" t="str">
        <f t="shared" si="14"/>
        <v/>
      </c>
      <c r="CI14" s="381"/>
      <c r="CJ14" s="381"/>
      <c r="CK14" s="381"/>
      <c r="CM14" s="55"/>
      <c r="CN14" s="58">
        <f t="shared" si="41"/>
        <v>46178</v>
      </c>
      <c r="CO14" s="59" t="str">
        <f t="shared" si="15"/>
        <v>金</v>
      </c>
      <c r="CP14" s="59" t="s">
        <v>22</v>
      </c>
      <c r="CQ14" s="160">
        <v>0.375</v>
      </c>
      <c r="CR14" s="160">
        <v>0.75</v>
      </c>
      <c r="CS14" s="161">
        <v>0.5</v>
      </c>
      <c r="CT14" s="161">
        <v>0.54166666666666663</v>
      </c>
      <c r="CU14" s="61" t="str">
        <f t="shared" si="16"/>
        <v>8h</v>
      </c>
      <c r="CV14" s="162">
        <v>0.375</v>
      </c>
      <c r="CW14" s="162">
        <v>0.75</v>
      </c>
      <c r="CX14" s="162">
        <v>0.5</v>
      </c>
      <c r="CY14" s="162">
        <v>0.54166666666666663</v>
      </c>
      <c r="CZ14" s="38" t="str">
        <f t="shared" si="17"/>
        <v>8h</v>
      </c>
      <c r="DA14" s="381"/>
      <c r="DB14" s="381"/>
      <c r="DC14" s="381"/>
      <c r="DE14" s="55"/>
      <c r="DF14" s="58">
        <f t="shared" si="42"/>
        <v>46208</v>
      </c>
      <c r="DG14" s="59" t="str">
        <f t="shared" si="18"/>
        <v>日</v>
      </c>
      <c r="DH14" s="59"/>
      <c r="DI14" s="60"/>
      <c r="DJ14" s="60"/>
      <c r="DK14" s="36"/>
      <c r="DL14" s="36"/>
      <c r="DM14" s="61" t="str">
        <f t="shared" si="19"/>
        <v/>
      </c>
      <c r="DN14" s="37"/>
      <c r="DO14" s="37"/>
      <c r="DP14" s="37"/>
      <c r="DQ14" s="37"/>
      <c r="DR14" s="38" t="str">
        <f t="shared" si="20"/>
        <v/>
      </c>
      <c r="DS14" s="381"/>
      <c r="DT14" s="381"/>
      <c r="DU14" s="381"/>
      <c r="DW14" s="55"/>
      <c r="DX14" s="58">
        <f t="shared" si="43"/>
        <v>46239</v>
      </c>
      <c r="DY14" s="59" t="str">
        <f t="shared" si="21"/>
        <v>水</v>
      </c>
      <c r="DZ14" s="59" t="s">
        <v>22</v>
      </c>
      <c r="EA14" s="160">
        <v>0.375</v>
      </c>
      <c r="EB14" s="160">
        <v>0.75</v>
      </c>
      <c r="EC14" s="161">
        <v>0.5</v>
      </c>
      <c r="ED14" s="161">
        <v>0.54166666666666663</v>
      </c>
      <c r="EE14" s="61" t="str">
        <f t="shared" si="22"/>
        <v>8h</v>
      </c>
      <c r="EF14" s="162">
        <v>0.375</v>
      </c>
      <c r="EG14" s="162">
        <v>0.75</v>
      </c>
      <c r="EH14" s="162">
        <v>0.5</v>
      </c>
      <c r="EI14" s="162">
        <v>0.54166666666666663</v>
      </c>
      <c r="EJ14" s="38" t="str">
        <f t="shared" si="23"/>
        <v>8h</v>
      </c>
      <c r="EK14" s="381"/>
      <c r="EL14" s="381"/>
      <c r="EM14" s="381"/>
      <c r="EO14" s="55"/>
      <c r="EP14" s="58">
        <f t="shared" si="44"/>
        <v>46270</v>
      </c>
      <c r="EQ14" s="59" t="str">
        <f t="shared" si="24"/>
        <v>土</v>
      </c>
      <c r="ER14" s="59"/>
      <c r="ES14" s="60"/>
      <c r="ET14" s="60"/>
      <c r="EU14" s="36"/>
      <c r="EV14" s="36"/>
      <c r="EW14" s="61" t="str">
        <f t="shared" si="25"/>
        <v/>
      </c>
      <c r="EX14" s="37"/>
      <c r="EY14" s="37"/>
      <c r="EZ14" s="37"/>
      <c r="FA14" s="37"/>
      <c r="FB14" s="38" t="str">
        <f t="shared" si="26"/>
        <v/>
      </c>
      <c r="FC14" s="381"/>
      <c r="FD14" s="381"/>
      <c r="FE14" s="381"/>
      <c r="FG14" s="55"/>
      <c r="FH14" s="58">
        <f t="shared" si="45"/>
        <v>46300</v>
      </c>
      <c r="FI14" s="59" t="str">
        <f t="shared" si="27"/>
        <v>月</v>
      </c>
      <c r="FJ14" s="59" t="s">
        <v>22</v>
      </c>
      <c r="FK14" s="160">
        <v>0.375</v>
      </c>
      <c r="FL14" s="160">
        <v>0.75</v>
      </c>
      <c r="FM14" s="161">
        <v>0.5</v>
      </c>
      <c r="FN14" s="161">
        <v>0.54166666666666663</v>
      </c>
      <c r="FO14" s="61" t="str">
        <f t="shared" si="28"/>
        <v>8h</v>
      </c>
      <c r="FP14" s="162">
        <v>0.375</v>
      </c>
      <c r="FQ14" s="162">
        <v>0.75</v>
      </c>
      <c r="FR14" s="162">
        <v>0.5</v>
      </c>
      <c r="FS14" s="162">
        <v>0.54166666666666663</v>
      </c>
      <c r="FT14" s="38" t="str">
        <f t="shared" si="29"/>
        <v>8h</v>
      </c>
      <c r="FU14" s="381"/>
      <c r="FV14" s="381"/>
      <c r="FW14" s="381"/>
      <c r="FY14" s="55"/>
      <c r="FZ14" s="58">
        <f t="shared" si="46"/>
        <v>46331</v>
      </c>
      <c r="GA14" s="59" t="str">
        <f t="shared" si="30"/>
        <v>木</v>
      </c>
      <c r="GB14" s="59" t="s">
        <v>22</v>
      </c>
      <c r="GC14" s="160">
        <v>0.375</v>
      </c>
      <c r="GD14" s="160">
        <v>0.75</v>
      </c>
      <c r="GE14" s="161">
        <v>0.5</v>
      </c>
      <c r="GF14" s="161">
        <v>0.54166666666666663</v>
      </c>
      <c r="GG14" s="61" t="str">
        <f t="shared" si="31"/>
        <v>8h</v>
      </c>
      <c r="GH14" s="162">
        <v>0.375</v>
      </c>
      <c r="GI14" s="162">
        <v>0.75</v>
      </c>
      <c r="GJ14" s="162">
        <v>0.5</v>
      </c>
      <c r="GK14" s="162">
        <v>0.54166666666666663</v>
      </c>
      <c r="GL14" s="38" t="str">
        <f t="shared" si="32"/>
        <v>8h</v>
      </c>
      <c r="GM14" s="381"/>
      <c r="GN14" s="381"/>
      <c r="GO14" s="381"/>
      <c r="GQ14" s="55"/>
      <c r="GR14" s="58">
        <f t="shared" si="47"/>
        <v>46361</v>
      </c>
      <c r="GS14" s="59" t="str">
        <f t="shared" si="33"/>
        <v>土</v>
      </c>
      <c r="GT14" s="59"/>
      <c r="GU14" s="60"/>
      <c r="GV14" s="60"/>
      <c r="GW14" s="36"/>
      <c r="GX14" s="36"/>
      <c r="GY14" s="61" t="str">
        <f t="shared" si="34"/>
        <v/>
      </c>
      <c r="GZ14" s="37"/>
      <c r="HA14" s="37"/>
      <c r="HB14" s="37"/>
      <c r="HC14" s="37"/>
      <c r="HD14" s="38" t="str">
        <f t="shared" si="35"/>
        <v/>
      </c>
      <c r="HE14" s="381"/>
      <c r="HF14" s="381"/>
      <c r="HG14" s="381"/>
    </row>
    <row r="15" spans="1:215" x14ac:dyDescent="0.45">
      <c r="A15" s="384"/>
      <c r="B15" s="58">
        <f t="shared" si="36"/>
        <v>46028</v>
      </c>
      <c r="C15" s="59" t="str">
        <f t="shared" si="0"/>
        <v>火</v>
      </c>
      <c r="D15" s="59" t="s">
        <v>22</v>
      </c>
      <c r="E15" s="160">
        <v>0.375</v>
      </c>
      <c r="F15" s="160">
        <v>0.75</v>
      </c>
      <c r="G15" s="161">
        <v>0.5</v>
      </c>
      <c r="H15" s="161">
        <v>0.54166666666666663</v>
      </c>
      <c r="I15" s="61" t="str">
        <f t="shared" si="1"/>
        <v>8h</v>
      </c>
      <c r="J15" s="162">
        <v>0.375</v>
      </c>
      <c r="K15" s="162">
        <v>0.75</v>
      </c>
      <c r="L15" s="162">
        <v>0.5</v>
      </c>
      <c r="M15" s="162">
        <v>0.54166666666666663</v>
      </c>
      <c r="N15" s="38" t="str">
        <f t="shared" si="2"/>
        <v>8h</v>
      </c>
      <c r="O15" s="381"/>
      <c r="P15" s="381"/>
      <c r="Q15" s="381"/>
      <c r="S15" s="55"/>
      <c r="T15" s="58">
        <f t="shared" si="37"/>
        <v>46059</v>
      </c>
      <c r="U15" s="59" t="str">
        <f t="shared" si="3"/>
        <v>金</v>
      </c>
      <c r="V15" s="59" t="s">
        <v>22</v>
      </c>
      <c r="W15" s="160">
        <v>0.375</v>
      </c>
      <c r="X15" s="160">
        <v>0.75</v>
      </c>
      <c r="Y15" s="161">
        <v>0.5</v>
      </c>
      <c r="Z15" s="161">
        <v>0.54166666666666663</v>
      </c>
      <c r="AA15" s="61" t="str">
        <f t="shared" si="4"/>
        <v>8h</v>
      </c>
      <c r="AB15" s="162">
        <v>0.375</v>
      </c>
      <c r="AC15" s="162">
        <v>0.75</v>
      </c>
      <c r="AD15" s="162">
        <v>0.5</v>
      </c>
      <c r="AE15" s="162">
        <v>0.54166666666666663</v>
      </c>
      <c r="AF15" s="38" t="str">
        <f t="shared" si="5"/>
        <v>8h</v>
      </c>
      <c r="AG15" s="381"/>
      <c r="AH15" s="381"/>
      <c r="AI15" s="381"/>
      <c r="AK15" s="55"/>
      <c r="AL15" s="58">
        <f t="shared" si="38"/>
        <v>46087</v>
      </c>
      <c r="AM15" s="59" t="str">
        <f t="shared" si="6"/>
        <v>金</v>
      </c>
      <c r="AN15" s="59" t="s">
        <v>22</v>
      </c>
      <c r="AO15" s="160">
        <v>0.375</v>
      </c>
      <c r="AP15" s="160">
        <v>0.75</v>
      </c>
      <c r="AQ15" s="161">
        <v>0.5</v>
      </c>
      <c r="AR15" s="161">
        <v>0.54166666666666663</v>
      </c>
      <c r="AS15" s="61" t="str">
        <f t="shared" si="7"/>
        <v>8h</v>
      </c>
      <c r="AT15" s="162">
        <v>0.375</v>
      </c>
      <c r="AU15" s="162">
        <v>0.75</v>
      </c>
      <c r="AV15" s="162">
        <v>0.5</v>
      </c>
      <c r="AW15" s="162">
        <v>0.54166666666666663</v>
      </c>
      <c r="AX15" s="38" t="str">
        <f t="shared" si="8"/>
        <v>8h</v>
      </c>
      <c r="AY15" s="381"/>
      <c r="AZ15" s="381"/>
      <c r="BA15" s="381"/>
      <c r="BC15" s="55"/>
      <c r="BD15" s="58">
        <f t="shared" si="39"/>
        <v>46118</v>
      </c>
      <c r="BE15" s="59" t="str">
        <f t="shared" si="9"/>
        <v>月</v>
      </c>
      <c r="BF15" s="59" t="s">
        <v>22</v>
      </c>
      <c r="BG15" s="160">
        <v>0.375</v>
      </c>
      <c r="BH15" s="160">
        <v>0.75</v>
      </c>
      <c r="BI15" s="161">
        <v>0.5</v>
      </c>
      <c r="BJ15" s="161">
        <v>0.54166666666666663</v>
      </c>
      <c r="BK15" s="61" t="str">
        <f t="shared" si="10"/>
        <v>8h</v>
      </c>
      <c r="BL15" s="162">
        <v>0.375</v>
      </c>
      <c r="BM15" s="162">
        <v>0.75</v>
      </c>
      <c r="BN15" s="162">
        <v>0.5</v>
      </c>
      <c r="BO15" s="162">
        <v>0.54166666666666663</v>
      </c>
      <c r="BP15" s="38" t="str">
        <f t="shared" si="11"/>
        <v>8h</v>
      </c>
      <c r="BQ15" s="381"/>
      <c r="BR15" s="381"/>
      <c r="BS15" s="381"/>
      <c r="BU15" s="55"/>
      <c r="BV15" s="58">
        <f t="shared" si="40"/>
        <v>46148</v>
      </c>
      <c r="BW15" s="59" t="str">
        <f t="shared" si="12"/>
        <v>水</v>
      </c>
      <c r="BX15" s="59"/>
      <c r="BY15" s="60"/>
      <c r="BZ15" s="60"/>
      <c r="CA15" s="36"/>
      <c r="CB15" s="36"/>
      <c r="CC15" s="61" t="str">
        <f t="shared" si="13"/>
        <v/>
      </c>
      <c r="CD15" s="37"/>
      <c r="CE15" s="37"/>
      <c r="CF15" s="37"/>
      <c r="CG15" s="37"/>
      <c r="CH15" s="38" t="str">
        <f t="shared" si="14"/>
        <v/>
      </c>
      <c r="CI15" s="381"/>
      <c r="CJ15" s="381"/>
      <c r="CK15" s="381"/>
      <c r="CM15" s="55"/>
      <c r="CN15" s="58">
        <f t="shared" si="41"/>
        <v>46179</v>
      </c>
      <c r="CO15" s="59" t="str">
        <f t="shared" si="15"/>
        <v>土</v>
      </c>
      <c r="CP15" s="59"/>
      <c r="CQ15" s="60"/>
      <c r="CR15" s="60"/>
      <c r="CS15" s="36"/>
      <c r="CT15" s="36"/>
      <c r="CU15" s="61" t="str">
        <f t="shared" si="16"/>
        <v/>
      </c>
      <c r="CV15" s="37"/>
      <c r="CW15" s="37"/>
      <c r="CX15" s="37"/>
      <c r="CY15" s="37"/>
      <c r="CZ15" s="38" t="str">
        <f t="shared" si="17"/>
        <v/>
      </c>
      <c r="DA15" s="381"/>
      <c r="DB15" s="381"/>
      <c r="DC15" s="381"/>
      <c r="DE15" s="55"/>
      <c r="DF15" s="58">
        <f t="shared" si="42"/>
        <v>46209</v>
      </c>
      <c r="DG15" s="59" t="str">
        <f t="shared" si="18"/>
        <v>月</v>
      </c>
      <c r="DH15" s="59" t="s">
        <v>22</v>
      </c>
      <c r="DI15" s="160">
        <v>0.375</v>
      </c>
      <c r="DJ15" s="160">
        <v>0.75</v>
      </c>
      <c r="DK15" s="161">
        <v>0.5</v>
      </c>
      <c r="DL15" s="161">
        <v>0.54166666666666663</v>
      </c>
      <c r="DM15" s="61" t="str">
        <f t="shared" si="19"/>
        <v>8h</v>
      </c>
      <c r="DN15" s="162">
        <v>0.375</v>
      </c>
      <c r="DO15" s="162">
        <v>0.75</v>
      </c>
      <c r="DP15" s="162">
        <v>0.5</v>
      </c>
      <c r="DQ15" s="162">
        <v>0.54166666666666663</v>
      </c>
      <c r="DR15" s="38" t="str">
        <f t="shared" si="20"/>
        <v>8h</v>
      </c>
      <c r="DS15" s="381"/>
      <c r="DT15" s="381"/>
      <c r="DU15" s="381"/>
      <c r="DW15" s="55"/>
      <c r="DX15" s="58">
        <f t="shared" si="43"/>
        <v>46240</v>
      </c>
      <c r="DY15" s="59" t="str">
        <f t="shared" si="21"/>
        <v>木</v>
      </c>
      <c r="DZ15" s="59" t="s">
        <v>22</v>
      </c>
      <c r="EA15" s="160">
        <v>0.375</v>
      </c>
      <c r="EB15" s="160">
        <v>0.75</v>
      </c>
      <c r="EC15" s="161">
        <v>0.5</v>
      </c>
      <c r="ED15" s="161">
        <v>0.54166666666666663</v>
      </c>
      <c r="EE15" s="61" t="str">
        <f t="shared" si="22"/>
        <v>8h</v>
      </c>
      <c r="EF15" s="162">
        <v>0.375</v>
      </c>
      <c r="EG15" s="162">
        <v>0.75</v>
      </c>
      <c r="EH15" s="162">
        <v>0.5</v>
      </c>
      <c r="EI15" s="162">
        <v>0.54166666666666663</v>
      </c>
      <c r="EJ15" s="38" t="str">
        <f t="shared" si="23"/>
        <v>8h</v>
      </c>
      <c r="EK15" s="381"/>
      <c r="EL15" s="381"/>
      <c r="EM15" s="381"/>
      <c r="EO15" s="55"/>
      <c r="EP15" s="58">
        <f t="shared" si="44"/>
        <v>46271</v>
      </c>
      <c r="EQ15" s="59" t="str">
        <f t="shared" si="24"/>
        <v>日</v>
      </c>
      <c r="ER15" s="59"/>
      <c r="ES15" s="60"/>
      <c r="ET15" s="60"/>
      <c r="EU15" s="36"/>
      <c r="EV15" s="36"/>
      <c r="EW15" s="61" t="str">
        <f t="shared" si="25"/>
        <v/>
      </c>
      <c r="EX15" s="37"/>
      <c r="EY15" s="37"/>
      <c r="EZ15" s="37"/>
      <c r="FA15" s="37"/>
      <c r="FB15" s="38" t="str">
        <f t="shared" si="26"/>
        <v/>
      </c>
      <c r="FC15" s="381"/>
      <c r="FD15" s="381"/>
      <c r="FE15" s="381"/>
      <c r="FG15" s="55"/>
      <c r="FH15" s="58">
        <f t="shared" si="45"/>
        <v>46301</v>
      </c>
      <c r="FI15" s="59" t="str">
        <f t="shared" si="27"/>
        <v>火</v>
      </c>
      <c r="FJ15" s="59" t="s">
        <v>22</v>
      </c>
      <c r="FK15" s="160">
        <v>0.375</v>
      </c>
      <c r="FL15" s="160">
        <v>0.75</v>
      </c>
      <c r="FM15" s="161">
        <v>0.5</v>
      </c>
      <c r="FN15" s="161">
        <v>0.54166666666666663</v>
      </c>
      <c r="FO15" s="61" t="str">
        <f t="shared" si="28"/>
        <v>8h</v>
      </c>
      <c r="FP15" s="162">
        <v>0.375</v>
      </c>
      <c r="FQ15" s="162">
        <v>0.75</v>
      </c>
      <c r="FR15" s="162">
        <v>0.5</v>
      </c>
      <c r="FS15" s="162">
        <v>0.54166666666666663</v>
      </c>
      <c r="FT15" s="38" t="str">
        <f t="shared" si="29"/>
        <v>8h</v>
      </c>
      <c r="FU15" s="381"/>
      <c r="FV15" s="381"/>
      <c r="FW15" s="381"/>
      <c r="FY15" s="55"/>
      <c r="FZ15" s="58">
        <f t="shared" si="46"/>
        <v>46332</v>
      </c>
      <c r="GA15" s="59" t="str">
        <f t="shared" si="30"/>
        <v>金</v>
      </c>
      <c r="GB15" s="59" t="s">
        <v>22</v>
      </c>
      <c r="GC15" s="160">
        <v>0.375</v>
      </c>
      <c r="GD15" s="160">
        <v>0.75</v>
      </c>
      <c r="GE15" s="161">
        <v>0.5</v>
      </c>
      <c r="GF15" s="161">
        <v>0.54166666666666663</v>
      </c>
      <c r="GG15" s="61" t="str">
        <f t="shared" si="31"/>
        <v>8h</v>
      </c>
      <c r="GH15" s="162">
        <v>0.375</v>
      </c>
      <c r="GI15" s="162">
        <v>0.75</v>
      </c>
      <c r="GJ15" s="162">
        <v>0.5</v>
      </c>
      <c r="GK15" s="162">
        <v>0.54166666666666663</v>
      </c>
      <c r="GL15" s="38" t="str">
        <f t="shared" si="32"/>
        <v>8h</v>
      </c>
      <c r="GM15" s="381"/>
      <c r="GN15" s="381"/>
      <c r="GO15" s="381"/>
      <c r="GQ15" s="55"/>
      <c r="GR15" s="58">
        <f t="shared" si="47"/>
        <v>46362</v>
      </c>
      <c r="GS15" s="59" t="str">
        <f t="shared" si="33"/>
        <v>日</v>
      </c>
      <c r="GT15" s="59"/>
      <c r="GU15" s="60"/>
      <c r="GV15" s="60"/>
      <c r="GW15" s="36"/>
      <c r="GX15" s="36"/>
      <c r="GY15" s="61" t="str">
        <f t="shared" si="34"/>
        <v/>
      </c>
      <c r="GZ15" s="37"/>
      <c r="HA15" s="37"/>
      <c r="HB15" s="37"/>
      <c r="HC15" s="37"/>
      <c r="HD15" s="38" t="str">
        <f t="shared" si="35"/>
        <v/>
      </c>
      <c r="HE15" s="381"/>
      <c r="HF15" s="381"/>
      <c r="HG15" s="381"/>
    </row>
    <row r="16" spans="1:215" x14ac:dyDescent="0.45">
      <c r="A16" s="55"/>
      <c r="B16" s="58">
        <f t="shared" si="36"/>
        <v>46029</v>
      </c>
      <c r="C16" s="59" t="str">
        <f t="shared" si="0"/>
        <v>水</v>
      </c>
      <c r="D16" s="59" t="s">
        <v>22</v>
      </c>
      <c r="E16" s="160">
        <v>0.375</v>
      </c>
      <c r="F16" s="160">
        <v>0.75</v>
      </c>
      <c r="G16" s="161">
        <v>0.5</v>
      </c>
      <c r="H16" s="161">
        <v>0.54166666666666663</v>
      </c>
      <c r="I16" s="61" t="str">
        <f t="shared" si="1"/>
        <v>8h</v>
      </c>
      <c r="J16" s="162">
        <v>0.375</v>
      </c>
      <c r="K16" s="162">
        <v>0.75</v>
      </c>
      <c r="L16" s="162">
        <v>0.5</v>
      </c>
      <c r="M16" s="162">
        <v>0.54166666666666663</v>
      </c>
      <c r="N16" s="38" t="str">
        <f t="shared" si="2"/>
        <v>8h</v>
      </c>
      <c r="O16" s="381"/>
      <c r="P16" s="381"/>
      <c r="Q16" s="381"/>
      <c r="S16" s="55"/>
      <c r="T16" s="58">
        <f t="shared" si="37"/>
        <v>46060</v>
      </c>
      <c r="U16" s="59" t="str">
        <f t="shared" si="3"/>
        <v>土</v>
      </c>
      <c r="V16" s="59"/>
      <c r="W16" s="60"/>
      <c r="X16" s="60"/>
      <c r="Y16" s="36"/>
      <c r="Z16" s="36"/>
      <c r="AA16" s="61" t="str">
        <f t="shared" si="4"/>
        <v/>
      </c>
      <c r="AB16" s="37"/>
      <c r="AC16" s="37"/>
      <c r="AD16" s="37"/>
      <c r="AE16" s="37"/>
      <c r="AF16" s="38" t="str">
        <f t="shared" si="5"/>
        <v/>
      </c>
      <c r="AG16" s="381"/>
      <c r="AH16" s="381"/>
      <c r="AI16" s="381"/>
      <c r="AK16" s="55"/>
      <c r="AL16" s="58">
        <f t="shared" si="38"/>
        <v>46088</v>
      </c>
      <c r="AM16" s="59" t="str">
        <f t="shared" si="6"/>
        <v>土</v>
      </c>
      <c r="AN16" s="59"/>
      <c r="AO16" s="60"/>
      <c r="AP16" s="60"/>
      <c r="AQ16" s="36"/>
      <c r="AR16" s="36"/>
      <c r="AS16" s="61" t="str">
        <f t="shared" si="7"/>
        <v/>
      </c>
      <c r="AT16" s="37"/>
      <c r="AU16" s="37"/>
      <c r="AV16" s="37"/>
      <c r="AW16" s="37"/>
      <c r="AX16" s="38" t="str">
        <f t="shared" si="8"/>
        <v/>
      </c>
      <c r="AY16" s="381"/>
      <c r="AZ16" s="381"/>
      <c r="BA16" s="381"/>
      <c r="BC16" s="55"/>
      <c r="BD16" s="58">
        <f t="shared" si="39"/>
        <v>46119</v>
      </c>
      <c r="BE16" s="59" t="str">
        <f t="shared" si="9"/>
        <v>火</v>
      </c>
      <c r="BF16" s="59" t="s">
        <v>22</v>
      </c>
      <c r="BG16" s="160">
        <v>0.375</v>
      </c>
      <c r="BH16" s="160">
        <v>0.75</v>
      </c>
      <c r="BI16" s="161">
        <v>0.5</v>
      </c>
      <c r="BJ16" s="161">
        <v>0.54166666666666663</v>
      </c>
      <c r="BK16" s="61" t="str">
        <f t="shared" si="10"/>
        <v>8h</v>
      </c>
      <c r="BL16" s="162">
        <v>0.375</v>
      </c>
      <c r="BM16" s="162">
        <v>0.75</v>
      </c>
      <c r="BN16" s="162">
        <v>0.5</v>
      </c>
      <c r="BO16" s="162">
        <v>0.54166666666666663</v>
      </c>
      <c r="BP16" s="38" t="str">
        <f t="shared" si="11"/>
        <v>8h</v>
      </c>
      <c r="BQ16" s="381"/>
      <c r="BR16" s="381"/>
      <c r="BS16" s="381"/>
      <c r="BU16" s="55"/>
      <c r="BV16" s="58">
        <f t="shared" si="40"/>
        <v>46149</v>
      </c>
      <c r="BW16" s="59" t="str">
        <f t="shared" si="12"/>
        <v>木</v>
      </c>
      <c r="BX16" s="59" t="s">
        <v>22</v>
      </c>
      <c r="BY16" s="160">
        <v>0.375</v>
      </c>
      <c r="BZ16" s="160">
        <v>0.75</v>
      </c>
      <c r="CA16" s="161">
        <v>0.5</v>
      </c>
      <c r="CB16" s="161">
        <v>0.54166666666666663</v>
      </c>
      <c r="CC16" s="61" t="str">
        <f t="shared" si="13"/>
        <v>8h</v>
      </c>
      <c r="CD16" s="162">
        <v>0.375</v>
      </c>
      <c r="CE16" s="162">
        <v>0.75</v>
      </c>
      <c r="CF16" s="162">
        <v>0.5</v>
      </c>
      <c r="CG16" s="162">
        <v>0.54166666666666663</v>
      </c>
      <c r="CH16" s="38" t="str">
        <f t="shared" si="14"/>
        <v>8h</v>
      </c>
      <c r="CI16" s="381"/>
      <c r="CJ16" s="381"/>
      <c r="CK16" s="381"/>
      <c r="CM16" s="55"/>
      <c r="CN16" s="58">
        <f t="shared" si="41"/>
        <v>46180</v>
      </c>
      <c r="CO16" s="59" t="str">
        <f t="shared" si="15"/>
        <v>日</v>
      </c>
      <c r="CP16" s="59"/>
      <c r="CQ16" s="60"/>
      <c r="CR16" s="60"/>
      <c r="CS16" s="36"/>
      <c r="CT16" s="36"/>
      <c r="CU16" s="61" t="str">
        <f t="shared" si="16"/>
        <v/>
      </c>
      <c r="CV16" s="37"/>
      <c r="CW16" s="37"/>
      <c r="CX16" s="37"/>
      <c r="CY16" s="37"/>
      <c r="CZ16" s="38" t="str">
        <f t="shared" si="17"/>
        <v/>
      </c>
      <c r="DA16" s="381"/>
      <c r="DB16" s="381"/>
      <c r="DC16" s="381"/>
      <c r="DE16" s="55"/>
      <c r="DF16" s="58">
        <f t="shared" si="42"/>
        <v>46210</v>
      </c>
      <c r="DG16" s="59" t="str">
        <f t="shared" si="18"/>
        <v>火</v>
      </c>
      <c r="DH16" s="59" t="s">
        <v>22</v>
      </c>
      <c r="DI16" s="160">
        <v>0.375</v>
      </c>
      <c r="DJ16" s="160">
        <v>0.75</v>
      </c>
      <c r="DK16" s="161">
        <v>0.5</v>
      </c>
      <c r="DL16" s="161">
        <v>0.54166666666666663</v>
      </c>
      <c r="DM16" s="61" t="str">
        <f t="shared" si="19"/>
        <v>8h</v>
      </c>
      <c r="DN16" s="162">
        <v>0.375</v>
      </c>
      <c r="DO16" s="162">
        <v>0.75</v>
      </c>
      <c r="DP16" s="162">
        <v>0.5</v>
      </c>
      <c r="DQ16" s="162">
        <v>0.54166666666666663</v>
      </c>
      <c r="DR16" s="38" t="str">
        <f t="shared" si="20"/>
        <v>8h</v>
      </c>
      <c r="DS16" s="381"/>
      <c r="DT16" s="381"/>
      <c r="DU16" s="381"/>
      <c r="DW16" s="55"/>
      <c r="DX16" s="58">
        <f t="shared" si="43"/>
        <v>46241</v>
      </c>
      <c r="DY16" s="59" t="str">
        <f t="shared" si="21"/>
        <v>金</v>
      </c>
      <c r="DZ16" s="59" t="s">
        <v>22</v>
      </c>
      <c r="EA16" s="160">
        <v>0.375</v>
      </c>
      <c r="EB16" s="160">
        <v>0.75</v>
      </c>
      <c r="EC16" s="161">
        <v>0.5</v>
      </c>
      <c r="ED16" s="161">
        <v>0.54166666666666663</v>
      </c>
      <c r="EE16" s="61" t="str">
        <f t="shared" si="22"/>
        <v>8h</v>
      </c>
      <c r="EF16" s="162">
        <v>0.375</v>
      </c>
      <c r="EG16" s="162">
        <v>0.75</v>
      </c>
      <c r="EH16" s="162">
        <v>0.5</v>
      </c>
      <c r="EI16" s="162">
        <v>0.54166666666666663</v>
      </c>
      <c r="EJ16" s="38" t="str">
        <f t="shared" si="23"/>
        <v>8h</v>
      </c>
      <c r="EK16" s="381"/>
      <c r="EL16" s="381"/>
      <c r="EM16" s="381"/>
      <c r="EO16" s="55"/>
      <c r="EP16" s="58">
        <f t="shared" si="44"/>
        <v>46272</v>
      </c>
      <c r="EQ16" s="59" t="str">
        <f t="shared" si="24"/>
        <v>月</v>
      </c>
      <c r="ER16" s="59" t="s">
        <v>22</v>
      </c>
      <c r="ES16" s="160">
        <v>0.375</v>
      </c>
      <c r="ET16" s="160">
        <v>0.75</v>
      </c>
      <c r="EU16" s="161">
        <v>0.5</v>
      </c>
      <c r="EV16" s="161">
        <v>0.54166666666666663</v>
      </c>
      <c r="EW16" s="61" t="str">
        <f t="shared" si="25"/>
        <v>8h</v>
      </c>
      <c r="EX16" s="162">
        <v>0.375</v>
      </c>
      <c r="EY16" s="162">
        <v>0.75</v>
      </c>
      <c r="EZ16" s="162">
        <v>0.5</v>
      </c>
      <c r="FA16" s="162">
        <v>0.54166666666666663</v>
      </c>
      <c r="FB16" s="38" t="str">
        <f t="shared" si="26"/>
        <v>8h</v>
      </c>
      <c r="FC16" s="381"/>
      <c r="FD16" s="381"/>
      <c r="FE16" s="381"/>
      <c r="FG16" s="55"/>
      <c r="FH16" s="58">
        <f t="shared" si="45"/>
        <v>46302</v>
      </c>
      <c r="FI16" s="59" t="str">
        <f t="shared" si="27"/>
        <v>水</v>
      </c>
      <c r="FJ16" s="59" t="s">
        <v>22</v>
      </c>
      <c r="FK16" s="160">
        <v>0.375</v>
      </c>
      <c r="FL16" s="160">
        <v>0.75</v>
      </c>
      <c r="FM16" s="161">
        <v>0.5</v>
      </c>
      <c r="FN16" s="161">
        <v>0.54166666666666663</v>
      </c>
      <c r="FO16" s="61" t="str">
        <f t="shared" si="28"/>
        <v>8h</v>
      </c>
      <c r="FP16" s="162">
        <v>0.375</v>
      </c>
      <c r="FQ16" s="162">
        <v>0.75</v>
      </c>
      <c r="FR16" s="162">
        <v>0.5</v>
      </c>
      <c r="FS16" s="162">
        <v>0.54166666666666663</v>
      </c>
      <c r="FT16" s="38" t="str">
        <f t="shared" si="29"/>
        <v>8h</v>
      </c>
      <c r="FU16" s="381"/>
      <c r="FV16" s="381"/>
      <c r="FW16" s="381"/>
      <c r="FY16" s="55"/>
      <c r="FZ16" s="58">
        <f t="shared" si="46"/>
        <v>46333</v>
      </c>
      <c r="GA16" s="59" t="str">
        <f t="shared" si="30"/>
        <v>土</v>
      </c>
      <c r="GB16" s="59"/>
      <c r="GC16" s="60"/>
      <c r="GD16" s="60"/>
      <c r="GE16" s="36"/>
      <c r="GF16" s="36"/>
      <c r="GG16" s="61" t="str">
        <f t="shared" si="31"/>
        <v/>
      </c>
      <c r="GH16" s="37"/>
      <c r="GI16" s="37"/>
      <c r="GJ16" s="37"/>
      <c r="GK16" s="37"/>
      <c r="GL16" s="38" t="str">
        <f t="shared" si="32"/>
        <v/>
      </c>
      <c r="GM16" s="381"/>
      <c r="GN16" s="381"/>
      <c r="GO16" s="381"/>
      <c r="GQ16" s="55"/>
      <c r="GR16" s="58">
        <f t="shared" si="47"/>
        <v>46363</v>
      </c>
      <c r="GS16" s="59" t="str">
        <f t="shared" si="33"/>
        <v>月</v>
      </c>
      <c r="GT16" s="59" t="s">
        <v>22</v>
      </c>
      <c r="GU16" s="160">
        <v>0.375</v>
      </c>
      <c r="GV16" s="160">
        <v>0.75</v>
      </c>
      <c r="GW16" s="161">
        <v>0.5</v>
      </c>
      <c r="GX16" s="161">
        <v>0.54166666666666663</v>
      </c>
      <c r="GY16" s="61" t="str">
        <f t="shared" si="34"/>
        <v>8h</v>
      </c>
      <c r="GZ16" s="162">
        <v>0.375</v>
      </c>
      <c r="HA16" s="162">
        <v>0.75</v>
      </c>
      <c r="HB16" s="162">
        <v>0.5</v>
      </c>
      <c r="HC16" s="162">
        <v>0.54166666666666663</v>
      </c>
      <c r="HD16" s="38" t="str">
        <f t="shared" si="35"/>
        <v>8h</v>
      </c>
      <c r="HE16" s="381"/>
      <c r="HF16" s="381"/>
      <c r="HG16" s="381"/>
    </row>
    <row r="17" spans="1:215" x14ac:dyDescent="0.45">
      <c r="A17" s="55"/>
      <c r="B17" s="58">
        <f t="shared" si="36"/>
        <v>46030</v>
      </c>
      <c r="C17" s="59" t="str">
        <f t="shared" si="0"/>
        <v>木</v>
      </c>
      <c r="D17" s="59" t="s">
        <v>22</v>
      </c>
      <c r="E17" s="160">
        <v>0.375</v>
      </c>
      <c r="F17" s="160">
        <v>0.75</v>
      </c>
      <c r="G17" s="161">
        <v>0.5</v>
      </c>
      <c r="H17" s="161">
        <v>0.54166666666666663</v>
      </c>
      <c r="I17" s="61" t="str">
        <f t="shared" si="1"/>
        <v>8h</v>
      </c>
      <c r="J17" s="162">
        <v>0.375</v>
      </c>
      <c r="K17" s="162">
        <v>0.75</v>
      </c>
      <c r="L17" s="162">
        <v>0.5</v>
      </c>
      <c r="M17" s="162">
        <v>0.54166666666666663</v>
      </c>
      <c r="N17" s="38" t="str">
        <f t="shared" si="2"/>
        <v>8h</v>
      </c>
      <c r="O17" s="381"/>
      <c r="P17" s="381"/>
      <c r="Q17" s="381"/>
      <c r="S17" s="55"/>
      <c r="T17" s="58">
        <f t="shared" si="37"/>
        <v>46061</v>
      </c>
      <c r="U17" s="59" t="str">
        <f t="shared" si="3"/>
        <v>日</v>
      </c>
      <c r="V17" s="59"/>
      <c r="W17" s="60"/>
      <c r="X17" s="60"/>
      <c r="Y17" s="36"/>
      <c r="Z17" s="36"/>
      <c r="AA17" s="61" t="str">
        <f t="shared" si="4"/>
        <v/>
      </c>
      <c r="AB17" s="37"/>
      <c r="AC17" s="37"/>
      <c r="AD17" s="37"/>
      <c r="AE17" s="37"/>
      <c r="AF17" s="38" t="str">
        <f t="shared" si="5"/>
        <v/>
      </c>
      <c r="AG17" s="381"/>
      <c r="AH17" s="381"/>
      <c r="AI17" s="381"/>
      <c r="AK17" s="55"/>
      <c r="AL17" s="58">
        <f t="shared" si="38"/>
        <v>46089</v>
      </c>
      <c r="AM17" s="59" t="str">
        <f t="shared" si="6"/>
        <v>日</v>
      </c>
      <c r="AN17" s="59"/>
      <c r="AO17" s="60"/>
      <c r="AP17" s="60"/>
      <c r="AQ17" s="36"/>
      <c r="AR17" s="36"/>
      <c r="AS17" s="61" t="str">
        <f t="shared" si="7"/>
        <v/>
      </c>
      <c r="AT17" s="37"/>
      <c r="AU17" s="37"/>
      <c r="AV17" s="37"/>
      <c r="AW17" s="37"/>
      <c r="AX17" s="38" t="str">
        <f t="shared" si="8"/>
        <v/>
      </c>
      <c r="AY17" s="381"/>
      <c r="AZ17" s="381"/>
      <c r="BA17" s="381"/>
      <c r="BC17" s="55"/>
      <c r="BD17" s="58">
        <f t="shared" si="39"/>
        <v>46120</v>
      </c>
      <c r="BE17" s="59" t="str">
        <f t="shared" si="9"/>
        <v>水</v>
      </c>
      <c r="BF17" s="59" t="s">
        <v>22</v>
      </c>
      <c r="BG17" s="160">
        <v>0.375</v>
      </c>
      <c r="BH17" s="160">
        <v>0.75</v>
      </c>
      <c r="BI17" s="161">
        <v>0.5</v>
      </c>
      <c r="BJ17" s="161">
        <v>0.54166666666666663</v>
      </c>
      <c r="BK17" s="61" t="str">
        <f t="shared" si="10"/>
        <v>8h</v>
      </c>
      <c r="BL17" s="162">
        <v>0.375</v>
      </c>
      <c r="BM17" s="162">
        <v>0.75</v>
      </c>
      <c r="BN17" s="162">
        <v>0.5</v>
      </c>
      <c r="BO17" s="162">
        <v>0.54166666666666663</v>
      </c>
      <c r="BP17" s="38" t="str">
        <f t="shared" si="11"/>
        <v>8h</v>
      </c>
      <c r="BQ17" s="381"/>
      <c r="BR17" s="381"/>
      <c r="BS17" s="381"/>
      <c r="BU17" s="55"/>
      <c r="BV17" s="58">
        <f t="shared" si="40"/>
        <v>46150</v>
      </c>
      <c r="BW17" s="59" t="str">
        <f t="shared" si="12"/>
        <v>金</v>
      </c>
      <c r="BX17" s="59" t="s">
        <v>22</v>
      </c>
      <c r="BY17" s="160">
        <v>0.375</v>
      </c>
      <c r="BZ17" s="160">
        <v>0.75</v>
      </c>
      <c r="CA17" s="161">
        <v>0.5</v>
      </c>
      <c r="CB17" s="161">
        <v>0.54166666666666663</v>
      </c>
      <c r="CC17" s="61" t="str">
        <f t="shared" si="13"/>
        <v>8h</v>
      </c>
      <c r="CD17" s="162">
        <v>0.375</v>
      </c>
      <c r="CE17" s="162">
        <v>0.75</v>
      </c>
      <c r="CF17" s="162">
        <v>0.5</v>
      </c>
      <c r="CG17" s="162">
        <v>0.54166666666666663</v>
      </c>
      <c r="CH17" s="38" t="str">
        <f t="shared" si="14"/>
        <v>8h</v>
      </c>
      <c r="CI17" s="381"/>
      <c r="CJ17" s="381"/>
      <c r="CK17" s="381"/>
      <c r="CM17" s="55"/>
      <c r="CN17" s="58">
        <f t="shared" si="41"/>
        <v>46181</v>
      </c>
      <c r="CO17" s="59" t="str">
        <f t="shared" si="15"/>
        <v>月</v>
      </c>
      <c r="CP17" s="59" t="s">
        <v>22</v>
      </c>
      <c r="CQ17" s="160">
        <v>0.375</v>
      </c>
      <c r="CR17" s="160">
        <v>0.75</v>
      </c>
      <c r="CS17" s="161">
        <v>0.5</v>
      </c>
      <c r="CT17" s="161">
        <v>0.54166666666666663</v>
      </c>
      <c r="CU17" s="61" t="str">
        <f t="shared" si="16"/>
        <v>8h</v>
      </c>
      <c r="CV17" s="162">
        <v>0.375</v>
      </c>
      <c r="CW17" s="162">
        <v>0.75</v>
      </c>
      <c r="CX17" s="162">
        <v>0.5</v>
      </c>
      <c r="CY17" s="162">
        <v>0.54166666666666663</v>
      </c>
      <c r="CZ17" s="38" t="str">
        <f t="shared" si="17"/>
        <v>8h</v>
      </c>
      <c r="DA17" s="381"/>
      <c r="DB17" s="381"/>
      <c r="DC17" s="381"/>
      <c r="DE17" s="55"/>
      <c r="DF17" s="58">
        <f t="shared" si="42"/>
        <v>46211</v>
      </c>
      <c r="DG17" s="59" t="str">
        <f t="shared" si="18"/>
        <v>水</v>
      </c>
      <c r="DH17" s="59" t="s">
        <v>22</v>
      </c>
      <c r="DI17" s="160">
        <v>0.375</v>
      </c>
      <c r="DJ17" s="160">
        <v>0.75</v>
      </c>
      <c r="DK17" s="161">
        <v>0.5</v>
      </c>
      <c r="DL17" s="161">
        <v>0.54166666666666663</v>
      </c>
      <c r="DM17" s="61" t="str">
        <f t="shared" si="19"/>
        <v>8h</v>
      </c>
      <c r="DN17" s="162">
        <v>0.375</v>
      </c>
      <c r="DO17" s="162">
        <v>0.75</v>
      </c>
      <c r="DP17" s="162">
        <v>0.5</v>
      </c>
      <c r="DQ17" s="162">
        <v>0.54166666666666663</v>
      </c>
      <c r="DR17" s="38" t="str">
        <f t="shared" si="20"/>
        <v>8h</v>
      </c>
      <c r="DS17" s="381"/>
      <c r="DT17" s="381"/>
      <c r="DU17" s="381"/>
      <c r="DW17" s="55"/>
      <c r="DX17" s="58">
        <f t="shared" si="43"/>
        <v>46242</v>
      </c>
      <c r="DY17" s="59" t="str">
        <f t="shared" si="21"/>
        <v>土</v>
      </c>
      <c r="DZ17" s="59"/>
      <c r="EA17" s="60"/>
      <c r="EB17" s="60"/>
      <c r="EC17" s="36"/>
      <c r="ED17" s="36"/>
      <c r="EE17" s="61" t="str">
        <f t="shared" si="22"/>
        <v/>
      </c>
      <c r="EF17" s="37"/>
      <c r="EG17" s="37"/>
      <c r="EH17" s="37"/>
      <c r="EI17" s="37"/>
      <c r="EJ17" s="38" t="str">
        <f t="shared" si="23"/>
        <v/>
      </c>
      <c r="EK17" s="381"/>
      <c r="EL17" s="381"/>
      <c r="EM17" s="381"/>
      <c r="EO17" s="55"/>
      <c r="EP17" s="58">
        <f t="shared" si="44"/>
        <v>46273</v>
      </c>
      <c r="EQ17" s="59" t="str">
        <f t="shared" si="24"/>
        <v>火</v>
      </c>
      <c r="ER17" s="59" t="s">
        <v>22</v>
      </c>
      <c r="ES17" s="160">
        <v>0.375</v>
      </c>
      <c r="ET17" s="160">
        <v>0.75</v>
      </c>
      <c r="EU17" s="161">
        <v>0.5</v>
      </c>
      <c r="EV17" s="161">
        <v>0.54166666666666663</v>
      </c>
      <c r="EW17" s="61" t="str">
        <f t="shared" si="25"/>
        <v>8h</v>
      </c>
      <c r="EX17" s="162">
        <v>0.375</v>
      </c>
      <c r="EY17" s="162">
        <v>0.75</v>
      </c>
      <c r="EZ17" s="162">
        <v>0.5</v>
      </c>
      <c r="FA17" s="162">
        <v>0.54166666666666663</v>
      </c>
      <c r="FB17" s="38" t="str">
        <f t="shared" si="26"/>
        <v>8h</v>
      </c>
      <c r="FC17" s="381"/>
      <c r="FD17" s="381"/>
      <c r="FE17" s="381"/>
      <c r="FG17" s="55"/>
      <c r="FH17" s="58">
        <f t="shared" si="45"/>
        <v>46303</v>
      </c>
      <c r="FI17" s="59" t="str">
        <f t="shared" si="27"/>
        <v>木</v>
      </c>
      <c r="FJ17" s="59" t="s">
        <v>22</v>
      </c>
      <c r="FK17" s="160">
        <v>0.375</v>
      </c>
      <c r="FL17" s="160">
        <v>0.75</v>
      </c>
      <c r="FM17" s="161">
        <v>0.5</v>
      </c>
      <c r="FN17" s="161">
        <v>0.54166666666666663</v>
      </c>
      <c r="FO17" s="61" t="str">
        <f t="shared" si="28"/>
        <v>8h</v>
      </c>
      <c r="FP17" s="162">
        <v>0.375</v>
      </c>
      <c r="FQ17" s="162">
        <v>0.75</v>
      </c>
      <c r="FR17" s="162">
        <v>0.5</v>
      </c>
      <c r="FS17" s="162">
        <v>0.54166666666666663</v>
      </c>
      <c r="FT17" s="38" t="str">
        <f t="shared" si="29"/>
        <v>8h</v>
      </c>
      <c r="FU17" s="381"/>
      <c r="FV17" s="381"/>
      <c r="FW17" s="381"/>
      <c r="FY17" s="55"/>
      <c r="FZ17" s="58">
        <f t="shared" si="46"/>
        <v>46334</v>
      </c>
      <c r="GA17" s="59" t="str">
        <f t="shared" si="30"/>
        <v>日</v>
      </c>
      <c r="GB17" s="59"/>
      <c r="GC17" s="60"/>
      <c r="GD17" s="60"/>
      <c r="GE17" s="36"/>
      <c r="GF17" s="36"/>
      <c r="GG17" s="61" t="str">
        <f t="shared" si="31"/>
        <v/>
      </c>
      <c r="GH17" s="37"/>
      <c r="GI17" s="37"/>
      <c r="GJ17" s="37"/>
      <c r="GK17" s="37"/>
      <c r="GL17" s="38" t="str">
        <f t="shared" si="32"/>
        <v/>
      </c>
      <c r="GM17" s="381"/>
      <c r="GN17" s="381"/>
      <c r="GO17" s="381"/>
      <c r="GQ17" s="55"/>
      <c r="GR17" s="58">
        <f t="shared" si="47"/>
        <v>46364</v>
      </c>
      <c r="GS17" s="59" t="str">
        <f t="shared" si="33"/>
        <v>火</v>
      </c>
      <c r="GT17" s="59" t="s">
        <v>22</v>
      </c>
      <c r="GU17" s="160">
        <v>0.375</v>
      </c>
      <c r="GV17" s="160">
        <v>0.75</v>
      </c>
      <c r="GW17" s="161">
        <v>0.5</v>
      </c>
      <c r="GX17" s="161">
        <v>0.54166666666666663</v>
      </c>
      <c r="GY17" s="61" t="str">
        <f t="shared" si="34"/>
        <v>8h</v>
      </c>
      <c r="GZ17" s="162">
        <v>0.375</v>
      </c>
      <c r="HA17" s="162">
        <v>0.75</v>
      </c>
      <c r="HB17" s="162">
        <v>0.5</v>
      </c>
      <c r="HC17" s="162">
        <v>0.54166666666666663</v>
      </c>
      <c r="HD17" s="38" t="str">
        <f t="shared" si="35"/>
        <v>8h</v>
      </c>
      <c r="HE17" s="381"/>
      <c r="HF17" s="381"/>
      <c r="HG17" s="381"/>
    </row>
    <row r="18" spans="1:215" x14ac:dyDescent="0.45">
      <c r="A18" s="55"/>
      <c r="B18" s="58">
        <f t="shared" si="36"/>
        <v>46031</v>
      </c>
      <c r="C18" s="59" t="str">
        <f t="shared" si="0"/>
        <v>金</v>
      </c>
      <c r="D18" s="59" t="s">
        <v>22</v>
      </c>
      <c r="E18" s="160">
        <v>0.375</v>
      </c>
      <c r="F18" s="160">
        <v>0.75</v>
      </c>
      <c r="G18" s="161">
        <v>0.5</v>
      </c>
      <c r="H18" s="161">
        <v>0.54166666666666663</v>
      </c>
      <c r="I18" s="61" t="str">
        <f t="shared" si="1"/>
        <v>8h</v>
      </c>
      <c r="J18" s="162">
        <v>0.375</v>
      </c>
      <c r="K18" s="162">
        <v>0.75</v>
      </c>
      <c r="L18" s="162">
        <v>0.5</v>
      </c>
      <c r="M18" s="162">
        <v>0.54166666666666663</v>
      </c>
      <c r="N18" s="38" t="str">
        <f t="shared" si="2"/>
        <v>8h</v>
      </c>
      <c r="O18" s="381"/>
      <c r="P18" s="381"/>
      <c r="Q18" s="381"/>
      <c r="S18" s="55"/>
      <c r="T18" s="58">
        <f t="shared" si="37"/>
        <v>46062</v>
      </c>
      <c r="U18" s="59" t="str">
        <f t="shared" si="3"/>
        <v>月</v>
      </c>
      <c r="V18" s="59" t="s">
        <v>22</v>
      </c>
      <c r="W18" s="160">
        <v>0.375</v>
      </c>
      <c r="X18" s="160">
        <v>0.75</v>
      </c>
      <c r="Y18" s="161">
        <v>0.5</v>
      </c>
      <c r="Z18" s="161">
        <v>0.54166666666666663</v>
      </c>
      <c r="AA18" s="61" t="str">
        <f t="shared" si="4"/>
        <v>8h</v>
      </c>
      <c r="AB18" s="162">
        <v>0.375</v>
      </c>
      <c r="AC18" s="162">
        <v>0.75</v>
      </c>
      <c r="AD18" s="162">
        <v>0.5</v>
      </c>
      <c r="AE18" s="162">
        <v>0.54166666666666663</v>
      </c>
      <c r="AF18" s="38" t="str">
        <f t="shared" si="5"/>
        <v>8h</v>
      </c>
      <c r="AG18" s="381"/>
      <c r="AH18" s="381"/>
      <c r="AI18" s="381"/>
      <c r="AK18" s="55"/>
      <c r="AL18" s="58">
        <f t="shared" si="38"/>
        <v>46090</v>
      </c>
      <c r="AM18" s="59" t="str">
        <f t="shared" si="6"/>
        <v>月</v>
      </c>
      <c r="AN18" s="59" t="s">
        <v>22</v>
      </c>
      <c r="AO18" s="160">
        <v>0.375</v>
      </c>
      <c r="AP18" s="160">
        <v>0.75</v>
      </c>
      <c r="AQ18" s="161">
        <v>0.5</v>
      </c>
      <c r="AR18" s="161">
        <v>0.54166666666666663</v>
      </c>
      <c r="AS18" s="61" t="str">
        <f t="shared" si="7"/>
        <v>8h</v>
      </c>
      <c r="AT18" s="162">
        <v>0.375</v>
      </c>
      <c r="AU18" s="162">
        <v>0.75</v>
      </c>
      <c r="AV18" s="162">
        <v>0.5</v>
      </c>
      <c r="AW18" s="162">
        <v>0.54166666666666663</v>
      </c>
      <c r="AX18" s="38" t="str">
        <f t="shared" si="8"/>
        <v>8h</v>
      </c>
      <c r="AY18" s="381"/>
      <c r="AZ18" s="381"/>
      <c r="BA18" s="381"/>
      <c r="BC18" s="55"/>
      <c r="BD18" s="58">
        <f t="shared" si="39"/>
        <v>46121</v>
      </c>
      <c r="BE18" s="59" t="str">
        <f t="shared" si="9"/>
        <v>木</v>
      </c>
      <c r="BF18" s="59" t="s">
        <v>22</v>
      </c>
      <c r="BG18" s="160">
        <v>0.375</v>
      </c>
      <c r="BH18" s="160">
        <v>0.75</v>
      </c>
      <c r="BI18" s="161">
        <v>0.5</v>
      </c>
      <c r="BJ18" s="161">
        <v>0.54166666666666663</v>
      </c>
      <c r="BK18" s="61" t="str">
        <f t="shared" si="10"/>
        <v>8h</v>
      </c>
      <c r="BL18" s="162">
        <v>0.375</v>
      </c>
      <c r="BM18" s="162">
        <v>0.75</v>
      </c>
      <c r="BN18" s="162">
        <v>0.5</v>
      </c>
      <c r="BO18" s="162">
        <v>0.54166666666666663</v>
      </c>
      <c r="BP18" s="38" t="str">
        <f t="shared" si="11"/>
        <v>8h</v>
      </c>
      <c r="BQ18" s="381"/>
      <c r="BR18" s="381"/>
      <c r="BS18" s="381"/>
      <c r="BU18" s="55"/>
      <c r="BV18" s="58">
        <f t="shared" si="40"/>
        <v>46151</v>
      </c>
      <c r="BW18" s="59" t="str">
        <f t="shared" si="12"/>
        <v>土</v>
      </c>
      <c r="BX18" s="59"/>
      <c r="BY18" s="60"/>
      <c r="BZ18" s="60"/>
      <c r="CA18" s="36"/>
      <c r="CB18" s="36"/>
      <c r="CC18" s="61" t="str">
        <f t="shared" si="13"/>
        <v/>
      </c>
      <c r="CD18" s="37"/>
      <c r="CE18" s="37"/>
      <c r="CF18" s="37"/>
      <c r="CG18" s="37"/>
      <c r="CH18" s="38" t="str">
        <f t="shared" si="14"/>
        <v/>
      </c>
      <c r="CI18" s="381"/>
      <c r="CJ18" s="381"/>
      <c r="CK18" s="381"/>
      <c r="CM18" s="55"/>
      <c r="CN18" s="58">
        <f t="shared" si="41"/>
        <v>46182</v>
      </c>
      <c r="CO18" s="59" t="str">
        <f t="shared" si="15"/>
        <v>火</v>
      </c>
      <c r="CP18" s="59" t="s">
        <v>22</v>
      </c>
      <c r="CQ18" s="160">
        <v>0.375</v>
      </c>
      <c r="CR18" s="160">
        <v>0.75</v>
      </c>
      <c r="CS18" s="161">
        <v>0.5</v>
      </c>
      <c r="CT18" s="161">
        <v>0.54166666666666663</v>
      </c>
      <c r="CU18" s="61" t="str">
        <f t="shared" si="16"/>
        <v>8h</v>
      </c>
      <c r="CV18" s="162">
        <v>0.375</v>
      </c>
      <c r="CW18" s="162">
        <v>0.75</v>
      </c>
      <c r="CX18" s="162">
        <v>0.5</v>
      </c>
      <c r="CY18" s="162">
        <v>0.54166666666666663</v>
      </c>
      <c r="CZ18" s="38" t="str">
        <f t="shared" si="17"/>
        <v>8h</v>
      </c>
      <c r="DA18" s="381"/>
      <c r="DB18" s="381"/>
      <c r="DC18" s="381"/>
      <c r="DE18" s="55"/>
      <c r="DF18" s="58">
        <f t="shared" si="42"/>
        <v>46212</v>
      </c>
      <c r="DG18" s="59" t="str">
        <f t="shared" si="18"/>
        <v>木</v>
      </c>
      <c r="DH18" s="59" t="s">
        <v>22</v>
      </c>
      <c r="DI18" s="160">
        <v>0.375</v>
      </c>
      <c r="DJ18" s="160">
        <v>0.75</v>
      </c>
      <c r="DK18" s="161">
        <v>0.5</v>
      </c>
      <c r="DL18" s="161">
        <v>0.54166666666666663</v>
      </c>
      <c r="DM18" s="61" t="str">
        <f t="shared" si="19"/>
        <v>8h</v>
      </c>
      <c r="DN18" s="162">
        <v>0.375</v>
      </c>
      <c r="DO18" s="162">
        <v>0.75</v>
      </c>
      <c r="DP18" s="162">
        <v>0.5</v>
      </c>
      <c r="DQ18" s="162">
        <v>0.54166666666666663</v>
      </c>
      <c r="DR18" s="38" t="str">
        <f t="shared" si="20"/>
        <v>8h</v>
      </c>
      <c r="DS18" s="381"/>
      <c r="DT18" s="381"/>
      <c r="DU18" s="381"/>
      <c r="DW18" s="55"/>
      <c r="DX18" s="58">
        <f t="shared" si="43"/>
        <v>46243</v>
      </c>
      <c r="DY18" s="59" t="str">
        <f t="shared" si="21"/>
        <v>日</v>
      </c>
      <c r="DZ18" s="59"/>
      <c r="EA18" s="60"/>
      <c r="EB18" s="60"/>
      <c r="EC18" s="36"/>
      <c r="ED18" s="36"/>
      <c r="EE18" s="61" t="str">
        <f t="shared" si="22"/>
        <v/>
      </c>
      <c r="EF18" s="37"/>
      <c r="EG18" s="37"/>
      <c r="EH18" s="37"/>
      <c r="EI18" s="37"/>
      <c r="EJ18" s="38" t="str">
        <f t="shared" si="23"/>
        <v/>
      </c>
      <c r="EK18" s="381"/>
      <c r="EL18" s="381"/>
      <c r="EM18" s="381"/>
      <c r="EO18" s="55"/>
      <c r="EP18" s="58">
        <f t="shared" si="44"/>
        <v>46274</v>
      </c>
      <c r="EQ18" s="59" t="str">
        <f t="shared" si="24"/>
        <v>水</v>
      </c>
      <c r="ER18" s="59" t="s">
        <v>22</v>
      </c>
      <c r="ES18" s="160">
        <v>0.375</v>
      </c>
      <c r="ET18" s="160">
        <v>0.75</v>
      </c>
      <c r="EU18" s="161">
        <v>0.5</v>
      </c>
      <c r="EV18" s="161">
        <v>0.54166666666666663</v>
      </c>
      <c r="EW18" s="61" t="str">
        <f t="shared" si="25"/>
        <v>8h</v>
      </c>
      <c r="EX18" s="162">
        <v>0.375</v>
      </c>
      <c r="EY18" s="162">
        <v>0.75</v>
      </c>
      <c r="EZ18" s="162">
        <v>0.5</v>
      </c>
      <c r="FA18" s="162">
        <v>0.54166666666666663</v>
      </c>
      <c r="FB18" s="38" t="str">
        <f t="shared" si="26"/>
        <v>8h</v>
      </c>
      <c r="FC18" s="381"/>
      <c r="FD18" s="381"/>
      <c r="FE18" s="381"/>
      <c r="FG18" s="55"/>
      <c r="FH18" s="58">
        <f t="shared" si="45"/>
        <v>46304</v>
      </c>
      <c r="FI18" s="59" t="str">
        <f t="shared" si="27"/>
        <v>金</v>
      </c>
      <c r="FJ18" s="59" t="s">
        <v>22</v>
      </c>
      <c r="FK18" s="160">
        <v>0.375</v>
      </c>
      <c r="FL18" s="160">
        <v>0.75</v>
      </c>
      <c r="FM18" s="161">
        <v>0.5</v>
      </c>
      <c r="FN18" s="161">
        <v>0.54166666666666663</v>
      </c>
      <c r="FO18" s="61" t="str">
        <f t="shared" si="28"/>
        <v>8h</v>
      </c>
      <c r="FP18" s="162">
        <v>0.375</v>
      </c>
      <c r="FQ18" s="162">
        <v>0.75</v>
      </c>
      <c r="FR18" s="162">
        <v>0.5</v>
      </c>
      <c r="FS18" s="162">
        <v>0.54166666666666663</v>
      </c>
      <c r="FT18" s="38" t="str">
        <f t="shared" si="29"/>
        <v>8h</v>
      </c>
      <c r="FU18" s="381"/>
      <c r="FV18" s="381"/>
      <c r="FW18" s="381"/>
      <c r="FY18" s="55"/>
      <c r="FZ18" s="58">
        <f t="shared" si="46"/>
        <v>46335</v>
      </c>
      <c r="GA18" s="59" t="str">
        <f t="shared" si="30"/>
        <v>月</v>
      </c>
      <c r="GB18" s="59" t="s">
        <v>22</v>
      </c>
      <c r="GC18" s="160">
        <v>0.375</v>
      </c>
      <c r="GD18" s="160">
        <v>0.75</v>
      </c>
      <c r="GE18" s="161">
        <v>0.5</v>
      </c>
      <c r="GF18" s="161">
        <v>0.54166666666666663</v>
      </c>
      <c r="GG18" s="61" t="str">
        <f t="shared" si="31"/>
        <v>8h</v>
      </c>
      <c r="GH18" s="162">
        <v>0.375</v>
      </c>
      <c r="GI18" s="162">
        <v>0.75</v>
      </c>
      <c r="GJ18" s="162">
        <v>0.5</v>
      </c>
      <c r="GK18" s="162">
        <v>0.54166666666666663</v>
      </c>
      <c r="GL18" s="38" t="str">
        <f t="shared" si="32"/>
        <v>8h</v>
      </c>
      <c r="GM18" s="381"/>
      <c r="GN18" s="381"/>
      <c r="GO18" s="381"/>
      <c r="GQ18" s="55"/>
      <c r="GR18" s="58">
        <f t="shared" si="47"/>
        <v>46365</v>
      </c>
      <c r="GS18" s="59" t="str">
        <f t="shared" si="33"/>
        <v>水</v>
      </c>
      <c r="GT18" s="59" t="s">
        <v>22</v>
      </c>
      <c r="GU18" s="160">
        <v>0.375</v>
      </c>
      <c r="GV18" s="160">
        <v>0.75</v>
      </c>
      <c r="GW18" s="161">
        <v>0.5</v>
      </c>
      <c r="GX18" s="161">
        <v>0.54166666666666663</v>
      </c>
      <c r="GY18" s="61" t="str">
        <f t="shared" si="34"/>
        <v>8h</v>
      </c>
      <c r="GZ18" s="162">
        <v>0.375</v>
      </c>
      <c r="HA18" s="162">
        <v>0.75</v>
      </c>
      <c r="HB18" s="162">
        <v>0.5</v>
      </c>
      <c r="HC18" s="162">
        <v>0.54166666666666663</v>
      </c>
      <c r="HD18" s="38" t="str">
        <f t="shared" si="35"/>
        <v>8h</v>
      </c>
      <c r="HE18" s="381"/>
      <c r="HF18" s="381"/>
      <c r="HG18" s="381"/>
    </row>
    <row r="19" spans="1:215" x14ac:dyDescent="0.45">
      <c r="A19" s="55"/>
      <c r="B19" s="58">
        <f t="shared" si="36"/>
        <v>46032</v>
      </c>
      <c r="C19" s="59" t="str">
        <f t="shared" si="0"/>
        <v>土</v>
      </c>
      <c r="D19" s="59"/>
      <c r="E19" s="60"/>
      <c r="F19" s="60"/>
      <c r="G19" s="36"/>
      <c r="H19" s="36"/>
      <c r="I19" s="61" t="str">
        <f t="shared" si="1"/>
        <v/>
      </c>
      <c r="J19" s="37"/>
      <c r="K19" s="37"/>
      <c r="L19" s="37"/>
      <c r="M19" s="37"/>
      <c r="N19" s="38" t="str">
        <f t="shared" si="2"/>
        <v/>
      </c>
      <c r="O19" s="381"/>
      <c r="P19" s="381"/>
      <c r="Q19" s="381"/>
      <c r="S19" s="55"/>
      <c r="T19" s="58">
        <f t="shared" si="37"/>
        <v>46063</v>
      </c>
      <c r="U19" s="59" t="str">
        <f t="shared" si="3"/>
        <v>火</v>
      </c>
      <c r="V19" s="59" t="s">
        <v>22</v>
      </c>
      <c r="W19" s="160">
        <v>0.375</v>
      </c>
      <c r="X19" s="160">
        <v>0.75</v>
      </c>
      <c r="Y19" s="161">
        <v>0.5</v>
      </c>
      <c r="Z19" s="161">
        <v>0.54166666666666663</v>
      </c>
      <c r="AA19" s="61" t="str">
        <f t="shared" si="4"/>
        <v>8h</v>
      </c>
      <c r="AB19" s="162">
        <v>0.375</v>
      </c>
      <c r="AC19" s="162">
        <v>0.75</v>
      </c>
      <c r="AD19" s="162">
        <v>0.5</v>
      </c>
      <c r="AE19" s="162">
        <v>0.54166666666666663</v>
      </c>
      <c r="AF19" s="38" t="str">
        <f t="shared" si="5"/>
        <v>8h</v>
      </c>
      <c r="AG19" s="381"/>
      <c r="AH19" s="381"/>
      <c r="AI19" s="381"/>
      <c r="AK19" s="55"/>
      <c r="AL19" s="58">
        <f t="shared" si="38"/>
        <v>46091</v>
      </c>
      <c r="AM19" s="59" t="str">
        <f t="shared" si="6"/>
        <v>火</v>
      </c>
      <c r="AN19" s="59" t="s">
        <v>22</v>
      </c>
      <c r="AO19" s="160">
        <v>0.375</v>
      </c>
      <c r="AP19" s="160">
        <v>0.75</v>
      </c>
      <c r="AQ19" s="161">
        <v>0.5</v>
      </c>
      <c r="AR19" s="161">
        <v>0.54166666666666663</v>
      </c>
      <c r="AS19" s="61" t="str">
        <f t="shared" si="7"/>
        <v>8h</v>
      </c>
      <c r="AT19" s="162">
        <v>0.375</v>
      </c>
      <c r="AU19" s="162">
        <v>0.75</v>
      </c>
      <c r="AV19" s="162">
        <v>0.5</v>
      </c>
      <c r="AW19" s="162">
        <v>0.54166666666666663</v>
      </c>
      <c r="AX19" s="38" t="str">
        <f t="shared" si="8"/>
        <v>8h</v>
      </c>
      <c r="AY19" s="381"/>
      <c r="AZ19" s="381"/>
      <c r="BA19" s="381"/>
      <c r="BC19" s="55"/>
      <c r="BD19" s="58">
        <f t="shared" si="39"/>
        <v>46122</v>
      </c>
      <c r="BE19" s="59" t="str">
        <f t="shared" si="9"/>
        <v>金</v>
      </c>
      <c r="BF19" s="59" t="s">
        <v>22</v>
      </c>
      <c r="BG19" s="160">
        <v>0.375</v>
      </c>
      <c r="BH19" s="160">
        <v>0.75</v>
      </c>
      <c r="BI19" s="161">
        <v>0.5</v>
      </c>
      <c r="BJ19" s="161">
        <v>0.54166666666666663</v>
      </c>
      <c r="BK19" s="61" t="str">
        <f t="shared" si="10"/>
        <v>8h</v>
      </c>
      <c r="BL19" s="162">
        <v>0.375</v>
      </c>
      <c r="BM19" s="162">
        <v>0.75</v>
      </c>
      <c r="BN19" s="162">
        <v>0.5</v>
      </c>
      <c r="BO19" s="162">
        <v>0.54166666666666663</v>
      </c>
      <c r="BP19" s="38" t="str">
        <f t="shared" si="11"/>
        <v>8h</v>
      </c>
      <c r="BQ19" s="381"/>
      <c r="BR19" s="381"/>
      <c r="BS19" s="381"/>
      <c r="BU19" s="55"/>
      <c r="BV19" s="58">
        <f t="shared" si="40"/>
        <v>46152</v>
      </c>
      <c r="BW19" s="59" t="str">
        <f t="shared" si="12"/>
        <v>日</v>
      </c>
      <c r="BX19" s="59"/>
      <c r="BY19" s="60"/>
      <c r="BZ19" s="60"/>
      <c r="CA19" s="36"/>
      <c r="CB19" s="36"/>
      <c r="CC19" s="61" t="str">
        <f t="shared" si="13"/>
        <v/>
      </c>
      <c r="CD19" s="37"/>
      <c r="CE19" s="37"/>
      <c r="CF19" s="37"/>
      <c r="CG19" s="37"/>
      <c r="CH19" s="38" t="str">
        <f t="shared" si="14"/>
        <v/>
      </c>
      <c r="CI19" s="381"/>
      <c r="CJ19" s="381"/>
      <c r="CK19" s="381"/>
      <c r="CM19" s="55"/>
      <c r="CN19" s="58">
        <f t="shared" si="41"/>
        <v>46183</v>
      </c>
      <c r="CO19" s="59" t="str">
        <f t="shared" si="15"/>
        <v>水</v>
      </c>
      <c r="CP19" s="59" t="s">
        <v>22</v>
      </c>
      <c r="CQ19" s="160">
        <v>0.375</v>
      </c>
      <c r="CR19" s="160">
        <v>0.75</v>
      </c>
      <c r="CS19" s="161">
        <v>0.5</v>
      </c>
      <c r="CT19" s="161">
        <v>0.54166666666666663</v>
      </c>
      <c r="CU19" s="61" t="str">
        <f t="shared" si="16"/>
        <v>8h</v>
      </c>
      <c r="CV19" s="162">
        <v>0.375</v>
      </c>
      <c r="CW19" s="162">
        <v>0.75</v>
      </c>
      <c r="CX19" s="162">
        <v>0.5</v>
      </c>
      <c r="CY19" s="162">
        <v>0.54166666666666663</v>
      </c>
      <c r="CZ19" s="38" t="str">
        <f t="shared" si="17"/>
        <v>8h</v>
      </c>
      <c r="DA19" s="381"/>
      <c r="DB19" s="381"/>
      <c r="DC19" s="381"/>
      <c r="DE19" s="55"/>
      <c r="DF19" s="58">
        <f t="shared" si="42"/>
        <v>46213</v>
      </c>
      <c r="DG19" s="59" t="str">
        <f t="shared" si="18"/>
        <v>金</v>
      </c>
      <c r="DH19" s="59" t="s">
        <v>22</v>
      </c>
      <c r="DI19" s="160">
        <v>0.375</v>
      </c>
      <c r="DJ19" s="160">
        <v>0.75</v>
      </c>
      <c r="DK19" s="161">
        <v>0.5</v>
      </c>
      <c r="DL19" s="161">
        <v>0.54166666666666663</v>
      </c>
      <c r="DM19" s="61" t="str">
        <f t="shared" si="19"/>
        <v>8h</v>
      </c>
      <c r="DN19" s="162">
        <v>0.375</v>
      </c>
      <c r="DO19" s="162">
        <v>0.75</v>
      </c>
      <c r="DP19" s="162">
        <v>0.5</v>
      </c>
      <c r="DQ19" s="162">
        <v>0.54166666666666663</v>
      </c>
      <c r="DR19" s="38" t="str">
        <f t="shared" si="20"/>
        <v>8h</v>
      </c>
      <c r="DS19" s="381"/>
      <c r="DT19" s="381"/>
      <c r="DU19" s="381"/>
      <c r="DW19" s="55"/>
      <c r="DX19" s="58">
        <f t="shared" si="43"/>
        <v>46244</v>
      </c>
      <c r="DY19" s="59" t="str">
        <f t="shared" si="21"/>
        <v>月</v>
      </c>
      <c r="DZ19" s="59" t="s">
        <v>22</v>
      </c>
      <c r="EA19" s="160">
        <v>0.375</v>
      </c>
      <c r="EB19" s="160">
        <v>0.75</v>
      </c>
      <c r="EC19" s="161">
        <v>0.5</v>
      </c>
      <c r="ED19" s="161">
        <v>0.54166666666666663</v>
      </c>
      <c r="EE19" s="61" t="str">
        <f t="shared" si="22"/>
        <v>8h</v>
      </c>
      <c r="EF19" s="162">
        <v>0.375</v>
      </c>
      <c r="EG19" s="162">
        <v>0.75</v>
      </c>
      <c r="EH19" s="162">
        <v>0.5</v>
      </c>
      <c r="EI19" s="162">
        <v>0.54166666666666663</v>
      </c>
      <c r="EJ19" s="38" t="str">
        <f t="shared" si="23"/>
        <v>8h</v>
      </c>
      <c r="EK19" s="381"/>
      <c r="EL19" s="381"/>
      <c r="EM19" s="381"/>
      <c r="EO19" s="55"/>
      <c r="EP19" s="58">
        <f t="shared" si="44"/>
        <v>46275</v>
      </c>
      <c r="EQ19" s="59" t="str">
        <f t="shared" si="24"/>
        <v>木</v>
      </c>
      <c r="ER19" s="59" t="s">
        <v>22</v>
      </c>
      <c r="ES19" s="160">
        <v>0.375</v>
      </c>
      <c r="ET19" s="160">
        <v>0.75</v>
      </c>
      <c r="EU19" s="161">
        <v>0.5</v>
      </c>
      <c r="EV19" s="161">
        <v>0.54166666666666663</v>
      </c>
      <c r="EW19" s="61" t="str">
        <f t="shared" si="25"/>
        <v>8h</v>
      </c>
      <c r="EX19" s="162">
        <v>0.375</v>
      </c>
      <c r="EY19" s="162">
        <v>0.75</v>
      </c>
      <c r="EZ19" s="162">
        <v>0.5</v>
      </c>
      <c r="FA19" s="162">
        <v>0.54166666666666663</v>
      </c>
      <c r="FB19" s="38" t="str">
        <f t="shared" si="26"/>
        <v>8h</v>
      </c>
      <c r="FC19" s="381"/>
      <c r="FD19" s="381"/>
      <c r="FE19" s="381"/>
      <c r="FG19" s="55"/>
      <c r="FH19" s="58">
        <f t="shared" si="45"/>
        <v>46305</v>
      </c>
      <c r="FI19" s="59" t="str">
        <f t="shared" si="27"/>
        <v>土</v>
      </c>
      <c r="FJ19" s="59"/>
      <c r="FK19" s="60"/>
      <c r="FL19" s="60"/>
      <c r="FM19" s="36"/>
      <c r="FN19" s="36"/>
      <c r="FO19" s="61" t="str">
        <f t="shared" si="28"/>
        <v/>
      </c>
      <c r="FP19" s="37"/>
      <c r="FQ19" s="37"/>
      <c r="FR19" s="37"/>
      <c r="FS19" s="37"/>
      <c r="FT19" s="38" t="str">
        <f t="shared" si="29"/>
        <v/>
      </c>
      <c r="FU19" s="381"/>
      <c r="FV19" s="381"/>
      <c r="FW19" s="381"/>
      <c r="FY19" s="55"/>
      <c r="FZ19" s="58">
        <f t="shared" si="46"/>
        <v>46336</v>
      </c>
      <c r="GA19" s="59" t="str">
        <f t="shared" si="30"/>
        <v>火</v>
      </c>
      <c r="GB19" s="59" t="s">
        <v>22</v>
      </c>
      <c r="GC19" s="160">
        <v>0.375</v>
      </c>
      <c r="GD19" s="160">
        <v>0.75</v>
      </c>
      <c r="GE19" s="161">
        <v>0.5</v>
      </c>
      <c r="GF19" s="161">
        <v>0.54166666666666663</v>
      </c>
      <c r="GG19" s="61" t="str">
        <f t="shared" si="31"/>
        <v>8h</v>
      </c>
      <c r="GH19" s="162">
        <v>0.375</v>
      </c>
      <c r="GI19" s="162">
        <v>0.75</v>
      </c>
      <c r="GJ19" s="162">
        <v>0.5</v>
      </c>
      <c r="GK19" s="162">
        <v>0.54166666666666663</v>
      </c>
      <c r="GL19" s="38" t="str">
        <f t="shared" si="32"/>
        <v>8h</v>
      </c>
      <c r="GM19" s="381"/>
      <c r="GN19" s="381"/>
      <c r="GO19" s="381"/>
      <c r="GQ19" s="55"/>
      <c r="GR19" s="58">
        <f t="shared" si="47"/>
        <v>46366</v>
      </c>
      <c r="GS19" s="59" t="str">
        <f t="shared" si="33"/>
        <v>木</v>
      </c>
      <c r="GT19" s="59" t="s">
        <v>22</v>
      </c>
      <c r="GU19" s="160">
        <v>0.375</v>
      </c>
      <c r="GV19" s="160">
        <v>0.75</v>
      </c>
      <c r="GW19" s="161">
        <v>0.5</v>
      </c>
      <c r="GX19" s="161">
        <v>0.54166666666666663</v>
      </c>
      <c r="GY19" s="61" t="str">
        <f t="shared" si="34"/>
        <v>8h</v>
      </c>
      <c r="GZ19" s="162">
        <v>0.375</v>
      </c>
      <c r="HA19" s="162">
        <v>0.75</v>
      </c>
      <c r="HB19" s="162">
        <v>0.5</v>
      </c>
      <c r="HC19" s="162">
        <v>0.54166666666666663</v>
      </c>
      <c r="HD19" s="38" t="str">
        <f t="shared" si="35"/>
        <v>8h</v>
      </c>
      <c r="HE19" s="381"/>
      <c r="HF19" s="381"/>
      <c r="HG19" s="381"/>
    </row>
    <row r="20" spans="1:215" x14ac:dyDescent="0.45">
      <c r="A20" s="55"/>
      <c r="B20" s="58">
        <f t="shared" si="36"/>
        <v>46033</v>
      </c>
      <c r="C20" s="59" t="str">
        <f t="shared" si="0"/>
        <v>日</v>
      </c>
      <c r="D20" s="59"/>
      <c r="E20" s="60"/>
      <c r="F20" s="60"/>
      <c r="G20" s="36"/>
      <c r="H20" s="36"/>
      <c r="I20" s="61" t="str">
        <f t="shared" si="1"/>
        <v/>
      </c>
      <c r="J20" s="37"/>
      <c r="K20" s="37"/>
      <c r="L20" s="37"/>
      <c r="M20" s="37"/>
      <c r="N20" s="38" t="str">
        <f t="shared" si="2"/>
        <v/>
      </c>
      <c r="O20" s="381"/>
      <c r="P20" s="381"/>
      <c r="Q20" s="381"/>
      <c r="S20" s="55"/>
      <c r="T20" s="58">
        <f t="shared" si="37"/>
        <v>46064</v>
      </c>
      <c r="U20" s="59" t="str">
        <f t="shared" si="3"/>
        <v>水</v>
      </c>
      <c r="V20" s="59"/>
      <c r="W20" s="60"/>
      <c r="X20" s="60"/>
      <c r="Y20" s="36"/>
      <c r="Z20" s="36"/>
      <c r="AA20" s="61" t="str">
        <f t="shared" si="4"/>
        <v/>
      </c>
      <c r="AB20" s="37"/>
      <c r="AC20" s="37"/>
      <c r="AD20" s="37"/>
      <c r="AE20" s="37"/>
      <c r="AF20" s="38" t="str">
        <f t="shared" si="5"/>
        <v/>
      </c>
      <c r="AG20" s="381"/>
      <c r="AH20" s="381"/>
      <c r="AI20" s="381"/>
      <c r="AK20" s="55"/>
      <c r="AL20" s="58">
        <f t="shared" si="38"/>
        <v>46092</v>
      </c>
      <c r="AM20" s="59" t="str">
        <f t="shared" si="6"/>
        <v>水</v>
      </c>
      <c r="AN20" s="59" t="s">
        <v>22</v>
      </c>
      <c r="AO20" s="160">
        <v>0.375</v>
      </c>
      <c r="AP20" s="160">
        <v>0.75</v>
      </c>
      <c r="AQ20" s="161">
        <v>0.5</v>
      </c>
      <c r="AR20" s="161">
        <v>0.54166666666666663</v>
      </c>
      <c r="AS20" s="61" t="str">
        <f t="shared" si="7"/>
        <v>8h</v>
      </c>
      <c r="AT20" s="162">
        <v>0.375</v>
      </c>
      <c r="AU20" s="162">
        <v>0.75</v>
      </c>
      <c r="AV20" s="162">
        <v>0.5</v>
      </c>
      <c r="AW20" s="162">
        <v>0.54166666666666663</v>
      </c>
      <c r="AX20" s="38" t="str">
        <f t="shared" si="8"/>
        <v>8h</v>
      </c>
      <c r="AY20" s="381"/>
      <c r="AZ20" s="381"/>
      <c r="BA20" s="381"/>
      <c r="BC20" s="55"/>
      <c r="BD20" s="58">
        <f t="shared" si="39"/>
        <v>46123</v>
      </c>
      <c r="BE20" s="59" t="str">
        <f t="shared" si="9"/>
        <v>土</v>
      </c>
      <c r="BF20" s="59"/>
      <c r="BG20" s="60"/>
      <c r="BH20" s="60"/>
      <c r="BI20" s="36"/>
      <c r="BJ20" s="36"/>
      <c r="BK20" s="61" t="str">
        <f t="shared" si="10"/>
        <v/>
      </c>
      <c r="BL20" s="37"/>
      <c r="BM20" s="37"/>
      <c r="BN20" s="37"/>
      <c r="BO20" s="37"/>
      <c r="BP20" s="38" t="str">
        <f t="shared" si="11"/>
        <v/>
      </c>
      <c r="BQ20" s="381"/>
      <c r="BR20" s="381"/>
      <c r="BS20" s="381"/>
      <c r="BU20" s="55"/>
      <c r="BV20" s="58">
        <f t="shared" si="40"/>
        <v>46153</v>
      </c>
      <c r="BW20" s="59" t="str">
        <f t="shared" si="12"/>
        <v>月</v>
      </c>
      <c r="BX20" s="59" t="s">
        <v>22</v>
      </c>
      <c r="BY20" s="160">
        <v>0.375</v>
      </c>
      <c r="BZ20" s="160">
        <v>0.75</v>
      </c>
      <c r="CA20" s="161">
        <v>0.5</v>
      </c>
      <c r="CB20" s="161">
        <v>0.54166666666666663</v>
      </c>
      <c r="CC20" s="61" t="str">
        <f t="shared" si="13"/>
        <v>8h</v>
      </c>
      <c r="CD20" s="162">
        <v>0.375</v>
      </c>
      <c r="CE20" s="162">
        <v>0.75</v>
      </c>
      <c r="CF20" s="162">
        <v>0.5</v>
      </c>
      <c r="CG20" s="162">
        <v>0.54166666666666663</v>
      </c>
      <c r="CH20" s="38" t="str">
        <f t="shared" si="14"/>
        <v>8h</v>
      </c>
      <c r="CI20" s="381"/>
      <c r="CJ20" s="381"/>
      <c r="CK20" s="381"/>
      <c r="CM20" s="55"/>
      <c r="CN20" s="58">
        <f t="shared" si="41"/>
        <v>46184</v>
      </c>
      <c r="CO20" s="59" t="str">
        <f t="shared" si="15"/>
        <v>木</v>
      </c>
      <c r="CP20" s="59" t="s">
        <v>22</v>
      </c>
      <c r="CQ20" s="160">
        <v>0.375</v>
      </c>
      <c r="CR20" s="160">
        <v>0.75</v>
      </c>
      <c r="CS20" s="161">
        <v>0.5</v>
      </c>
      <c r="CT20" s="161">
        <v>0.54166666666666663</v>
      </c>
      <c r="CU20" s="61" t="str">
        <f t="shared" si="16"/>
        <v>8h</v>
      </c>
      <c r="CV20" s="162">
        <v>0.375</v>
      </c>
      <c r="CW20" s="162">
        <v>0.75</v>
      </c>
      <c r="CX20" s="162">
        <v>0.5</v>
      </c>
      <c r="CY20" s="162">
        <v>0.54166666666666663</v>
      </c>
      <c r="CZ20" s="38" t="str">
        <f t="shared" si="17"/>
        <v>8h</v>
      </c>
      <c r="DA20" s="381"/>
      <c r="DB20" s="381"/>
      <c r="DC20" s="381"/>
      <c r="DE20" s="55"/>
      <c r="DF20" s="58">
        <f t="shared" si="42"/>
        <v>46214</v>
      </c>
      <c r="DG20" s="59" t="str">
        <f t="shared" si="18"/>
        <v>土</v>
      </c>
      <c r="DH20" s="59"/>
      <c r="DI20" s="60"/>
      <c r="DJ20" s="60"/>
      <c r="DK20" s="36"/>
      <c r="DL20" s="36"/>
      <c r="DM20" s="61" t="str">
        <f t="shared" si="19"/>
        <v/>
      </c>
      <c r="DN20" s="37"/>
      <c r="DO20" s="37"/>
      <c r="DP20" s="37"/>
      <c r="DQ20" s="37"/>
      <c r="DR20" s="38" t="str">
        <f t="shared" si="20"/>
        <v/>
      </c>
      <c r="DS20" s="381"/>
      <c r="DT20" s="381"/>
      <c r="DU20" s="381"/>
      <c r="DW20" s="55"/>
      <c r="DX20" s="58">
        <f t="shared" si="43"/>
        <v>46245</v>
      </c>
      <c r="DY20" s="59" t="str">
        <f t="shared" si="21"/>
        <v>火</v>
      </c>
      <c r="DZ20" s="59"/>
      <c r="EA20" s="60"/>
      <c r="EB20" s="60"/>
      <c r="EC20" s="36"/>
      <c r="ED20" s="36"/>
      <c r="EE20" s="61" t="str">
        <f t="shared" si="22"/>
        <v/>
      </c>
      <c r="EF20" s="37"/>
      <c r="EG20" s="37"/>
      <c r="EH20" s="37"/>
      <c r="EI20" s="37"/>
      <c r="EJ20" s="38" t="str">
        <f t="shared" si="23"/>
        <v/>
      </c>
      <c r="EK20" s="381"/>
      <c r="EL20" s="381"/>
      <c r="EM20" s="381"/>
      <c r="EO20" s="55"/>
      <c r="EP20" s="58">
        <f t="shared" si="44"/>
        <v>46276</v>
      </c>
      <c r="EQ20" s="59" t="str">
        <f t="shared" si="24"/>
        <v>金</v>
      </c>
      <c r="ER20" s="59" t="s">
        <v>22</v>
      </c>
      <c r="ES20" s="160">
        <v>0.375</v>
      </c>
      <c r="ET20" s="160">
        <v>0.75</v>
      </c>
      <c r="EU20" s="161">
        <v>0.5</v>
      </c>
      <c r="EV20" s="161">
        <v>0.54166666666666663</v>
      </c>
      <c r="EW20" s="61" t="str">
        <f t="shared" si="25"/>
        <v>8h</v>
      </c>
      <c r="EX20" s="162">
        <v>0.375</v>
      </c>
      <c r="EY20" s="162">
        <v>0.75</v>
      </c>
      <c r="EZ20" s="162">
        <v>0.5</v>
      </c>
      <c r="FA20" s="162">
        <v>0.54166666666666663</v>
      </c>
      <c r="FB20" s="38" t="str">
        <f t="shared" si="26"/>
        <v>8h</v>
      </c>
      <c r="FC20" s="381"/>
      <c r="FD20" s="381"/>
      <c r="FE20" s="381"/>
      <c r="FG20" s="55"/>
      <c r="FH20" s="58">
        <f t="shared" si="45"/>
        <v>46306</v>
      </c>
      <c r="FI20" s="59" t="str">
        <f t="shared" si="27"/>
        <v>日</v>
      </c>
      <c r="FJ20" s="59"/>
      <c r="FK20" s="60"/>
      <c r="FL20" s="60"/>
      <c r="FM20" s="36"/>
      <c r="FN20" s="36"/>
      <c r="FO20" s="61" t="str">
        <f t="shared" si="28"/>
        <v/>
      </c>
      <c r="FP20" s="37"/>
      <c r="FQ20" s="37"/>
      <c r="FR20" s="37"/>
      <c r="FS20" s="37"/>
      <c r="FT20" s="38" t="str">
        <f t="shared" si="29"/>
        <v/>
      </c>
      <c r="FU20" s="381"/>
      <c r="FV20" s="381"/>
      <c r="FW20" s="381"/>
      <c r="FY20" s="55"/>
      <c r="FZ20" s="58">
        <f t="shared" si="46"/>
        <v>46337</v>
      </c>
      <c r="GA20" s="59" t="str">
        <f t="shared" si="30"/>
        <v>水</v>
      </c>
      <c r="GB20" s="59" t="s">
        <v>22</v>
      </c>
      <c r="GC20" s="160">
        <v>0.375</v>
      </c>
      <c r="GD20" s="160">
        <v>0.75</v>
      </c>
      <c r="GE20" s="161">
        <v>0.5</v>
      </c>
      <c r="GF20" s="161">
        <v>0.54166666666666663</v>
      </c>
      <c r="GG20" s="61" t="str">
        <f t="shared" si="31"/>
        <v>8h</v>
      </c>
      <c r="GH20" s="162">
        <v>0.375</v>
      </c>
      <c r="GI20" s="162">
        <v>0.75</v>
      </c>
      <c r="GJ20" s="162">
        <v>0.5</v>
      </c>
      <c r="GK20" s="162">
        <v>0.54166666666666663</v>
      </c>
      <c r="GL20" s="38" t="str">
        <f t="shared" si="32"/>
        <v>8h</v>
      </c>
      <c r="GM20" s="381"/>
      <c r="GN20" s="381"/>
      <c r="GO20" s="381"/>
      <c r="GQ20" s="55"/>
      <c r="GR20" s="58">
        <f t="shared" si="47"/>
        <v>46367</v>
      </c>
      <c r="GS20" s="59" t="str">
        <f t="shared" si="33"/>
        <v>金</v>
      </c>
      <c r="GT20" s="59" t="s">
        <v>22</v>
      </c>
      <c r="GU20" s="160">
        <v>0.375</v>
      </c>
      <c r="GV20" s="160">
        <v>0.75</v>
      </c>
      <c r="GW20" s="161">
        <v>0.5</v>
      </c>
      <c r="GX20" s="161">
        <v>0.54166666666666663</v>
      </c>
      <c r="GY20" s="61" t="str">
        <f t="shared" si="34"/>
        <v>8h</v>
      </c>
      <c r="GZ20" s="162">
        <v>0.375</v>
      </c>
      <c r="HA20" s="162">
        <v>0.75</v>
      </c>
      <c r="HB20" s="162">
        <v>0.5</v>
      </c>
      <c r="HC20" s="162">
        <v>0.54166666666666663</v>
      </c>
      <c r="HD20" s="38" t="str">
        <f t="shared" si="35"/>
        <v>8h</v>
      </c>
      <c r="HE20" s="381"/>
      <c r="HF20" s="381"/>
      <c r="HG20" s="381"/>
    </row>
    <row r="21" spans="1:215" x14ac:dyDescent="0.45">
      <c r="A21" s="55"/>
      <c r="B21" s="58">
        <f t="shared" si="36"/>
        <v>46034</v>
      </c>
      <c r="C21" s="59" t="str">
        <f t="shared" si="0"/>
        <v>月</v>
      </c>
      <c r="D21" s="59"/>
      <c r="E21" s="60"/>
      <c r="F21" s="60"/>
      <c r="G21" s="36"/>
      <c r="H21" s="36"/>
      <c r="I21" s="61" t="str">
        <f t="shared" si="1"/>
        <v/>
      </c>
      <c r="J21" s="37"/>
      <c r="K21" s="37"/>
      <c r="L21" s="37"/>
      <c r="M21" s="37"/>
      <c r="N21" s="38" t="str">
        <f t="shared" si="2"/>
        <v/>
      </c>
      <c r="O21" s="381"/>
      <c r="P21" s="381"/>
      <c r="Q21" s="381"/>
      <c r="S21" s="55"/>
      <c r="T21" s="58">
        <f t="shared" si="37"/>
        <v>46065</v>
      </c>
      <c r="U21" s="59" t="str">
        <f t="shared" si="3"/>
        <v>木</v>
      </c>
      <c r="V21" s="59" t="s">
        <v>22</v>
      </c>
      <c r="W21" s="160">
        <v>0.375</v>
      </c>
      <c r="X21" s="160">
        <v>0.75</v>
      </c>
      <c r="Y21" s="161">
        <v>0.5</v>
      </c>
      <c r="Z21" s="161">
        <v>0.54166666666666663</v>
      </c>
      <c r="AA21" s="61" t="str">
        <f t="shared" si="4"/>
        <v>8h</v>
      </c>
      <c r="AB21" s="162">
        <v>0.375</v>
      </c>
      <c r="AC21" s="162">
        <v>0.75</v>
      </c>
      <c r="AD21" s="162">
        <v>0.5</v>
      </c>
      <c r="AE21" s="162">
        <v>0.54166666666666663</v>
      </c>
      <c r="AF21" s="38" t="str">
        <f t="shared" si="5"/>
        <v>8h</v>
      </c>
      <c r="AG21" s="381"/>
      <c r="AH21" s="381"/>
      <c r="AI21" s="381"/>
      <c r="AK21" s="55"/>
      <c r="AL21" s="58">
        <f t="shared" si="38"/>
        <v>46093</v>
      </c>
      <c r="AM21" s="59" t="str">
        <f t="shared" si="6"/>
        <v>木</v>
      </c>
      <c r="AN21" s="59" t="s">
        <v>22</v>
      </c>
      <c r="AO21" s="160">
        <v>0.375</v>
      </c>
      <c r="AP21" s="160">
        <v>0.75</v>
      </c>
      <c r="AQ21" s="161">
        <v>0.5</v>
      </c>
      <c r="AR21" s="161">
        <v>0.54166666666666663</v>
      </c>
      <c r="AS21" s="61" t="str">
        <f t="shared" si="7"/>
        <v>8h</v>
      </c>
      <c r="AT21" s="162">
        <v>0.375</v>
      </c>
      <c r="AU21" s="162">
        <v>0.75</v>
      </c>
      <c r="AV21" s="162">
        <v>0.5</v>
      </c>
      <c r="AW21" s="162">
        <v>0.54166666666666663</v>
      </c>
      <c r="AX21" s="38" t="str">
        <f t="shared" si="8"/>
        <v>8h</v>
      </c>
      <c r="AY21" s="381"/>
      <c r="AZ21" s="381"/>
      <c r="BA21" s="381"/>
      <c r="BC21" s="55"/>
      <c r="BD21" s="58">
        <f t="shared" si="39"/>
        <v>46124</v>
      </c>
      <c r="BE21" s="59" t="str">
        <f t="shared" si="9"/>
        <v>日</v>
      </c>
      <c r="BF21" s="59"/>
      <c r="BG21" s="60"/>
      <c r="BH21" s="60"/>
      <c r="BI21" s="36"/>
      <c r="BJ21" s="36"/>
      <c r="BK21" s="61" t="str">
        <f t="shared" si="10"/>
        <v/>
      </c>
      <c r="BL21" s="37"/>
      <c r="BM21" s="37"/>
      <c r="BN21" s="37"/>
      <c r="BO21" s="37"/>
      <c r="BP21" s="38" t="str">
        <f t="shared" si="11"/>
        <v/>
      </c>
      <c r="BQ21" s="381"/>
      <c r="BR21" s="381"/>
      <c r="BS21" s="381"/>
      <c r="BU21" s="55"/>
      <c r="BV21" s="58">
        <f t="shared" si="40"/>
        <v>46154</v>
      </c>
      <c r="BW21" s="59" t="str">
        <f t="shared" si="12"/>
        <v>火</v>
      </c>
      <c r="BX21" s="59" t="s">
        <v>22</v>
      </c>
      <c r="BY21" s="160">
        <v>0.375</v>
      </c>
      <c r="BZ21" s="160">
        <v>0.75</v>
      </c>
      <c r="CA21" s="161">
        <v>0.5</v>
      </c>
      <c r="CB21" s="161">
        <v>0.54166666666666663</v>
      </c>
      <c r="CC21" s="61" t="str">
        <f t="shared" si="13"/>
        <v>8h</v>
      </c>
      <c r="CD21" s="162">
        <v>0.375</v>
      </c>
      <c r="CE21" s="162">
        <v>0.75</v>
      </c>
      <c r="CF21" s="162">
        <v>0.5</v>
      </c>
      <c r="CG21" s="162">
        <v>0.54166666666666663</v>
      </c>
      <c r="CH21" s="38" t="str">
        <f t="shared" si="14"/>
        <v>8h</v>
      </c>
      <c r="CI21" s="381"/>
      <c r="CJ21" s="381"/>
      <c r="CK21" s="381"/>
      <c r="CM21" s="55"/>
      <c r="CN21" s="58">
        <f t="shared" si="41"/>
        <v>46185</v>
      </c>
      <c r="CO21" s="59" t="str">
        <f t="shared" si="15"/>
        <v>金</v>
      </c>
      <c r="CP21" s="59" t="s">
        <v>22</v>
      </c>
      <c r="CQ21" s="160">
        <v>0.375</v>
      </c>
      <c r="CR21" s="160">
        <v>0.75</v>
      </c>
      <c r="CS21" s="161">
        <v>0.5</v>
      </c>
      <c r="CT21" s="161">
        <v>0.54166666666666663</v>
      </c>
      <c r="CU21" s="61" t="str">
        <f t="shared" si="16"/>
        <v>8h</v>
      </c>
      <c r="CV21" s="162">
        <v>0.375</v>
      </c>
      <c r="CW21" s="162">
        <v>0.75</v>
      </c>
      <c r="CX21" s="162">
        <v>0.5</v>
      </c>
      <c r="CY21" s="162">
        <v>0.54166666666666663</v>
      </c>
      <c r="CZ21" s="38" t="str">
        <f t="shared" si="17"/>
        <v>8h</v>
      </c>
      <c r="DA21" s="381"/>
      <c r="DB21" s="381"/>
      <c r="DC21" s="381"/>
      <c r="DE21" s="55"/>
      <c r="DF21" s="58">
        <f t="shared" si="42"/>
        <v>46215</v>
      </c>
      <c r="DG21" s="59" t="str">
        <f t="shared" si="18"/>
        <v>日</v>
      </c>
      <c r="DH21" s="59"/>
      <c r="DI21" s="60"/>
      <c r="DJ21" s="60"/>
      <c r="DK21" s="36"/>
      <c r="DL21" s="36"/>
      <c r="DM21" s="61" t="str">
        <f t="shared" si="19"/>
        <v/>
      </c>
      <c r="DN21" s="37"/>
      <c r="DO21" s="37"/>
      <c r="DP21" s="37"/>
      <c r="DQ21" s="37"/>
      <c r="DR21" s="38" t="str">
        <f t="shared" si="20"/>
        <v/>
      </c>
      <c r="DS21" s="381"/>
      <c r="DT21" s="381"/>
      <c r="DU21" s="381"/>
      <c r="DW21" s="55"/>
      <c r="DX21" s="58">
        <f t="shared" si="43"/>
        <v>46246</v>
      </c>
      <c r="DY21" s="59" t="str">
        <f t="shared" si="21"/>
        <v>水</v>
      </c>
      <c r="DZ21" s="59" t="s">
        <v>22</v>
      </c>
      <c r="EA21" s="160">
        <v>0.375</v>
      </c>
      <c r="EB21" s="160">
        <v>0.75</v>
      </c>
      <c r="EC21" s="161">
        <v>0.5</v>
      </c>
      <c r="ED21" s="161">
        <v>0.54166666666666663</v>
      </c>
      <c r="EE21" s="61" t="str">
        <f t="shared" si="22"/>
        <v>8h</v>
      </c>
      <c r="EF21" s="162">
        <v>0.375</v>
      </c>
      <c r="EG21" s="162">
        <v>0.75</v>
      </c>
      <c r="EH21" s="162">
        <v>0.5</v>
      </c>
      <c r="EI21" s="162">
        <v>0.54166666666666663</v>
      </c>
      <c r="EJ21" s="38" t="str">
        <f t="shared" si="23"/>
        <v>8h</v>
      </c>
      <c r="EK21" s="381"/>
      <c r="EL21" s="381"/>
      <c r="EM21" s="381"/>
      <c r="EO21" s="55"/>
      <c r="EP21" s="58">
        <f t="shared" si="44"/>
        <v>46277</v>
      </c>
      <c r="EQ21" s="59" t="str">
        <f t="shared" si="24"/>
        <v>土</v>
      </c>
      <c r="ER21" s="59"/>
      <c r="ES21" s="60"/>
      <c r="ET21" s="60"/>
      <c r="EU21" s="36"/>
      <c r="EV21" s="36"/>
      <c r="EW21" s="61" t="str">
        <f t="shared" si="25"/>
        <v/>
      </c>
      <c r="EX21" s="37"/>
      <c r="EY21" s="37"/>
      <c r="EZ21" s="37"/>
      <c r="FA21" s="37"/>
      <c r="FB21" s="38" t="str">
        <f t="shared" si="26"/>
        <v/>
      </c>
      <c r="FC21" s="381"/>
      <c r="FD21" s="381"/>
      <c r="FE21" s="381"/>
      <c r="FG21" s="55"/>
      <c r="FH21" s="58">
        <f t="shared" si="45"/>
        <v>46307</v>
      </c>
      <c r="FI21" s="59" t="str">
        <f t="shared" si="27"/>
        <v>月</v>
      </c>
      <c r="FJ21" s="59"/>
      <c r="FK21" s="60"/>
      <c r="FL21" s="60"/>
      <c r="FM21" s="36"/>
      <c r="FN21" s="36"/>
      <c r="FO21" s="61" t="str">
        <f t="shared" si="28"/>
        <v/>
      </c>
      <c r="FP21" s="37"/>
      <c r="FQ21" s="37"/>
      <c r="FR21" s="37"/>
      <c r="FS21" s="37"/>
      <c r="FT21" s="38" t="str">
        <f t="shared" si="29"/>
        <v/>
      </c>
      <c r="FU21" s="381"/>
      <c r="FV21" s="381"/>
      <c r="FW21" s="381"/>
      <c r="FY21" s="55"/>
      <c r="FZ21" s="58">
        <f t="shared" si="46"/>
        <v>46338</v>
      </c>
      <c r="GA21" s="59" t="str">
        <f t="shared" si="30"/>
        <v>木</v>
      </c>
      <c r="GB21" s="59" t="s">
        <v>22</v>
      </c>
      <c r="GC21" s="160">
        <v>0.375</v>
      </c>
      <c r="GD21" s="160">
        <v>0.75</v>
      </c>
      <c r="GE21" s="161">
        <v>0.5</v>
      </c>
      <c r="GF21" s="161">
        <v>0.54166666666666663</v>
      </c>
      <c r="GG21" s="61" t="str">
        <f t="shared" si="31"/>
        <v>8h</v>
      </c>
      <c r="GH21" s="162">
        <v>0.375</v>
      </c>
      <c r="GI21" s="162">
        <v>0.75</v>
      </c>
      <c r="GJ21" s="162">
        <v>0.5</v>
      </c>
      <c r="GK21" s="162">
        <v>0.54166666666666663</v>
      </c>
      <c r="GL21" s="38" t="str">
        <f t="shared" si="32"/>
        <v>8h</v>
      </c>
      <c r="GM21" s="381"/>
      <c r="GN21" s="381"/>
      <c r="GO21" s="381"/>
      <c r="GQ21" s="55"/>
      <c r="GR21" s="58">
        <f t="shared" si="47"/>
        <v>46368</v>
      </c>
      <c r="GS21" s="59" t="str">
        <f t="shared" si="33"/>
        <v>土</v>
      </c>
      <c r="GT21" s="59"/>
      <c r="GU21" s="60"/>
      <c r="GV21" s="60"/>
      <c r="GW21" s="36"/>
      <c r="GX21" s="36"/>
      <c r="GY21" s="61" t="str">
        <f t="shared" si="34"/>
        <v/>
      </c>
      <c r="GZ21" s="37"/>
      <c r="HA21" s="37"/>
      <c r="HB21" s="37"/>
      <c r="HC21" s="37"/>
      <c r="HD21" s="38" t="str">
        <f t="shared" si="35"/>
        <v/>
      </c>
      <c r="HE21" s="381"/>
      <c r="HF21" s="381"/>
      <c r="HG21" s="381"/>
    </row>
    <row r="22" spans="1:215" x14ac:dyDescent="0.45">
      <c r="A22" s="55"/>
      <c r="B22" s="58">
        <f t="shared" si="36"/>
        <v>46035</v>
      </c>
      <c r="C22" s="59" t="str">
        <f t="shared" si="0"/>
        <v>火</v>
      </c>
      <c r="D22" s="59" t="s">
        <v>22</v>
      </c>
      <c r="E22" s="160">
        <v>0.375</v>
      </c>
      <c r="F22" s="160">
        <v>0.75</v>
      </c>
      <c r="G22" s="161">
        <v>0.5</v>
      </c>
      <c r="H22" s="161">
        <v>0.54166666666666663</v>
      </c>
      <c r="I22" s="61" t="str">
        <f t="shared" si="1"/>
        <v>8h</v>
      </c>
      <c r="J22" s="162">
        <v>0.375</v>
      </c>
      <c r="K22" s="162">
        <v>0.75</v>
      </c>
      <c r="L22" s="162">
        <v>0.5</v>
      </c>
      <c r="M22" s="162">
        <v>0.54166666666666663</v>
      </c>
      <c r="N22" s="38" t="str">
        <f t="shared" si="2"/>
        <v>8h</v>
      </c>
      <c r="O22" s="381"/>
      <c r="P22" s="381"/>
      <c r="Q22" s="381"/>
      <c r="S22" s="55"/>
      <c r="T22" s="58">
        <f t="shared" si="37"/>
        <v>46066</v>
      </c>
      <c r="U22" s="59" t="str">
        <f t="shared" si="3"/>
        <v>金</v>
      </c>
      <c r="V22" s="59" t="s">
        <v>22</v>
      </c>
      <c r="W22" s="160">
        <v>0.375</v>
      </c>
      <c r="X22" s="160">
        <v>0.75</v>
      </c>
      <c r="Y22" s="161">
        <v>0.5</v>
      </c>
      <c r="Z22" s="161">
        <v>0.54166666666666663</v>
      </c>
      <c r="AA22" s="61" t="str">
        <f t="shared" si="4"/>
        <v>8h</v>
      </c>
      <c r="AB22" s="162">
        <v>0.375</v>
      </c>
      <c r="AC22" s="162">
        <v>0.75</v>
      </c>
      <c r="AD22" s="162">
        <v>0.5</v>
      </c>
      <c r="AE22" s="162">
        <v>0.54166666666666663</v>
      </c>
      <c r="AF22" s="38" t="str">
        <f t="shared" si="5"/>
        <v>8h</v>
      </c>
      <c r="AG22" s="381"/>
      <c r="AH22" s="381"/>
      <c r="AI22" s="381"/>
      <c r="AK22" s="55"/>
      <c r="AL22" s="58">
        <f t="shared" si="38"/>
        <v>46094</v>
      </c>
      <c r="AM22" s="59" t="str">
        <f t="shared" si="6"/>
        <v>金</v>
      </c>
      <c r="AN22" s="59" t="s">
        <v>22</v>
      </c>
      <c r="AO22" s="160">
        <v>0.375</v>
      </c>
      <c r="AP22" s="160">
        <v>0.75</v>
      </c>
      <c r="AQ22" s="161">
        <v>0.5</v>
      </c>
      <c r="AR22" s="161">
        <v>0.54166666666666663</v>
      </c>
      <c r="AS22" s="61" t="str">
        <f t="shared" si="7"/>
        <v>8h</v>
      </c>
      <c r="AT22" s="162">
        <v>0.375</v>
      </c>
      <c r="AU22" s="162">
        <v>0.75</v>
      </c>
      <c r="AV22" s="162">
        <v>0.5</v>
      </c>
      <c r="AW22" s="162">
        <v>0.54166666666666663</v>
      </c>
      <c r="AX22" s="38" t="str">
        <f t="shared" si="8"/>
        <v>8h</v>
      </c>
      <c r="AY22" s="381"/>
      <c r="AZ22" s="381"/>
      <c r="BA22" s="381"/>
      <c r="BC22" s="55"/>
      <c r="BD22" s="58">
        <f t="shared" si="39"/>
        <v>46125</v>
      </c>
      <c r="BE22" s="59" t="str">
        <f t="shared" si="9"/>
        <v>月</v>
      </c>
      <c r="BF22" s="59" t="s">
        <v>22</v>
      </c>
      <c r="BG22" s="160">
        <v>0.375</v>
      </c>
      <c r="BH22" s="160">
        <v>0.75</v>
      </c>
      <c r="BI22" s="161">
        <v>0.5</v>
      </c>
      <c r="BJ22" s="161">
        <v>0.54166666666666663</v>
      </c>
      <c r="BK22" s="61" t="str">
        <f t="shared" si="10"/>
        <v>8h</v>
      </c>
      <c r="BL22" s="162">
        <v>0.375</v>
      </c>
      <c r="BM22" s="162">
        <v>0.75</v>
      </c>
      <c r="BN22" s="162">
        <v>0.5</v>
      </c>
      <c r="BO22" s="162">
        <v>0.54166666666666663</v>
      </c>
      <c r="BP22" s="38" t="str">
        <f t="shared" si="11"/>
        <v>8h</v>
      </c>
      <c r="BQ22" s="381"/>
      <c r="BR22" s="381"/>
      <c r="BS22" s="381"/>
      <c r="BU22" s="55"/>
      <c r="BV22" s="58">
        <f t="shared" si="40"/>
        <v>46155</v>
      </c>
      <c r="BW22" s="59" t="str">
        <f t="shared" si="12"/>
        <v>水</v>
      </c>
      <c r="BX22" s="59" t="s">
        <v>22</v>
      </c>
      <c r="BY22" s="160">
        <v>0.375</v>
      </c>
      <c r="BZ22" s="160">
        <v>0.75</v>
      </c>
      <c r="CA22" s="161">
        <v>0.5</v>
      </c>
      <c r="CB22" s="161">
        <v>0.54166666666666663</v>
      </c>
      <c r="CC22" s="61" t="str">
        <f t="shared" si="13"/>
        <v>8h</v>
      </c>
      <c r="CD22" s="162">
        <v>0.375</v>
      </c>
      <c r="CE22" s="162">
        <v>0.75</v>
      </c>
      <c r="CF22" s="162">
        <v>0.5</v>
      </c>
      <c r="CG22" s="162">
        <v>0.54166666666666663</v>
      </c>
      <c r="CH22" s="38" t="str">
        <f t="shared" si="14"/>
        <v>8h</v>
      </c>
      <c r="CI22" s="381"/>
      <c r="CJ22" s="381"/>
      <c r="CK22" s="381"/>
      <c r="CM22" s="55"/>
      <c r="CN22" s="58">
        <f t="shared" si="41"/>
        <v>46186</v>
      </c>
      <c r="CO22" s="59" t="str">
        <f t="shared" si="15"/>
        <v>土</v>
      </c>
      <c r="CP22" s="59"/>
      <c r="CQ22" s="60"/>
      <c r="CR22" s="60"/>
      <c r="CS22" s="36"/>
      <c r="CT22" s="36"/>
      <c r="CU22" s="61" t="str">
        <f t="shared" si="16"/>
        <v/>
      </c>
      <c r="CV22" s="37"/>
      <c r="CW22" s="37"/>
      <c r="CX22" s="37"/>
      <c r="CY22" s="37"/>
      <c r="CZ22" s="38" t="str">
        <f t="shared" si="17"/>
        <v/>
      </c>
      <c r="DA22" s="381"/>
      <c r="DB22" s="381"/>
      <c r="DC22" s="381"/>
      <c r="DE22" s="55"/>
      <c r="DF22" s="58">
        <f t="shared" si="42"/>
        <v>46216</v>
      </c>
      <c r="DG22" s="59" t="str">
        <f t="shared" si="18"/>
        <v>月</v>
      </c>
      <c r="DH22" s="59" t="s">
        <v>22</v>
      </c>
      <c r="DI22" s="160">
        <v>0.375</v>
      </c>
      <c r="DJ22" s="160">
        <v>0.75</v>
      </c>
      <c r="DK22" s="161">
        <v>0.5</v>
      </c>
      <c r="DL22" s="161">
        <v>0.54166666666666663</v>
      </c>
      <c r="DM22" s="61" t="str">
        <f t="shared" si="19"/>
        <v>8h</v>
      </c>
      <c r="DN22" s="162">
        <v>0.375</v>
      </c>
      <c r="DO22" s="162">
        <v>0.75</v>
      </c>
      <c r="DP22" s="162">
        <v>0.5</v>
      </c>
      <c r="DQ22" s="162">
        <v>0.54166666666666663</v>
      </c>
      <c r="DR22" s="38" t="str">
        <f t="shared" si="20"/>
        <v>8h</v>
      </c>
      <c r="DS22" s="381"/>
      <c r="DT22" s="381"/>
      <c r="DU22" s="381"/>
      <c r="DW22" s="55"/>
      <c r="DX22" s="58">
        <f t="shared" si="43"/>
        <v>46247</v>
      </c>
      <c r="DY22" s="59" t="str">
        <f t="shared" si="21"/>
        <v>木</v>
      </c>
      <c r="DZ22" s="59" t="s">
        <v>22</v>
      </c>
      <c r="EA22" s="160">
        <v>0.375</v>
      </c>
      <c r="EB22" s="160">
        <v>0.75</v>
      </c>
      <c r="EC22" s="161">
        <v>0.5</v>
      </c>
      <c r="ED22" s="161">
        <v>0.54166666666666663</v>
      </c>
      <c r="EE22" s="61" t="str">
        <f t="shared" si="22"/>
        <v>8h</v>
      </c>
      <c r="EF22" s="162">
        <v>0.375</v>
      </c>
      <c r="EG22" s="162">
        <v>0.75</v>
      </c>
      <c r="EH22" s="162">
        <v>0.5</v>
      </c>
      <c r="EI22" s="162">
        <v>0.54166666666666663</v>
      </c>
      <c r="EJ22" s="38" t="str">
        <f t="shared" si="23"/>
        <v>8h</v>
      </c>
      <c r="EK22" s="381"/>
      <c r="EL22" s="381"/>
      <c r="EM22" s="381"/>
      <c r="EO22" s="55"/>
      <c r="EP22" s="58">
        <f t="shared" si="44"/>
        <v>46278</v>
      </c>
      <c r="EQ22" s="59" t="str">
        <f t="shared" si="24"/>
        <v>日</v>
      </c>
      <c r="ER22" s="59"/>
      <c r="ES22" s="60"/>
      <c r="ET22" s="60"/>
      <c r="EU22" s="36"/>
      <c r="EV22" s="36"/>
      <c r="EW22" s="61" t="str">
        <f t="shared" si="25"/>
        <v/>
      </c>
      <c r="EX22" s="37"/>
      <c r="EY22" s="37"/>
      <c r="EZ22" s="37"/>
      <c r="FA22" s="37"/>
      <c r="FB22" s="38" t="str">
        <f t="shared" si="26"/>
        <v/>
      </c>
      <c r="FC22" s="381"/>
      <c r="FD22" s="381"/>
      <c r="FE22" s="381"/>
      <c r="FG22" s="55"/>
      <c r="FH22" s="58">
        <f t="shared" si="45"/>
        <v>46308</v>
      </c>
      <c r="FI22" s="59" t="str">
        <f t="shared" si="27"/>
        <v>火</v>
      </c>
      <c r="FJ22" s="59" t="s">
        <v>22</v>
      </c>
      <c r="FK22" s="160">
        <v>0.375</v>
      </c>
      <c r="FL22" s="160">
        <v>0.75</v>
      </c>
      <c r="FM22" s="161">
        <v>0.5</v>
      </c>
      <c r="FN22" s="161">
        <v>0.54166666666666663</v>
      </c>
      <c r="FO22" s="61" t="str">
        <f t="shared" si="28"/>
        <v>8h</v>
      </c>
      <c r="FP22" s="162">
        <v>0.375</v>
      </c>
      <c r="FQ22" s="162">
        <v>0.75</v>
      </c>
      <c r="FR22" s="162">
        <v>0.5</v>
      </c>
      <c r="FS22" s="162">
        <v>0.54166666666666663</v>
      </c>
      <c r="FT22" s="38" t="str">
        <f t="shared" si="29"/>
        <v>8h</v>
      </c>
      <c r="FU22" s="381"/>
      <c r="FV22" s="381"/>
      <c r="FW22" s="381"/>
      <c r="FY22" s="55"/>
      <c r="FZ22" s="58">
        <f t="shared" si="46"/>
        <v>46339</v>
      </c>
      <c r="GA22" s="59" t="str">
        <f t="shared" si="30"/>
        <v>金</v>
      </c>
      <c r="GB22" s="59" t="s">
        <v>22</v>
      </c>
      <c r="GC22" s="160">
        <v>0.375</v>
      </c>
      <c r="GD22" s="160">
        <v>0.75</v>
      </c>
      <c r="GE22" s="161">
        <v>0.5</v>
      </c>
      <c r="GF22" s="161">
        <v>0.54166666666666663</v>
      </c>
      <c r="GG22" s="61" t="str">
        <f t="shared" si="31"/>
        <v>8h</v>
      </c>
      <c r="GH22" s="162">
        <v>0.375</v>
      </c>
      <c r="GI22" s="162">
        <v>0.75</v>
      </c>
      <c r="GJ22" s="162">
        <v>0.5</v>
      </c>
      <c r="GK22" s="162">
        <v>0.54166666666666663</v>
      </c>
      <c r="GL22" s="38" t="str">
        <f t="shared" si="32"/>
        <v>8h</v>
      </c>
      <c r="GM22" s="381"/>
      <c r="GN22" s="381"/>
      <c r="GO22" s="381"/>
      <c r="GQ22" s="55"/>
      <c r="GR22" s="58">
        <f t="shared" si="47"/>
        <v>46369</v>
      </c>
      <c r="GS22" s="59" t="str">
        <f t="shared" si="33"/>
        <v>日</v>
      </c>
      <c r="GT22" s="59"/>
      <c r="GU22" s="60"/>
      <c r="GV22" s="60"/>
      <c r="GW22" s="36"/>
      <c r="GX22" s="36"/>
      <c r="GY22" s="61" t="str">
        <f t="shared" si="34"/>
        <v/>
      </c>
      <c r="GZ22" s="37"/>
      <c r="HA22" s="37"/>
      <c r="HB22" s="37"/>
      <c r="HC22" s="37"/>
      <c r="HD22" s="38" t="str">
        <f t="shared" si="35"/>
        <v/>
      </c>
      <c r="HE22" s="381"/>
      <c r="HF22" s="381"/>
      <c r="HG22" s="381"/>
    </row>
    <row r="23" spans="1:215" x14ac:dyDescent="0.45">
      <c r="A23" s="55"/>
      <c r="B23" s="58">
        <f t="shared" si="36"/>
        <v>46036</v>
      </c>
      <c r="C23" s="59" t="str">
        <f t="shared" si="0"/>
        <v>水</v>
      </c>
      <c r="D23" s="59" t="s">
        <v>22</v>
      </c>
      <c r="E23" s="160">
        <v>0.375</v>
      </c>
      <c r="F23" s="160">
        <v>0.75</v>
      </c>
      <c r="G23" s="161">
        <v>0.5</v>
      </c>
      <c r="H23" s="161">
        <v>0.54166666666666663</v>
      </c>
      <c r="I23" s="61" t="str">
        <f t="shared" si="1"/>
        <v>8h</v>
      </c>
      <c r="J23" s="162">
        <v>0.375</v>
      </c>
      <c r="K23" s="162">
        <v>0.75</v>
      </c>
      <c r="L23" s="162">
        <v>0.5</v>
      </c>
      <c r="M23" s="162">
        <v>0.54166666666666663</v>
      </c>
      <c r="N23" s="38" t="str">
        <f t="shared" si="2"/>
        <v>8h</v>
      </c>
      <c r="O23" s="381"/>
      <c r="P23" s="381"/>
      <c r="Q23" s="381"/>
      <c r="S23" s="55"/>
      <c r="T23" s="58">
        <f t="shared" si="37"/>
        <v>46067</v>
      </c>
      <c r="U23" s="59" t="str">
        <f t="shared" si="3"/>
        <v>土</v>
      </c>
      <c r="V23" s="59"/>
      <c r="W23" s="60"/>
      <c r="X23" s="60"/>
      <c r="Y23" s="36"/>
      <c r="Z23" s="36"/>
      <c r="AA23" s="61" t="str">
        <f t="shared" si="4"/>
        <v/>
      </c>
      <c r="AB23" s="37"/>
      <c r="AC23" s="37"/>
      <c r="AD23" s="37"/>
      <c r="AE23" s="37"/>
      <c r="AF23" s="38" t="str">
        <f t="shared" si="5"/>
        <v/>
      </c>
      <c r="AG23" s="381"/>
      <c r="AH23" s="381"/>
      <c r="AI23" s="381"/>
      <c r="AK23" s="55"/>
      <c r="AL23" s="58">
        <f t="shared" si="38"/>
        <v>46095</v>
      </c>
      <c r="AM23" s="59" t="str">
        <f t="shared" si="6"/>
        <v>土</v>
      </c>
      <c r="AN23" s="59"/>
      <c r="AO23" s="60"/>
      <c r="AP23" s="60"/>
      <c r="AQ23" s="36"/>
      <c r="AR23" s="36"/>
      <c r="AS23" s="61" t="str">
        <f t="shared" si="7"/>
        <v/>
      </c>
      <c r="AT23" s="37"/>
      <c r="AU23" s="37"/>
      <c r="AV23" s="37"/>
      <c r="AW23" s="37"/>
      <c r="AX23" s="38" t="str">
        <f t="shared" si="8"/>
        <v/>
      </c>
      <c r="AY23" s="381"/>
      <c r="AZ23" s="381"/>
      <c r="BA23" s="381"/>
      <c r="BC23" s="55"/>
      <c r="BD23" s="58">
        <f t="shared" si="39"/>
        <v>46126</v>
      </c>
      <c r="BE23" s="59" t="str">
        <f t="shared" si="9"/>
        <v>火</v>
      </c>
      <c r="BF23" s="59" t="s">
        <v>22</v>
      </c>
      <c r="BG23" s="160">
        <v>0.375</v>
      </c>
      <c r="BH23" s="160">
        <v>0.75</v>
      </c>
      <c r="BI23" s="161">
        <v>0.5</v>
      </c>
      <c r="BJ23" s="161">
        <v>0.54166666666666663</v>
      </c>
      <c r="BK23" s="61" t="str">
        <f t="shared" si="10"/>
        <v>8h</v>
      </c>
      <c r="BL23" s="162">
        <v>0.375</v>
      </c>
      <c r="BM23" s="162">
        <v>0.75</v>
      </c>
      <c r="BN23" s="162">
        <v>0.5</v>
      </c>
      <c r="BO23" s="162">
        <v>0.54166666666666663</v>
      </c>
      <c r="BP23" s="38" t="str">
        <f t="shared" si="11"/>
        <v>8h</v>
      </c>
      <c r="BQ23" s="381"/>
      <c r="BR23" s="381"/>
      <c r="BS23" s="381"/>
      <c r="BU23" s="55"/>
      <c r="BV23" s="58">
        <f t="shared" si="40"/>
        <v>46156</v>
      </c>
      <c r="BW23" s="59" t="str">
        <f t="shared" si="12"/>
        <v>木</v>
      </c>
      <c r="BX23" s="59" t="s">
        <v>22</v>
      </c>
      <c r="BY23" s="160">
        <v>0.375</v>
      </c>
      <c r="BZ23" s="160">
        <v>0.75</v>
      </c>
      <c r="CA23" s="161">
        <v>0.5</v>
      </c>
      <c r="CB23" s="161">
        <v>0.54166666666666663</v>
      </c>
      <c r="CC23" s="61" t="str">
        <f t="shared" si="13"/>
        <v>8h</v>
      </c>
      <c r="CD23" s="162">
        <v>0.375</v>
      </c>
      <c r="CE23" s="162">
        <v>0.75</v>
      </c>
      <c r="CF23" s="162">
        <v>0.5</v>
      </c>
      <c r="CG23" s="162">
        <v>0.54166666666666663</v>
      </c>
      <c r="CH23" s="38" t="str">
        <f t="shared" si="14"/>
        <v>8h</v>
      </c>
      <c r="CI23" s="381"/>
      <c r="CJ23" s="381"/>
      <c r="CK23" s="381"/>
      <c r="CM23" s="55"/>
      <c r="CN23" s="58">
        <f t="shared" si="41"/>
        <v>46187</v>
      </c>
      <c r="CO23" s="59" t="str">
        <f t="shared" si="15"/>
        <v>日</v>
      </c>
      <c r="CP23" s="59"/>
      <c r="CQ23" s="60"/>
      <c r="CR23" s="60"/>
      <c r="CS23" s="36"/>
      <c r="CT23" s="36"/>
      <c r="CU23" s="61" t="str">
        <f t="shared" si="16"/>
        <v/>
      </c>
      <c r="CV23" s="37"/>
      <c r="CW23" s="37"/>
      <c r="CX23" s="37"/>
      <c r="CY23" s="37"/>
      <c r="CZ23" s="38" t="str">
        <f t="shared" si="17"/>
        <v/>
      </c>
      <c r="DA23" s="381"/>
      <c r="DB23" s="381"/>
      <c r="DC23" s="381"/>
      <c r="DE23" s="55"/>
      <c r="DF23" s="58">
        <f t="shared" si="42"/>
        <v>46217</v>
      </c>
      <c r="DG23" s="59" t="str">
        <f t="shared" si="18"/>
        <v>火</v>
      </c>
      <c r="DH23" s="59" t="s">
        <v>22</v>
      </c>
      <c r="DI23" s="160">
        <v>0.375</v>
      </c>
      <c r="DJ23" s="160">
        <v>0.75</v>
      </c>
      <c r="DK23" s="161">
        <v>0.5</v>
      </c>
      <c r="DL23" s="161">
        <v>0.54166666666666663</v>
      </c>
      <c r="DM23" s="61" t="str">
        <f t="shared" si="19"/>
        <v>8h</v>
      </c>
      <c r="DN23" s="162">
        <v>0.375</v>
      </c>
      <c r="DO23" s="162">
        <v>0.75</v>
      </c>
      <c r="DP23" s="162">
        <v>0.5</v>
      </c>
      <c r="DQ23" s="162">
        <v>0.54166666666666663</v>
      </c>
      <c r="DR23" s="38" t="str">
        <f t="shared" si="20"/>
        <v>8h</v>
      </c>
      <c r="DS23" s="381"/>
      <c r="DT23" s="381"/>
      <c r="DU23" s="381"/>
      <c r="DW23" s="55"/>
      <c r="DX23" s="58">
        <f t="shared" si="43"/>
        <v>46248</v>
      </c>
      <c r="DY23" s="59" t="str">
        <f t="shared" si="21"/>
        <v>金</v>
      </c>
      <c r="DZ23" s="59" t="s">
        <v>22</v>
      </c>
      <c r="EA23" s="160">
        <v>0.375</v>
      </c>
      <c r="EB23" s="160">
        <v>0.75</v>
      </c>
      <c r="EC23" s="161">
        <v>0.5</v>
      </c>
      <c r="ED23" s="161">
        <v>0.54166666666666663</v>
      </c>
      <c r="EE23" s="61" t="str">
        <f t="shared" si="22"/>
        <v>8h</v>
      </c>
      <c r="EF23" s="162">
        <v>0.375</v>
      </c>
      <c r="EG23" s="162">
        <v>0.75</v>
      </c>
      <c r="EH23" s="162">
        <v>0.5</v>
      </c>
      <c r="EI23" s="162">
        <v>0.54166666666666663</v>
      </c>
      <c r="EJ23" s="38" t="str">
        <f t="shared" si="23"/>
        <v>8h</v>
      </c>
      <c r="EK23" s="381"/>
      <c r="EL23" s="381"/>
      <c r="EM23" s="381"/>
      <c r="EO23" s="55"/>
      <c r="EP23" s="58">
        <f t="shared" si="44"/>
        <v>46279</v>
      </c>
      <c r="EQ23" s="59" t="str">
        <f t="shared" si="24"/>
        <v>月</v>
      </c>
      <c r="ER23" s="59" t="s">
        <v>22</v>
      </c>
      <c r="ES23" s="160">
        <v>0.375</v>
      </c>
      <c r="ET23" s="160">
        <v>0.75</v>
      </c>
      <c r="EU23" s="161">
        <v>0.5</v>
      </c>
      <c r="EV23" s="161">
        <v>0.54166666666666663</v>
      </c>
      <c r="EW23" s="61" t="str">
        <f t="shared" si="25"/>
        <v>8h</v>
      </c>
      <c r="EX23" s="162">
        <v>0.375</v>
      </c>
      <c r="EY23" s="162">
        <v>0.75</v>
      </c>
      <c r="EZ23" s="162">
        <v>0.5</v>
      </c>
      <c r="FA23" s="162">
        <v>0.54166666666666663</v>
      </c>
      <c r="FB23" s="38" t="str">
        <f t="shared" si="26"/>
        <v>8h</v>
      </c>
      <c r="FC23" s="381"/>
      <c r="FD23" s="381"/>
      <c r="FE23" s="381"/>
      <c r="FG23" s="55"/>
      <c r="FH23" s="58">
        <f t="shared" si="45"/>
        <v>46309</v>
      </c>
      <c r="FI23" s="59" t="str">
        <f t="shared" si="27"/>
        <v>水</v>
      </c>
      <c r="FJ23" s="59" t="s">
        <v>22</v>
      </c>
      <c r="FK23" s="160">
        <v>0.375</v>
      </c>
      <c r="FL23" s="160">
        <v>0.75</v>
      </c>
      <c r="FM23" s="161">
        <v>0.5</v>
      </c>
      <c r="FN23" s="161">
        <v>0.54166666666666663</v>
      </c>
      <c r="FO23" s="61" t="str">
        <f t="shared" si="28"/>
        <v>8h</v>
      </c>
      <c r="FP23" s="162">
        <v>0.375</v>
      </c>
      <c r="FQ23" s="162">
        <v>0.75</v>
      </c>
      <c r="FR23" s="162">
        <v>0.5</v>
      </c>
      <c r="FS23" s="162">
        <v>0.54166666666666663</v>
      </c>
      <c r="FT23" s="38" t="str">
        <f t="shared" si="29"/>
        <v>8h</v>
      </c>
      <c r="FU23" s="381"/>
      <c r="FV23" s="381"/>
      <c r="FW23" s="381"/>
      <c r="FY23" s="55"/>
      <c r="FZ23" s="58">
        <f t="shared" si="46"/>
        <v>46340</v>
      </c>
      <c r="GA23" s="59" t="str">
        <f t="shared" si="30"/>
        <v>土</v>
      </c>
      <c r="GB23" s="59"/>
      <c r="GC23" s="60"/>
      <c r="GD23" s="60"/>
      <c r="GE23" s="36"/>
      <c r="GF23" s="36"/>
      <c r="GG23" s="61" t="str">
        <f t="shared" si="31"/>
        <v/>
      </c>
      <c r="GH23" s="37"/>
      <c r="GI23" s="37"/>
      <c r="GJ23" s="37"/>
      <c r="GK23" s="37"/>
      <c r="GL23" s="38" t="str">
        <f t="shared" si="32"/>
        <v/>
      </c>
      <c r="GM23" s="381"/>
      <c r="GN23" s="381"/>
      <c r="GO23" s="381"/>
      <c r="GQ23" s="55"/>
      <c r="GR23" s="58">
        <f t="shared" si="47"/>
        <v>46370</v>
      </c>
      <c r="GS23" s="59" t="str">
        <f t="shared" si="33"/>
        <v>月</v>
      </c>
      <c r="GT23" s="59" t="s">
        <v>22</v>
      </c>
      <c r="GU23" s="160">
        <v>0.375</v>
      </c>
      <c r="GV23" s="160">
        <v>0.75</v>
      </c>
      <c r="GW23" s="161">
        <v>0.5</v>
      </c>
      <c r="GX23" s="161">
        <v>0.54166666666666663</v>
      </c>
      <c r="GY23" s="61" t="str">
        <f t="shared" si="34"/>
        <v>8h</v>
      </c>
      <c r="GZ23" s="162">
        <v>0.375</v>
      </c>
      <c r="HA23" s="162">
        <v>0.75</v>
      </c>
      <c r="HB23" s="162">
        <v>0.5</v>
      </c>
      <c r="HC23" s="162">
        <v>0.54166666666666663</v>
      </c>
      <c r="HD23" s="38" t="str">
        <f t="shared" si="35"/>
        <v>8h</v>
      </c>
      <c r="HE23" s="381"/>
      <c r="HF23" s="381"/>
      <c r="HG23" s="381"/>
    </row>
    <row r="24" spans="1:215" x14ac:dyDescent="0.45">
      <c r="A24" s="55"/>
      <c r="B24" s="58">
        <f t="shared" si="36"/>
        <v>46037</v>
      </c>
      <c r="C24" s="59" t="str">
        <f t="shared" si="0"/>
        <v>木</v>
      </c>
      <c r="D24" s="59" t="s">
        <v>22</v>
      </c>
      <c r="E24" s="160">
        <v>0.375</v>
      </c>
      <c r="F24" s="160">
        <v>0.75</v>
      </c>
      <c r="G24" s="161">
        <v>0.5</v>
      </c>
      <c r="H24" s="161">
        <v>0.54166666666666663</v>
      </c>
      <c r="I24" s="61" t="str">
        <f t="shared" si="1"/>
        <v>8h</v>
      </c>
      <c r="J24" s="162">
        <v>0.375</v>
      </c>
      <c r="K24" s="162">
        <v>0.75</v>
      </c>
      <c r="L24" s="162">
        <v>0.5</v>
      </c>
      <c r="M24" s="162">
        <v>0.54166666666666663</v>
      </c>
      <c r="N24" s="38" t="str">
        <f t="shared" si="2"/>
        <v>8h</v>
      </c>
      <c r="O24" s="381"/>
      <c r="P24" s="381"/>
      <c r="Q24" s="381"/>
      <c r="S24" s="55"/>
      <c r="T24" s="58">
        <f t="shared" si="37"/>
        <v>46068</v>
      </c>
      <c r="U24" s="59" t="str">
        <f t="shared" si="3"/>
        <v>日</v>
      </c>
      <c r="V24" s="59"/>
      <c r="W24" s="60"/>
      <c r="X24" s="60"/>
      <c r="Y24" s="36"/>
      <c r="Z24" s="36"/>
      <c r="AA24" s="61" t="str">
        <f t="shared" si="4"/>
        <v/>
      </c>
      <c r="AB24" s="37"/>
      <c r="AC24" s="37"/>
      <c r="AD24" s="37"/>
      <c r="AE24" s="37"/>
      <c r="AF24" s="38" t="str">
        <f t="shared" si="5"/>
        <v/>
      </c>
      <c r="AG24" s="381"/>
      <c r="AH24" s="381"/>
      <c r="AI24" s="381"/>
      <c r="AK24" s="55"/>
      <c r="AL24" s="58">
        <f t="shared" si="38"/>
        <v>46096</v>
      </c>
      <c r="AM24" s="59" t="str">
        <f t="shared" si="6"/>
        <v>日</v>
      </c>
      <c r="AN24" s="59"/>
      <c r="AO24" s="60"/>
      <c r="AP24" s="60"/>
      <c r="AQ24" s="36"/>
      <c r="AR24" s="36"/>
      <c r="AS24" s="61" t="str">
        <f t="shared" si="7"/>
        <v/>
      </c>
      <c r="AT24" s="37"/>
      <c r="AU24" s="37"/>
      <c r="AV24" s="37"/>
      <c r="AW24" s="37"/>
      <c r="AX24" s="38" t="str">
        <f t="shared" si="8"/>
        <v/>
      </c>
      <c r="AY24" s="381"/>
      <c r="AZ24" s="381"/>
      <c r="BA24" s="381"/>
      <c r="BC24" s="55"/>
      <c r="BD24" s="58">
        <f t="shared" si="39"/>
        <v>46127</v>
      </c>
      <c r="BE24" s="59" t="str">
        <f t="shared" si="9"/>
        <v>水</v>
      </c>
      <c r="BF24" s="59" t="s">
        <v>22</v>
      </c>
      <c r="BG24" s="160">
        <v>0.375</v>
      </c>
      <c r="BH24" s="160">
        <v>0.75</v>
      </c>
      <c r="BI24" s="161">
        <v>0.5</v>
      </c>
      <c r="BJ24" s="161">
        <v>0.54166666666666663</v>
      </c>
      <c r="BK24" s="61" t="str">
        <f t="shared" si="10"/>
        <v>8h</v>
      </c>
      <c r="BL24" s="162">
        <v>0.375</v>
      </c>
      <c r="BM24" s="162">
        <v>0.75</v>
      </c>
      <c r="BN24" s="162">
        <v>0.5</v>
      </c>
      <c r="BO24" s="162">
        <v>0.54166666666666663</v>
      </c>
      <c r="BP24" s="38" t="str">
        <f t="shared" si="11"/>
        <v>8h</v>
      </c>
      <c r="BQ24" s="381"/>
      <c r="BR24" s="381"/>
      <c r="BS24" s="381"/>
      <c r="BU24" s="55"/>
      <c r="BV24" s="58">
        <f t="shared" si="40"/>
        <v>46157</v>
      </c>
      <c r="BW24" s="59" t="str">
        <f t="shared" si="12"/>
        <v>金</v>
      </c>
      <c r="BX24" s="59" t="s">
        <v>22</v>
      </c>
      <c r="BY24" s="160">
        <v>0.375</v>
      </c>
      <c r="BZ24" s="160">
        <v>0.75</v>
      </c>
      <c r="CA24" s="161">
        <v>0.5</v>
      </c>
      <c r="CB24" s="161">
        <v>0.54166666666666663</v>
      </c>
      <c r="CC24" s="61" t="str">
        <f t="shared" si="13"/>
        <v>8h</v>
      </c>
      <c r="CD24" s="162">
        <v>0.375</v>
      </c>
      <c r="CE24" s="162">
        <v>0.75</v>
      </c>
      <c r="CF24" s="162">
        <v>0.5</v>
      </c>
      <c r="CG24" s="162">
        <v>0.54166666666666663</v>
      </c>
      <c r="CH24" s="38" t="str">
        <f t="shared" si="14"/>
        <v>8h</v>
      </c>
      <c r="CI24" s="381"/>
      <c r="CJ24" s="381"/>
      <c r="CK24" s="381"/>
      <c r="CM24" s="55"/>
      <c r="CN24" s="58">
        <f t="shared" si="41"/>
        <v>46188</v>
      </c>
      <c r="CO24" s="59" t="str">
        <f t="shared" si="15"/>
        <v>月</v>
      </c>
      <c r="CP24" s="59" t="s">
        <v>22</v>
      </c>
      <c r="CQ24" s="160">
        <v>0.375</v>
      </c>
      <c r="CR24" s="160">
        <v>0.75</v>
      </c>
      <c r="CS24" s="161">
        <v>0.5</v>
      </c>
      <c r="CT24" s="161">
        <v>0.54166666666666663</v>
      </c>
      <c r="CU24" s="61" t="str">
        <f t="shared" si="16"/>
        <v>8h</v>
      </c>
      <c r="CV24" s="162">
        <v>0.375</v>
      </c>
      <c r="CW24" s="162">
        <v>0.75</v>
      </c>
      <c r="CX24" s="162">
        <v>0.5</v>
      </c>
      <c r="CY24" s="162">
        <v>0.54166666666666663</v>
      </c>
      <c r="CZ24" s="38" t="str">
        <f t="shared" si="17"/>
        <v>8h</v>
      </c>
      <c r="DA24" s="381"/>
      <c r="DB24" s="381"/>
      <c r="DC24" s="381"/>
      <c r="DE24" s="55"/>
      <c r="DF24" s="58">
        <f t="shared" si="42"/>
        <v>46218</v>
      </c>
      <c r="DG24" s="59" t="str">
        <f t="shared" si="18"/>
        <v>水</v>
      </c>
      <c r="DH24" s="59" t="s">
        <v>22</v>
      </c>
      <c r="DI24" s="160">
        <v>0.375</v>
      </c>
      <c r="DJ24" s="160">
        <v>0.75</v>
      </c>
      <c r="DK24" s="161">
        <v>0.5</v>
      </c>
      <c r="DL24" s="161">
        <v>0.54166666666666663</v>
      </c>
      <c r="DM24" s="61" t="str">
        <f t="shared" si="19"/>
        <v>8h</v>
      </c>
      <c r="DN24" s="162">
        <v>0.375</v>
      </c>
      <c r="DO24" s="162">
        <v>0.75</v>
      </c>
      <c r="DP24" s="162">
        <v>0.5</v>
      </c>
      <c r="DQ24" s="162">
        <v>0.54166666666666663</v>
      </c>
      <c r="DR24" s="38" t="str">
        <f t="shared" si="20"/>
        <v>8h</v>
      </c>
      <c r="DS24" s="381"/>
      <c r="DT24" s="381"/>
      <c r="DU24" s="381"/>
      <c r="DW24" s="55"/>
      <c r="DX24" s="58">
        <f t="shared" si="43"/>
        <v>46249</v>
      </c>
      <c r="DY24" s="59" t="str">
        <f t="shared" si="21"/>
        <v>土</v>
      </c>
      <c r="DZ24" s="59"/>
      <c r="EA24" s="60"/>
      <c r="EB24" s="60"/>
      <c r="EC24" s="36"/>
      <c r="ED24" s="36"/>
      <c r="EE24" s="61" t="str">
        <f t="shared" si="22"/>
        <v/>
      </c>
      <c r="EF24" s="37"/>
      <c r="EG24" s="37"/>
      <c r="EH24" s="37"/>
      <c r="EI24" s="37"/>
      <c r="EJ24" s="38" t="str">
        <f t="shared" si="23"/>
        <v/>
      </c>
      <c r="EK24" s="381"/>
      <c r="EL24" s="381"/>
      <c r="EM24" s="381"/>
      <c r="EO24" s="55"/>
      <c r="EP24" s="58">
        <f t="shared" si="44"/>
        <v>46280</v>
      </c>
      <c r="EQ24" s="59" t="str">
        <f t="shared" si="24"/>
        <v>火</v>
      </c>
      <c r="ER24" s="59" t="s">
        <v>22</v>
      </c>
      <c r="ES24" s="160">
        <v>0.375</v>
      </c>
      <c r="ET24" s="160">
        <v>0.75</v>
      </c>
      <c r="EU24" s="161">
        <v>0.5</v>
      </c>
      <c r="EV24" s="161">
        <v>0.54166666666666663</v>
      </c>
      <c r="EW24" s="61" t="str">
        <f t="shared" si="25"/>
        <v>8h</v>
      </c>
      <c r="EX24" s="162">
        <v>0.375</v>
      </c>
      <c r="EY24" s="162">
        <v>0.75</v>
      </c>
      <c r="EZ24" s="162">
        <v>0.5</v>
      </c>
      <c r="FA24" s="162">
        <v>0.54166666666666663</v>
      </c>
      <c r="FB24" s="38" t="str">
        <f t="shared" si="26"/>
        <v>8h</v>
      </c>
      <c r="FC24" s="381"/>
      <c r="FD24" s="381"/>
      <c r="FE24" s="381"/>
      <c r="FG24" s="55"/>
      <c r="FH24" s="58">
        <f t="shared" si="45"/>
        <v>46310</v>
      </c>
      <c r="FI24" s="59" t="str">
        <f t="shared" si="27"/>
        <v>木</v>
      </c>
      <c r="FJ24" s="59" t="s">
        <v>22</v>
      </c>
      <c r="FK24" s="160">
        <v>0.375</v>
      </c>
      <c r="FL24" s="160">
        <v>0.75</v>
      </c>
      <c r="FM24" s="161">
        <v>0.5</v>
      </c>
      <c r="FN24" s="161">
        <v>0.54166666666666663</v>
      </c>
      <c r="FO24" s="61" t="str">
        <f t="shared" si="28"/>
        <v>8h</v>
      </c>
      <c r="FP24" s="162">
        <v>0.375</v>
      </c>
      <c r="FQ24" s="162">
        <v>0.75</v>
      </c>
      <c r="FR24" s="162">
        <v>0.5</v>
      </c>
      <c r="FS24" s="162">
        <v>0.54166666666666663</v>
      </c>
      <c r="FT24" s="38" t="str">
        <f t="shared" si="29"/>
        <v>8h</v>
      </c>
      <c r="FU24" s="381"/>
      <c r="FV24" s="381"/>
      <c r="FW24" s="381"/>
      <c r="FY24" s="55"/>
      <c r="FZ24" s="58">
        <f t="shared" si="46"/>
        <v>46341</v>
      </c>
      <c r="GA24" s="59" t="str">
        <f t="shared" si="30"/>
        <v>日</v>
      </c>
      <c r="GB24" s="59"/>
      <c r="GC24" s="60"/>
      <c r="GD24" s="60"/>
      <c r="GE24" s="36"/>
      <c r="GF24" s="36"/>
      <c r="GG24" s="61" t="str">
        <f t="shared" si="31"/>
        <v/>
      </c>
      <c r="GH24" s="37"/>
      <c r="GI24" s="37"/>
      <c r="GJ24" s="37"/>
      <c r="GK24" s="37"/>
      <c r="GL24" s="38" t="str">
        <f t="shared" si="32"/>
        <v/>
      </c>
      <c r="GM24" s="381"/>
      <c r="GN24" s="381"/>
      <c r="GO24" s="381"/>
      <c r="GQ24" s="55"/>
      <c r="GR24" s="58">
        <f t="shared" si="47"/>
        <v>46371</v>
      </c>
      <c r="GS24" s="59" t="str">
        <f t="shared" si="33"/>
        <v>火</v>
      </c>
      <c r="GT24" s="59" t="s">
        <v>22</v>
      </c>
      <c r="GU24" s="160">
        <v>0.375</v>
      </c>
      <c r="GV24" s="160">
        <v>0.75</v>
      </c>
      <c r="GW24" s="161">
        <v>0.5</v>
      </c>
      <c r="GX24" s="161">
        <v>0.54166666666666663</v>
      </c>
      <c r="GY24" s="61" t="str">
        <f t="shared" si="34"/>
        <v>8h</v>
      </c>
      <c r="GZ24" s="162">
        <v>0.375</v>
      </c>
      <c r="HA24" s="162">
        <v>0.75</v>
      </c>
      <c r="HB24" s="162">
        <v>0.5</v>
      </c>
      <c r="HC24" s="162">
        <v>0.54166666666666663</v>
      </c>
      <c r="HD24" s="38" t="str">
        <f t="shared" si="35"/>
        <v>8h</v>
      </c>
      <c r="HE24" s="381"/>
      <c r="HF24" s="381"/>
      <c r="HG24" s="381"/>
    </row>
    <row r="25" spans="1:215" x14ac:dyDescent="0.45">
      <c r="A25" s="55"/>
      <c r="B25" s="58">
        <f t="shared" si="36"/>
        <v>46038</v>
      </c>
      <c r="C25" s="59" t="str">
        <f t="shared" si="0"/>
        <v>金</v>
      </c>
      <c r="D25" s="59" t="s">
        <v>22</v>
      </c>
      <c r="E25" s="160">
        <v>0.375</v>
      </c>
      <c r="F25" s="160">
        <v>0.75</v>
      </c>
      <c r="G25" s="161">
        <v>0.5</v>
      </c>
      <c r="H25" s="161">
        <v>0.54166666666666663</v>
      </c>
      <c r="I25" s="61" t="str">
        <f t="shared" si="1"/>
        <v>8h</v>
      </c>
      <c r="J25" s="162">
        <v>0.375</v>
      </c>
      <c r="K25" s="162">
        <v>0.75</v>
      </c>
      <c r="L25" s="162">
        <v>0.5</v>
      </c>
      <c r="M25" s="162">
        <v>0.54166666666666663</v>
      </c>
      <c r="N25" s="38" t="str">
        <f t="shared" si="2"/>
        <v>8h</v>
      </c>
      <c r="O25" s="381"/>
      <c r="P25" s="381"/>
      <c r="Q25" s="381"/>
      <c r="S25" s="55"/>
      <c r="T25" s="58">
        <f t="shared" si="37"/>
        <v>46069</v>
      </c>
      <c r="U25" s="59" t="str">
        <f t="shared" si="3"/>
        <v>月</v>
      </c>
      <c r="V25" s="59" t="s">
        <v>22</v>
      </c>
      <c r="W25" s="160">
        <v>0.375</v>
      </c>
      <c r="X25" s="160">
        <v>0.75</v>
      </c>
      <c r="Y25" s="161">
        <v>0.5</v>
      </c>
      <c r="Z25" s="161">
        <v>0.54166666666666663</v>
      </c>
      <c r="AA25" s="61" t="str">
        <f t="shared" si="4"/>
        <v>8h</v>
      </c>
      <c r="AB25" s="162">
        <v>0.375</v>
      </c>
      <c r="AC25" s="162">
        <v>0.75</v>
      </c>
      <c r="AD25" s="162">
        <v>0.5</v>
      </c>
      <c r="AE25" s="162">
        <v>0.54166666666666663</v>
      </c>
      <c r="AF25" s="38" t="str">
        <f t="shared" si="5"/>
        <v>8h</v>
      </c>
      <c r="AG25" s="381"/>
      <c r="AH25" s="381"/>
      <c r="AI25" s="381"/>
      <c r="AK25" s="55"/>
      <c r="AL25" s="58">
        <f t="shared" si="38"/>
        <v>46097</v>
      </c>
      <c r="AM25" s="59" t="str">
        <f t="shared" si="6"/>
        <v>月</v>
      </c>
      <c r="AN25" s="59" t="s">
        <v>22</v>
      </c>
      <c r="AO25" s="160">
        <v>0.375</v>
      </c>
      <c r="AP25" s="160">
        <v>0.75</v>
      </c>
      <c r="AQ25" s="161">
        <v>0.5</v>
      </c>
      <c r="AR25" s="161">
        <v>0.54166666666666663</v>
      </c>
      <c r="AS25" s="61" t="str">
        <f t="shared" si="7"/>
        <v>8h</v>
      </c>
      <c r="AT25" s="162">
        <v>0.375</v>
      </c>
      <c r="AU25" s="162">
        <v>0.75</v>
      </c>
      <c r="AV25" s="162">
        <v>0.5</v>
      </c>
      <c r="AW25" s="162">
        <v>0.54166666666666663</v>
      </c>
      <c r="AX25" s="38" t="str">
        <f t="shared" si="8"/>
        <v>8h</v>
      </c>
      <c r="AY25" s="381"/>
      <c r="AZ25" s="381"/>
      <c r="BA25" s="381"/>
      <c r="BC25" s="55"/>
      <c r="BD25" s="58">
        <f t="shared" si="39"/>
        <v>46128</v>
      </c>
      <c r="BE25" s="59" t="str">
        <f t="shared" si="9"/>
        <v>木</v>
      </c>
      <c r="BF25" s="59" t="s">
        <v>22</v>
      </c>
      <c r="BG25" s="160">
        <v>0.375</v>
      </c>
      <c r="BH25" s="160">
        <v>0.75</v>
      </c>
      <c r="BI25" s="161">
        <v>0.5</v>
      </c>
      <c r="BJ25" s="161">
        <v>0.54166666666666663</v>
      </c>
      <c r="BK25" s="61" t="str">
        <f t="shared" si="10"/>
        <v>8h</v>
      </c>
      <c r="BL25" s="162">
        <v>0.375</v>
      </c>
      <c r="BM25" s="162">
        <v>0.75</v>
      </c>
      <c r="BN25" s="162">
        <v>0.5</v>
      </c>
      <c r="BO25" s="162">
        <v>0.54166666666666663</v>
      </c>
      <c r="BP25" s="38" t="str">
        <f t="shared" si="11"/>
        <v>8h</v>
      </c>
      <c r="BQ25" s="381"/>
      <c r="BR25" s="381"/>
      <c r="BS25" s="381"/>
      <c r="BU25" s="55"/>
      <c r="BV25" s="58">
        <f t="shared" si="40"/>
        <v>46158</v>
      </c>
      <c r="BW25" s="59" t="str">
        <f t="shared" si="12"/>
        <v>土</v>
      </c>
      <c r="BX25" s="59"/>
      <c r="BY25" s="60"/>
      <c r="BZ25" s="60"/>
      <c r="CA25" s="36"/>
      <c r="CB25" s="36"/>
      <c r="CC25" s="61" t="str">
        <f t="shared" si="13"/>
        <v/>
      </c>
      <c r="CD25" s="37"/>
      <c r="CE25" s="37"/>
      <c r="CF25" s="37"/>
      <c r="CG25" s="37"/>
      <c r="CH25" s="38" t="str">
        <f t="shared" si="14"/>
        <v/>
      </c>
      <c r="CI25" s="381"/>
      <c r="CJ25" s="381"/>
      <c r="CK25" s="381"/>
      <c r="CM25" s="55"/>
      <c r="CN25" s="58">
        <f t="shared" si="41"/>
        <v>46189</v>
      </c>
      <c r="CO25" s="59" t="str">
        <f t="shared" si="15"/>
        <v>火</v>
      </c>
      <c r="CP25" s="59" t="s">
        <v>22</v>
      </c>
      <c r="CQ25" s="160">
        <v>0.375</v>
      </c>
      <c r="CR25" s="160">
        <v>0.75</v>
      </c>
      <c r="CS25" s="161">
        <v>0.5</v>
      </c>
      <c r="CT25" s="161">
        <v>0.54166666666666663</v>
      </c>
      <c r="CU25" s="61" t="str">
        <f t="shared" si="16"/>
        <v>8h</v>
      </c>
      <c r="CV25" s="162">
        <v>0.375</v>
      </c>
      <c r="CW25" s="162">
        <v>0.75</v>
      </c>
      <c r="CX25" s="162">
        <v>0.5</v>
      </c>
      <c r="CY25" s="162">
        <v>0.54166666666666663</v>
      </c>
      <c r="CZ25" s="38" t="str">
        <f t="shared" si="17"/>
        <v>8h</v>
      </c>
      <c r="DA25" s="381"/>
      <c r="DB25" s="381"/>
      <c r="DC25" s="381"/>
      <c r="DE25" s="55"/>
      <c r="DF25" s="58">
        <f t="shared" si="42"/>
        <v>46219</v>
      </c>
      <c r="DG25" s="59" t="str">
        <f t="shared" si="18"/>
        <v>木</v>
      </c>
      <c r="DH25" s="59" t="s">
        <v>22</v>
      </c>
      <c r="DI25" s="160">
        <v>0.375</v>
      </c>
      <c r="DJ25" s="160">
        <v>0.75</v>
      </c>
      <c r="DK25" s="161">
        <v>0.5</v>
      </c>
      <c r="DL25" s="161">
        <v>0.54166666666666663</v>
      </c>
      <c r="DM25" s="61" t="str">
        <f t="shared" si="19"/>
        <v>8h</v>
      </c>
      <c r="DN25" s="162">
        <v>0.375</v>
      </c>
      <c r="DO25" s="162">
        <v>0.75</v>
      </c>
      <c r="DP25" s="162">
        <v>0.5</v>
      </c>
      <c r="DQ25" s="162">
        <v>0.54166666666666663</v>
      </c>
      <c r="DR25" s="38" t="str">
        <f t="shared" si="20"/>
        <v>8h</v>
      </c>
      <c r="DS25" s="381"/>
      <c r="DT25" s="381"/>
      <c r="DU25" s="381"/>
      <c r="DW25" s="55"/>
      <c r="DX25" s="58">
        <f t="shared" si="43"/>
        <v>46250</v>
      </c>
      <c r="DY25" s="59" t="str">
        <f t="shared" si="21"/>
        <v>日</v>
      </c>
      <c r="DZ25" s="59"/>
      <c r="EA25" s="60"/>
      <c r="EB25" s="60"/>
      <c r="EC25" s="36"/>
      <c r="ED25" s="36"/>
      <c r="EE25" s="61" t="str">
        <f t="shared" si="22"/>
        <v/>
      </c>
      <c r="EF25" s="37"/>
      <c r="EG25" s="37"/>
      <c r="EH25" s="37"/>
      <c r="EI25" s="37"/>
      <c r="EJ25" s="38" t="str">
        <f t="shared" si="23"/>
        <v/>
      </c>
      <c r="EK25" s="381"/>
      <c r="EL25" s="381"/>
      <c r="EM25" s="381"/>
      <c r="EO25" s="55"/>
      <c r="EP25" s="58">
        <f t="shared" si="44"/>
        <v>46281</v>
      </c>
      <c r="EQ25" s="59" t="str">
        <f t="shared" si="24"/>
        <v>水</v>
      </c>
      <c r="ER25" s="59" t="s">
        <v>22</v>
      </c>
      <c r="ES25" s="160">
        <v>0.375</v>
      </c>
      <c r="ET25" s="160">
        <v>0.75</v>
      </c>
      <c r="EU25" s="161">
        <v>0.5</v>
      </c>
      <c r="EV25" s="161">
        <v>0.54166666666666663</v>
      </c>
      <c r="EW25" s="61" t="str">
        <f t="shared" si="25"/>
        <v>8h</v>
      </c>
      <c r="EX25" s="162">
        <v>0.375</v>
      </c>
      <c r="EY25" s="162">
        <v>0.75</v>
      </c>
      <c r="EZ25" s="162">
        <v>0.5</v>
      </c>
      <c r="FA25" s="162">
        <v>0.54166666666666663</v>
      </c>
      <c r="FB25" s="38" t="str">
        <f t="shared" si="26"/>
        <v>8h</v>
      </c>
      <c r="FC25" s="381"/>
      <c r="FD25" s="381"/>
      <c r="FE25" s="381"/>
      <c r="FG25" s="55"/>
      <c r="FH25" s="58">
        <f t="shared" si="45"/>
        <v>46311</v>
      </c>
      <c r="FI25" s="59" t="str">
        <f t="shared" si="27"/>
        <v>金</v>
      </c>
      <c r="FJ25" s="59" t="s">
        <v>22</v>
      </c>
      <c r="FK25" s="160">
        <v>0.375</v>
      </c>
      <c r="FL25" s="160">
        <v>0.75</v>
      </c>
      <c r="FM25" s="161">
        <v>0.5</v>
      </c>
      <c r="FN25" s="161">
        <v>0.54166666666666663</v>
      </c>
      <c r="FO25" s="61" t="str">
        <f t="shared" si="28"/>
        <v>8h</v>
      </c>
      <c r="FP25" s="162">
        <v>0.375</v>
      </c>
      <c r="FQ25" s="162">
        <v>0.75</v>
      </c>
      <c r="FR25" s="162">
        <v>0.5</v>
      </c>
      <c r="FS25" s="162">
        <v>0.54166666666666663</v>
      </c>
      <c r="FT25" s="38" t="str">
        <f t="shared" si="29"/>
        <v>8h</v>
      </c>
      <c r="FU25" s="381"/>
      <c r="FV25" s="381"/>
      <c r="FW25" s="381"/>
      <c r="FY25" s="55"/>
      <c r="FZ25" s="58">
        <f t="shared" si="46"/>
        <v>46342</v>
      </c>
      <c r="GA25" s="59" t="str">
        <f t="shared" si="30"/>
        <v>月</v>
      </c>
      <c r="GB25" s="59" t="s">
        <v>22</v>
      </c>
      <c r="GC25" s="160">
        <v>0.375</v>
      </c>
      <c r="GD25" s="160">
        <v>0.75</v>
      </c>
      <c r="GE25" s="161">
        <v>0.5</v>
      </c>
      <c r="GF25" s="161">
        <v>0.54166666666666663</v>
      </c>
      <c r="GG25" s="61" t="str">
        <f t="shared" si="31"/>
        <v>8h</v>
      </c>
      <c r="GH25" s="162">
        <v>0.375</v>
      </c>
      <c r="GI25" s="162">
        <v>0.75</v>
      </c>
      <c r="GJ25" s="162">
        <v>0.5</v>
      </c>
      <c r="GK25" s="162">
        <v>0.54166666666666663</v>
      </c>
      <c r="GL25" s="38" t="str">
        <f t="shared" si="32"/>
        <v>8h</v>
      </c>
      <c r="GM25" s="381"/>
      <c r="GN25" s="381"/>
      <c r="GO25" s="381"/>
      <c r="GQ25" s="55"/>
      <c r="GR25" s="58">
        <f t="shared" si="47"/>
        <v>46372</v>
      </c>
      <c r="GS25" s="59" t="str">
        <f t="shared" si="33"/>
        <v>水</v>
      </c>
      <c r="GT25" s="59" t="s">
        <v>22</v>
      </c>
      <c r="GU25" s="160">
        <v>0.375</v>
      </c>
      <c r="GV25" s="160">
        <v>0.75</v>
      </c>
      <c r="GW25" s="161">
        <v>0.5</v>
      </c>
      <c r="GX25" s="161">
        <v>0.54166666666666663</v>
      </c>
      <c r="GY25" s="61" t="str">
        <f t="shared" si="34"/>
        <v>8h</v>
      </c>
      <c r="GZ25" s="162">
        <v>0.375</v>
      </c>
      <c r="HA25" s="162">
        <v>0.75</v>
      </c>
      <c r="HB25" s="162">
        <v>0.5</v>
      </c>
      <c r="HC25" s="162">
        <v>0.54166666666666663</v>
      </c>
      <c r="HD25" s="38" t="str">
        <f t="shared" si="35"/>
        <v>8h</v>
      </c>
      <c r="HE25" s="381"/>
      <c r="HF25" s="381"/>
      <c r="HG25" s="381"/>
    </row>
    <row r="26" spans="1:215" x14ac:dyDescent="0.45">
      <c r="A26" s="55"/>
      <c r="B26" s="58">
        <f t="shared" si="36"/>
        <v>46039</v>
      </c>
      <c r="C26" s="59" t="str">
        <f t="shared" si="0"/>
        <v>土</v>
      </c>
      <c r="D26" s="59"/>
      <c r="E26" s="60"/>
      <c r="F26" s="60"/>
      <c r="G26" s="36"/>
      <c r="H26" s="36"/>
      <c r="I26" s="61" t="str">
        <f t="shared" si="1"/>
        <v/>
      </c>
      <c r="J26" s="37"/>
      <c r="K26" s="37"/>
      <c r="L26" s="37"/>
      <c r="M26" s="37"/>
      <c r="N26" s="38" t="str">
        <f t="shared" si="2"/>
        <v/>
      </c>
      <c r="O26" s="381"/>
      <c r="P26" s="381"/>
      <c r="Q26" s="381"/>
      <c r="S26" s="55"/>
      <c r="T26" s="58">
        <f t="shared" si="37"/>
        <v>46070</v>
      </c>
      <c r="U26" s="59" t="str">
        <f t="shared" si="3"/>
        <v>火</v>
      </c>
      <c r="V26" s="59" t="s">
        <v>22</v>
      </c>
      <c r="W26" s="160">
        <v>0.375</v>
      </c>
      <c r="X26" s="160">
        <v>0.75</v>
      </c>
      <c r="Y26" s="161">
        <v>0.5</v>
      </c>
      <c r="Z26" s="161">
        <v>0.54166666666666663</v>
      </c>
      <c r="AA26" s="61" t="str">
        <f t="shared" si="4"/>
        <v>8h</v>
      </c>
      <c r="AB26" s="162">
        <v>0.375</v>
      </c>
      <c r="AC26" s="162">
        <v>0.75</v>
      </c>
      <c r="AD26" s="162">
        <v>0.5</v>
      </c>
      <c r="AE26" s="162">
        <v>0.54166666666666663</v>
      </c>
      <c r="AF26" s="38" t="str">
        <f t="shared" si="5"/>
        <v>8h</v>
      </c>
      <c r="AG26" s="381"/>
      <c r="AH26" s="381"/>
      <c r="AI26" s="381"/>
      <c r="AK26" s="55"/>
      <c r="AL26" s="58">
        <f t="shared" si="38"/>
        <v>46098</v>
      </c>
      <c r="AM26" s="59" t="str">
        <f t="shared" si="6"/>
        <v>火</v>
      </c>
      <c r="AN26" s="59" t="s">
        <v>22</v>
      </c>
      <c r="AO26" s="160">
        <v>0.375</v>
      </c>
      <c r="AP26" s="160">
        <v>0.75</v>
      </c>
      <c r="AQ26" s="161">
        <v>0.5</v>
      </c>
      <c r="AR26" s="161">
        <v>0.54166666666666663</v>
      </c>
      <c r="AS26" s="61" t="str">
        <f t="shared" si="7"/>
        <v>8h</v>
      </c>
      <c r="AT26" s="162">
        <v>0.375</v>
      </c>
      <c r="AU26" s="162">
        <v>0.75</v>
      </c>
      <c r="AV26" s="162">
        <v>0.5</v>
      </c>
      <c r="AW26" s="162">
        <v>0.54166666666666663</v>
      </c>
      <c r="AX26" s="38" t="str">
        <f t="shared" si="8"/>
        <v>8h</v>
      </c>
      <c r="AY26" s="381"/>
      <c r="AZ26" s="381"/>
      <c r="BA26" s="381"/>
      <c r="BC26" s="55"/>
      <c r="BD26" s="58">
        <f t="shared" si="39"/>
        <v>46129</v>
      </c>
      <c r="BE26" s="59" t="str">
        <f t="shared" si="9"/>
        <v>金</v>
      </c>
      <c r="BF26" s="59" t="s">
        <v>22</v>
      </c>
      <c r="BG26" s="160">
        <v>0.375</v>
      </c>
      <c r="BH26" s="160">
        <v>0.75</v>
      </c>
      <c r="BI26" s="161">
        <v>0.5</v>
      </c>
      <c r="BJ26" s="161">
        <v>0.54166666666666663</v>
      </c>
      <c r="BK26" s="61" t="str">
        <f t="shared" si="10"/>
        <v>8h</v>
      </c>
      <c r="BL26" s="162">
        <v>0.375</v>
      </c>
      <c r="BM26" s="162">
        <v>0.75</v>
      </c>
      <c r="BN26" s="162">
        <v>0.5</v>
      </c>
      <c r="BO26" s="162">
        <v>0.54166666666666663</v>
      </c>
      <c r="BP26" s="38" t="str">
        <f t="shared" si="11"/>
        <v>8h</v>
      </c>
      <c r="BQ26" s="381"/>
      <c r="BR26" s="381"/>
      <c r="BS26" s="381"/>
      <c r="BU26" s="55"/>
      <c r="BV26" s="58">
        <f t="shared" si="40"/>
        <v>46159</v>
      </c>
      <c r="BW26" s="59" t="str">
        <f t="shared" si="12"/>
        <v>日</v>
      </c>
      <c r="BX26" s="59"/>
      <c r="BY26" s="60"/>
      <c r="BZ26" s="60"/>
      <c r="CA26" s="36"/>
      <c r="CB26" s="36"/>
      <c r="CC26" s="61" t="str">
        <f t="shared" si="13"/>
        <v/>
      </c>
      <c r="CD26" s="37"/>
      <c r="CE26" s="37"/>
      <c r="CF26" s="37"/>
      <c r="CG26" s="37"/>
      <c r="CH26" s="38" t="str">
        <f t="shared" si="14"/>
        <v/>
      </c>
      <c r="CI26" s="381"/>
      <c r="CJ26" s="381"/>
      <c r="CK26" s="381"/>
      <c r="CM26" s="55"/>
      <c r="CN26" s="58">
        <f t="shared" si="41"/>
        <v>46190</v>
      </c>
      <c r="CO26" s="59" t="str">
        <f t="shared" si="15"/>
        <v>水</v>
      </c>
      <c r="CP26" s="59" t="s">
        <v>22</v>
      </c>
      <c r="CQ26" s="160">
        <v>0.375</v>
      </c>
      <c r="CR26" s="160">
        <v>0.75</v>
      </c>
      <c r="CS26" s="161">
        <v>0.5</v>
      </c>
      <c r="CT26" s="161">
        <v>0.54166666666666663</v>
      </c>
      <c r="CU26" s="61" t="str">
        <f t="shared" si="16"/>
        <v>8h</v>
      </c>
      <c r="CV26" s="162">
        <v>0.375</v>
      </c>
      <c r="CW26" s="162">
        <v>0.75</v>
      </c>
      <c r="CX26" s="162">
        <v>0.5</v>
      </c>
      <c r="CY26" s="162">
        <v>0.54166666666666663</v>
      </c>
      <c r="CZ26" s="38" t="str">
        <f t="shared" si="17"/>
        <v>8h</v>
      </c>
      <c r="DA26" s="381"/>
      <c r="DB26" s="381"/>
      <c r="DC26" s="381"/>
      <c r="DE26" s="55"/>
      <c r="DF26" s="58">
        <f t="shared" si="42"/>
        <v>46220</v>
      </c>
      <c r="DG26" s="59" t="str">
        <f t="shared" si="18"/>
        <v>金</v>
      </c>
      <c r="DH26" s="59" t="s">
        <v>22</v>
      </c>
      <c r="DI26" s="160">
        <v>0.375</v>
      </c>
      <c r="DJ26" s="160">
        <v>0.75</v>
      </c>
      <c r="DK26" s="161">
        <v>0.5</v>
      </c>
      <c r="DL26" s="161">
        <v>0.54166666666666663</v>
      </c>
      <c r="DM26" s="61" t="str">
        <f t="shared" si="19"/>
        <v>8h</v>
      </c>
      <c r="DN26" s="162">
        <v>0.375</v>
      </c>
      <c r="DO26" s="162">
        <v>0.75</v>
      </c>
      <c r="DP26" s="162">
        <v>0.5</v>
      </c>
      <c r="DQ26" s="162">
        <v>0.54166666666666663</v>
      </c>
      <c r="DR26" s="38" t="str">
        <f t="shared" si="20"/>
        <v>8h</v>
      </c>
      <c r="DS26" s="381"/>
      <c r="DT26" s="381"/>
      <c r="DU26" s="381"/>
      <c r="DW26" s="55"/>
      <c r="DX26" s="58">
        <f t="shared" si="43"/>
        <v>46251</v>
      </c>
      <c r="DY26" s="59" t="str">
        <f t="shared" si="21"/>
        <v>月</v>
      </c>
      <c r="DZ26" s="59" t="s">
        <v>22</v>
      </c>
      <c r="EA26" s="160">
        <v>0.375</v>
      </c>
      <c r="EB26" s="160">
        <v>0.75</v>
      </c>
      <c r="EC26" s="161">
        <v>0.5</v>
      </c>
      <c r="ED26" s="161">
        <v>0.54166666666666663</v>
      </c>
      <c r="EE26" s="61" t="str">
        <f t="shared" si="22"/>
        <v>8h</v>
      </c>
      <c r="EF26" s="162">
        <v>0.375</v>
      </c>
      <c r="EG26" s="162">
        <v>0.75</v>
      </c>
      <c r="EH26" s="162">
        <v>0.5</v>
      </c>
      <c r="EI26" s="162">
        <v>0.54166666666666663</v>
      </c>
      <c r="EJ26" s="38" t="str">
        <f t="shared" si="23"/>
        <v>8h</v>
      </c>
      <c r="EK26" s="381"/>
      <c r="EL26" s="381"/>
      <c r="EM26" s="381"/>
      <c r="EO26" s="55"/>
      <c r="EP26" s="58">
        <f t="shared" si="44"/>
        <v>46282</v>
      </c>
      <c r="EQ26" s="59" t="str">
        <f t="shared" si="24"/>
        <v>木</v>
      </c>
      <c r="ER26" s="59" t="s">
        <v>22</v>
      </c>
      <c r="ES26" s="160">
        <v>0.375</v>
      </c>
      <c r="ET26" s="160">
        <v>0.75</v>
      </c>
      <c r="EU26" s="161">
        <v>0.5</v>
      </c>
      <c r="EV26" s="161">
        <v>0.54166666666666663</v>
      </c>
      <c r="EW26" s="61" t="str">
        <f t="shared" si="25"/>
        <v>8h</v>
      </c>
      <c r="EX26" s="162">
        <v>0.375</v>
      </c>
      <c r="EY26" s="162">
        <v>0.75</v>
      </c>
      <c r="EZ26" s="162">
        <v>0.5</v>
      </c>
      <c r="FA26" s="162">
        <v>0.54166666666666663</v>
      </c>
      <c r="FB26" s="38" t="str">
        <f t="shared" si="26"/>
        <v>8h</v>
      </c>
      <c r="FC26" s="381"/>
      <c r="FD26" s="381"/>
      <c r="FE26" s="381"/>
      <c r="FG26" s="55"/>
      <c r="FH26" s="58">
        <f t="shared" si="45"/>
        <v>46312</v>
      </c>
      <c r="FI26" s="59" t="str">
        <f t="shared" si="27"/>
        <v>土</v>
      </c>
      <c r="FJ26" s="59"/>
      <c r="FK26" s="60"/>
      <c r="FL26" s="60"/>
      <c r="FM26" s="36"/>
      <c r="FN26" s="36"/>
      <c r="FO26" s="61" t="str">
        <f t="shared" si="28"/>
        <v/>
      </c>
      <c r="FP26" s="37"/>
      <c r="FQ26" s="37"/>
      <c r="FR26" s="37"/>
      <c r="FS26" s="37"/>
      <c r="FT26" s="38" t="str">
        <f t="shared" si="29"/>
        <v/>
      </c>
      <c r="FU26" s="381"/>
      <c r="FV26" s="381"/>
      <c r="FW26" s="381"/>
      <c r="FY26" s="55"/>
      <c r="FZ26" s="58">
        <f t="shared" si="46"/>
        <v>46343</v>
      </c>
      <c r="GA26" s="59" t="str">
        <f t="shared" si="30"/>
        <v>火</v>
      </c>
      <c r="GB26" s="59" t="s">
        <v>22</v>
      </c>
      <c r="GC26" s="160">
        <v>0.375</v>
      </c>
      <c r="GD26" s="160">
        <v>0.75</v>
      </c>
      <c r="GE26" s="161">
        <v>0.5</v>
      </c>
      <c r="GF26" s="161">
        <v>0.54166666666666663</v>
      </c>
      <c r="GG26" s="61" t="str">
        <f t="shared" si="31"/>
        <v>8h</v>
      </c>
      <c r="GH26" s="162">
        <v>0.375</v>
      </c>
      <c r="GI26" s="162">
        <v>0.75</v>
      </c>
      <c r="GJ26" s="162">
        <v>0.5</v>
      </c>
      <c r="GK26" s="162">
        <v>0.54166666666666663</v>
      </c>
      <c r="GL26" s="38" t="str">
        <f t="shared" si="32"/>
        <v>8h</v>
      </c>
      <c r="GM26" s="381"/>
      <c r="GN26" s="381"/>
      <c r="GO26" s="381"/>
      <c r="GQ26" s="55"/>
      <c r="GR26" s="58">
        <f t="shared" si="47"/>
        <v>46373</v>
      </c>
      <c r="GS26" s="59" t="str">
        <f t="shared" si="33"/>
        <v>木</v>
      </c>
      <c r="GT26" s="59" t="s">
        <v>22</v>
      </c>
      <c r="GU26" s="160">
        <v>0.375</v>
      </c>
      <c r="GV26" s="160">
        <v>0.75</v>
      </c>
      <c r="GW26" s="161">
        <v>0.5</v>
      </c>
      <c r="GX26" s="161">
        <v>0.54166666666666663</v>
      </c>
      <c r="GY26" s="61" t="str">
        <f t="shared" si="34"/>
        <v>8h</v>
      </c>
      <c r="GZ26" s="162">
        <v>0.375</v>
      </c>
      <c r="HA26" s="162">
        <v>0.75</v>
      </c>
      <c r="HB26" s="162">
        <v>0.5</v>
      </c>
      <c r="HC26" s="162">
        <v>0.54166666666666663</v>
      </c>
      <c r="HD26" s="38" t="str">
        <f t="shared" si="35"/>
        <v>8h</v>
      </c>
      <c r="HE26" s="381"/>
      <c r="HF26" s="381"/>
      <c r="HG26" s="381"/>
    </row>
    <row r="27" spans="1:215" x14ac:dyDescent="0.45">
      <c r="A27" s="55"/>
      <c r="B27" s="58">
        <f t="shared" si="36"/>
        <v>46040</v>
      </c>
      <c r="C27" s="59" t="str">
        <f t="shared" si="0"/>
        <v>日</v>
      </c>
      <c r="D27" s="59"/>
      <c r="E27" s="60"/>
      <c r="F27" s="60"/>
      <c r="G27" s="36"/>
      <c r="H27" s="36"/>
      <c r="I27" s="61" t="str">
        <f t="shared" si="1"/>
        <v/>
      </c>
      <c r="J27" s="37"/>
      <c r="K27" s="37"/>
      <c r="L27" s="37"/>
      <c r="M27" s="37"/>
      <c r="N27" s="38" t="str">
        <f t="shared" si="2"/>
        <v/>
      </c>
      <c r="O27" s="381"/>
      <c r="P27" s="381"/>
      <c r="Q27" s="381"/>
      <c r="S27" s="55"/>
      <c r="T27" s="58">
        <f t="shared" si="37"/>
        <v>46071</v>
      </c>
      <c r="U27" s="59" t="str">
        <f t="shared" si="3"/>
        <v>水</v>
      </c>
      <c r="V27" s="59" t="s">
        <v>22</v>
      </c>
      <c r="W27" s="160">
        <v>0.375</v>
      </c>
      <c r="X27" s="160">
        <v>0.75</v>
      </c>
      <c r="Y27" s="161">
        <v>0.5</v>
      </c>
      <c r="Z27" s="161">
        <v>0.54166666666666663</v>
      </c>
      <c r="AA27" s="61" t="str">
        <f t="shared" si="4"/>
        <v>8h</v>
      </c>
      <c r="AB27" s="162">
        <v>0.375</v>
      </c>
      <c r="AC27" s="162">
        <v>0.75</v>
      </c>
      <c r="AD27" s="162">
        <v>0.5</v>
      </c>
      <c r="AE27" s="162">
        <v>0.54166666666666663</v>
      </c>
      <c r="AF27" s="38" t="str">
        <f t="shared" si="5"/>
        <v>8h</v>
      </c>
      <c r="AG27" s="381"/>
      <c r="AH27" s="381"/>
      <c r="AI27" s="381"/>
      <c r="AK27" s="55"/>
      <c r="AL27" s="58">
        <f t="shared" si="38"/>
        <v>46099</v>
      </c>
      <c r="AM27" s="59" t="str">
        <f t="shared" si="6"/>
        <v>水</v>
      </c>
      <c r="AN27" s="59" t="s">
        <v>22</v>
      </c>
      <c r="AO27" s="160">
        <v>0.375</v>
      </c>
      <c r="AP27" s="160">
        <v>0.75</v>
      </c>
      <c r="AQ27" s="161">
        <v>0.5</v>
      </c>
      <c r="AR27" s="161">
        <v>0.54166666666666663</v>
      </c>
      <c r="AS27" s="61" t="str">
        <f t="shared" si="7"/>
        <v>8h</v>
      </c>
      <c r="AT27" s="162">
        <v>0.375</v>
      </c>
      <c r="AU27" s="162">
        <v>0.75</v>
      </c>
      <c r="AV27" s="162">
        <v>0.5</v>
      </c>
      <c r="AW27" s="162">
        <v>0.54166666666666663</v>
      </c>
      <c r="AX27" s="38" t="str">
        <f t="shared" si="8"/>
        <v>8h</v>
      </c>
      <c r="AY27" s="381"/>
      <c r="AZ27" s="381"/>
      <c r="BA27" s="381"/>
      <c r="BC27" s="55"/>
      <c r="BD27" s="58">
        <f t="shared" si="39"/>
        <v>46130</v>
      </c>
      <c r="BE27" s="59" t="str">
        <f t="shared" si="9"/>
        <v>土</v>
      </c>
      <c r="BF27" s="59"/>
      <c r="BG27" s="60"/>
      <c r="BH27" s="60"/>
      <c r="BI27" s="36"/>
      <c r="BJ27" s="36"/>
      <c r="BK27" s="61" t="str">
        <f t="shared" si="10"/>
        <v/>
      </c>
      <c r="BL27" s="37"/>
      <c r="BM27" s="37"/>
      <c r="BN27" s="37"/>
      <c r="BO27" s="37"/>
      <c r="BP27" s="38" t="str">
        <f t="shared" si="11"/>
        <v/>
      </c>
      <c r="BQ27" s="381"/>
      <c r="BR27" s="381"/>
      <c r="BS27" s="381"/>
      <c r="BU27" s="55"/>
      <c r="BV27" s="58">
        <f t="shared" si="40"/>
        <v>46160</v>
      </c>
      <c r="BW27" s="59" t="str">
        <f t="shared" si="12"/>
        <v>月</v>
      </c>
      <c r="BX27" s="59" t="s">
        <v>22</v>
      </c>
      <c r="BY27" s="160">
        <v>0.375</v>
      </c>
      <c r="BZ27" s="160">
        <v>0.75</v>
      </c>
      <c r="CA27" s="161">
        <v>0.5</v>
      </c>
      <c r="CB27" s="161">
        <v>0.54166666666666663</v>
      </c>
      <c r="CC27" s="61" t="str">
        <f t="shared" si="13"/>
        <v>8h</v>
      </c>
      <c r="CD27" s="162">
        <v>0.375</v>
      </c>
      <c r="CE27" s="162">
        <v>0.75</v>
      </c>
      <c r="CF27" s="162">
        <v>0.5</v>
      </c>
      <c r="CG27" s="162">
        <v>0.54166666666666663</v>
      </c>
      <c r="CH27" s="38" t="str">
        <f t="shared" si="14"/>
        <v>8h</v>
      </c>
      <c r="CI27" s="381"/>
      <c r="CJ27" s="381"/>
      <c r="CK27" s="381"/>
      <c r="CM27" s="55"/>
      <c r="CN27" s="58">
        <f t="shared" si="41"/>
        <v>46191</v>
      </c>
      <c r="CO27" s="59" t="str">
        <f t="shared" si="15"/>
        <v>木</v>
      </c>
      <c r="CP27" s="59" t="s">
        <v>22</v>
      </c>
      <c r="CQ27" s="160">
        <v>0.375</v>
      </c>
      <c r="CR27" s="160">
        <v>0.75</v>
      </c>
      <c r="CS27" s="161">
        <v>0.5</v>
      </c>
      <c r="CT27" s="161">
        <v>0.54166666666666663</v>
      </c>
      <c r="CU27" s="61" t="str">
        <f t="shared" si="16"/>
        <v>8h</v>
      </c>
      <c r="CV27" s="162">
        <v>0.375</v>
      </c>
      <c r="CW27" s="162">
        <v>0.75</v>
      </c>
      <c r="CX27" s="162">
        <v>0.5</v>
      </c>
      <c r="CY27" s="162">
        <v>0.54166666666666663</v>
      </c>
      <c r="CZ27" s="38" t="str">
        <f t="shared" si="17"/>
        <v>8h</v>
      </c>
      <c r="DA27" s="381"/>
      <c r="DB27" s="381"/>
      <c r="DC27" s="381"/>
      <c r="DE27" s="55"/>
      <c r="DF27" s="58">
        <f t="shared" si="42"/>
        <v>46221</v>
      </c>
      <c r="DG27" s="59" t="str">
        <f t="shared" si="18"/>
        <v>土</v>
      </c>
      <c r="DH27" s="59"/>
      <c r="DI27" s="60"/>
      <c r="DJ27" s="60"/>
      <c r="DK27" s="36"/>
      <c r="DL27" s="36"/>
      <c r="DM27" s="61" t="str">
        <f t="shared" si="19"/>
        <v/>
      </c>
      <c r="DN27" s="37"/>
      <c r="DO27" s="37"/>
      <c r="DP27" s="37"/>
      <c r="DQ27" s="37"/>
      <c r="DR27" s="38" t="str">
        <f t="shared" si="20"/>
        <v/>
      </c>
      <c r="DS27" s="381"/>
      <c r="DT27" s="381"/>
      <c r="DU27" s="381"/>
      <c r="DW27" s="55"/>
      <c r="DX27" s="58">
        <f t="shared" si="43"/>
        <v>46252</v>
      </c>
      <c r="DY27" s="59" t="str">
        <f t="shared" si="21"/>
        <v>火</v>
      </c>
      <c r="DZ27" s="59" t="s">
        <v>22</v>
      </c>
      <c r="EA27" s="160">
        <v>0.375</v>
      </c>
      <c r="EB27" s="160">
        <v>0.75</v>
      </c>
      <c r="EC27" s="161">
        <v>0.5</v>
      </c>
      <c r="ED27" s="161">
        <v>0.54166666666666663</v>
      </c>
      <c r="EE27" s="61" t="str">
        <f t="shared" si="22"/>
        <v>8h</v>
      </c>
      <c r="EF27" s="162">
        <v>0.375</v>
      </c>
      <c r="EG27" s="162">
        <v>0.75</v>
      </c>
      <c r="EH27" s="162">
        <v>0.5</v>
      </c>
      <c r="EI27" s="162">
        <v>0.54166666666666663</v>
      </c>
      <c r="EJ27" s="38" t="str">
        <f t="shared" si="23"/>
        <v>8h</v>
      </c>
      <c r="EK27" s="381"/>
      <c r="EL27" s="381"/>
      <c r="EM27" s="381"/>
      <c r="EO27" s="55"/>
      <c r="EP27" s="58">
        <f t="shared" si="44"/>
        <v>46283</v>
      </c>
      <c r="EQ27" s="59" t="str">
        <f t="shared" si="24"/>
        <v>金</v>
      </c>
      <c r="ER27" s="59" t="s">
        <v>22</v>
      </c>
      <c r="ES27" s="160">
        <v>0.375</v>
      </c>
      <c r="ET27" s="160">
        <v>0.75</v>
      </c>
      <c r="EU27" s="161">
        <v>0.5</v>
      </c>
      <c r="EV27" s="161">
        <v>0.54166666666666663</v>
      </c>
      <c r="EW27" s="61" t="str">
        <f t="shared" si="25"/>
        <v>8h</v>
      </c>
      <c r="EX27" s="162">
        <v>0.375</v>
      </c>
      <c r="EY27" s="162">
        <v>0.75</v>
      </c>
      <c r="EZ27" s="162">
        <v>0.5</v>
      </c>
      <c r="FA27" s="162">
        <v>0.54166666666666663</v>
      </c>
      <c r="FB27" s="38" t="str">
        <f t="shared" si="26"/>
        <v>8h</v>
      </c>
      <c r="FC27" s="381"/>
      <c r="FD27" s="381"/>
      <c r="FE27" s="381"/>
      <c r="FG27" s="55"/>
      <c r="FH27" s="58">
        <f t="shared" si="45"/>
        <v>46313</v>
      </c>
      <c r="FI27" s="59" t="str">
        <f t="shared" si="27"/>
        <v>日</v>
      </c>
      <c r="FJ27" s="59"/>
      <c r="FK27" s="60"/>
      <c r="FL27" s="60"/>
      <c r="FM27" s="36"/>
      <c r="FN27" s="36"/>
      <c r="FO27" s="61" t="str">
        <f t="shared" si="28"/>
        <v/>
      </c>
      <c r="FP27" s="37"/>
      <c r="FQ27" s="37"/>
      <c r="FR27" s="37"/>
      <c r="FS27" s="37"/>
      <c r="FT27" s="38" t="str">
        <f t="shared" si="29"/>
        <v/>
      </c>
      <c r="FU27" s="381"/>
      <c r="FV27" s="381"/>
      <c r="FW27" s="381"/>
      <c r="FY27" s="55"/>
      <c r="FZ27" s="58">
        <f t="shared" si="46"/>
        <v>46344</v>
      </c>
      <c r="GA27" s="59" t="str">
        <f t="shared" si="30"/>
        <v>水</v>
      </c>
      <c r="GB27" s="59" t="s">
        <v>22</v>
      </c>
      <c r="GC27" s="160">
        <v>0.375</v>
      </c>
      <c r="GD27" s="160">
        <v>0.75</v>
      </c>
      <c r="GE27" s="161">
        <v>0.5</v>
      </c>
      <c r="GF27" s="161">
        <v>0.54166666666666663</v>
      </c>
      <c r="GG27" s="61" t="str">
        <f t="shared" si="31"/>
        <v>8h</v>
      </c>
      <c r="GH27" s="162">
        <v>0.375</v>
      </c>
      <c r="GI27" s="162">
        <v>0.75</v>
      </c>
      <c r="GJ27" s="162">
        <v>0.5</v>
      </c>
      <c r="GK27" s="162">
        <v>0.54166666666666663</v>
      </c>
      <c r="GL27" s="38" t="str">
        <f t="shared" si="32"/>
        <v>8h</v>
      </c>
      <c r="GM27" s="381"/>
      <c r="GN27" s="381"/>
      <c r="GO27" s="381"/>
      <c r="GQ27" s="55"/>
      <c r="GR27" s="58">
        <f t="shared" si="47"/>
        <v>46374</v>
      </c>
      <c r="GS27" s="59" t="str">
        <f t="shared" si="33"/>
        <v>金</v>
      </c>
      <c r="GT27" s="59" t="s">
        <v>22</v>
      </c>
      <c r="GU27" s="160">
        <v>0.375</v>
      </c>
      <c r="GV27" s="160">
        <v>0.75</v>
      </c>
      <c r="GW27" s="161">
        <v>0.5</v>
      </c>
      <c r="GX27" s="161">
        <v>0.54166666666666663</v>
      </c>
      <c r="GY27" s="61" t="str">
        <f t="shared" si="34"/>
        <v>8h</v>
      </c>
      <c r="GZ27" s="162">
        <v>0.375</v>
      </c>
      <c r="HA27" s="162">
        <v>0.75</v>
      </c>
      <c r="HB27" s="162">
        <v>0.5</v>
      </c>
      <c r="HC27" s="162">
        <v>0.54166666666666663</v>
      </c>
      <c r="HD27" s="38" t="str">
        <f t="shared" si="35"/>
        <v>8h</v>
      </c>
      <c r="HE27" s="381"/>
      <c r="HF27" s="381"/>
      <c r="HG27" s="381"/>
    </row>
    <row r="28" spans="1:215" x14ac:dyDescent="0.45">
      <c r="A28" s="55"/>
      <c r="B28" s="58">
        <f t="shared" si="36"/>
        <v>46041</v>
      </c>
      <c r="C28" s="59" t="str">
        <f t="shared" si="0"/>
        <v>月</v>
      </c>
      <c r="D28" s="59" t="s">
        <v>22</v>
      </c>
      <c r="E28" s="160">
        <v>0.375</v>
      </c>
      <c r="F28" s="160">
        <v>0.75</v>
      </c>
      <c r="G28" s="161">
        <v>0.5</v>
      </c>
      <c r="H28" s="161">
        <v>0.54166666666666663</v>
      </c>
      <c r="I28" s="61" t="str">
        <f t="shared" si="1"/>
        <v>8h</v>
      </c>
      <c r="J28" s="162">
        <v>0.375</v>
      </c>
      <c r="K28" s="162">
        <v>0.75</v>
      </c>
      <c r="L28" s="162">
        <v>0.5</v>
      </c>
      <c r="M28" s="162">
        <v>0.54166666666666663</v>
      </c>
      <c r="N28" s="38" t="str">
        <f t="shared" si="2"/>
        <v>8h</v>
      </c>
      <c r="O28" s="381"/>
      <c r="P28" s="381"/>
      <c r="Q28" s="381"/>
      <c r="S28" s="55"/>
      <c r="T28" s="58">
        <f t="shared" si="37"/>
        <v>46072</v>
      </c>
      <c r="U28" s="59" t="str">
        <f t="shared" si="3"/>
        <v>木</v>
      </c>
      <c r="V28" s="59" t="s">
        <v>22</v>
      </c>
      <c r="W28" s="160">
        <v>0.375</v>
      </c>
      <c r="X28" s="160">
        <v>0.75</v>
      </c>
      <c r="Y28" s="161">
        <v>0.5</v>
      </c>
      <c r="Z28" s="161">
        <v>0.54166666666666663</v>
      </c>
      <c r="AA28" s="61" t="str">
        <f t="shared" si="4"/>
        <v>8h</v>
      </c>
      <c r="AB28" s="162">
        <v>0.375</v>
      </c>
      <c r="AC28" s="162">
        <v>0.75</v>
      </c>
      <c r="AD28" s="162">
        <v>0.5</v>
      </c>
      <c r="AE28" s="162">
        <v>0.54166666666666663</v>
      </c>
      <c r="AF28" s="38" t="str">
        <f t="shared" si="5"/>
        <v>8h</v>
      </c>
      <c r="AG28" s="381"/>
      <c r="AH28" s="381"/>
      <c r="AI28" s="381"/>
      <c r="AK28" s="55"/>
      <c r="AL28" s="58">
        <f t="shared" si="38"/>
        <v>46100</v>
      </c>
      <c r="AM28" s="59" t="str">
        <f t="shared" si="6"/>
        <v>木</v>
      </c>
      <c r="AN28" s="59" t="s">
        <v>22</v>
      </c>
      <c r="AO28" s="160">
        <v>0.375</v>
      </c>
      <c r="AP28" s="160">
        <v>0.75</v>
      </c>
      <c r="AQ28" s="161">
        <v>0.5</v>
      </c>
      <c r="AR28" s="161">
        <v>0.54166666666666663</v>
      </c>
      <c r="AS28" s="61" t="str">
        <f t="shared" si="7"/>
        <v>8h</v>
      </c>
      <c r="AT28" s="162">
        <v>0.375</v>
      </c>
      <c r="AU28" s="162">
        <v>0.75</v>
      </c>
      <c r="AV28" s="162">
        <v>0.5</v>
      </c>
      <c r="AW28" s="162">
        <v>0.54166666666666663</v>
      </c>
      <c r="AX28" s="38" t="str">
        <f t="shared" si="8"/>
        <v>8h</v>
      </c>
      <c r="AY28" s="381"/>
      <c r="AZ28" s="381"/>
      <c r="BA28" s="381"/>
      <c r="BC28" s="55"/>
      <c r="BD28" s="58">
        <f t="shared" si="39"/>
        <v>46131</v>
      </c>
      <c r="BE28" s="59" t="str">
        <f t="shared" si="9"/>
        <v>日</v>
      </c>
      <c r="BF28" s="59"/>
      <c r="BG28" s="60"/>
      <c r="BH28" s="60"/>
      <c r="BI28" s="36"/>
      <c r="BJ28" s="36"/>
      <c r="BK28" s="61" t="str">
        <f t="shared" si="10"/>
        <v/>
      </c>
      <c r="BL28" s="37"/>
      <c r="BM28" s="37"/>
      <c r="BN28" s="37"/>
      <c r="BO28" s="37"/>
      <c r="BP28" s="38" t="str">
        <f t="shared" si="11"/>
        <v/>
      </c>
      <c r="BQ28" s="381"/>
      <c r="BR28" s="381"/>
      <c r="BS28" s="381"/>
      <c r="BU28" s="55"/>
      <c r="BV28" s="58">
        <f t="shared" si="40"/>
        <v>46161</v>
      </c>
      <c r="BW28" s="59" t="str">
        <f t="shared" si="12"/>
        <v>火</v>
      </c>
      <c r="BX28" s="59" t="s">
        <v>22</v>
      </c>
      <c r="BY28" s="160">
        <v>0.375</v>
      </c>
      <c r="BZ28" s="160">
        <v>0.75</v>
      </c>
      <c r="CA28" s="161">
        <v>0.5</v>
      </c>
      <c r="CB28" s="161">
        <v>0.54166666666666663</v>
      </c>
      <c r="CC28" s="61" t="str">
        <f t="shared" si="13"/>
        <v>8h</v>
      </c>
      <c r="CD28" s="162">
        <v>0.375</v>
      </c>
      <c r="CE28" s="162">
        <v>0.75</v>
      </c>
      <c r="CF28" s="162">
        <v>0.5</v>
      </c>
      <c r="CG28" s="162">
        <v>0.54166666666666663</v>
      </c>
      <c r="CH28" s="38" t="str">
        <f t="shared" si="14"/>
        <v>8h</v>
      </c>
      <c r="CI28" s="381"/>
      <c r="CJ28" s="381"/>
      <c r="CK28" s="381"/>
      <c r="CM28" s="55"/>
      <c r="CN28" s="58">
        <f t="shared" si="41"/>
        <v>46192</v>
      </c>
      <c r="CO28" s="59" t="str">
        <f t="shared" si="15"/>
        <v>金</v>
      </c>
      <c r="CP28" s="59" t="s">
        <v>22</v>
      </c>
      <c r="CQ28" s="160">
        <v>0.375</v>
      </c>
      <c r="CR28" s="160">
        <v>0.75</v>
      </c>
      <c r="CS28" s="161">
        <v>0.5</v>
      </c>
      <c r="CT28" s="161">
        <v>0.54166666666666663</v>
      </c>
      <c r="CU28" s="61" t="str">
        <f t="shared" si="16"/>
        <v>8h</v>
      </c>
      <c r="CV28" s="162">
        <v>0.375</v>
      </c>
      <c r="CW28" s="162">
        <v>0.75</v>
      </c>
      <c r="CX28" s="162">
        <v>0.5</v>
      </c>
      <c r="CY28" s="162">
        <v>0.54166666666666663</v>
      </c>
      <c r="CZ28" s="38" t="str">
        <f t="shared" si="17"/>
        <v>8h</v>
      </c>
      <c r="DA28" s="381"/>
      <c r="DB28" s="381"/>
      <c r="DC28" s="381"/>
      <c r="DE28" s="55"/>
      <c r="DF28" s="58">
        <f t="shared" si="42"/>
        <v>46222</v>
      </c>
      <c r="DG28" s="59" t="str">
        <f t="shared" si="18"/>
        <v>日</v>
      </c>
      <c r="DH28" s="59"/>
      <c r="DI28" s="60"/>
      <c r="DJ28" s="60"/>
      <c r="DK28" s="36"/>
      <c r="DL28" s="36"/>
      <c r="DM28" s="61" t="str">
        <f t="shared" si="19"/>
        <v/>
      </c>
      <c r="DN28" s="37"/>
      <c r="DO28" s="37"/>
      <c r="DP28" s="37"/>
      <c r="DQ28" s="37"/>
      <c r="DR28" s="38" t="str">
        <f t="shared" si="20"/>
        <v/>
      </c>
      <c r="DS28" s="381"/>
      <c r="DT28" s="381"/>
      <c r="DU28" s="381"/>
      <c r="DW28" s="55"/>
      <c r="DX28" s="58">
        <f t="shared" si="43"/>
        <v>46253</v>
      </c>
      <c r="DY28" s="59" t="str">
        <f t="shared" si="21"/>
        <v>水</v>
      </c>
      <c r="DZ28" s="59" t="s">
        <v>22</v>
      </c>
      <c r="EA28" s="160">
        <v>0.375</v>
      </c>
      <c r="EB28" s="160">
        <v>0.75</v>
      </c>
      <c r="EC28" s="161">
        <v>0.5</v>
      </c>
      <c r="ED28" s="161">
        <v>0.54166666666666663</v>
      </c>
      <c r="EE28" s="61" t="str">
        <f t="shared" si="22"/>
        <v>8h</v>
      </c>
      <c r="EF28" s="162">
        <v>0.375</v>
      </c>
      <c r="EG28" s="162">
        <v>0.75</v>
      </c>
      <c r="EH28" s="162">
        <v>0.5</v>
      </c>
      <c r="EI28" s="162">
        <v>0.54166666666666663</v>
      </c>
      <c r="EJ28" s="38" t="str">
        <f t="shared" si="23"/>
        <v>8h</v>
      </c>
      <c r="EK28" s="381"/>
      <c r="EL28" s="381"/>
      <c r="EM28" s="381"/>
      <c r="EO28" s="55"/>
      <c r="EP28" s="58">
        <f t="shared" si="44"/>
        <v>46284</v>
      </c>
      <c r="EQ28" s="59" t="str">
        <f t="shared" si="24"/>
        <v>土</v>
      </c>
      <c r="ER28" s="59"/>
      <c r="ES28" s="60"/>
      <c r="ET28" s="60"/>
      <c r="EU28" s="36"/>
      <c r="EV28" s="36"/>
      <c r="EW28" s="61" t="str">
        <f t="shared" si="25"/>
        <v/>
      </c>
      <c r="EX28" s="37"/>
      <c r="EY28" s="37"/>
      <c r="EZ28" s="37"/>
      <c r="FA28" s="37"/>
      <c r="FB28" s="38" t="str">
        <f t="shared" si="26"/>
        <v/>
      </c>
      <c r="FC28" s="381"/>
      <c r="FD28" s="381"/>
      <c r="FE28" s="381"/>
      <c r="FG28" s="55"/>
      <c r="FH28" s="58">
        <f t="shared" si="45"/>
        <v>46314</v>
      </c>
      <c r="FI28" s="59" t="str">
        <f t="shared" si="27"/>
        <v>月</v>
      </c>
      <c r="FJ28" s="59" t="s">
        <v>22</v>
      </c>
      <c r="FK28" s="160">
        <v>0.375</v>
      </c>
      <c r="FL28" s="160">
        <v>0.75</v>
      </c>
      <c r="FM28" s="161">
        <v>0.5</v>
      </c>
      <c r="FN28" s="161">
        <v>0.54166666666666663</v>
      </c>
      <c r="FO28" s="61" t="str">
        <f t="shared" si="28"/>
        <v>8h</v>
      </c>
      <c r="FP28" s="162">
        <v>0.375</v>
      </c>
      <c r="FQ28" s="162">
        <v>0.75</v>
      </c>
      <c r="FR28" s="162">
        <v>0.5</v>
      </c>
      <c r="FS28" s="162">
        <v>0.54166666666666663</v>
      </c>
      <c r="FT28" s="38" t="str">
        <f t="shared" si="29"/>
        <v>8h</v>
      </c>
      <c r="FU28" s="381"/>
      <c r="FV28" s="381"/>
      <c r="FW28" s="381"/>
      <c r="FY28" s="55"/>
      <c r="FZ28" s="58">
        <f t="shared" si="46"/>
        <v>46345</v>
      </c>
      <c r="GA28" s="59" t="str">
        <f t="shared" si="30"/>
        <v>木</v>
      </c>
      <c r="GB28" s="59" t="s">
        <v>22</v>
      </c>
      <c r="GC28" s="160">
        <v>0.375</v>
      </c>
      <c r="GD28" s="160">
        <v>0.75</v>
      </c>
      <c r="GE28" s="161">
        <v>0.5</v>
      </c>
      <c r="GF28" s="161">
        <v>0.54166666666666663</v>
      </c>
      <c r="GG28" s="61" t="str">
        <f t="shared" si="31"/>
        <v>8h</v>
      </c>
      <c r="GH28" s="162">
        <v>0.375</v>
      </c>
      <c r="GI28" s="162">
        <v>0.75</v>
      </c>
      <c r="GJ28" s="162">
        <v>0.5</v>
      </c>
      <c r="GK28" s="162">
        <v>0.54166666666666663</v>
      </c>
      <c r="GL28" s="38" t="str">
        <f t="shared" si="32"/>
        <v>8h</v>
      </c>
      <c r="GM28" s="381"/>
      <c r="GN28" s="381"/>
      <c r="GO28" s="381"/>
      <c r="GQ28" s="55"/>
      <c r="GR28" s="58">
        <f t="shared" si="47"/>
        <v>46375</v>
      </c>
      <c r="GS28" s="59" t="str">
        <f t="shared" si="33"/>
        <v>土</v>
      </c>
      <c r="GT28" s="59"/>
      <c r="GU28" s="60"/>
      <c r="GV28" s="60"/>
      <c r="GW28" s="36"/>
      <c r="GX28" s="36"/>
      <c r="GY28" s="61" t="str">
        <f t="shared" si="34"/>
        <v/>
      </c>
      <c r="GZ28" s="37"/>
      <c r="HA28" s="37"/>
      <c r="HB28" s="37"/>
      <c r="HC28" s="37"/>
      <c r="HD28" s="38" t="str">
        <f t="shared" si="35"/>
        <v/>
      </c>
      <c r="HE28" s="381"/>
      <c r="HF28" s="381"/>
      <c r="HG28" s="381"/>
    </row>
    <row r="29" spans="1:215" x14ac:dyDescent="0.45">
      <c r="A29" s="55"/>
      <c r="B29" s="58">
        <f t="shared" si="36"/>
        <v>46042</v>
      </c>
      <c r="C29" s="59" t="str">
        <f t="shared" si="0"/>
        <v>火</v>
      </c>
      <c r="D29" s="59" t="s">
        <v>22</v>
      </c>
      <c r="E29" s="160">
        <v>0.375</v>
      </c>
      <c r="F29" s="160">
        <v>0.75</v>
      </c>
      <c r="G29" s="161">
        <v>0.5</v>
      </c>
      <c r="H29" s="161">
        <v>0.54166666666666663</v>
      </c>
      <c r="I29" s="61" t="str">
        <f t="shared" si="1"/>
        <v>8h</v>
      </c>
      <c r="J29" s="162">
        <v>0.375</v>
      </c>
      <c r="K29" s="162">
        <v>0.75</v>
      </c>
      <c r="L29" s="162">
        <v>0.5</v>
      </c>
      <c r="M29" s="162">
        <v>0.54166666666666663</v>
      </c>
      <c r="N29" s="38" t="str">
        <f t="shared" si="2"/>
        <v>8h</v>
      </c>
      <c r="O29" s="381"/>
      <c r="P29" s="381"/>
      <c r="Q29" s="381"/>
      <c r="S29" s="55"/>
      <c r="T29" s="58">
        <f t="shared" si="37"/>
        <v>46073</v>
      </c>
      <c r="U29" s="59" t="str">
        <f t="shared" si="3"/>
        <v>金</v>
      </c>
      <c r="V29" s="59" t="s">
        <v>22</v>
      </c>
      <c r="W29" s="160">
        <v>0.375</v>
      </c>
      <c r="X29" s="160">
        <v>0.75</v>
      </c>
      <c r="Y29" s="161">
        <v>0.5</v>
      </c>
      <c r="Z29" s="161">
        <v>0.54166666666666663</v>
      </c>
      <c r="AA29" s="61" t="str">
        <f t="shared" si="4"/>
        <v>8h</v>
      </c>
      <c r="AB29" s="162">
        <v>0.375</v>
      </c>
      <c r="AC29" s="162">
        <v>0.75</v>
      </c>
      <c r="AD29" s="162">
        <v>0.5</v>
      </c>
      <c r="AE29" s="162">
        <v>0.54166666666666663</v>
      </c>
      <c r="AF29" s="38" t="str">
        <f t="shared" si="5"/>
        <v>8h</v>
      </c>
      <c r="AG29" s="381"/>
      <c r="AH29" s="381"/>
      <c r="AI29" s="381"/>
      <c r="AK29" s="55"/>
      <c r="AL29" s="58">
        <f t="shared" si="38"/>
        <v>46101</v>
      </c>
      <c r="AM29" s="59" t="str">
        <f t="shared" si="6"/>
        <v>金</v>
      </c>
      <c r="AN29" s="59"/>
      <c r="AO29" s="60"/>
      <c r="AP29" s="60"/>
      <c r="AQ29" s="36"/>
      <c r="AR29" s="36"/>
      <c r="AS29" s="61" t="str">
        <f t="shared" si="7"/>
        <v/>
      </c>
      <c r="AT29" s="37"/>
      <c r="AU29" s="37"/>
      <c r="AV29" s="37"/>
      <c r="AW29" s="37"/>
      <c r="AX29" s="38" t="str">
        <f t="shared" si="8"/>
        <v/>
      </c>
      <c r="AY29" s="381"/>
      <c r="AZ29" s="381"/>
      <c r="BA29" s="381"/>
      <c r="BC29" s="55"/>
      <c r="BD29" s="58">
        <f t="shared" si="39"/>
        <v>46132</v>
      </c>
      <c r="BE29" s="59" t="str">
        <f t="shared" si="9"/>
        <v>月</v>
      </c>
      <c r="BF29" s="59" t="s">
        <v>22</v>
      </c>
      <c r="BG29" s="160">
        <v>0.375</v>
      </c>
      <c r="BH29" s="160">
        <v>0.75</v>
      </c>
      <c r="BI29" s="161">
        <v>0.5</v>
      </c>
      <c r="BJ29" s="161">
        <v>0.54166666666666663</v>
      </c>
      <c r="BK29" s="61" t="str">
        <f t="shared" si="10"/>
        <v>8h</v>
      </c>
      <c r="BL29" s="162">
        <v>0.375</v>
      </c>
      <c r="BM29" s="162">
        <v>0.75</v>
      </c>
      <c r="BN29" s="162">
        <v>0.5</v>
      </c>
      <c r="BO29" s="162">
        <v>0.54166666666666663</v>
      </c>
      <c r="BP29" s="38" t="str">
        <f t="shared" si="11"/>
        <v>8h</v>
      </c>
      <c r="BQ29" s="381"/>
      <c r="BR29" s="381"/>
      <c r="BS29" s="381"/>
      <c r="BU29" s="55"/>
      <c r="BV29" s="58">
        <f t="shared" si="40"/>
        <v>46162</v>
      </c>
      <c r="BW29" s="59" t="str">
        <f t="shared" si="12"/>
        <v>水</v>
      </c>
      <c r="BX29" s="59" t="s">
        <v>22</v>
      </c>
      <c r="BY29" s="160">
        <v>0.375</v>
      </c>
      <c r="BZ29" s="160">
        <v>0.75</v>
      </c>
      <c r="CA29" s="161">
        <v>0.5</v>
      </c>
      <c r="CB29" s="161">
        <v>0.54166666666666663</v>
      </c>
      <c r="CC29" s="61" t="str">
        <f t="shared" si="13"/>
        <v>8h</v>
      </c>
      <c r="CD29" s="162">
        <v>0.375</v>
      </c>
      <c r="CE29" s="162">
        <v>0.75</v>
      </c>
      <c r="CF29" s="162">
        <v>0.5</v>
      </c>
      <c r="CG29" s="162">
        <v>0.54166666666666663</v>
      </c>
      <c r="CH29" s="38" t="str">
        <f t="shared" si="14"/>
        <v>8h</v>
      </c>
      <c r="CI29" s="381"/>
      <c r="CJ29" s="381"/>
      <c r="CK29" s="381"/>
      <c r="CM29" s="55"/>
      <c r="CN29" s="58">
        <f t="shared" si="41"/>
        <v>46193</v>
      </c>
      <c r="CO29" s="59" t="str">
        <f t="shared" si="15"/>
        <v>土</v>
      </c>
      <c r="CP29" s="59"/>
      <c r="CQ29" s="60"/>
      <c r="CR29" s="60"/>
      <c r="CS29" s="36"/>
      <c r="CT29" s="36"/>
      <c r="CU29" s="61" t="str">
        <f t="shared" si="16"/>
        <v/>
      </c>
      <c r="CV29" s="37"/>
      <c r="CW29" s="37"/>
      <c r="CX29" s="37"/>
      <c r="CY29" s="37"/>
      <c r="CZ29" s="38" t="str">
        <f t="shared" si="17"/>
        <v/>
      </c>
      <c r="DA29" s="381"/>
      <c r="DB29" s="381"/>
      <c r="DC29" s="381"/>
      <c r="DE29" s="55"/>
      <c r="DF29" s="58">
        <f t="shared" si="42"/>
        <v>46223</v>
      </c>
      <c r="DG29" s="59" t="str">
        <f t="shared" si="18"/>
        <v>月</v>
      </c>
      <c r="DH29" s="59"/>
      <c r="DI29" s="60"/>
      <c r="DJ29" s="60"/>
      <c r="DK29" s="36"/>
      <c r="DL29" s="36"/>
      <c r="DM29" s="61" t="str">
        <f t="shared" si="19"/>
        <v/>
      </c>
      <c r="DN29" s="37"/>
      <c r="DO29" s="37"/>
      <c r="DP29" s="37"/>
      <c r="DQ29" s="37"/>
      <c r="DR29" s="38" t="str">
        <f t="shared" si="20"/>
        <v/>
      </c>
      <c r="DS29" s="381"/>
      <c r="DT29" s="381"/>
      <c r="DU29" s="381"/>
      <c r="DW29" s="55"/>
      <c r="DX29" s="58">
        <f t="shared" si="43"/>
        <v>46254</v>
      </c>
      <c r="DY29" s="59" t="str">
        <f t="shared" si="21"/>
        <v>木</v>
      </c>
      <c r="DZ29" s="59" t="s">
        <v>22</v>
      </c>
      <c r="EA29" s="160">
        <v>0.375</v>
      </c>
      <c r="EB29" s="160">
        <v>0.75</v>
      </c>
      <c r="EC29" s="161">
        <v>0.5</v>
      </c>
      <c r="ED29" s="161">
        <v>0.54166666666666663</v>
      </c>
      <c r="EE29" s="61" t="str">
        <f t="shared" si="22"/>
        <v>8h</v>
      </c>
      <c r="EF29" s="162">
        <v>0.375</v>
      </c>
      <c r="EG29" s="162">
        <v>0.75</v>
      </c>
      <c r="EH29" s="162">
        <v>0.5</v>
      </c>
      <c r="EI29" s="162">
        <v>0.54166666666666663</v>
      </c>
      <c r="EJ29" s="38" t="str">
        <f t="shared" si="23"/>
        <v>8h</v>
      </c>
      <c r="EK29" s="381"/>
      <c r="EL29" s="381"/>
      <c r="EM29" s="381"/>
      <c r="EO29" s="55"/>
      <c r="EP29" s="58">
        <f t="shared" si="44"/>
        <v>46285</v>
      </c>
      <c r="EQ29" s="59" t="str">
        <f t="shared" si="24"/>
        <v>日</v>
      </c>
      <c r="ER29" s="59"/>
      <c r="ES29" s="60"/>
      <c r="ET29" s="60"/>
      <c r="EU29" s="36"/>
      <c r="EV29" s="36"/>
      <c r="EW29" s="61" t="str">
        <f t="shared" si="25"/>
        <v/>
      </c>
      <c r="EX29" s="37"/>
      <c r="EY29" s="37"/>
      <c r="EZ29" s="37"/>
      <c r="FA29" s="37"/>
      <c r="FB29" s="38" t="str">
        <f t="shared" si="26"/>
        <v/>
      </c>
      <c r="FC29" s="381"/>
      <c r="FD29" s="381"/>
      <c r="FE29" s="381"/>
      <c r="FG29" s="55"/>
      <c r="FH29" s="58">
        <f t="shared" si="45"/>
        <v>46315</v>
      </c>
      <c r="FI29" s="59" t="str">
        <f t="shared" si="27"/>
        <v>火</v>
      </c>
      <c r="FJ29" s="59" t="s">
        <v>22</v>
      </c>
      <c r="FK29" s="160">
        <v>0.375</v>
      </c>
      <c r="FL29" s="160">
        <v>0.75</v>
      </c>
      <c r="FM29" s="161">
        <v>0.5</v>
      </c>
      <c r="FN29" s="161">
        <v>0.54166666666666663</v>
      </c>
      <c r="FO29" s="61" t="str">
        <f t="shared" si="28"/>
        <v>8h</v>
      </c>
      <c r="FP29" s="162">
        <v>0.375</v>
      </c>
      <c r="FQ29" s="162">
        <v>0.75</v>
      </c>
      <c r="FR29" s="162">
        <v>0.5</v>
      </c>
      <c r="FS29" s="162">
        <v>0.54166666666666663</v>
      </c>
      <c r="FT29" s="38" t="str">
        <f t="shared" si="29"/>
        <v>8h</v>
      </c>
      <c r="FU29" s="381"/>
      <c r="FV29" s="381"/>
      <c r="FW29" s="381"/>
      <c r="FY29" s="55"/>
      <c r="FZ29" s="58">
        <f t="shared" si="46"/>
        <v>46346</v>
      </c>
      <c r="GA29" s="59" t="str">
        <f t="shared" si="30"/>
        <v>金</v>
      </c>
      <c r="GB29" s="59" t="s">
        <v>22</v>
      </c>
      <c r="GC29" s="160">
        <v>0.375</v>
      </c>
      <c r="GD29" s="160">
        <v>0.75</v>
      </c>
      <c r="GE29" s="161">
        <v>0.5</v>
      </c>
      <c r="GF29" s="161">
        <v>0.54166666666666663</v>
      </c>
      <c r="GG29" s="61" t="str">
        <f t="shared" si="31"/>
        <v>8h</v>
      </c>
      <c r="GH29" s="162">
        <v>0.375</v>
      </c>
      <c r="GI29" s="162">
        <v>0.75</v>
      </c>
      <c r="GJ29" s="162">
        <v>0.5</v>
      </c>
      <c r="GK29" s="162">
        <v>0.54166666666666663</v>
      </c>
      <c r="GL29" s="38" t="str">
        <f t="shared" si="32"/>
        <v>8h</v>
      </c>
      <c r="GM29" s="381"/>
      <c r="GN29" s="381"/>
      <c r="GO29" s="381"/>
      <c r="GQ29" s="55"/>
      <c r="GR29" s="58">
        <f t="shared" si="47"/>
        <v>46376</v>
      </c>
      <c r="GS29" s="59" t="str">
        <f t="shared" si="33"/>
        <v>日</v>
      </c>
      <c r="GT29" s="59"/>
      <c r="GU29" s="60"/>
      <c r="GV29" s="60"/>
      <c r="GW29" s="36"/>
      <c r="GX29" s="36"/>
      <c r="GY29" s="61" t="str">
        <f t="shared" si="34"/>
        <v/>
      </c>
      <c r="GZ29" s="37"/>
      <c r="HA29" s="37"/>
      <c r="HB29" s="37"/>
      <c r="HC29" s="37"/>
      <c r="HD29" s="38" t="str">
        <f t="shared" si="35"/>
        <v/>
      </c>
      <c r="HE29" s="381"/>
      <c r="HF29" s="381"/>
      <c r="HG29" s="381"/>
    </row>
    <row r="30" spans="1:215" x14ac:dyDescent="0.45">
      <c r="A30" s="55"/>
      <c r="B30" s="58">
        <f t="shared" si="36"/>
        <v>46043</v>
      </c>
      <c r="C30" s="59" t="str">
        <f t="shared" si="0"/>
        <v>水</v>
      </c>
      <c r="D30" s="59" t="s">
        <v>22</v>
      </c>
      <c r="E30" s="160">
        <v>0.375</v>
      </c>
      <c r="F30" s="160">
        <v>0.75</v>
      </c>
      <c r="G30" s="161">
        <v>0.5</v>
      </c>
      <c r="H30" s="161">
        <v>0.54166666666666663</v>
      </c>
      <c r="I30" s="61" t="str">
        <f t="shared" si="1"/>
        <v>8h</v>
      </c>
      <c r="J30" s="162">
        <v>0.375</v>
      </c>
      <c r="K30" s="162">
        <v>0.75</v>
      </c>
      <c r="L30" s="162">
        <v>0.5</v>
      </c>
      <c r="M30" s="162">
        <v>0.54166666666666663</v>
      </c>
      <c r="N30" s="38" t="str">
        <f t="shared" si="2"/>
        <v>8h</v>
      </c>
      <c r="O30" s="381"/>
      <c r="P30" s="381"/>
      <c r="Q30" s="381"/>
      <c r="S30" s="55"/>
      <c r="T30" s="58">
        <f t="shared" si="37"/>
        <v>46074</v>
      </c>
      <c r="U30" s="59" t="str">
        <f t="shared" si="3"/>
        <v>土</v>
      </c>
      <c r="V30" s="59"/>
      <c r="W30" s="60"/>
      <c r="X30" s="60"/>
      <c r="Y30" s="36"/>
      <c r="Z30" s="36"/>
      <c r="AA30" s="61" t="str">
        <f t="shared" si="4"/>
        <v/>
      </c>
      <c r="AB30" s="37"/>
      <c r="AC30" s="37"/>
      <c r="AD30" s="37"/>
      <c r="AE30" s="37"/>
      <c r="AF30" s="38" t="str">
        <f t="shared" si="5"/>
        <v/>
      </c>
      <c r="AG30" s="381"/>
      <c r="AH30" s="381"/>
      <c r="AI30" s="381"/>
      <c r="AK30" s="55"/>
      <c r="AL30" s="58">
        <f t="shared" si="38"/>
        <v>46102</v>
      </c>
      <c r="AM30" s="59" t="str">
        <f t="shared" si="6"/>
        <v>土</v>
      </c>
      <c r="AN30" s="59"/>
      <c r="AO30" s="60"/>
      <c r="AP30" s="60"/>
      <c r="AQ30" s="36"/>
      <c r="AR30" s="36"/>
      <c r="AS30" s="61" t="str">
        <f t="shared" si="7"/>
        <v/>
      </c>
      <c r="AT30" s="37"/>
      <c r="AU30" s="37"/>
      <c r="AV30" s="37"/>
      <c r="AW30" s="37"/>
      <c r="AX30" s="38" t="str">
        <f t="shared" si="8"/>
        <v/>
      </c>
      <c r="AY30" s="381"/>
      <c r="AZ30" s="381"/>
      <c r="BA30" s="381"/>
      <c r="BC30" s="55"/>
      <c r="BD30" s="58">
        <f t="shared" si="39"/>
        <v>46133</v>
      </c>
      <c r="BE30" s="59" t="str">
        <f t="shared" si="9"/>
        <v>火</v>
      </c>
      <c r="BF30" s="59" t="s">
        <v>22</v>
      </c>
      <c r="BG30" s="160">
        <v>0.375</v>
      </c>
      <c r="BH30" s="160">
        <v>0.75</v>
      </c>
      <c r="BI30" s="161">
        <v>0.5</v>
      </c>
      <c r="BJ30" s="161">
        <v>0.54166666666666663</v>
      </c>
      <c r="BK30" s="61" t="str">
        <f t="shared" si="10"/>
        <v>8h</v>
      </c>
      <c r="BL30" s="162">
        <v>0.375</v>
      </c>
      <c r="BM30" s="162">
        <v>0.75</v>
      </c>
      <c r="BN30" s="162">
        <v>0.5</v>
      </c>
      <c r="BO30" s="162">
        <v>0.54166666666666663</v>
      </c>
      <c r="BP30" s="38" t="str">
        <f t="shared" si="11"/>
        <v>8h</v>
      </c>
      <c r="BQ30" s="381"/>
      <c r="BR30" s="381"/>
      <c r="BS30" s="381"/>
      <c r="BU30" s="55"/>
      <c r="BV30" s="58">
        <f t="shared" si="40"/>
        <v>46163</v>
      </c>
      <c r="BW30" s="59" t="str">
        <f t="shared" si="12"/>
        <v>木</v>
      </c>
      <c r="BX30" s="59" t="s">
        <v>22</v>
      </c>
      <c r="BY30" s="160">
        <v>0.375</v>
      </c>
      <c r="BZ30" s="160">
        <v>0.75</v>
      </c>
      <c r="CA30" s="161">
        <v>0.5</v>
      </c>
      <c r="CB30" s="161">
        <v>0.54166666666666663</v>
      </c>
      <c r="CC30" s="61" t="str">
        <f t="shared" si="13"/>
        <v>8h</v>
      </c>
      <c r="CD30" s="162">
        <v>0.375</v>
      </c>
      <c r="CE30" s="162">
        <v>0.75</v>
      </c>
      <c r="CF30" s="162">
        <v>0.5</v>
      </c>
      <c r="CG30" s="162">
        <v>0.54166666666666663</v>
      </c>
      <c r="CH30" s="38" t="str">
        <f t="shared" si="14"/>
        <v>8h</v>
      </c>
      <c r="CI30" s="381"/>
      <c r="CJ30" s="381"/>
      <c r="CK30" s="381"/>
      <c r="CM30" s="55"/>
      <c r="CN30" s="58">
        <f t="shared" si="41"/>
        <v>46194</v>
      </c>
      <c r="CO30" s="59" t="str">
        <f t="shared" si="15"/>
        <v>日</v>
      </c>
      <c r="CP30" s="59"/>
      <c r="CQ30" s="60"/>
      <c r="CR30" s="60"/>
      <c r="CS30" s="36"/>
      <c r="CT30" s="36"/>
      <c r="CU30" s="61" t="str">
        <f t="shared" si="16"/>
        <v/>
      </c>
      <c r="CV30" s="37"/>
      <c r="CW30" s="37"/>
      <c r="CX30" s="37"/>
      <c r="CY30" s="37"/>
      <c r="CZ30" s="38" t="str">
        <f t="shared" si="17"/>
        <v/>
      </c>
      <c r="DA30" s="381"/>
      <c r="DB30" s="381"/>
      <c r="DC30" s="381"/>
      <c r="DE30" s="55"/>
      <c r="DF30" s="58">
        <f t="shared" si="42"/>
        <v>46224</v>
      </c>
      <c r="DG30" s="59" t="str">
        <f t="shared" si="18"/>
        <v>火</v>
      </c>
      <c r="DH30" s="59" t="s">
        <v>22</v>
      </c>
      <c r="DI30" s="160">
        <v>0.375</v>
      </c>
      <c r="DJ30" s="160">
        <v>0.75</v>
      </c>
      <c r="DK30" s="161">
        <v>0.5</v>
      </c>
      <c r="DL30" s="161">
        <v>0.54166666666666663</v>
      </c>
      <c r="DM30" s="61" t="str">
        <f t="shared" si="19"/>
        <v>8h</v>
      </c>
      <c r="DN30" s="162">
        <v>0.375</v>
      </c>
      <c r="DO30" s="162">
        <v>0.75</v>
      </c>
      <c r="DP30" s="162">
        <v>0.5</v>
      </c>
      <c r="DQ30" s="162">
        <v>0.54166666666666663</v>
      </c>
      <c r="DR30" s="38" t="str">
        <f t="shared" si="20"/>
        <v>8h</v>
      </c>
      <c r="DS30" s="381"/>
      <c r="DT30" s="381"/>
      <c r="DU30" s="381"/>
      <c r="DW30" s="55"/>
      <c r="DX30" s="58">
        <f t="shared" si="43"/>
        <v>46255</v>
      </c>
      <c r="DY30" s="59" t="str">
        <f t="shared" si="21"/>
        <v>金</v>
      </c>
      <c r="DZ30" s="59" t="s">
        <v>22</v>
      </c>
      <c r="EA30" s="160">
        <v>0.375</v>
      </c>
      <c r="EB30" s="160">
        <v>0.75</v>
      </c>
      <c r="EC30" s="161">
        <v>0.5</v>
      </c>
      <c r="ED30" s="161">
        <v>0.54166666666666663</v>
      </c>
      <c r="EE30" s="61" t="str">
        <f t="shared" si="22"/>
        <v>8h</v>
      </c>
      <c r="EF30" s="162">
        <v>0.375</v>
      </c>
      <c r="EG30" s="162">
        <v>0.75</v>
      </c>
      <c r="EH30" s="162">
        <v>0.5</v>
      </c>
      <c r="EI30" s="162">
        <v>0.54166666666666663</v>
      </c>
      <c r="EJ30" s="38" t="str">
        <f t="shared" si="23"/>
        <v>8h</v>
      </c>
      <c r="EK30" s="381"/>
      <c r="EL30" s="381"/>
      <c r="EM30" s="381"/>
      <c r="EO30" s="55"/>
      <c r="EP30" s="58">
        <f t="shared" si="44"/>
        <v>46286</v>
      </c>
      <c r="EQ30" s="59" t="str">
        <f t="shared" si="24"/>
        <v>月</v>
      </c>
      <c r="ER30" s="59"/>
      <c r="ES30" s="60"/>
      <c r="ET30" s="60"/>
      <c r="EU30" s="36"/>
      <c r="EV30" s="36"/>
      <c r="EW30" s="61" t="str">
        <f t="shared" si="25"/>
        <v/>
      </c>
      <c r="EX30" s="37"/>
      <c r="EY30" s="37"/>
      <c r="EZ30" s="37"/>
      <c r="FA30" s="37"/>
      <c r="FB30" s="38" t="str">
        <f t="shared" si="26"/>
        <v/>
      </c>
      <c r="FC30" s="381"/>
      <c r="FD30" s="381"/>
      <c r="FE30" s="381"/>
      <c r="FG30" s="55"/>
      <c r="FH30" s="58">
        <f t="shared" si="45"/>
        <v>46316</v>
      </c>
      <c r="FI30" s="59" t="str">
        <f t="shared" si="27"/>
        <v>水</v>
      </c>
      <c r="FJ30" s="59" t="s">
        <v>22</v>
      </c>
      <c r="FK30" s="160">
        <v>0.375</v>
      </c>
      <c r="FL30" s="160">
        <v>0.75</v>
      </c>
      <c r="FM30" s="161">
        <v>0.5</v>
      </c>
      <c r="FN30" s="161">
        <v>0.54166666666666663</v>
      </c>
      <c r="FO30" s="61" t="str">
        <f t="shared" si="28"/>
        <v>8h</v>
      </c>
      <c r="FP30" s="162">
        <v>0.375</v>
      </c>
      <c r="FQ30" s="162">
        <v>0.75</v>
      </c>
      <c r="FR30" s="162">
        <v>0.5</v>
      </c>
      <c r="FS30" s="162">
        <v>0.54166666666666663</v>
      </c>
      <c r="FT30" s="38" t="str">
        <f t="shared" si="29"/>
        <v>8h</v>
      </c>
      <c r="FU30" s="381"/>
      <c r="FV30" s="381"/>
      <c r="FW30" s="381"/>
      <c r="FY30" s="55"/>
      <c r="FZ30" s="58">
        <f t="shared" si="46"/>
        <v>46347</v>
      </c>
      <c r="GA30" s="59" t="str">
        <f t="shared" si="30"/>
        <v>土</v>
      </c>
      <c r="GB30" s="59"/>
      <c r="GC30" s="60"/>
      <c r="GD30" s="60"/>
      <c r="GE30" s="36"/>
      <c r="GF30" s="36"/>
      <c r="GG30" s="61" t="str">
        <f t="shared" si="31"/>
        <v/>
      </c>
      <c r="GH30" s="37"/>
      <c r="GI30" s="37"/>
      <c r="GJ30" s="37"/>
      <c r="GK30" s="37"/>
      <c r="GL30" s="38" t="str">
        <f t="shared" si="32"/>
        <v/>
      </c>
      <c r="GM30" s="381"/>
      <c r="GN30" s="381"/>
      <c r="GO30" s="381"/>
      <c r="GQ30" s="55"/>
      <c r="GR30" s="58">
        <f t="shared" si="47"/>
        <v>46377</v>
      </c>
      <c r="GS30" s="59" t="str">
        <f t="shared" si="33"/>
        <v>月</v>
      </c>
      <c r="GT30" s="59" t="s">
        <v>22</v>
      </c>
      <c r="GU30" s="160">
        <v>0.375</v>
      </c>
      <c r="GV30" s="160">
        <v>0.75</v>
      </c>
      <c r="GW30" s="161">
        <v>0.5</v>
      </c>
      <c r="GX30" s="161">
        <v>0.54166666666666663</v>
      </c>
      <c r="GY30" s="61" t="str">
        <f t="shared" si="34"/>
        <v>8h</v>
      </c>
      <c r="GZ30" s="162">
        <v>0.375</v>
      </c>
      <c r="HA30" s="162">
        <v>0.75</v>
      </c>
      <c r="HB30" s="162">
        <v>0.5</v>
      </c>
      <c r="HC30" s="162">
        <v>0.54166666666666663</v>
      </c>
      <c r="HD30" s="38" t="str">
        <f t="shared" si="35"/>
        <v>8h</v>
      </c>
      <c r="HE30" s="381"/>
      <c r="HF30" s="381"/>
      <c r="HG30" s="381"/>
    </row>
    <row r="31" spans="1:215" x14ac:dyDescent="0.45">
      <c r="A31" s="55"/>
      <c r="B31" s="58">
        <f t="shared" si="36"/>
        <v>46044</v>
      </c>
      <c r="C31" s="59" t="str">
        <f t="shared" si="0"/>
        <v>木</v>
      </c>
      <c r="D31" s="59" t="s">
        <v>22</v>
      </c>
      <c r="E31" s="160">
        <v>0.375</v>
      </c>
      <c r="F31" s="160">
        <v>0.75</v>
      </c>
      <c r="G31" s="161">
        <v>0.5</v>
      </c>
      <c r="H31" s="161">
        <v>0.54166666666666663</v>
      </c>
      <c r="I31" s="61" t="str">
        <f t="shared" si="1"/>
        <v>8h</v>
      </c>
      <c r="J31" s="162">
        <v>0.375</v>
      </c>
      <c r="K31" s="162">
        <v>0.75</v>
      </c>
      <c r="L31" s="162">
        <v>0.5</v>
      </c>
      <c r="M31" s="162">
        <v>0.54166666666666663</v>
      </c>
      <c r="N31" s="38" t="str">
        <f t="shared" si="2"/>
        <v>8h</v>
      </c>
      <c r="O31" s="381"/>
      <c r="P31" s="381"/>
      <c r="Q31" s="381"/>
      <c r="S31" s="55"/>
      <c r="T31" s="58">
        <f t="shared" si="37"/>
        <v>46075</v>
      </c>
      <c r="U31" s="59" t="str">
        <f t="shared" si="3"/>
        <v>日</v>
      </c>
      <c r="V31" s="59"/>
      <c r="W31" s="60"/>
      <c r="X31" s="60"/>
      <c r="Y31" s="36"/>
      <c r="Z31" s="36"/>
      <c r="AA31" s="61" t="str">
        <f t="shared" si="4"/>
        <v/>
      </c>
      <c r="AB31" s="37"/>
      <c r="AC31" s="37"/>
      <c r="AD31" s="37"/>
      <c r="AE31" s="37"/>
      <c r="AF31" s="38" t="str">
        <f t="shared" si="5"/>
        <v/>
      </c>
      <c r="AG31" s="381"/>
      <c r="AH31" s="381"/>
      <c r="AI31" s="381"/>
      <c r="AK31" s="55"/>
      <c r="AL31" s="58">
        <f t="shared" si="38"/>
        <v>46103</v>
      </c>
      <c r="AM31" s="59" t="str">
        <f t="shared" si="6"/>
        <v>日</v>
      </c>
      <c r="AN31" s="59"/>
      <c r="AO31" s="60"/>
      <c r="AP31" s="60"/>
      <c r="AQ31" s="36"/>
      <c r="AR31" s="36"/>
      <c r="AS31" s="61" t="str">
        <f t="shared" si="7"/>
        <v/>
      </c>
      <c r="AT31" s="37"/>
      <c r="AU31" s="37"/>
      <c r="AV31" s="37"/>
      <c r="AW31" s="37"/>
      <c r="AX31" s="38" t="str">
        <f t="shared" si="8"/>
        <v/>
      </c>
      <c r="AY31" s="381"/>
      <c r="AZ31" s="381"/>
      <c r="BA31" s="381"/>
      <c r="BC31" s="55"/>
      <c r="BD31" s="58">
        <f t="shared" si="39"/>
        <v>46134</v>
      </c>
      <c r="BE31" s="59" t="str">
        <f t="shared" si="9"/>
        <v>水</v>
      </c>
      <c r="BF31" s="59" t="s">
        <v>22</v>
      </c>
      <c r="BG31" s="160">
        <v>0.375</v>
      </c>
      <c r="BH31" s="160">
        <v>0.75</v>
      </c>
      <c r="BI31" s="161">
        <v>0.5</v>
      </c>
      <c r="BJ31" s="161">
        <v>0.54166666666666663</v>
      </c>
      <c r="BK31" s="61" t="str">
        <f t="shared" si="10"/>
        <v>8h</v>
      </c>
      <c r="BL31" s="162">
        <v>0.375</v>
      </c>
      <c r="BM31" s="162">
        <v>0.75</v>
      </c>
      <c r="BN31" s="162">
        <v>0.5</v>
      </c>
      <c r="BO31" s="162">
        <v>0.54166666666666663</v>
      </c>
      <c r="BP31" s="38" t="str">
        <f t="shared" si="11"/>
        <v>8h</v>
      </c>
      <c r="BQ31" s="381"/>
      <c r="BR31" s="381"/>
      <c r="BS31" s="381"/>
      <c r="BU31" s="55"/>
      <c r="BV31" s="58">
        <f t="shared" si="40"/>
        <v>46164</v>
      </c>
      <c r="BW31" s="59" t="str">
        <f t="shared" si="12"/>
        <v>金</v>
      </c>
      <c r="BX31" s="59" t="s">
        <v>22</v>
      </c>
      <c r="BY31" s="160">
        <v>0.375</v>
      </c>
      <c r="BZ31" s="160">
        <v>0.75</v>
      </c>
      <c r="CA31" s="161">
        <v>0.5</v>
      </c>
      <c r="CB31" s="161">
        <v>0.54166666666666663</v>
      </c>
      <c r="CC31" s="61" t="str">
        <f t="shared" si="13"/>
        <v>8h</v>
      </c>
      <c r="CD31" s="162">
        <v>0.375</v>
      </c>
      <c r="CE31" s="162">
        <v>0.75</v>
      </c>
      <c r="CF31" s="162">
        <v>0.5</v>
      </c>
      <c r="CG31" s="162">
        <v>0.54166666666666663</v>
      </c>
      <c r="CH31" s="38" t="str">
        <f t="shared" si="14"/>
        <v>8h</v>
      </c>
      <c r="CI31" s="381"/>
      <c r="CJ31" s="381"/>
      <c r="CK31" s="381"/>
      <c r="CM31" s="55"/>
      <c r="CN31" s="58">
        <f t="shared" si="41"/>
        <v>46195</v>
      </c>
      <c r="CO31" s="59" t="str">
        <f t="shared" si="15"/>
        <v>月</v>
      </c>
      <c r="CP31" s="59" t="s">
        <v>22</v>
      </c>
      <c r="CQ31" s="160">
        <v>0.375</v>
      </c>
      <c r="CR31" s="160">
        <v>0.75</v>
      </c>
      <c r="CS31" s="161">
        <v>0.5</v>
      </c>
      <c r="CT31" s="161">
        <v>0.54166666666666663</v>
      </c>
      <c r="CU31" s="61" t="str">
        <f t="shared" si="16"/>
        <v>8h</v>
      </c>
      <c r="CV31" s="162">
        <v>0.375</v>
      </c>
      <c r="CW31" s="162">
        <v>0.75</v>
      </c>
      <c r="CX31" s="162">
        <v>0.5</v>
      </c>
      <c r="CY31" s="162">
        <v>0.54166666666666663</v>
      </c>
      <c r="CZ31" s="38" t="str">
        <f t="shared" si="17"/>
        <v>8h</v>
      </c>
      <c r="DA31" s="381"/>
      <c r="DB31" s="381"/>
      <c r="DC31" s="381"/>
      <c r="DE31" s="55"/>
      <c r="DF31" s="58">
        <f t="shared" si="42"/>
        <v>46225</v>
      </c>
      <c r="DG31" s="59" t="str">
        <f t="shared" si="18"/>
        <v>水</v>
      </c>
      <c r="DH31" s="59" t="s">
        <v>22</v>
      </c>
      <c r="DI31" s="160">
        <v>0.375</v>
      </c>
      <c r="DJ31" s="160">
        <v>0.75</v>
      </c>
      <c r="DK31" s="161">
        <v>0.5</v>
      </c>
      <c r="DL31" s="161">
        <v>0.54166666666666663</v>
      </c>
      <c r="DM31" s="61" t="str">
        <f t="shared" si="19"/>
        <v>8h</v>
      </c>
      <c r="DN31" s="162">
        <v>0.375</v>
      </c>
      <c r="DO31" s="162">
        <v>0.75</v>
      </c>
      <c r="DP31" s="162">
        <v>0.5</v>
      </c>
      <c r="DQ31" s="162">
        <v>0.54166666666666663</v>
      </c>
      <c r="DR31" s="38" t="str">
        <f t="shared" si="20"/>
        <v>8h</v>
      </c>
      <c r="DS31" s="381"/>
      <c r="DT31" s="381"/>
      <c r="DU31" s="381"/>
      <c r="DW31" s="55"/>
      <c r="DX31" s="58">
        <f t="shared" si="43"/>
        <v>46256</v>
      </c>
      <c r="DY31" s="59" t="str">
        <f t="shared" si="21"/>
        <v>土</v>
      </c>
      <c r="DZ31" s="59"/>
      <c r="EA31" s="60"/>
      <c r="EB31" s="60"/>
      <c r="EC31" s="36"/>
      <c r="ED31" s="36"/>
      <c r="EE31" s="61" t="str">
        <f t="shared" si="22"/>
        <v/>
      </c>
      <c r="EF31" s="37"/>
      <c r="EG31" s="37"/>
      <c r="EH31" s="37"/>
      <c r="EI31" s="37"/>
      <c r="EJ31" s="38" t="str">
        <f t="shared" si="23"/>
        <v/>
      </c>
      <c r="EK31" s="381"/>
      <c r="EL31" s="381"/>
      <c r="EM31" s="381"/>
      <c r="EO31" s="55"/>
      <c r="EP31" s="58">
        <f t="shared" si="44"/>
        <v>46287</v>
      </c>
      <c r="EQ31" s="59" t="str">
        <f t="shared" si="24"/>
        <v>火</v>
      </c>
      <c r="ER31" s="59"/>
      <c r="ES31" s="60"/>
      <c r="ET31" s="60"/>
      <c r="EU31" s="36"/>
      <c r="EV31" s="36"/>
      <c r="EW31" s="61" t="str">
        <f t="shared" si="25"/>
        <v/>
      </c>
      <c r="EX31" s="37"/>
      <c r="EY31" s="37"/>
      <c r="EZ31" s="37"/>
      <c r="FA31" s="37"/>
      <c r="FB31" s="38" t="str">
        <f t="shared" si="26"/>
        <v/>
      </c>
      <c r="FC31" s="381"/>
      <c r="FD31" s="381"/>
      <c r="FE31" s="381"/>
      <c r="FG31" s="55"/>
      <c r="FH31" s="58">
        <f t="shared" si="45"/>
        <v>46317</v>
      </c>
      <c r="FI31" s="59" t="str">
        <f t="shared" si="27"/>
        <v>木</v>
      </c>
      <c r="FJ31" s="59" t="s">
        <v>22</v>
      </c>
      <c r="FK31" s="160">
        <v>0.375</v>
      </c>
      <c r="FL31" s="160">
        <v>0.75</v>
      </c>
      <c r="FM31" s="161">
        <v>0.5</v>
      </c>
      <c r="FN31" s="161">
        <v>0.54166666666666663</v>
      </c>
      <c r="FO31" s="61" t="str">
        <f t="shared" si="28"/>
        <v>8h</v>
      </c>
      <c r="FP31" s="162">
        <v>0.375</v>
      </c>
      <c r="FQ31" s="162">
        <v>0.75</v>
      </c>
      <c r="FR31" s="162">
        <v>0.5</v>
      </c>
      <c r="FS31" s="162">
        <v>0.54166666666666663</v>
      </c>
      <c r="FT31" s="38" t="str">
        <f t="shared" si="29"/>
        <v>8h</v>
      </c>
      <c r="FU31" s="381"/>
      <c r="FV31" s="381"/>
      <c r="FW31" s="381"/>
      <c r="FY31" s="55"/>
      <c r="FZ31" s="58">
        <f t="shared" si="46"/>
        <v>46348</v>
      </c>
      <c r="GA31" s="59" t="str">
        <f t="shared" si="30"/>
        <v>日</v>
      </c>
      <c r="GB31" s="59"/>
      <c r="GC31" s="60"/>
      <c r="GD31" s="60"/>
      <c r="GE31" s="36"/>
      <c r="GF31" s="36"/>
      <c r="GG31" s="61" t="str">
        <f t="shared" si="31"/>
        <v/>
      </c>
      <c r="GH31" s="37"/>
      <c r="GI31" s="37"/>
      <c r="GJ31" s="37"/>
      <c r="GK31" s="37"/>
      <c r="GL31" s="38" t="str">
        <f t="shared" si="32"/>
        <v/>
      </c>
      <c r="GM31" s="381"/>
      <c r="GN31" s="381"/>
      <c r="GO31" s="381"/>
      <c r="GQ31" s="55"/>
      <c r="GR31" s="58">
        <f t="shared" si="47"/>
        <v>46378</v>
      </c>
      <c r="GS31" s="59" t="str">
        <f t="shared" si="33"/>
        <v>火</v>
      </c>
      <c r="GT31" s="59" t="s">
        <v>22</v>
      </c>
      <c r="GU31" s="160">
        <v>0.375</v>
      </c>
      <c r="GV31" s="160">
        <v>0.75</v>
      </c>
      <c r="GW31" s="161">
        <v>0.5</v>
      </c>
      <c r="GX31" s="161">
        <v>0.54166666666666663</v>
      </c>
      <c r="GY31" s="61" t="str">
        <f t="shared" si="34"/>
        <v>8h</v>
      </c>
      <c r="GZ31" s="162">
        <v>0.375</v>
      </c>
      <c r="HA31" s="162">
        <v>0.75</v>
      </c>
      <c r="HB31" s="162">
        <v>0.5</v>
      </c>
      <c r="HC31" s="162">
        <v>0.54166666666666663</v>
      </c>
      <c r="HD31" s="38" t="str">
        <f t="shared" si="35"/>
        <v>8h</v>
      </c>
      <c r="HE31" s="381"/>
      <c r="HF31" s="381"/>
      <c r="HG31" s="381"/>
    </row>
    <row r="32" spans="1:215" x14ac:dyDescent="0.45">
      <c r="A32" s="55"/>
      <c r="B32" s="58">
        <f t="shared" si="36"/>
        <v>46045</v>
      </c>
      <c r="C32" s="59" t="str">
        <f t="shared" si="0"/>
        <v>金</v>
      </c>
      <c r="D32" s="59" t="s">
        <v>22</v>
      </c>
      <c r="E32" s="160">
        <v>0.375</v>
      </c>
      <c r="F32" s="160">
        <v>0.75</v>
      </c>
      <c r="G32" s="161">
        <v>0.5</v>
      </c>
      <c r="H32" s="161">
        <v>0.54166666666666663</v>
      </c>
      <c r="I32" s="61" t="str">
        <f t="shared" si="1"/>
        <v>8h</v>
      </c>
      <c r="J32" s="162">
        <v>0.375</v>
      </c>
      <c r="K32" s="162">
        <v>0.75</v>
      </c>
      <c r="L32" s="162">
        <v>0.5</v>
      </c>
      <c r="M32" s="162">
        <v>0.54166666666666663</v>
      </c>
      <c r="N32" s="38" t="str">
        <f t="shared" si="2"/>
        <v>8h</v>
      </c>
      <c r="O32" s="381"/>
      <c r="P32" s="381"/>
      <c r="Q32" s="381"/>
      <c r="S32" s="55"/>
      <c r="T32" s="58">
        <f t="shared" si="37"/>
        <v>46076</v>
      </c>
      <c r="U32" s="59" t="str">
        <f t="shared" si="3"/>
        <v>月</v>
      </c>
      <c r="V32" s="59"/>
      <c r="W32" s="60"/>
      <c r="X32" s="60"/>
      <c r="Y32" s="36"/>
      <c r="Z32" s="36"/>
      <c r="AA32" s="61" t="str">
        <f t="shared" si="4"/>
        <v/>
      </c>
      <c r="AB32" s="37"/>
      <c r="AC32" s="37"/>
      <c r="AD32" s="37"/>
      <c r="AE32" s="37"/>
      <c r="AF32" s="38" t="str">
        <f t="shared" si="5"/>
        <v/>
      </c>
      <c r="AG32" s="381"/>
      <c r="AH32" s="381"/>
      <c r="AI32" s="381"/>
      <c r="AK32" s="55"/>
      <c r="AL32" s="58">
        <f t="shared" si="38"/>
        <v>46104</v>
      </c>
      <c r="AM32" s="59" t="str">
        <f t="shared" si="6"/>
        <v>月</v>
      </c>
      <c r="AN32" s="59" t="s">
        <v>22</v>
      </c>
      <c r="AO32" s="160">
        <v>0.375</v>
      </c>
      <c r="AP32" s="160">
        <v>0.75</v>
      </c>
      <c r="AQ32" s="161">
        <v>0.5</v>
      </c>
      <c r="AR32" s="161">
        <v>0.54166666666666663</v>
      </c>
      <c r="AS32" s="61" t="str">
        <f t="shared" si="7"/>
        <v>8h</v>
      </c>
      <c r="AT32" s="162">
        <v>0.375</v>
      </c>
      <c r="AU32" s="162">
        <v>0.75</v>
      </c>
      <c r="AV32" s="162">
        <v>0.5</v>
      </c>
      <c r="AW32" s="162">
        <v>0.54166666666666663</v>
      </c>
      <c r="AX32" s="38" t="str">
        <f t="shared" si="8"/>
        <v>8h</v>
      </c>
      <c r="AY32" s="381"/>
      <c r="AZ32" s="381"/>
      <c r="BA32" s="381"/>
      <c r="BC32" s="55"/>
      <c r="BD32" s="58">
        <f t="shared" si="39"/>
        <v>46135</v>
      </c>
      <c r="BE32" s="59" t="str">
        <f t="shared" si="9"/>
        <v>木</v>
      </c>
      <c r="BF32" s="59" t="s">
        <v>22</v>
      </c>
      <c r="BG32" s="160">
        <v>0.375</v>
      </c>
      <c r="BH32" s="160">
        <v>0.75</v>
      </c>
      <c r="BI32" s="161">
        <v>0.5</v>
      </c>
      <c r="BJ32" s="161">
        <v>0.54166666666666663</v>
      </c>
      <c r="BK32" s="61" t="str">
        <f t="shared" si="10"/>
        <v>8h</v>
      </c>
      <c r="BL32" s="162">
        <v>0.375</v>
      </c>
      <c r="BM32" s="162">
        <v>0.75</v>
      </c>
      <c r="BN32" s="162">
        <v>0.5</v>
      </c>
      <c r="BO32" s="162">
        <v>0.54166666666666663</v>
      </c>
      <c r="BP32" s="38" t="str">
        <f t="shared" si="11"/>
        <v>8h</v>
      </c>
      <c r="BQ32" s="381"/>
      <c r="BR32" s="381"/>
      <c r="BS32" s="381"/>
      <c r="BU32" s="55"/>
      <c r="BV32" s="58">
        <f t="shared" si="40"/>
        <v>46165</v>
      </c>
      <c r="BW32" s="59" t="str">
        <f t="shared" si="12"/>
        <v>土</v>
      </c>
      <c r="BX32" s="59"/>
      <c r="BY32" s="60"/>
      <c r="BZ32" s="60"/>
      <c r="CA32" s="36"/>
      <c r="CB32" s="36"/>
      <c r="CC32" s="61" t="str">
        <f t="shared" si="13"/>
        <v/>
      </c>
      <c r="CD32" s="37"/>
      <c r="CE32" s="37"/>
      <c r="CF32" s="37"/>
      <c r="CG32" s="37"/>
      <c r="CH32" s="38" t="str">
        <f t="shared" si="14"/>
        <v/>
      </c>
      <c r="CI32" s="381"/>
      <c r="CJ32" s="381"/>
      <c r="CK32" s="381"/>
      <c r="CM32" s="55"/>
      <c r="CN32" s="58">
        <f t="shared" si="41"/>
        <v>46196</v>
      </c>
      <c r="CO32" s="59" t="str">
        <f t="shared" si="15"/>
        <v>火</v>
      </c>
      <c r="CP32" s="59" t="s">
        <v>22</v>
      </c>
      <c r="CQ32" s="160">
        <v>0.375</v>
      </c>
      <c r="CR32" s="160">
        <v>0.75</v>
      </c>
      <c r="CS32" s="161">
        <v>0.5</v>
      </c>
      <c r="CT32" s="161">
        <v>0.54166666666666663</v>
      </c>
      <c r="CU32" s="61" t="str">
        <f t="shared" si="16"/>
        <v>8h</v>
      </c>
      <c r="CV32" s="162">
        <v>0.375</v>
      </c>
      <c r="CW32" s="162">
        <v>0.75</v>
      </c>
      <c r="CX32" s="162">
        <v>0.5</v>
      </c>
      <c r="CY32" s="162">
        <v>0.54166666666666663</v>
      </c>
      <c r="CZ32" s="38" t="str">
        <f t="shared" si="17"/>
        <v>8h</v>
      </c>
      <c r="DA32" s="381"/>
      <c r="DB32" s="381"/>
      <c r="DC32" s="381"/>
      <c r="DE32" s="55"/>
      <c r="DF32" s="58">
        <f t="shared" si="42"/>
        <v>46226</v>
      </c>
      <c r="DG32" s="59" t="str">
        <f t="shared" si="18"/>
        <v>木</v>
      </c>
      <c r="DH32" s="59" t="s">
        <v>22</v>
      </c>
      <c r="DI32" s="160">
        <v>0.375</v>
      </c>
      <c r="DJ32" s="160">
        <v>0.75</v>
      </c>
      <c r="DK32" s="161">
        <v>0.5</v>
      </c>
      <c r="DL32" s="161">
        <v>0.54166666666666663</v>
      </c>
      <c r="DM32" s="61" t="str">
        <f t="shared" si="19"/>
        <v>8h</v>
      </c>
      <c r="DN32" s="162">
        <v>0.375</v>
      </c>
      <c r="DO32" s="162">
        <v>0.75</v>
      </c>
      <c r="DP32" s="162">
        <v>0.5</v>
      </c>
      <c r="DQ32" s="162">
        <v>0.54166666666666663</v>
      </c>
      <c r="DR32" s="38" t="str">
        <f t="shared" si="20"/>
        <v>8h</v>
      </c>
      <c r="DS32" s="381"/>
      <c r="DT32" s="381"/>
      <c r="DU32" s="381"/>
      <c r="DW32" s="55"/>
      <c r="DX32" s="58">
        <f t="shared" si="43"/>
        <v>46257</v>
      </c>
      <c r="DY32" s="59" t="str">
        <f t="shared" si="21"/>
        <v>日</v>
      </c>
      <c r="DZ32" s="59"/>
      <c r="EA32" s="60"/>
      <c r="EB32" s="60"/>
      <c r="EC32" s="36"/>
      <c r="ED32" s="36"/>
      <c r="EE32" s="61" t="str">
        <f t="shared" si="22"/>
        <v/>
      </c>
      <c r="EF32" s="37"/>
      <c r="EG32" s="37"/>
      <c r="EH32" s="37"/>
      <c r="EI32" s="37"/>
      <c r="EJ32" s="38" t="str">
        <f t="shared" si="23"/>
        <v/>
      </c>
      <c r="EK32" s="381"/>
      <c r="EL32" s="381"/>
      <c r="EM32" s="381"/>
      <c r="EO32" s="55"/>
      <c r="EP32" s="58">
        <f t="shared" si="44"/>
        <v>46288</v>
      </c>
      <c r="EQ32" s="59" t="str">
        <f t="shared" si="24"/>
        <v>水</v>
      </c>
      <c r="ER32" s="59"/>
      <c r="ES32" s="60"/>
      <c r="ET32" s="60"/>
      <c r="EU32" s="36"/>
      <c r="EV32" s="36"/>
      <c r="EW32" s="61" t="str">
        <f t="shared" si="25"/>
        <v/>
      </c>
      <c r="EX32" s="37"/>
      <c r="EY32" s="37"/>
      <c r="EZ32" s="37"/>
      <c r="FA32" s="37"/>
      <c r="FB32" s="38" t="str">
        <f t="shared" si="26"/>
        <v/>
      </c>
      <c r="FC32" s="381"/>
      <c r="FD32" s="381"/>
      <c r="FE32" s="381"/>
      <c r="FG32" s="55"/>
      <c r="FH32" s="58">
        <f t="shared" si="45"/>
        <v>46318</v>
      </c>
      <c r="FI32" s="59" t="str">
        <f t="shared" si="27"/>
        <v>金</v>
      </c>
      <c r="FJ32" s="59" t="s">
        <v>22</v>
      </c>
      <c r="FK32" s="160">
        <v>0.375</v>
      </c>
      <c r="FL32" s="160">
        <v>0.75</v>
      </c>
      <c r="FM32" s="161">
        <v>0.5</v>
      </c>
      <c r="FN32" s="161">
        <v>0.54166666666666663</v>
      </c>
      <c r="FO32" s="61" t="str">
        <f t="shared" si="28"/>
        <v>8h</v>
      </c>
      <c r="FP32" s="162">
        <v>0.375</v>
      </c>
      <c r="FQ32" s="162">
        <v>0.75</v>
      </c>
      <c r="FR32" s="162">
        <v>0.5</v>
      </c>
      <c r="FS32" s="162">
        <v>0.54166666666666663</v>
      </c>
      <c r="FT32" s="38" t="str">
        <f t="shared" si="29"/>
        <v>8h</v>
      </c>
      <c r="FU32" s="381"/>
      <c r="FV32" s="381"/>
      <c r="FW32" s="381"/>
      <c r="FY32" s="55"/>
      <c r="FZ32" s="58">
        <f t="shared" si="46"/>
        <v>46349</v>
      </c>
      <c r="GA32" s="59" t="str">
        <f t="shared" si="30"/>
        <v>月</v>
      </c>
      <c r="GB32" s="59"/>
      <c r="GC32" s="60"/>
      <c r="GD32" s="60"/>
      <c r="GE32" s="36"/>
      <c r="GF32" s="36"/>
      <c r="GG32" s="61" t="str">
        <f t="shared" si="31"/>
        <v/>
      </c>
      <c r="GH32" s="37"/>
      <c r="GI32" s="37"/>
      <c r="GJ32" s="37"/>
      <c r="GK32" s="37"/>
      <c r="GL32" s="38" t="str">
        <f t="shared" si="32"/>
        <v/>
      </c>
      <c r="GM32" s="381"/>
      <c r="GN32" s="381"/>
      <c r="GO32" s="381"/>
      <c r="GQ32" s="55"/>
      <c r="GR32" s="58">
        <f t="shared" si="47"/>
        <v>46379</v>
      </c>
      <c r="GS32" s="59" t="str">
        <f t="shared" si="33"/>
        <v>水</v>
      </c>
      <c r="GT32" s="59" t="s">
        <v>22</v>
      </c>
      <c r="GU32" s="160">
        <v>0.375</v>
      </c>
      <c r="GV32" s="160">
        <v>0.75</v>
      </c>
      <c r="GW32" s="161">
        <v>0.5</v>
      </c>
      <c r="GX32" s="161">
        <v>0.54166666666666663</v>
      </c>
      <c r="GY32" s="61" t="str">
        <f t="shared" si="34"/>
        <v>8h</v>
      </c>
      <c r="GZ32" s="162">
        <v>0.375</v>
      </c>
      <c r="HA32" s="162">
        <v>0.75</v>
      </c>
      <c r="HB32" s="162">
        <v>0.5</v>
      </c>
      <c r="HC32" s="162">
        <v>0.54166666666666663</v>
      </c>
      <c r="HD32" s="38" t="str">
        <f t="shared" si="35"/>
        <v>8h</v>
      </c>
      <c r="HE32" s="381"/>
      <c r="HF32" s="381"/>
      <c r="HG32" s="381"/>
    </row>
    <row r="33" spans="1:215" x14ac:dyDescent="0.45">
      <c r="A33" s="55"/>
      <c r="B33" s="58">
        <f t="shared" si="36"/>
        <v>46046</v>
      </c>
      <c r="C33" s="59" t="str">
        <f t="shared" si="0"/>
        <v>土</v>
      </c>
      <c r="D33" s="59"/>
      <c r="E33" s="60"/>
      <c r="F33" s="60"/>
      <c r="G33" s="36"/>
      <c r="H33" s="36"/>
      <c r="I33" s="61" t="str">
        <f t="shared" si="1"/>
        <v/>
      </c>
      <c r="J33" s="37"/>
      <c r="K33" s="37"/>
      <c r="L33" s="37"/>
      <c r="M33" s="37"/>
      <c r="N33" s="38" t="str">
        <f t="shared" si="2"/>
        <v/>
      </c>
      <c r="O33" s="381"/>
      <c r="P33" s="381"/>
      <c r="Q33" s="381"/>
      <c r="S33" s="55"/>
      <c r="T33" s="58">
        <f t="shared" si="37"/>
        <v>46077</v>
      </c>
      <c r="U33" s="59" t="str">
        <f t="shared" si="3"/>
        <v>火</v>
      </c>
      <c r="V33" s="59" t="s">
        <v>22</v>
      </c>
      <c r="W33" s="160">
        <v>0.375</v>
      </c>
      <c r="X33" s="160">
        <v>0.75</v>
      </c>
      <c r="Y33" s="161">
        <v>0.5</v>
      </c>
      <c r="Z33" s="161">
        <v>0.54166666666666663</v>
      </c>
      <c r="AA33" s="61" t="str">
        <f t="shared" si="4"/>
        <v>8h</v>
      </c>
      <c r="AB33" s="162">
        <v>0.375</v>
      </c>
      <c r="AC33" s="162">
        <v>0.75</v>
      </c>
      <c r="AD33" s="162">
        <v>0.5</v>
      </c>
      <c r="AE33" s="162">
        <v>0.54166666666666663</v>
      </c>
      <c r="AF33" s="38" t="str">
        <f t="shared" si="5"/>
        <v>8h</v>
      </c>
      <c r="AG33" s="381"/>
      <c r="AH33" s="381"/>
      <c r="AI33" s="381"/>
      <c r="AK33" s="55"/>
      <c r="AL33" s="58">
        <f t="shared" si="38"/>
        <v>46105</v>
      </c>
      <c r="AM33" s="59" t="str">
        <f t="shared" si="6"/>
        <v>火</v>
      </c>
      <c r="AN33" s="59" t="s">
        <v>22</v>
      </c>
      <c r="AO33" s="160">
        <v>0.375</v>
      </c>
      <c r="AP33" s="160">
        <v>0.75</v>
      </c>
      <c r="AQ33" s="161">
        <v>0.5</v>
      </c>
      <c r="AR33" s="161">
        <v>0.54166666666666663</v>
      </c>
      <c r="AS33" s="61" t="str">
        <f t="shared" si="7"/>
        <v>8h</v>
      </c>
      <c r="AT33" s="162">
        <v>0.375</v>
      </c>
      <c r="AU33" s="162">
        <v>0.75</v>
      </c>
      <c r="AV33" s="162">
        <v>0.5</v>
      </c>
      <c r="AW33" s="162">
        <v>0.54166666666666663</v>
      </c>
      <c r="AX33" s="38" t="str">
        <f t="shared" si="8"/>
        <v>8h</v>
      </c>
      <c r="AY33" s="381"/>
      <c r="AZ33" s="381"/>
      <c r="BA33" s="381"/>
      <c r="BC33" s="55"/>
      <c r="BD33" s="58">
        <f t="shared" si="39"/>
        <v>46136</v>
      </c>
      <c r="BE33" s="59" t="str">
        <f t="shared" si="9"/>
        <v>金</v>
      </c>
      <c r="BF33" s="59" t="s">
        <v>22</v>
      </c>
      <c r="BG33" s="160">
        <v>0.375</v>
      </c>
      <c r="BH33" s="160">
        <v>0.75</v>
      </c>
      <c r="BI33" s="161">
        <v>0.5</v>
      </c>
      <c r="BJ33" s="161">
        <v>0.54166666666666663</v>
      </c>
      <c r="BK33" s="61" t="str">
        <f t="shared" si="10"/>
        <v>8h</v>
      </c>
      <c r="BL33" s="162">
        <v>0.375</v>
      </c>
      <c r="BM33" s="162">
        <v>0.75</v>
      </c>
      <c r="BN33" s="162">
        <v>0.5</v>
      </c>
      <c r="BO33" s="162">
        <v>0.54166666666666663</v>
      </c>
      <c r="BP33" s="38" t="str">
        <f t="shared" si="11"/>
        <v>8h</v>
      </c>
      <c r="BQ33" s="381"/>
      <c r="BR33" s="381"/>
      <c r="BS33" s="381"/>
      <c r="BU33" s="55"/>
      <c r="BV33" s="58">
        <f t="shared" si="40"/>
        <v>46166</v>
      </c>
      <c r="BW33" s="59" t="str">
        <f t="shared" si="12"/>
        <v>日</v>
      </c>
      <c r="BX33" s="59"/>
      <c r="BY33" s="60"/>
      <c r="BZ33" s="60"/>
      <c r="CA33" s="36"/>
      <c r="CB33" s="36"/>
      <c r="CC33" s="61" t="str">
        <f t="shared" si="13"/>
        <v/>
      </c>
      <c r="CD33" s="37"/>
      <c r="CE33" s="37"/>
      <c r="CF33" s="37"/>
      <c r="CG33" s="37"/>
      <c r="CH33" s="38" t="str">
        <f t="shared" si="14"/>
        <v/>
      </c>
      <c r="CI33" s="381"/>
      <c r="CJ33" s="381"/>
      <c r="CK33" s="381"/>
      <c r="CM33" s="55"/>
      <c r="CN33" s="58">
        <f t="shared" si="41"/>
        <v>46197</v>
      </c>
      <c r="CO33" s="59" t="str">
        <f t="shared" si="15"/>
        <v>水</v>
      </c>
      <c r="CP33" s="59" t="s">
        <v>22</v>
      </c>
      <c r="CQ33" s="160">
        <v>0.375</v>
      </c>
      <c r="CR33" s="160">
        <v>0.75</v>
      </c>
      <c r="CS33" s="161">
        <v>0.5</v>
      </c>
      <c r="CT33" s="161">
        <v>0.54166666666666663</v>
      </c>
      <c r="CU33" s="61" t="str">
        <f t="shared" si="16"/>
        <v>8h</v>
      </c>
      <c r="CV33" s="162">
        <v>0.375</v>
      </c>
      <c r="CW33" s="162">
        <v>0.75</v>
      </c>
      <c r="CX33" s="162">
        <v>0.5</v>
      </c>
      <c r="CY33" s="162">
        <v>0.54166666666666663</v>
      </c>
      <c r="CZ33" s="38" t="str">
        <f t="shared" si="17"/>
        <v>8h</v>
      </c>
      <c r="DA33" s="381"/>
      <c r="DB33" s="381"/>
      <c r="DC33" s="381"/>
      <c r="DE33" s="55"/>
      <c r="DF33" s="58">
        <f t="shared" si="42"/>
        <v>46227</v>
      </c>
      <c r="DG33" s="59" t="str">
        <f t="shared" si="18"/>
        <v>金</v>
      </c>
      <c r="DH33" s="59" t="s">
        <v>22</v>
      </c>
      <c r="DI33" s="160">
        <v>0.375</v>
      </c>
      <c r="DJ33" s="160">
        <v>0.75</v>
      </c>
      <c r="DK33" s="161">
        <v>0.5</v>
      </c>
      <c r="DL33" s="161">
        <v>0.54166666666666663</v>
      </c>
      <c r="DM33" s="61" t="str">
        <f t="shared" si="19"/>
        <v>8h</v>
      </c>
      <c r="DN33" s="162">
        <v>0.375</v>
      </c>
      <c r="DO33" s="162">
        <v>0.75</v>
      </c>
      <c r="DP33" s="162">
        <v>0.5</v>
      </c>
      <c r="DQ33" s="162">
        <v>0.54166666666666663</v>
      </c>
      <c r="DR33" s="38" t="str">
        <f t="shared" si="20"/>
        <v>8h</v>
      </c>
      <c r="DS33" s="381"/>
      <c r="DT33" s="381"/>
      <c r="DU33" s="381"/>
      <c r="DW33" s="55"/>
      <c r="DX33" s="58">
        <f t="shared" si="43"/>
        <v>46258</v>
      </c>
      <c r="DY33" s="59" t="str">
        <f t="shared" si="21"/>
        <v>月</v>
      </c>
      <c r="DZ33" s="59" t="s">
        <v>22</v>
      </c>
      <c r="EA33" s="160">
        <v>0.375</v>
      </c>
      <c r="EB33" s="160">
        <v>0.75</v>
      </c>
      <c r="EC33" s="161">
        <v>0.5</v>
      </c>
      <c r="ED33" s="161">
        <v>0.54166666666666663</v>
      </c>
      <c r="EE33" s="61" t="str">
        <f t="shared" si="22"/>
        <v>8h</v>
      </c>
      <c r="EF33" s="162">
        <v>0.375</v>
      </c>
      <c r="EG33" s="162">
        <v>0.75</v>
      </c>
      <c r="EH33" s="162">
        <v>0.5</v>
      </c>
      <c r="EI33" s="162">
        <v>0.54166666666666663</v>
      </c>
      <c r="EJ33" s="38" t="str">
        <f t="shared" si="23"/>
        <v>8h</v>
      </c>
      <c r="EK33" s="381"/>
      <c r="EL33" s="381"/>
      <c r="EM33" s="381"/>
      <c r="EO33" s="55"/>
      <c r="EP33" s="58">
        <f t="shared" si="44"/>
        <v>46289</v>
      </c>
      <c r="EQ33" s="59" t="str">
        <f t="shared" si="24"/>
        <v>木</v>
      </c>
      <c r="ER33" s="59" t="s">
        <v>22</v>
      </c>
      <c r="ES33" s="160">
        <v>0.375</v>
      </c>
      <c r="ET33" s="160">
        <v>0.75</v>
      </c>
      <c r="EU33" s="161">
        <v>0.5</v>
      </c>
      <c r="EV33" s="161">
        <v>0.54166666666666663</v>
      </c>
      <c r="EW33" s="61" t="str">
        <f t="shared" si="25"/>
        <v>8h</v>
      </c>
      <c r="EX33" s="162">
        <v>0.375</v>
      </c>
      <c r="EY33" s="162">
        <v>0.75</v>
      </c>
      <c r="EZ33" s="162">
        <v>0.5</v>
      </c>
      <c r="FA33" s="162">
        <v>0.54166666666666663</v>
      </c>
      <c r="FB33" s="38" t="str">
        <f t="shared" si="26"/>
        <v>8h</v>
      </c>
      <c r="FC33" s="381"/>
      <c r="FD33" s="381"/>
      <c r="FE33" s="381"/>
      <c r="FG33" s="55"/>
      <c r="FH33" s="58">
        <f t="shared" si="45"/>
        <v>46319</v>
      </c>
      <c r="FI33" s="59" t="str">
        <f t="shared" si="27"/>
        <v>土</v>
      </c>
      <c r="FJ33" s="59"/>
      <c r="FK33" s="60"/>
      <c r="FL33" s="60"/>
      <c r="FM33" s="36"/>
      <c r="FN33" s="36"/>
      <c r="FO33" s="61" t="str">
        <f t="shared" si="28"/>
        <v/>
      </c>
      <c r="FP33" s="37"/>
      <c r="FQ33" s="37"/>
      <c r="FR33" s="37"/>
      <c r="FS33" s="37"/>
      <c r="FT33" s="38" t="str">
        <f t="shared" si="29"/>
        <v/>
      </c>
      <c r="FU33" s="381"/>
      <c r="FV33" s="381"/>
      <c r="FW33" s="381"/>
      <c r="FY33" s="55"/>
      <c r="FZ33" s="58">
        <f t="shared" si="46"/>
        <v>46350</v>
      </c>
      <c r="GA33" s="59" t="str">
        <f t="shared" si="30"/>
        <v>火</v>
      </c>
      <c r="GB33" s="59" t="s">
        <v>22</v>
      </c>
      <c r="GC33" s="160">
        <v>0.375</v>
      </c>
      <c r="GD33" s="160">
        <v>0.75</v>
      </c>
      <c r="GE33" s="161">
        <v>0.5</v>
      </c>
      <c r="GF33" s="161">
        <v>0.54166666666666663</v>
      </c>
      <c r="GG33" s="61" t="str">
        <f t="shared" si="31"/>
        <v>8h</v>
      </c>
      <c r="GH33" s="162">
        <v>0.375</v>
      </c>
      <c r="GI33" s="162">
        <v>0.75</v>
      </c>
      <c r="GJ33" s="162">
        <v>0.5</v>
      </c>
      <c r="GK33" s="162">
        <v>0.54166666666666663</v>
      </c>
      <c r="GL33" s="38" t="str">
        <f t="shared" si="32"/>
        <v>8h</v>
      </c>
      <c r="GM33" s="381"/>
      <c r="GN33" s="381"/>
      <c r="GO33" s="381"/>
      <c r="GQ33" s="55"/>
      <c r="GR33" s="58">
        <f t="shared" si="47"/>
        <v>46380</v>
      </c>
      <c r="GS33" s="59" t="str">
        <f t="shared" si="33"/>
        <v>木</v>
      </c>
      <c r="GT33" s="59" t="s">
        <v>22</v>
      </c>
      <c r="GU33" s="160">
        <v>0.375</v>
      </c>
      <c r="GV33" s="160">
        <v>0.75</v>
      </c>
      <c r="GW33" s="161">
        <v>0.5</v>
      </c>
      <c r="GX33" s="161">
        <v>0.54166666666666663</v>
      </c>
      <c r="GY33" s="61" t="str">
        <f t="shared" si="34"/>
        <v>8h</v>
      </c>
      <c r="GZ33" s="162">
        <v>0.375</v>
      </c>
      <c r="HA33" s="162">
        <v>0.75</v>
      </c>
      <c r="HB33" s="162">
        <v>0.5</v>
      </c>
      <c r="HC33" s="162">
        <v>0.54166666666666663</v>
      </c>
      <c r="HD33" s="38" t="str">
        <f t="shared" si="35"/>
        <v>8h</v>
      </c>
      <c r="HE33" s="381"/>
      <c r="HF33" s="381"/>
      <c r="HG33" s="381"/>
    </row>
    <row r="34" spans="1:215" x14ac:dyDescent="0.45">
      <c r="A34" s="55"/>
      <c r="B34" s="58">
        <f t="shared" si="36"/>
        <v>46047</v>
      </c>
      <c r="C34" s="59" t="str">
        <f t="shared" si="0"/>
        <v>日</v>
      </c>
      <c r="D34" s="59"/>
      <c r="E34" s="60"/>
      <c r="F34" s="60"/>
      <c r="G34" s="36"/>
      <c r="H34" s="36"/>
      <c r="I34" s="61" t="str">
        <f t="shared" si="1"/>
        <v/>
      </c>
      <c r="J34" s="37"/>
      <c r="K34" s="37"/>
      <c r="L34" s="37"/>
      <c r="M34" s="37"/>
      <c r="N34" s="38" t="str">
        <f t="shared" si="2"/>
        <v/>
      </c>
      <c r="O34" s="381"/>
      <c r="P34" s="381"/>
      <c r="Q34" s="381"/>
      <c r="S34" s="55"/>
      <c r="T34" s="58">
        <f t="shared" si="37"/>
        <v>46078</v>
      </c>
      <c r="U34" s="59" t="str">
        <f t="shared" si="3"/>
        <v>水</v>
      </c>
      <c r="V34" s="59" t="s">
        <v>22</v>
      </c>
      <c r="W34" s="160">
        <v>0.375</v>
      </c>
      <c r="X34" s="160">
        <v>0.75</v>
      </c>
      <c r="Y34" s="161">
        <v>0.5</v>
      </c>
      <c r="Z34" s="161">
        <v>0.54166666666666663</v>
      </c>
      <c r="AA34" s="61" t="str">
        <f t="shared" si="4"/>
        <v>8h</v>
      </c>
      <c r="AB34" s="162">
        <v>0.375</v>
      </c>
      <c r="AC34" s="162">
        <v>0.75</v>
      </c>
      <c r="AD34" s="162">
        <v>0.5</v>
      </c>
      <c r="AE34" s="162">
        <v>0.54166666666666663</v>
      </c>
      <c r="AF34" s="38" t="str">
        <f t="shared" si="5"/>
        <v>8h</v>
      </c>
      <c r="AG34" s="381"/>
      <c r="AH34" s="381"/>
      <c r="AI34" s="381"/>
      <c r="AK34" s="55"/>
      <c r="AL34" s="58">
        <f t="shared" si="38"/>
        <v>46106</v>
      </c>
      <c r="AM34" s="59" t="str">
        <f t="shared" si="6"/>
        <v>水</v>
      </c>
      <c r="AN34" s="59" t="s">
        <v>22</v>
      </c>
      <c r="AO34" s="160">
        <v>0.375</v>
      </c>
      <c r="AP34" s="160">
        <v>0.75</v>
      </c>
      <c r="AQ34" s="161">
        <v>0.5</v>
      </c>
      <c r="AR34" s="161">
        <v>0.54166666666666663</v>
      </c>
      <c r="AS34" s="61" t="str">
        <f t="shared" si="7"/>
        <v>8h</v>
      </c>
      <c r="AT34" s="162">
        <v>0.375</v>
      </c>
      <c r="AU34" s="162">
        <v>0.75</v>
      </c>
      <c r="AV34" s="162">
        <v>0.5</v>
      </c>
      <c r="AW34" s="162">
        <v>0.54166666666666663</v>
      </c>
      <c r="AX34" s="38" t="str">
        <f t="shared" si="8"/>
        <v>8h</v>
      </c>
      <c r="AY34" s="381"/>
      <c r="AZ34" s="381"/>
      <c r="BA34" s="381"/>
      <c r="BC34" s="55"/>
      <c r="BD34" s="58">
        <f t="shared" si="39"/>
        <v>46137</v>
      </c>
      <c r="BE34" s="59" t="str">
        <f t="shared" si="9"/>
        <v>土</v>
      </c>
      <c r="BF34" s="59"/>
      <c r="BG34" s="60"/>
      <c r="BH34" s="60"/>
      <c r="BI34" s="36"/>
      <c r="BJ34" s="36"/>
      <c r="BK34" s="61" t="str">
        <f t="shared" si="10"/>
        <v/>
      </c>
      <c r="BL34" s="37"/>
      <c r="BM34" s="37"/>
      <c r="BN34" s="37"/>
      <c r="BO34" s="37"/>
      <c r="BP34" s="38" t="str">
        <f t="shared" si="11"/>
        <v/>
      </c>
      <c r="BQ34" s="381"/>
      <c r="BR34" s="381"/>
      <c r="BS34" s="381"/>
      <c r="BU34" s="55"/>
      <c r="BV34" s="58">
        <f t="shared" si="40"/>
        <v>46167</v>
      </c>
      <c r="BW34" s="59" t="str">
        <f t="shared" si="12"/>
        <v>月</v>
      </c>
      <c r="BX34" s="59" t="s">
        <v>22</v>
      </c>
      <c r="BY34" s="160">
        <v>0.375</v>
      </c>
      <c r="BZ34" s="160">
        <v>0.75</v>
      </c>
      <c r="CA34" s="161">
        <v>0.5</v>
      </c>
      <c r="CB34" s="161">
        <v>0.54166666666666663</v>
      </c>
      <c r="CC34" s="61" t="str">
        <f t="shared" si="13"/>
        <v>8h</v>
      </c>
      <c r="CD34" s="162">
        <v>0.375</v>
      </c>
      <c r="CE34" s="162">
        <v>0.75</v>
      </c>
      <c r="CF34" s="162">
        <v>0.5</v>
      </c>
      <c r="CG34" s="162">
        <v>0.54166666666666663</v>
      </c>
      <c r="CH34" s="38" t="str">
        <f t="shared" si="14"/>
        <v>8h</v>
      </c>
      <c r="CI34" s="381"/>
      <c r="CJ34" s="381"/>
      <c r="CK34" s="381"/>
      <c r="CM34" s="55"/>
      <c r="CN34" s="58">
        <f t="shared" si="41"/>
        <v>46198</v>
      </c>
      <c r="CO34" s="59" t="str">
        <f t="shared" si="15"/>
        <v>木</v>
      </c>
      <c r="CP34" s="59" t="s">
        <v>22</v>
      </c>
      <c r="CQ34" s="160">
        <v>0.375</v>
      </c>
      <c r="CR34" s="160">
        <v>0.75</v>
      </c>
      <c r="CS34" s="161">
        <v>0.5</v>
      </c>
      <c r="CT34" s="161">
        <v>0.54166666666666663</v>
      </c>
      <c r="CU34" s="61" t="str">
        <f t="shared" si="16"/>
        <v>8h</v>
      </c>
      <c r="CV34" s="162">
        <v>0.375</v>
      </c>
      <c r="CW34" s="162">
        <v>0.75</v>
      </c>
      <c r="CX34" s="162">
        <v>0.5</v>
      </c>
      <c r="CY34" s="162">
        <v>0.54166666666666663</v>
      </c>
      <c r="CZ34" s="38" t="str">
        <f t="shared" si="17"/>
        <v>8h</v>
      </c>
      <c r="DA34" s="381"/>
      <c r="DB34" s="381"/>
      <c r="DC34" s="381"/>
      <c r="DE34" s="55"/>
      <c r="DF34" s="58">
        <f t="shared" si="42"/>
        <v>46228</v>
      </c>
      <c r="DG34" s="59" t="str">
        <f t="shared" si="18"/>
        <v>土</v>
      </c>
      <c r="DH34" s="59"/>
      <c r="DI34" s="60"/>
      <c r="DJ34" s="60"/>
      <c r="DK34" s="36"/>
      <c r="DL34" s="36"/>
      <c r="DM34" s="61" t="str">
        <f t="shared" si="19"/>
        <v/>
      </c>
      <c r="DN34" s="37"/>
      <c r="DO34" s="37"/>
      <c r="DP34" s="37"/>
      <c r="DQ34" s="37"/>
      <c r="DR34" s="38" t="str">
        <f t="shared" si="20"/>
        <v/>
      </c>
      <c r="DS34" s="381"/>
      <c r="DT34" s="381"/>
      <c r="DU34" s="381"/>
      <c r="DW34" s="55"/>
      <c r="DX34" s="58">
        <f t="shared" si="43"/>
        <v>46259</v>
      </c>
      <c r="DY34" s="59" t="str">
        <f t="shared" si="21"/>
        <v>火</v>
      </c>
      <c r="DZ34" s="59" t="s">
        <v>22</v>
      </c>
      <c r="EA34" s="160">
        <v>0.375</v>
      </c>
      <c r="EB34" s="160">
        <v>0.75</v>
      </c>
      <c r="EC34" s="161">
        <v>0.5</v>
      </c>
      <c r="ED34" s="161">
        <v>0.54166666666666663</v>
      </c>
      <c r="EE34" s="61" t="str">
        <f t="shared" si="22"/>
        <v>8h</v>
      </c>
      <c r="EF34" s="162">
        <v>0.375</v>
      </c>
      <c r="EG34" s="162">
        <v>0.75</v>
      </c>
      <c r="EH34" s="162">
        <v>0.5</v>
      </c>
      <c r="EI34" s="162">
        <v>0.54166666666666663</v>
      </c>
      <c r="EJ34" s="38" t="str">
        <f t="shared" si="23"/>
        <v>8h</v>
      </c>
      <c r="EK34" s="381"/>
      <c r="EL34" s="381"/>
      <c r="EM34" s="381"/>
      <c r="EO34" s="55"/>
      <c r="EP34" s="58">
        <f t="shared" si="44"/>
        <v>46290</v>
      </c>
      <c r="EQ34" s="59" t="str">
        <f t="shared" si="24"/>
        <v>金</v>
      </c>
      <c r="ER34" s="59" t="s">
        <v>22</v>
      </c>
      <c r="ES34" s="160">
        <v>0.375</v>
      </c>
      <c r="ET34" s="160">
        <v>0.75</v>
      </c>
      <c r="EU34" s="161">
        <v>0.5</v>
      </c>
      <c r="EV34" s="161">
        <v>0.54166666666666663</v>
      </c>
      <c r="EW34" s="61" t="str">
        <f t="shared" si="25"/>
        <v>8h</v>
      </c>
      <c r="EX34" s="162">
        <v>0.375</v>
      </c>
      <c r="EY34" s="162">
        <v>0.75</v>
      </c>
      <c r="EZ34" s="162">
        <v>0.5</v>
      </c>
      <c r="FA34" s="162">
        <v>0.54166666666666663</v>
      </c>
      <c r="FB34" s="38" t="str">
        <f t="shared" si="26"/>
        <v>8h</v>
      </c>
      <c r="FC34" s="381"/>
      <c r="FD34" s="381"/>
      <c r="FE34" s="381"/>
      <c r="FG34" s="55"/>
      <c r="FH34" s="58">
        <f t="shared" si="45"/>
        <v>46320</v>
      </c>
      <c r="FI34" s="59" t="str">
        <f t="shared" si="27"/>
        <v>日</v>
      </c>
      <c r="FJ34" s="59"/>
      <c r="FK34" s="60"/>
      <c r="FL34" s="60"/>
      <c r="FM34" s="36"/>
      <c r="FN34" s="36"/>
      <c r="FO34" s="61" t="str">
        <f t="shared" si="28"/>
        <v/>
      </c>
      <c r="FP34" s="37"/>
      <c r="FQ34" s="37"/>
      <c r="FR34" s="37"/>
      <c r="FS34" s="37"/>
      <c r="FT34" s="38" t="str">
        <f t="shared" si="29"/>
        <v/>
      </c>
      <c r="FU34" s="381"/>
      <c r="FV34" s="381"/>
      <c r="FW34" s="381"/>
      <c r="FY34" s="55"/>
      <c r="FZ34" s="58">
        <f t="shared" si="46"/>
        <v>46351</v>
      </c>
      <c r="GA34" s="59" t="str">
        <f t="shared" si="30"/>
        <v>水</v>
      </c>
      <c r="GB34" s="59" t="s">
        <v>22</v>
      </c>
      <c r="GC34" s="160">
        <v>0.375</v>
      </c>
      <c r="GD34" s="160">
        <v>0.75</v>
      </c>
      <c r="GE34" s="161">
        <v>0.5</v>
      </c>
      <c r="GF34" s="161">
        <v>0.54166666666666663</v>
      </c>
      <c r="GG34" s="61" t="str">
        <f t="shared" si="31"/>
        <v>8h</v>
      </c>
      <c r="GH34" s="162">
        <v>0.375</v>
      </c>
      <c r="GI34" s="162">
        <v>0.75</v>
      </c>
      <c r="GJ34" s="162">
        <v>0.5</v>
      </c>
      <c r="GK34" s="162">
        <v>0.54166666666666663</v>
      </c>
      <c r="GL34" s="38" t="str">
        <f t="shared" si="32"/>
        <v>8h</v>
      </c>
      <c r="GM34" s="381"/>
      <c r="GN34" s="381"/>
      <c r="GO34" s="381"/>
      <c r="GQ34" s="55"/>
      <c r="GR34" s="58">
        <f t="shared" si="47"/>
        <v>46381</v>
      </c>
      <c r="GS34" s="59" t="str">
        <f t="shared" si="33"/>
        <v>金</v>
      </c>
      <c r="GT34" s="59" t="s">
        <v>22</v>
      </c>
      <c r="GU34" s="160">
        <v>0.375</v>
      </c>
      <c r="GV34" s="160">
        <v>0.75</v>
      </c>
      <c r="GW34" s="161">
        <v>0.5</v>
      </c>
      <c r="GX34" s="161">
        <v>0.54166666666666663</v>
      </c>
      <c r="GY34" s="61" t="str">
        <f t="shared" si="34"/>
        <v>8h</v>
      </c>
      <c r="GZ34" s="162">
        <v>0.375</v>
      </c>
      <c r="HA34" s="162">
        <v>0.75</v>
      </c>
      <c r="HB34" s="162">
        <v>0.5</v>
      </c>
      <c r="HC34" s="162">
        <v>0.54166666666666663</v>
      </c>
      <c r="HD34" s="38" t="str">
        <f t="shared" si="35"/>
        <v>8h</v>
      </c>
      <c r="HE34" s="381"/>
      <c r="HF34" s="381"/>
      <c r="HG34" s="381"/>
    </row>
    <row r="35" spans="1:215" x14ac:dyDescent="0.45">
      <c r="A35" s="55"/>
      <c r="B35" s="58">
        <f t="shared" si="36"/>
        <v>46048</v>
      </c>
      <c r="C35" s="59" t="str">
        <f t="shared" si="0"/>
        <v>月</v>
      </c>
      <c r="D35" s="59" t="s">
        <v>22</v>
      </c>
      <c r="E35" s="160">
        <v>0.375</v>
      </c>
      <c r="F35" s="160">
        <v>0.75</v>
      </c>
      <c r="G35" s="161">
        <v>0.5</v>
      </c>
      <c r="H35" s="161">
        <v>0.54166666666666663</v>
      </c>
      <c r="I35" s="61" t="str">
        <f t="shared" si="1"/>
        <v>8h</v>
      </c>
      <c r="J35" s="162">
        <v>0.375</v>
      </c>
      <c r="K35" s="162">
        <v>0.75</v>
      </c>
      <c r="L35" s="162">
        <v>0.5</v>
      </c>
      <c r="M35" s="162">
        <v>0.54166666666666663</v>
      </c>
      <c r="N35" s="38" t="str">
        <f t="shared" si="2"/>
        <v>8h</v>
      </c>
      <c r="O35" s="381"/>
      <c r="P35" s="381"/>
      <c r="Q35" s="381"/>
      <c r="S35" s="55"/>
      <c r="T35" s="58">
        <f t="shared" si="37"/>
        <v>46079</v>
      </c>
      <c r="U35" s="59" t="str">
        <f t="shared" si="3"/>
        <v>木</v>
      </c>
      <c r="V35" s="59" t="s">
        <v>22</v>
      </c>
      <c r="W35" s="160">
        <v>0.375</v>
      </c>
      <c r="X35" s="160">
        <v>0.75</v>
      </c>
      <c r="Y35" s="161">
        <v>0.5</v>
      </c>
      <c r="Z35" s="161">
        <v>0.54166666666666663</v>
      </c>
      <c r="AA35" s="61" t="str">
        <f t="shared" si="4"/>
        <v>8h</v>
      </c>
      <c r="AB35" s="162">
        <v>0.375</v>
      </c>
      <c r="AC35" s="162">
        <v>0.75</v>
      </c>
      <c r="AD35" s="162">
        <v>0.5</v>
      </c>
      <c r="AE35" s="162">
        <v>0.54166666666666663</v>
      </c>
      <c r="AF35" s="38" t="str">
        <f t="shared" si="5"/>
        <v>8h</v>
      </c>
      <c r="AG35" s="381"/>
      <c r="AH35" s="381"/>
      <c r="AI35" s="381"/>
      <c r="AK35" s="55"/>
      <c r="AL35" s="58">
        <f t="shared" si="38"/>
        <v>46107</v>
      </c>
      <c r="AM35" s="59" t="str">
        <f t="shared" si="6"/>
        <v>木</v>
      </c>
      <c r="AN35" s="59" t="s">
        <v>22</v>
      </c>
      <c r="AO35" s="160">
        <v>0.375</v>
      </c>
      <c r="AP35" s="160">
        <v>0.75</v>
      </c>
      <c r="AQ35" s="161">
        <v>0.5</v>
      </c>
      <c r="AR35" s="161">
        <v>0.54166666666666663</v>
      </c>
      <c r="AS35" s="61" t="str">
        <f t="shared" si="7"/>
        <v>8h</v>
      </c>
      <c r="AT35" s="162">
        <v>0.375</v>
      </c>
      <c r="AU35" s="162">
        <v>0.75</v>
      </c>
      <c r="AV35" s="162">
        <v>0.5</v>
      </c>
      <c r="AW35" s="162">
        <v>0.54166666666666663</v>
      </c>
      <c r="AX35" s="38" t="str">
        <f t="shared" si="8"/>
        <v>8h</v>
      </c>
      <c r="AY35" s="381"/>
      <c r="AZ35" s="381"/>
      <c r="BA35" s="381"/>
      <c r="BC35" s="55"/>
      <c r="BD35" s="58">
        <f t="shared" si="39"/>
        <v>46138</v>
      </c>
      <c r="BE35" s="59" t="str">
        <f t="shared" si="9"/>
        <v>日</v>
      </c>
      <c r="BF35" s="59"/>
      <c r="BG35" s="60"/>
      <c r="BH35" s="60"/>
      <c r="BI35" s="36"/>
      <c r="BJ35" s="36"/>
      <c r="BK35" s="61" t="str">
        <f t="shared" si="10"/>
        <v/>
      </c>
      <c r="BL35" s="37"/>
      <c r="BM35" s="37"/>
      <c r="BN35" s="37"/>
      <c r="BO35" s="37"/>
      <c r="BP35" s="38" t="str">
        <f t="shared" si="11"/>
        <v/>
      </c>
      <c r="BQ35" s="381"/>
      <c r="BR35" s="381"/>
      <c r="BS35" s="381"/>
      <c r="BU35" s="55"/>
      <c r="BV35" s="58">
        <f t="shared" si="40"/>
        <v>46168</v>
      </c>
      <c r="BW35" s="59" t="str">
        <f t="shared" si="12"/>
        <v>火</v>
      </c>
      <c r="BX35" s="59" t="s">
        <v>22</v>
      </c>
      <c r="BY35" s="160">
        <v>0.375</v>
      </c>
      <c r="BZ35" s="160">
        <v>0.75</v>
      </c>
      <c r="CA35" s="161">
        <v>0.5</v>
      </c>
      <c r="CB35" s="161">
        <v>0.54166666666666663</v>
      </c>
      <c r="CC35" s="61" t="str">
        <f t="shared" si="13"/>
        <v>8h</v>
      </c>
      <c r="CD35" s="162">
        <v>0.375</v>
      </c>
      <c r="CE35" s="162">
        <v>0.75</v>
      </c>
      <c r="CF35" s="162">
        <v>0.5</v>
      </c>
      <c r="CG35" s="162">
        <v>0.54166666666666663</v>
      </c>
      <c r="CH35" s="38" t="str">
        <f t="shared" si="14"/>
        <v>8h</v>
      </c>
      <c r="CI35" s="381"/>
      <c r="CJ35" s="381"/>
      <c r="CK35" s="381"/>
      <c r="CM35" s="55"/>
      <c r="CN35" s="58">
        <f t="shared" si="41"/>
        <v>46199</v>
      </c>
      <c r="CO35" s="59" t="str">
        <f t="shared" si="15"/>
        <v>金</v>
      </c>
      <c r="CP35" s="59" t="s">
        <v>22</v>
      </c>
      <c r="CQ35" s="160">
        <v>0.375</v>
      </c>
      <c r="CR35" s="160">
        <v>0.75</v>
      </c>
      <c r="CS35" s="161">
        <v>0.5</v>
      </c>
      <c r="CT35" s="161">
        <v>0.54166666666666663</v>
      </c>
      <c r="CU35" s="61" t="str">
        <f t="shared" si="16"/>
        <v>8h</v>
      </c>
      <c r="CV35" s="162">
        <v>0.375</v>
      </c>
      <c r="CW35" s="162">
        <v>0.75</v>
      </c>
      <c r="CX35" s="162">
        <v>0.5</v>
      </c>
      <c r="CY35" s="162">
        <v>0.54166666666666663</v>
      </c>
      <c r="CZ35" s="38" t="str">
        <f t="shared" si="17"/>
        <v>8h</v>
      </c>
      <c r="DA35" s="381"/>
      <c r="DB35" s="381"/>
      <c r="DC35" s="381"/>
      <c r="DE35" s="55"/>
      <c r="DF35" s="58">
        <f t="shared" si="42"/>
        <v>46229</v>
      </c>
      <c r="DG35" s="59" t="str">
        <f t="shared" si="18"/>
        <v>日</v>
      </c>
      <c r="DH35" s="59"/>
      <c r="DI35" s="60"/>
      <c r="DJ35" s="60"/>
      <c r="DK35" s="36"/>
      <c r="DL35" s="36"/>
      <c r="DM35" s="61" t="str">
        <f t="shared" si="19"/>
        <v/>
      </c>
      <c r="DN35" s="37"/>
      <c r="DO35" s="37"/>
      <c r="DP35" s="37"/>
      <c r="DQ35" s="37"/>
      <c r="DR35" s="38" t="str">
        <f t="shared" si="20"/>
        <v/>
      </c>
      <c r="DS35" s="381"/>
      <c r="DT35" s="381"/>
      <c r="DU35" s="381"/>
      <c r="DW35" s="55"/>
      <c r="DX35" s="58">
        <f t="shared" si="43"/>
        <v>46260</v>
      </c>
      <c r="DY35" s="59" t="str">
        <f t="shared" si="21"/>
        <v>水</v>
      </c>
      <c r="DZ35" s="59" t="s">
        <v>22</v>
      </c>
      <c r="EA35" s="160">
        <v>0.375</v>
      </c>
      <c r="EB35" s="160">
        <v>0.75</v>
      </c>
      <c r="EC35" s="161">
        <v>0.5</v>
      </c>
      <c r="ED35" s="161">
        <v>0.54166666666666663</v>
      </c>
      <c r="EE35" s="61" t="str">
        <f t="shared" si="22"/>
        <v>8h</v>
      </c>
      <c r="EF35" s="162">
        <v>0.375</v>
      </c>
      <c r="EG35" s="162">
        <v>0.75</v>
      </c>
      <c r="EH35" s="162">
        <v>0.5</v>
      </c>
      <c r="EI35" s="162">
        <v>0.54166666666666663</v>
      </c>
      <c r="EJ35" s="38" t="str">
        <f t="shared" si="23"/>
        <v>8h</v>
      </c>
      <c r="EK35" s="381"/>
      <c r="EL35" s="381"/>
      <c r="EM35" s="381"/>
      <c r="EO35" s="55"/>
      <c r="EP35" s="58">
        <f t="shared" si="44"/>
        <v>46291</v>
      </c>
      <c r="EQ35" s="59" t="str">
        <f t="shared" si="24"/>
        <v>土</v>
      </c>
      <c r="ER35" s="59"/>
      <c r="ES35" s="60"/>
      <c r="ET35" s="60"/>
      <c r="EU35" s="36"/>
      <c r="EV35" s="36"/>
      <c r="EW35" s="61" t="str">
        <f t="shared" si="25"/>
        <v/>
      </c>
      <c r="EX35" s="37"/>
      <c r="EY35" s="37"/>
      <c r="EZ35" s="37"/>
      <c r="FA35" s="37"/>
      <c r="FB35" s="38" t="str">
        <f t="shared" si="26"/>
        <v/>
      </c>
      <c r="FC35" s="381"/>
      <c r="FD35" s="381"/>
      <c r="FE35" s="381"/>
      <c r="FG35" s="55"/>
      <c r="FH35" s="58">
        <f t="shared" si="45"/>
        <v>46321</v>
      </c>
      <c r="FI35" s="59" t="str">
        <f t="shared" si="27"/>
        <v>月</v>
      </c>
      <c r="FJ35" s="59" t="s">
        <v>22</v>
      </c>
      <c r="FK35" s="160">
        <v>0.375</v>
      </c>
      <c r="FL35" s="160">
        <v>0.75</v>
      </c>
      <c r="FM35" s="161">
        <v>0.5</v>
      </c>
      <c r="FN35" s="161">
        <v>0.54166666666666663</v>
      </c>
      <c r="FO35" s="61" t="str">
        <f t="shared" si="28"/>
        <v>8h</v>
      </c>
      <c r="FP35" s="162">
        <v>0.375</v>
      </c>
      <c r="FQ35" s="162">
        <v>0.75</v>
      </c>
      <c r="FR35" s="162">
        <v>0.5</v>
      </c>
      <c r="FS35" s="162">
        <v>0.54166666666666663</v>
      </c>
      <c r="FT35" s="38" t="str">
        <f t="shared" si="29"/>
        <v>8h</v>
      </c>
      <c r="FU35" s="381"/>
      <c r="FV35" s="381"/>
      <c r="FW35" s="381"/>
      <c r="FY35" s="55"/>
      <c r="FZ35" s="58">
        <f t="shared" si="46"/>
        <v>46352</v>
      </c>
      <c r="GA35" s="59" t="str">
        <f t="shared" si="30"/>
        <v>木</v>
      </c>
      <c r="GB35" s="59" t="s">
        <v>22</v>
      </c>
      <c r="GC35" s="160">
        <v>0.375</v>
      </c>
      <c r="GD35" s="160">
        <v>0.75</v>
      </c>
      <c r="GE35" s="161">
        <v>0.5</v>
      </c>
      <c r="GF35" s="161">
        <v>0.54166666666666663</v>
      </c>
      <c r="GG35" s="61" t="str">
        <f t="shared" si="31"/>
        <v>8h</v>
      </c>
      <c r="GH35" s="162">
        <v>0.375</v>
      </c>
      <c r="GI35" s="162">
        <v>0.75</v>
      </c>
      <c r="GJ35" s="162">
        <v>0.5</v>
      </c>
      <c r="GK35" s="162">
        <v>0.54166666666666663</v>
      </c>
      <c r="GL35" s="38" t="str">
        <f t="shared" si="32"/>
        <v>8h</v>
      </c>
      <c r="GM35" s="381"/>
      <c r="GN35" s="381"/>
      <c r="GO35" s="381"/>
      <c r="GQ35" s="55"/>
      <c r="GR35" s="58">
        <f t="shared" si="47"/>
        <v>46382</v>
      </c>
      <c r="GS35" s="59" t="str">
        <f t="shared" si="33"/>
        <v>土</v>
      </c>
      <c r="GT35" s="59"/>
      <c r="GU35" s="60"/>
      <c r="GV35" s="60"/>
      <c r="GW35" s="36"/>
      <c r="GX35" s="36"/>
      <c r="GY35" s="61" t="str">
        <f t="shared" si="34"/>
        <v/>
      </c>
      <c r="GZ35" s="37"/>
      <c r="HA35" s="37"/>
      <c r="HB35" s="37"/>
      <c r="HC35" s="37"/>
      <c r="HD35" s="38" t="str">
        <f t="shared" si="35"/>
        <v/>
      </c>
      <c r="HE35" s="381"/>
      <c r="HF35" s="381"/>
      <c r="HG35" s="381"/>
    </row>
    <row r="36" spans="1:215" x14ac:dyDescent="0.45">
      <c r="A36" s="55"/>
      <c r="B36" s="58">
        <f t="shared" si="36"/>
        <v>46049</v>
      </c>
      <c r="C36" s="59" t="str">
        <f t="shared" si="0"/>
        <v>火</v>
      </c>
      <c r="D36" s="59" t="s">
        <v>22</v>
      </c>
      <c r="E36" s="160">
        <v>0.375</v>
      </c>
      <c r="F36" s="160">
        <v>0.75</v>
      </c>
      <c r="G36" s="161">
        <v>0.5</v>
      </c>
      <c r="H36" s="161">
        <v>0.54166666666666663</v>
      </c>
      <c r="I36" s="61" t="str">
        <f t="shared" si="1"/>
        <v>8h</v>
      </c>
      <c r="J36" s="162">
        <v>0.375</v>
      </c>
      <c r="K36" s="162">
        <v>0.75</v>
      </c>
      <c r="L36" s="162">
        <v>0.5</v>
      </c>
      <c r="M36" s="162">
        <v>0.54166666666666663</v>
      </c>
      <c r="N36" s="38" t="str">
        <f t="shared" si="2"/>
        <v>8h</v>
      </c>
      <c r="O36" s="381"/>
      <c r="P36" s="381"/>
      <c r="Q36" s="381"/>
      <c r="S36" s="55"/>
      <c r="T36" s="58">
        <f t="shared" si="37"/>
        <v>46080</v>
      </c>
      <c r="U36" s="59" t="str">
        <f t="shared" si="3"/>
        <v>金</v>
      </c>
      <c r="V36" s="59" t="s">
        <v>22</v>
      </c>
      <c r="W36" s="160">
        <v>0.375</v>
      </c>
      <c r="X36" s="160">
        <v>0.75</v>
      </c>
      <c r="Y36" s="161">
        <v>0.5</v>
      </c>
      <c r="Z36" s="161">
        <v>0.54166666666666663</v>
      </c>
      <c r="AA36" s="61" t="str">
        <f t="shared" si="4"/>
        <v>8h</v>
      </c>
      <c r="AB36" s="162">
        <v>0.375</v>
      </c>
      <c r="AC36" s="162">
        <v>0.75</v>
      </c>
      <c r="AD36" s="162">
        <v>0.5</v>
      </c>
      <c r="AE36" s="162">
        <v>0.54166666666666663</v>
      </c>
      <c r="AF36" s="38" t="str">
        <f t="shared" si="5"/>
        <v>8h</v>
      </c>
      <c r="AG36" s="381"/>
      <c r="AH36" s="381"/>
      <c r="AI36" s="381"/>
      <c r="AK36" s="55"/>
      <c r="AL36" s="58">
        <f t="shared" si="38"/>
        <v>46108</v>
      </c>
      <c r="AM36" s="59" t="str">
        <f t="shared" si="6"/>
        <v>金</v>
      </c>
      <c r="AN36" s="59" t="s">
        <v>22</v>
      </c>
      <c r="AO36" s="160">
        <v>0.375</v>
      </c>
      <c r="AP36" s="160">
        <v>0.75</v>
      </c>
      <c r="AQ36" s="161">
        <v>0.5</v>
      </c>
      <c r="AR36" s="161">
        <v>0.54166666666666663</v>
      </c>
      <c r="AS36" s="61" t="str">
        <f t="shared" si="7"/>
        <v>8h</v>
      </c>
      <c r="AT36" s="162">
        <v>0.375</v>
      </c>
      <c r="AU36" s="162">
        <v>0.75</v>
      </c>
      <c r="AV36" s="162">
        <v>0.5</v>
      </c>
      <c r="AW36" s="162">
        <v>0.54166666666666663</v>
      </c>
      <c r="AX36" s="38" t="str">
        <f t="shared" si="8"/>
        <v>8h</v>
      </c>
      <c r="AY36" s="381"/>
      <c r="AZ36" s="381"/>
      <c r="BA36" s="381"/>
      <c r="BC36" s="55"/>
      <c r="BD36" s="58">
        <f t="shared" si="39"/>
        <v>46139</v>
      </c>
      <c r="BE36" s="59" t="str">
        <f t="shared" si="9"/>
        <v>月</v>
      </c>
      <c r="BF36" s="59" t="s">
        <v>22</v>
      </c>
      <c r="BG36" s="160">
        <v>0.375</v>
      </c>
      <c r="BH36" s="160">
        <v>0.75</v>
      </c>
      <c r="BI36" s="161">
        <v>0.5</v>
      </c>
      <c r="BJ36" s="161">
        <v>0.54166666666666663</v>
      </c>
      <c r="BK36" s="61" t="str">
        <f t="shared" si="10"/>
        <v>8h</v>
      </c>
      <c r="BL36" s="162">
        <v>0.375</v>
      </c>
      <c r="BM36" s="162">
        <v>0.75</v>
      </c>
      <c r="BN36" s="162">
        <v>0.5</v>
      </c>
      <c r="BO36" s="162">
        <v>0.54166666666666663</v>
      </c>
      <c r="BP36" s="38" t="str">
        <f t="shared" si="11"/>
        <v>8h</v>
      </c>
      <c r="BQ36" s="381"/>
      <c r="BR36" s="381"/>
      <c r="BS36" s="381"/>
      <c r="BU36" s="55"/>
      <c r="BV36" s="58">
        <f t="shared" si="40"/>
        <v>46169</v>
      </c>
      <c r="BW36" s="59" t="str">
        <f t="shared" si="12"/>
        <v>水</v>
      </c>
      <c r="BX36" s="59" t="s">
        <v>22</v>
      </c>
      <c r="BY36" s="160">
        <v>0.375</v>
      </c>
      <c r="BZ36" s="160">
        <v>0.75</v>
      </c>
      <c r="CA36" s="161">
        <v>0.5</v>
      </c>
      <c r="CB36" s="161">
        <v>0.54166666666666663</v>
      </c>
      <c r="CC36" s="61" t="str">
        <f t="shared" si="13"/>
        <v>8h</v>
      </c>
      <c r="CD36" s="162">
        <v>0.375</v>
      </c>
      <c r="CE36" s="162">
        <v>0.75</v>
      </c>
      <c r="CF36" s="162">
        <v>0.5</v>
      </c>
      <c r="CG36" s="162">
        <v>0.54166666666666663</v>
      </c>
      <c r="CH36" s="38" t="str">
        <f t="shared" si="14"/>
        <v>8h</v>
      </c>
      <c r="CI36" s="381"/>
      <c r="CJ36" s="381"/>
      <c r="CK36" s="381"/>
      <c r="CM36" s="55"/>
      <c r="CN36" s="58">
        <f t="shared" si="41"/>
        <v>46200</v>
      </c>
      <c r="CO36" s="59" t="str">
        <f t="shared" si="15"/>
        <v>土</v>
      </c>
      <c r="CP36" s="59"/>
      <c r="CQ36" s="60"/>
      <c r="CR36" s="60"/>
      <c r="CS36" s="36"/>
      <c r="CT36" s="36"/>
      <c r="CU36" s="61" t="str">
        <f t="shared" si="16"/>
        <v/>
      </c>
      <c r="CV36" s="37"/>
      <c r="CW36" s="37"/>
      <c r="CX36" s="37"/>
      <c r="CY36" s="37"/>
      <c r="CZ36" s="38" t="str">
        <f t="shared" si="17"/>
        <v/>
      </c>
      <c r="DA36" s="381"/>
      <c r="DB36" s="381"/>
      <c r="DC36" s="381"/>
      <c r="DE36" s="55"/>
      <c r="DF36" s="58">
        <f t="shared" si="42"/>
        <v>46230</v>
      </c>
      <c r="DG36" s="59" t="str">
        <f t="shared" si="18"/>
        <v>月</v>
      </c>
      <c r="DH36" s="59" t="s">
        <v>22</v>
      </c>
      <c r="DI36" s="160">
        <v>0.375</v>
      </c>
      <c r="DJ36" s="160">
        <v>0.75</v>
      </c>
      <c r="DK36" s="161">
        <v>0.5</v>
      </c>
      <c r="DL36" s="161">
        <v>0.54166666666666663</v>
      </c>
      <c r="DM36" s="61" t="str">
        <f t="shared" si="19"/>
        <v>8h</v>
      </c>
      <c r="DN36" s="162">
        <v>0.375</v>
      </c>
      <c r="DO36" s="162">
        <v>0.75</v>
      </c>
      <c r="DP36" s="162">
        <v>0.5</v>
      </c>
      <c r="DQ36" s="162">
        <v>0.54166666666666663</v>
      </c>
      <c r="DR36" s="38" t="str">
        <f t="shared" si="20"/>
        <v>8h</v>
      </c>
      <c r="DS36" s="381"/>
      <c r="DT36" s="381"/>
      <c r="DU36" s="381"/>
      <c r="DW36" s="55"/>
      <c r="DX36" s="58">
        <f t="shared" si="43"/>
        <v>46261</v>
      </c>
      <c r="DY36" s="59" t="str">
        <f t="shared" si="21"/>
        <v>木</v>
      </c>
      <c r="DZ36" s="59" t="s">
        <v>22</v>
      </c>
      <c r="EA36" s="160">
        <v>0.375</v>
      </c>
      <c r="EB36" s="160">
        <v>0.75</v>
      </c>
      <c r="EC36" s="161">
        <v>0.5</v>
      </c>
      <c r="ED36" s="161">
        <v>0.54166666666666663</v>
      </c>
      <c r="EE36" s="61" t="str">
        <f t="shared" si="22"/>
        <v>8h</v>
      </c>
      <c r="EF36" s="162">
        <v>0.375</v>
      </c>
      <c r="EG36" s="162">
        <v>0.75</v>
      </c>
      <c r="EH36" s="162">
        <v>0.5</v>
      </c>
      <c r="EI36" s="162">
        <v>0.54166666666666663</v>
      </c>
      <c r="EJ36" s="38" t="str">
        <f t="shared" si="23"/>
        <v>8h</v>
      </c>
      <c r="EK36" s="381"/>
      <c r="EL36" s="381"/>
      <c r="EM36" s="381"/>
      <c r="EO36" s="55"/>
      <c r="EP36" s="58">
        <f t="shared" si="44"/>
        <v>46292</v>
      </c>
      <c r="EQ36" s="59" t="str">
        <f t="shared" si="24"/>
        <v>日</v>
      </c>
      <c r="ER36" s="59"/>
      <c r="ES36" s="60"/>
      <c r="ET36" s="60"/>
      <c r="EU36" s="36"/>
      <c r="EV36" s="36"/>
      <c r="EW36" s="61" t="str">
        <f t="shared" si="25"/>
        <v/>
      </c>
      <c r="EX36" s="37"/>
      <c r="EY36" s="37"/>
      <c r="EZ36" s="37"/>
      <c r="FA36" s="37"/>
      <c r="FB36" s="38" t="str">
        <f t="shared" si="26"/>
        <v/>
      </c>
      <c r="FC36" s="381"/>
      <c r="FD36" s="381"/>
      <c r="FE36" s="381"/>
      <c r="FG36" s="55"/>
      <c r="FH36" s="58">
        <f t="shared" si="45"/>
        <v>46322</v>
      </c>
      <c r="FI36" s="59" t="str">
        <f t="shared" si="27"/>
        <v>火</v>
      </c>
      <c r="FJ36" s="59" t="s">
        <v>22</v>
      </c>
      <c r="FK36" s="160">
        <v>0.375</v>
      </c>
      <c r="FL36" s="160">
        <v>0.75</v>
      </c>
      <c r="FM36" s="161">
        <v>0.5</v>
      </c>
      <c r="FN36" s="161">
        <v>0.54166666666666663</v>
      </c>
      <c r="FO36" s="61" t="str">
        <f t="shared" si="28"/>
        <v>8h</v>
      </c>
      <c r="FP36" s="162">
        <v>0.375</v>
      </c>
      <c r="FQ36" s="162">
        <v>0.75</v>
      </c>
      <c r="FR36" s="162">
        <v>0.5</v>
      </c>
      <c r="FS36" s="162">
        <v>0.54166666666666663</v>
      </c>
      <c r="FT36" s="38" t="str">
        <f t="shared" si="29"/>
        <v>8h</v>
      </c>
      <c r="FU36" s="381"/>
      <c r="FV36" s="381"/>
      <c r="FW36" s="381"/>
      <c r="FY36" s="55"/>
      <c r="FZ36" s="58">
        <f t="shared" si="46"/>
        <v>46353</v>
      </c>
      <c r="GA36" s="59" t="str">
        <f t="shared" si="30"/>
        <v>金</v>
      </c>
      <c r="GB36" s="59" t="s">
        <v>22</v>
      </c>
      <c r="GC36" s="160">
        <v>0.375</v>
      </c>
      <c r="GD36" s="160">
        <v>0.75</v>
      </c>
      <c r="GE36" s="161">
        <v>0.5</v>
      </c>
      <c r="GF36" s="161">
        <v>0.54166666666666663</v>
      </c>
      <c r="GG36" s="61" t="str">
        <f t="shared" si="31"/>
        <v>8h</v>
      </c>
      <c r="GH36" s="162">
        <v>0.375</v>
      </c>
      <c r="GI36" s="162">
        <v>0.75</v>
      </c>
      <c r="GJ36" s="162">
        <v>0.5</v>
      </c>
      <c r="GK36" s="162">
        <v>0.54166666666666663</v>
      </c>
      <c r="GL36" s="38" t="str">
        <f t="shared" si="32"/>
        <v>8h</v>
      </c>
      <c r="GM36" s="381"/>
      <c r="GN36" s="381"/>
      <c r="GO36" s="381"/>
      <c r="GQ36" s="55"/>
      <c r="GR36" s="58">
        <f t="shared" si="47"/>
        <v>46383</v>
      </c>
      <c r="GS36" s="59" t="str">
        <f t="shared" si="33"/>
        <v>日</v>
      </c>
      <c r="GT36" s="59"/>
      <c r="GU36" s="60"/>
      <c r="GV36" s="60"/>
      <c r="GW36" s="36"/>
      <c r="GX36" s="36"/>
      <c r="GY36" s="61" t="str">
        <f t="shared" si="34"/>
        <v/>
      </c>
      <c r="GZ36" s="37"/>
      <c r="HA36" s="37"/>
      <c r="HB36" s="37"/>
      <c r="HC36" s="37"/>
      <c r="HD36" s="38" t="str">
        <f t="shared" si="35"/>
        <v/>
      </c>
      <c r="HE36" s="381"/>
      <c r="HF36" s="381"/>
      <c r="HG36" s="381"/>
    </row>
    <row r="37" spans="1:215" x14ac:dyDescent="0.45">
      <c r="A37" s="55"/>
      <c r="B37" s="58">
        <f t="shared" si="36"/>
        <v>46050</v>
      </c>
      <c r="C37" s="59" t="str">
        <f t="shared" si="0"/>
        <v>水</v>
      </c>
      <c r="D37" s="59" t="s">
        <v>22</v>
      </c>
      <c r="E37" s="160">
        <v>0.375</v>
      </c>
      <c r="F37" s="160">
        <v>0.75</v>
      </c>
      <c r="G37" s="161">
        <v>0.5</v>
      </c>
      <c r="H37" s="161">
        <v>0.54166666666666663</v>
      </c>
      <c r="I37" s="61" t="str">
        <f t="shared" si="1"/>
        <v>8h</v>
      </c>
      <c r="J37" s="162">
        <v>0.375</v>
      </c>
      <c r="K37" s="162">
        <v>0.75</v>
      </c>
      <c r="L37" s="162">
        <v>0.5</v>
      </c>
      <c r="M37" s="162">
        <v>0.54166666666666663</v>
      </c>
      <c r="N37" s="38" t="str">
        <f t="shared" si="2"/>
        <v>8h</v>
      </c>
      <c r="O37" s="381"/>
      <c r="P37" s="381"/>
      <c r="Q37" s="381"/>
      <c r="S37" s="55"/>
      <c r="T37" s="58">
        <f t="shared" si="37"/>
        <v>46081</v>
      </c>
      <c r="U37" s="59" t="str">
        <f t="shared" si="3"/>
        <v>土</v>
      </c>
      <c r="V37" s="59"/>
      <c r="W37" s="60"/>
      <c r="X37" s="60"/>
      <c r="Y37" s="36"/>
      <c r="Z37" s="36"/>
      <c r="AA37" s="61" t="str">
        <f t="shared" si="4"/>
        <v/>
      </c>
      <c r="AB37" s="37"/>
      <c r="AC37" s="37"/>
      <c r="AD37" s="37"/>
      <c r="AE37" s="37"/>
      <c r="AF37" s="38" t="str">
        <f t="shared" si="5"/>
        <v/>
      </c>
      <c r="AG37" s="381"/>
      <c r="AH37" s="381"/>
      <c r="AI37" s="381"/>
      <c r="AK37" s="55"/>
      <c r="AL37" s="58">
        <f t="shared" si="38"/>
        <v>46109</v>
      </c>
      <c r="AM37" s="59" t="str">
        <f t="shared" si="6"/>
        <v>土</v>
      </c>
      <c r="AN37" s="59"/>
      <c r="AO37" s="60"/>
      <c r="AP37" s="60"/>
      <c r="AQ37" s="36"/>
      <c r="AR37" s="36"/>
      <c r="AS37" s="61" t="str">
        <f t="shared" si="7"/>
        <v/>
      </c>
      <c r="AT37" s="37"/>
      <c r="AU37" s="37"/>
      <c r="AV37" s="37"/>
      <c r="AW37" s="37"/>
      <c r="AX37" s="38" t="str">
        <f t="shared" si="8"/>
        <v/>
      </c>
      <c r="AY37" s="381"/>
      <c r="AZ37" s="381"/>
      <c r="BA37" s="381"/>
      <c r="BC37" s="55"/>
      <c r="BD37" s="58">
        <f t="shared" si="39"/>
        <v>46140</v>
      </c>
      <c r="BE37" s="59" t="str">
        <f t="shared" si="9"/>
        <v>火</v>
      </c>
      <c r="BF37" s="59" t="s">
        <v>22</v>
      </c>
      <c r="BG37" s="160">
        <v>0.375</v>
      </c>
      <c r="BH37" s="160">
        <v>0.75</v>
      </c>
      <c r="BI37" s="161">
        <v>0.5</v>
      </c>
      <c r="BJ37" s="161">
        <v>0.54166666666666663</v>
      </c>
      <c r="BK37" s="61" t="str">
        <f t="shared" si="10"/>
        <v>8h</v>
      </c>
      <c r="BL37" s="162">
        <v>0.375</v>
      </c>
      <c r="BM37" s="162">
        <v>0.75</v>
      </c>
      <c r="BN37" s="162">
        <v>0.5</v>
      </c>
      <c r="BO37" s="162">
        <v>0.54166666666666663</v>
      </c>
      <c r="BP37" s="38" t="str">
        <f t="shared" si="11"/>
        <v>8h</v>
      </c>
      <c r="BQ37" s="381"/>
      <c r="BR37" s="381"/>
      <c r="BS37" s="381"/>
      <c r="BU37" s="55"/>
      <c r="BV37" s="58">
        <f t="shared" si="40"/>
        <v>46170</v>
      </c>
      <c r="BW37" s="59" t="str">
        <f t="shared" si="12"/>
        <v>木</v>
      </c>
      <c r="BX37" s="59" t="s">
        <v>22</v>
      </c>
      <c r="BY37" s="160">
        <v>0.375</v>
      </c>
      <c r="BZ37" s="160">
        <v>0.75</v>
      </c>
      <c r="CA37" s="161">
        <v>0.5</v>
      </c>
      <c r="CB37" s="161">
        <v>0.54166666666666663</v>
      </c>
      <c r="CC37" s="61" t="str">
        <f t="shared" si="13"/>
        <v>8h</v>
      </c>
      <c r="CD37" s="162">
        <v>0.375</v>
      </c>
      <c r="CE37" s="162">
        <v>0.75</v>
      </c>
      <c r="CF37" s="162">
        <v>0.5</v>
      </c>
      <c r="CG37" s="162">
        <v>0.54166666666666663</v>
      </c>
      <c r="CH37" s="38" t="str">
        <f t="shared" si="14"/>
        <v>8h</v>
      </c>
      <c r="CI37" s="381"/>
      <c r="CJ37" s="381"/>
      <c r="CK37" s="381"/>
      <c r="CM37" s="55"/>
      <c r="CN37" s="58">
        <f t="shared" si="41"/>
        <v>46201</v>
      </c>
      <c r="CO37" s="59" t="str">
        <f t="shared" si="15"/>
        <v>日</v>
      </c>
      <c r="CP37" s="59"/>
      <c r="CQ37" s="60"/>
      <c r="CR37" s="60"/>
      <c r="CS37" s="36"/>
      <c r="CT37" s="36"/>
      <c r="CU37" s="61" t="str">
        <f t="shared" si="16"/>
        <v/>
      </c>
      <c r="CV37" s="37"/>
      <c r="CW37" s="37"/>
      <c r="CX37" s="37"/>
      <c r="CY37" s="37"/>
      <c r="CZ37" s="38" t="str">
        <f t="shared" si="17"/>
        <v/>
      </c>
      <c r="DA37" s="381"/>
      <c r="DB37" s="381"/>
      <c r="DC37" s="381"/>
      <c r="DE37" s="55"/>
      <c r="DF37" s="58">
        <f t="shared" si="42"/>
        <v>46231</v>
      </c>
      <c r="DG37" s="59" t="str">
        <f t="shared" si="18"/>
        <v>火</v>
      </c>
      <c r="DH37" s="59" t="s">
        <v>22</v>
      </c>
      <c r="DI37" s="160">
        <v>0.375</v>
      </c>
      <c r="DJ37" s="160">
        <v>0.75</v>
      </c>
      <c r="DK37" s="161">
        <v>0.5</v>
      </c>
      <c r="DL37" s="161">
        <v>0.54166666666666663</v>
      </c>
      <c r="DM37" s="61" t="str">
        <f t="shared" si="19"/>
        <v>8h</v>
      </c>
      <c r="DN37" s="162">
        <v>0.375</v>
      </c>
      <c r="DO37" s="162">
        <v>0.75</v>
      </c>
      <c r="DP37" s="162">
        <v>0.5</v>
      </c>
      <c r="DQ37" s="162">
        <v>0.54166666666666663</v>
      </c>
      <c r="DR37" s="38" t="str">
        <f t="shared" si="20"/>
        <v>8h</v>
      </c>
      <c r="DS37" s="381"/>
      <c r="DT37" s="381"/>
      <c r="DU37" s="381"/>
      <c r="DW37" s="55"/>
      <c r="DX37" s="58">
        <f t="shared" si="43"/>
        <v>46262</v>
      </c>
      <c r="DY37" s="59" t="str">
        <f t="shared" si="21"/>
        <v>金</v>
      </c>
      <c r="DZ37" s="59" t="s">
        <v>22</v>
      </c>
      <c r="EA37" s="160">
        <v>0.375</v>
      </c>
      <c r="EB37" s="160">
        <v>0.75</v>
      </c>
      <c r="EC37" s="161">
        <v>0.5</v>
      </c>
      <c r="ED37" s="161">
        <v>0.54166666666666663</v>
      </c>
      <c r="EE37" s="61" t="str">
        <f t="shared" si="22"/>
        <v>8h</v>
      </c>
      <c r="EF37" s="162">
        <v>0.375</v>
      </c>
      <c r="EG37" s="162">
        <v>0.75</v>
      </c>
      <c r="EH37" s="162">
        <v>0.5</v>
      </c>
      <c r="EI37" s="162">
        <v>0.54166666666666663</v>
      </c>
      <c r="EJ37" s="38" t="str">
        <f t="shared" si="23"/>
        <v>8h</v>
      </c>
      <c r="EK37" s="381"/>
      <c r="EL37" s="381"/>
      <c r="EM37" s="381"/>
      <c r="EO37" s="55"/>
      <c r="EP37" s="58">
        <f t="shared" si="44"/>
        <v>46293</v>
      </c>
      <c r="EQ37" s="59" t="str">
        <f t="shared" si="24"/>
        <v>月</v>
      </c>
      <c r="ER37" s="59" t="s">
        <v>22</v>
      </c>
      <c r="ES37" s="160">
        <v>0.375</v>
      </c>
      <c r="ET37" s="160">
        <v>0.75</v>
      </c>
      <c r="EU37" s="161">
        <v>0.5</v>
      </c>
      <c r="EV37" s="161">
        <v>0.54166666666666663</v>
      </c>
      <c r="EW37" s="61" t="str">
        <f t="shared" si="25"/>
        <v>8h</v>
      </c>
      <c r="EX37" s="162">
        <v>0.375</v>
      </c>
      <c r="EY37" s="162">
        <v>0.75</v>
      </c>
      <c r="EZ37" s="162">
        <v>0.5</v>
      </c>
      <c r="FA37" s="162">
        <v>0.54166666666666663</v>
      </c>
      <c r="FB37" s="38" t="str">
        <f t="shared" si="26"/>
        <v>8h</v>
      </c>
      <c r="FC37" s="381"/>
      <c r="FD37" s="381"/>
      <c r="FE37" s="381"/>
      <c r="FG37" s="55"/>
      <c r="FH37" s="58">
        <f t="shared" si="45"/>
        <v>46323</v>
      </c>
      <c r="FI37" s="59" t="str">
        <f t="shared" si="27"/>
        <v>水</v>
      </c>
      <c r="FJ37" s="59" t="s">
        <v>22</v>
      </c>
      <c r="FK37" s="160">
        <v>0.375</v>
      </c>
      <c r="FL37" s="160">
        <v>0.75</v>
      </c>
      <c r="FM37" s="161">
        <v>0.5</v>
      </c>
      <c r="FN37" s="161">
        <v>0.54166666666666663</v>
      </c>
      <c r="FO37" s="61" t="str">
        <f t="shared" si="28"/>
        <v>8h</v>
      </c>
      <c r="FP37" s="162">
        <v>0.375</v>
      </c>
      <c r="FQ37" s="162">
        <v>0.75</v>
      </c>
      <c r="FR37" s="162">
        <v>0.5</v>
      </c>
      <c r="FS37" s="162">
        <v>0.54166666666666663</v>
      </c>
      <c r="FT37" s="38" t="str">
        <f t="shared" si="29"/>
        <v>8h</v>
      </c>
      <c r="FU37" s="381"/>
      <c r="FV37" s="381"/>
      <c r="FW37" s="381"/>
      <c r="FY37" s="55"/>
      <c r="FZ37" s="58">
        <f t="shared" si="46"/>
        <v>46354</v>
      </c>
      <c r="GA37" s="59" t="str">
        <f t="shared" si="30"/>
        <v>土</v>
      </c>
      <c r="GB37" s="59"/>
      <c r="GC37" s="60"/>
      <c r="GD37" s="60"/>
      <c r="GE37" s="36"/>
      <c r="GF37" s="36"/>
      <c r="GG37" s="61" t="str">
        <f t="shared" si="31"/>
        <v/>
      </c>
      <c r="GH37" s="37"/>
      <c r="GI37" s="37"/>
      <c r="GJ37" s="37"/>
      <c r="GK37" s="37"/>
      <c r="GL37" s="38" t="str">
        <f t="shared" si="32"/>
        <v/>
      </c>
      <c r="GM37" s="381"/>
      <c r="GN37" s="381"/>
      <c r="GO37" s="381"/>
      <c r="GQ37" s="55"/>
      <c r="GR37" s="58">
        <f t="shared" si="47"/>
        <v>46384</v>
      </c>
      <c r="GS37" s="59" t="str">
        <f t="shared" si="33"/>
        <v>月</v>
      </c>
      <c r="GT37" s="59" t="s">
        <v>22</v>
      </c>
      <c r="GU37" s="160">
        <v>0.375</v>
      </c>
      <c r="GV37" s="160">
        <v>0.75</v>
      </c>
      <c r="GW37" s="161">
        <v>0.5</v>
      </c>
      <c r="GX37" s="161">
        <v>0.54166666666666663</v>
      </c>
      <c r="GY37" s="61" t="str">
        <f t="shared" si="34"/>
        <v>8h</v>
      </c>
      <c r="GZ37" s="162">
        <v>0.375</v>
      </c>
      <c r="HA37" s="162">
        <v>0.75</v>
      </c>
      <c r="HB37" s="162">
        <v>0.5</v>
      </c>
      <c r="HC37" s="162">
        <v>0.54166666666666663</v>
      </c>
      <c r="HD37" s="38" t="str">
        <f t="shared" si="35"/>
        <v>8h</v>
      </c>
      <c r="HE37" s="381"/>
      <c r="HF37" s="381"/>
      <c r="HG37" s="381"/>
    </row>
    <row r="38" spans="1:215" x14ac:dyDescent="0.45">
      <c r="A38" s="55"/>
      <c r="B38" s="58">
        <f t="shared" si="36"/>
        <v>46051</v>
      </c>
      <c r="C38" s="59" t="str">
        <f t="shared" si="0"/>
        <v>木</v>
      </c>
      <c r="D38" s="59" t="s">
        <v>22</v>
      </c>
      <c r="E38" s="160">
        <v>0.375</v>
      </c>
      <c r="F38" s="160">
        <v>0.75</v>
      </c>
      <c r="G38" s="161">
        <v>0.5</v>
      </c>
      <c r="H38" s="161">
        <v>0.54166666666666663</v>
      </c>
      <c r="I38" s="61" t="str">
        <f t="shared" si="1"/>
        <v>8h</v>
      </c>
      <c r="J38" s="162">
        <v>0.375</v>
      </c>
      <c r="K38" s="162">
        <v>0.75</v>
      </c>
      <c r="L38" s="162">
        <v>0.5</v>
      </c>
      <c r="M38" s="162">
        <v>0.54166666666666663</v>
      </c>
      <c r="N38" s="38" t="str">
        <f t="shared" si="2"/>
        <v>8h</v>
      </c>
      <c r="O38" s="381"/>
      <c r="P38" s="381"/>
      <c r="Q38" s="381"/>
      <c r="S38" s="55"/>
      <c r="T38" s="58" t="str">
        <f t="shared" si="37"/>
        <v/>
      </c>
      <c r="U38" s="59" t="str">
        <f t="shared" si="3"/>
        <v/>
      </c>
      <c r="V38" s="59"/>
      <c r="W38" s="60"/>
      <c r="X38" s="60"/>
      <c r="Y38" s="36"/>
      <c r="Z38" s="36"/>
      <c r="AA38" s="61" t="str">
        <f t="shared" si="4"/>
        <v/>
      </c>
      <c r="AB38" s="37"/>
      <c r="AC38" s="37"/>
      <c r="AD38" s="37"/>
      <c r="AE38" s="37"/>
      <c r="AF38" s="38" t="str">
        <f t="shared" si="5"/>
        <v/>
      </c>
      <c r="AG38" s="381"/>
      <c r="AH38" s="381"/>
      <c r="AI38" s="381"/>
      <c r="AK38" s="55"/>
      <c r="AL38" s="58">
        <f t="shared" si="38"/>
        <v>46110</v>
      </c>
      <c r="AM38" s="59" t="str">
        <f t="shared" si="6"/>
        <v>日</v>
      </c>
      <c r="AN38" s="59"/>
      <c r="AO38" s="60"/>
      <c r="AP38" s="60"/>
      <c r="AQ38" s="36"/>
      <c r="AR38" s="36"/>
      <c r="AS38" s="61" t="str">
        <f t="shared" si="7"/>
        <v/>
      </c>
      <c r="AT38" s="37"/>
      <c r="AU38" s="37"/>
      <c r="AV38" s="37"/>
      <c r="AW38" s="37"/>
      <c r="AX38" s="38" t="str">
        <f t="shared" si="8"/>
        <v/>
      </c>
      <c r="AY38" s="381"/>
      <c r="AZ38" s="381"/>
      <c r="BA38" s="381"/>
      <c r="BC38" s="55"/>
      <c r="BD38" s="58">
        <f t="shared" si="39"/>
        <v>46141</v>
      </c>
      <c r="BE38" s="59" t="str">
        <f t="shared" si="9"/>
        <v>水</v>
      </c>
      <c r="BF38" s="59"/>
      <c r="BG38" s="60"/>
      <c r="BH38" s="60"/>
      <c r="BI38" s="36"/>
      <c r="BJ38" s="36"/>
      <c r="BK38" s="61" t="str">
        <f t="shared" si="10"/>
        <v/>
      </c>
      <c r="BL38" s="37"/>
      <c r="BM38" s="37"/>
      <c r="BN38" s="37"/>
      <c r="BO38" s="37"/>
      <c r="BP38" s="38" t="str">
        <f t="shared" si="11"/>
        <v/>
      </c>
      <c r="BQ38" s="381"/>
      <c r="BR38" s="381"/>
      <c r="BS38" s="381"/>
      <c r="BU38" s="55"/>
      <c r="BV38" s="58">
        <f t="shared" si="40"/>
        <v>46171</v>
      </c>
      <c r="BW38" s="59" t="str">
        <f t="shared" si="12"/>
        <v>金</v>
      </c>
      <c r="BX38" s="59" t="s">
        <v>22</v>
      </c>
      <c r="BY38" s="160">
        <v>0.375</v>
      </c>
      <c r="BZ38" s="160">
        <v>0.75</v>
      </c>
      <c r="CA38" s="161">
        <v>0.5</v>
      </c>
      <c r="CB38" s="161">
        <v>0.54166666666666663</v>
      </c>
      <c r="CC38" s="61" t="str">
        <f t="shared" si="13"/>
        <v>8h</v>
      </c>
      <c r="CD38" s="162">
        <v>0.375</v>
      </c>
      <c r="CE38" s="162">
        <v>0.75</v>
      </c>
      <c r="CF38" s="162">
        <v>0.5</v>
      </c>
      <c r="CG38" s="162">
        <v>0.54166666666666663</v>
      </c>
      <c r="CH38" s="38" t="str">
        <f t="shared" si="14"/>
        <v>8h</v>
      </c>
      <c r="CI38" s="381"/>
      <c r="CJ38" s="381"/>
      <c r="CK38" s="381"/>
      <c r="CM38" s="55"/>
      <c r="CN38" s="58">
        <f t="shared" si="41"/>
        <v>46202</v>
      </c>
      <c r="CO38" s="59" t="str">
        <f t="shared" si="15"/>
        <v>月</v>
      </c>
      <c r="CP38" s="59" t="s">
        <v>22</v>
      </c>
      <c r="CQ38" s="160">
        <v>0.375</v>
      </c>
      <c r="CR38" s="160">
        <v>0.75</v>
      </c>
      <c r="CS38" s="161">
        <v>0.5</v>
      </c>
      <c r="CT38" s="161">
        <v>0.54166666666666663</v>
      </c>
      <c r="CU38" s="61" t="str">
        <f t="shared" si="16"/>
        <v>8h</v>
      </c>
      <c r="CV38" s="162">
        <v>0.375</v>
      </c>
      <c r="CW38" s="162">
        <v>0.75</v>
      </c>
      <c r="CX38" s="162">
        <v>0.5</v>
      </c>
      <c r="CY38" s="162">
        <v>0.54166666666666663</v>
      </c>
      <c r="CZ38" s="38" t="str">
        <f t="shared" si="17"/>
        <v>8h</v>
      </c>
      <c r="DA38" s="381"/>
      <c r="DB38" s="381"/>
      <c r="DC38" s="381"/>
      <c r="DE38" s="55"/>
      <c r="DF38" s="58">
        <f t="shared" si="42"/>
        <v>46232</v>
      </c>
      <c r="DG38" s="59" t="str">
        <f t="shared" si="18"/>
        <v>水</v>
      </c>
      <c r="DH38" s="59" t="s">
        <v>22</v>
      </c>
      <c r="DI38" s="160">
        <v>0.375</v>
      </c>
      <c r="DJ38" s="160">
        <v>0.75</v>
      </c>
      <c r="DK38" s="161">
        <v>0.5</v>
      </c>
      <c r="DL38" s="161">
        <v>0.54166666666666663</v>
      </c>
      <c r="DM38" s="61" t="str">
        <f t="shared" si="19"/>
        <v>8h</v>
      </c>
      <c r="DN38" s="162">
        <v>0.375</v>
      </c>
      <c r="DO38" s="162">
        <v>0.75</v>
      </c>
      <c r="DP38" s="162">
        <v>0.5</v>
      </c>
      <c r="DQ38" s="162">
        <v>0.54166666666666663</v>
      </c>
      <c r="DR38" s="38" t="str">
        <f t="shared" si="20"/>
        <v>8h</v>
      </c>
      <c r="DS38" s="381"/>
      <c r="DT38" s="381"/>
      <c r="DU38" s="381"/>
      <c r="DW38" s="55"/>
      <c r="DX38" s="58">
        <f t="shared" si="43"/>
        <v>46263</v>
      </c>
      <c r="DY38" s="59" t="str">
        <f t="shared" si="21"/>
        <v>土</v>
      </c>
      <c r="DZ38" s="59"/>
      <c r="EA38" s="60"/>
      <c r="EB38" s="60"/>
      <c r="EC38" s="36"/>
      <c r="ED38" s="36"/>
      <c r="EE38" s="61" t="str">
        <f t="shared" si="22"/>
        <v/>
      </c>
      <c r="EF38" s="37"/>
      <c r="EG38" s="37"/>
      <c r="EH38" s="37"/>
      <c r="EI38" s="37"/>
      <c r="EJ38" s="38" t="str">
        <f t="shared" si="23"/>
        <v/>
      </c>
      <c r="EK38" s="381"/>
      <c r="EL38" s="381"/>
      <c r="EM38" s="381"/>
      <c r="EO38" s="55"/>
      <c r="EP38" s="58">
        <f t="shared" si="44"/>
        <v>46294</v>
      </c>
      <c r="EQ38" s="59" t="str">
        <f t="shared" si="24"/>
        <v>火</v>
      </c>
      <c r="ER38" s="59" t="s">
        <v>22</v>
      </c>
      <c r="ES38" s="160">
        <v>0.375</v>
      </c>
      <c r="ET38" s="160">
        <v>0.75</v>
      </c>
      <c r="EU38" s="161">
        <v>0.5</v>
      </c>
      <c r="EV38" s="161">
        <v>0.54166666666666663</v>
      </c>
      <c r="EW38" s="61" t="str">
        <f t="shared" si="25"/>
        <v>8h</v>
      </c>
      <c r="EX38" s="162">
        <v>0.375</v>
      </c>
      <c r="EY38" s="162">
        <v>0.75</v>
      </c>
      <c r="EZ38" s="162">
        <v>0.5</v>
      </c>
      <c r="FA38" s="162">
        <v>0.54166666666666663</v>
      </c>
      <c r="FB38" s="38" t="str">
        <f t="shared" si="26"/>
        <v>8h</v>
      </c>
      <c r="FC38" s="381"/>
      <c r="FD38" s="381"/>
      <c r="FE38" s="381"/>
      <c r="FG38" s="55"/>
      <c r="FH38" s="58">
        <f t="shared" si="45"/>
        <v>46324</v>
      </c>
      <c r="FI38" s="59" t="str">
        <f t="shared" si="27"/>
        <v>木</v>
      </c>
      <c r="FJ38" s="59" t="s">
        <v>22</v>
      </c>
      <c r="FK38" s="160">
        <v>0.375</v>
      </c>
      <c r="FL38" s="160">
        <v>0.75</v>
      </c>
      <c r="FM38" s="161">
        <v>0.5</v>
      </c>
      <c r="FN38" s="161">
        <v>0.54166666666666663</v>
      </c>
      <c r="FO38" s="61" t="str">
        <f t="shared" si="28"/>
        <v>8h</v>
      </c>
      <c r="FP38" s="162">
        <v>0.375</v>
      </c>
      <c r="FQ38" s="162">
        <v>0.75</v>
      </c>
      <c r="FR38" s="162">
        <v>0.5</v>
      </c>
      <c r="FS38" s="162">
        <v>0.54166666666666663</v>
      </c>
      <c r="FT38" s="38" t="str">
        <f t="shared" si="29"/>
        <v>8h</v>
      </c>
      <c r="FU38" s="381"/>
      <c r="FV38" s="381"/>
      <c r="FW38" s="381"/>
      <c r="FY38" s="55"/>
      <c r="FZ38" s="58">
        <f t="shared" si="46"/>
        <v>46355</v>
      </c>
      <c r="GA38" s="59" t="str">
        <f t="shared" si="30"/>
        <v>日</v>
      </c>
      <c r="GB38" s="59"/>
      <c r="GC38" s="60"/>
      <c r="GD38" s="60"/>
      <c r="GE38" s="36"/>
      <c r="GF38" s="36"/>
      <c r="GG38" s="61" t="str">
        <f t="shared" si="31"/>
        <v/>
      </c>
      <c r="GH38" s="37"/>
      <c r="GI38" s="37"/>
      <c r="GJ38" s="37"/>
      <c r="GK38" s="37"/>
      <c r="GL38" s="38" t="str">
        <f t="shared" si="32"/>
        <v/>
      </c>
      <c r="GM38" s="381"/>
      <c r="GN38" s="381"/>
      <c r="GO38" s="381"/>
      <c r="GQ38" s="55"/>
      <c r="GR38" s="58">
        <f t="shared" si="47"/>
        <v>46385</v>
      </c>
      <c r="GS38" s="59" t="str">
        <f t="shared" si="33"/>
        <v>火</v>
      </c>
      <c r="GT38" s="59"/>
      <c r="GU38" s="60"/>
      <c r="GV38" s="60"/>
      <c r="GW38" s="36"/>
      <c r="GX38" s="36"/>
      <c r="GY38" s="61" t="str">
        <f t="shared" si="34"/>
        <v/>
      </c>
      <c r="GZ38" s="37"/>
      <c r="HA38" s="37"/>
      <c r="HB38" s="37"/>
      <c r="HC38" s="37"/>
      <c r="HD38" s="38" t="str">
        <f t="shared" si="35"/>
        <v/>
      </c>
      <c r="HE38" s="381"/>
      <c r="HF38" s="381"/>
      <c r="HG38" s="381"/>
    </row>
    <row r="39" spans="1:215" x14ac:dyDescent="0.45">
      <c r="A39" s="55"/>
      <c r="B39" s="58">
        <f t="shared" si="36"/>
        <v>46052</v>
      </c>
      <c r="C39" s="59" t="str">
        <f t="shared" si="0"/>
        <v>金</v>
      </c>
      <c r="D39" s="59" t="s">
        <v>22</v>
      </c>
      <c r="E39" s="160">
        <v>0.375</v>
      </c>
      <c r="F39" s="160">
        <v>0.75</v>
      </c>
      <c r="G39" s="161">
        <v>0.5</v>
      </c>
      <c r="H39" s="161">
        <v>0.54166666666666663</v>
      </c>
      <c r="I39" s="61" t="str">
        <f t="shared" si="1"/>
        <v>8h</v>
      </c>
      <c r="J39" s="162">
        <v>0.375</v>
      </c>
      <c r="K39" s="162">
        <v>0.75</v>
      </c>
      <c r="L39" s="162">
        <v>0.5</v>
      </c>
      <c r="M39" s="162">
        <v>0.54166666666666663</v>
      </c>
      <c r="N39" s="38" t="str">
        <f t="shared" si="2"/>
        <v>8h</v>
      </c>
      <c r="O39" s="381"/>
      <c r="P39" s="381"/>
      <c r="Q39" s="381"/>
      <c r="S39" s="55"/>
      <c r="T39" s="58" t="str">
        <f t="shared" si="37"/>
        <v/>
      </c>
      <c r="U39" s="59" t="str">
        <f t="shared" si="3"/>
        <v/>
      </c>
      <c r="V39" s="59"/>
      <c r="W39" s="60"/>
      <c r="X39" s="60"/>
      <c r="Y39" s="36"/>
      <c r="Z39" s="36"/>
      <c r="AA39" s="61" t="str">
        <f t="shared" si="4"/>
        <v/>
      </c>
      <c r="AB39" s="37"/>
      <c r="AC39" s="37"/>
      <c r="AD39" s="37"/>
      <c r="AE39" s="37"/>
      <c r="AF39" s="38" t="str">
        <f t="shared" si="5"/>
        <v/>
      </c>
      <c r="AG39" s="381"/>
      <c r="AH39" s="381"/>
      <c r="AI39" s="381"/>
      <c r="AK39" s="55"/>
      <c r="AL39" s="58">
        <f t="shared" si="38"/>
        <v>46111</v>
      </c>
      <c r="AM39" s="59" t="str">
        <f t="shared" si="6"/>
        <v>月</v>
      </c>
      <c r="AN39" s="59" t="s">
        <v>22</v>
      </c>
      <c r="AO39" s="160">
        <v>0.375</v>
      </c>
      <c r="AP39" s="160">
        <v>0.75</v>
      </c>
      <c r="AQ39" s="161">
        <v>0.5</v>
      </c>
      <c r="AR39" s="161">
        <v>0.54166666666666663</v>
      </c>
      <c r="AS39" s="61" t="str">
        <f t="shared" si="7"/>
        <v>8h</v>
      </c>
      <c r="AT39" s="162">
        <v>0.375</v>
      </c>
      <c r="AU39" s="162">
        <v>0.75</v>
      </c>
      <c r="AV39" s="162">
        <v>0.5</v>
      </c>
      <c r="AW39" s="162">
        <v>0.54166666666666663</v>
      </c>
      <c r="AX39" s="38" t="str">
        <f t="shared" si="8"/>
        <v>8h</v>
      </c>
      <c r="AY39" s="381"/>
      <c r="AZ39" s="381"/>
      <c r="BA39" s="381"/>
      <c r="BC39" s="55"/>
      <c r="BD39" s="58">
        <f t="shared" si="39"/>
        <v>46142</v>
      </c>
      <c r="BE39" s="59" t="str">
        <f t="shared" si="9"/>
        <v>木</v>
      </c>
      <c r="BF39" s="59" t="s">
        <v>22</v>
      </c>
      <c r="BG39" s="160">
        <v>0.375</v>
      </c>
      <c r="BH39" s="160">
        <v>0.75</v>
      </c>
      <c r="BI39" s="161">
        <v>0.5</v>
      </c>
      <c r="BJ39" s="161">
        <v>0.54166666666666663</v>
      </c>
      <c r="BK39" s="61" t="str">
        <f t="shared" si="10"/>
        <v>8h</v>
      </c>
      <c r="BL39" s="162">
        <v>0.375</v>
      </c>
      <c r="BM39" s="162">
        <v>0.75</v>
      </c>
      <c r="BN39" s="162">
        <v>0.5</v>
      </c>
      <c r="BO39" s="162">
        <v>0.54166666666666663</v>
      </c>
      <c r="BP39" s="38" t="str">
        <f t="shared" si="11"/>
        <v>8h</v>
      </c>
      <c r="BQ39" s="381"/>
      <c r="BR39" s="381"/>
      <c r="BS39" s="381"/>
      <c r="BU39" s="55"/>
      <c r="BV39" s="58">
        <f t="shared" si="40"/>
        <v>46172</v>
      </c>
      <c r="BW39" s="59" t="str">
        <f t="shared" si="12"/>
        <v>土</v>
      </c>
      <c r="BX39" s="59"/>
      <c r="BY39" s="60"/>
      <c r="BZ39" s="60"/>
      <c r="CA39" s="36"/>
      <c r="CB39" s="36"/>
      <c r="CC39" s="61" t="str">
        <f t="shared" si="13"/>
        <v/>
      </c>
      <c r="CD39" s="37"/>
      <c r="CE39" s="37"/>
      <c r="CF39" s="37"/>
      <c r="CG39" s="37"/>
      <c r="CH39" s="38" t="str">
        <f t="shared" si="14"/>
        <v/>
      </c>
      <c r="CI39" s="381"/>
      <c r="CJ39" s="381"/>
      <c r="CK39" s="381"/>
      <c r="CM39" s="55"/>
      <c r="CN39" s="58">
        <f t="shared" si="41"/>
        <v>46203</v>
      </c>
      <c r="CO39" s="59" t="str">
        <f t="shared" si="15"/>
        <v>火</v>
      </c>
      <c r="CP39" s="59" t="s">
        <v>22</v>
      </c>
      <c r="CQ39" s="160">
        <v>0.375</v>
      </c>
      <c r="CR39" s="160">
        <v>0.75</v>
      </c>
      <c r="CS39" s="161">
        <v>0.5</v>
      </c>
      <c r="CT39" s="161">
        <v>0.54166666666666663</v>
      </c>
      <c r="CU39" s="61" t="str">
        <f t="shared" si="16"/>
        <v>8h</v>
      </c>
      <c r="CV39" s="162">
        <v>0.375</v>
      </c>
      <c r="CW39" s="162">
        <v>0.75</v>
      </c>
      <c r="CX39" s="162">
        <v>0.5</v>
      </c>
      <c r="CY39" s="162">
        <v>0.54166666666666663</v>
      </c>
      <c r="CZ39" s="38" t="str">
        <f t="shared" si="17"/>
        <v>8h</v>
      </c>
      <c r="DA39" s="381"/>
      <c r="DB39" s="381"/>
      <c r="DC39" s="381"/>
      <c r="DE39" s="55"/>
      <c r="DF39" s="58">
        <f t="shared" si="42"/>
        <v>46233</v>
      </c>
      <c r="DG39" s="59" t="str">
        <f t="shared" si="18"/>
        <v>木</v>
      </c>
      <c r="DH39" s="59" t="s">
        <v>22</v>
      </c>
      <c r="DI39" s="160">
        <v>0.375</v>
      </c>
      <c r="DJ39" s="160">
        <v>0.75</v>
      </c>
      <c r="DK39" s="161">
        <v>0.5</v>
      </c>
      <c r="DL39" s="161">
        <v>0.54166666666666663</v>
      </c>
      <c r="DM39" s="61" t="str">
        <f t="shared" si="19"/>
        <v>8h</v>
      </c>
      <c r="DN39" s="162">
        <v>0.375</v>
      </c>
      <c r="DO39" s="162">
        <v>0.75</v>
      </c>
      <c r="DP39" s="162">
        <v>0.5</v>
      </c>
      <c r="DQ39" s="162">
        <v>0.54166666666666663</v>
      </c>
      <c r="DR39" s="38" t="str">
        <f t="shared" si="20"/>
        <v>8h</v>
      </c>
      <c r="DS39" s="381"/>
      <c r="DT39" s="381"/>
      <c r="DU39" s="381"/>
      <c r="DW39" s="55"/>
      <c r="DX39" s="58">
        <f t="shared" si="43"/>
        <v>46264</v>
      </c>
      <c r="DY39" s="59" t="str">
        <f t="shared" si="21"/>
        <v>日</v>
      </c>
      <c r="DZ39" s="59"/>
      <c r="EA39" s="60"/>
      <c r="EB39" s="60"/>
      <c r="EC39" s="36"/>
      <c r="ED39" s="36"/>
      <c r="EE39" s="61" t="str">
        <f t="shared" si="22"/>
        <v/>
      </c>
      <c r="EF39" s="37"/>
      <c r="EG39" s="37"/>
      <c r="EH39" s="37"/>
      <c r="EI39" s="37"/>
      <c r="EJ39" s="38" t="str">
        <f t="shared" si="23"/>
        <v/>
      </c>
      <c r="EK39" s="381"/>
      <c r="EL39" s="381"/>
      <c r="EM39" s="381"/>
      <c r="EO39" s="55"/>
      <c r="EP39" s="58">
        <f t="shared" si="44"/>
        <v>46295</v>
      </c>
      <c r="EQ39" s="59" t="str">
        <f t="shared" si="24"/>
        <v>水</v>
      </c>
      <c r="ER39" s="59" t="s">
        <v>22</v>
      </c>
      <c r="ES39" s="160">
        <v>0.375</v>
      </c>
      <c r="ET39" s="160">
        <v>0.75</v>
      </c>
      <c r="EU39" s="161">
        <v>0.5</v>
      </c>
      <c r="EV39" s="161">
        <v>0.54166666666666663</v>
      </c>
      <c r="EW39" s="61" t="str">
        <f t="shared" si="25"/>
        <v>8h</v>
      </c>
      <c r="EX39" s="162">
        <v>0.375</v>
      </c>
      <c r="EY39" s="162">
        <v>0.75</v>
      </c>
      <c r="EZ39" s="162">
        <v>0.5</v>
      </c>
      <c r="FA39" s="162">
        <v>0.54166666666666663</v>
      </c>
      <c r="FB39" s="38" t="str">
        <f t="shared" si="26"/>
        <v>8h</v>
      </c>
      <c r="FC39" s="381"/>
      <c r="FD39" s="381"/>
      <c r="FE39" s="381"/>
      <c r="FG39" s="55"/>
      <c r="FH39" s="58">
        <f t="shared" si="45"/>
        <v>46325</v>
      </c>
      <c r="FI39" s="59" t="str">
        <f t="shared" si="27"/>
        <v>金</v>
      </c>
      <c r="FJ39" s="59" t="s">
        <v>22</v>
      </c>
      <c r="FK39" s="160">
        <v>0.375</v>
      </c>
      <c r="FL39" s="160">
        <v>0.75</v>
      </c>
      <c r="FM39" s="161">
        <v>0.5</v>
      </c>
      <c r="FN39" s="161">
        <v>0.54166666666666663</v>
      </c>
      <c r="FO39" s="61" t="str">
        <f t="shared" si="28"/>
        <v>8h</v>
      </c>
      <c r="FP39" s="162">
        <v>0.375</v>
      </c>
      <c r="FQ39" s="162">
        <v>0.75</v>
      </c>
      <c r="FR39" s="162">
        <v>0.5</v>
      </c>
      <c r="FS39" s="162">
        <v>0.54166666666666663</v>
      </c>
      <c r="FT39" s="38" t="str">
        <f t="shared" si="29"/>
        <v>8h</v>
      </c>
      <c r="FU39" s="381"/>
      <c r="FV39" s="381"/>
      <c r="FW39" s="381"/>
      <c r="FY39" s="55"/>
      <c r="FZ39" s="58">
        <f t="shared" si="46"/>
        <v>46356</v>
      </c>
      <c r="GA39" s="59" t="str">
        <f t="shared" si="30"/>
        <v>月</v>
      </c>
      <c r="GB39" s="59" t="s">
        <v>22</v>
      </c>
      <c r="GC39" s="160">
        <v>0.375</v>
      </c>
      <c r="GD39" s="160">
        <v>0.75</v>
      </c>
      <c r="GE39" s="161">
        <v>0.5</v>
      </c>
      <c r="GF39" s="161">
        <v>0.54166666666666663</v>
      </c>
      <c r="GG39" s="61" t="str">
        <f t="shared" si="31"/>
        <v>8h</v>
      </c>
      <c r="GH39" s="162">
        <v>0.375</v>
      </c>
      <c r="GI39" s="162">
        <v>0.75</v>
      </c>
      <c r="GJ39" s="162">
        <v>0.5</v>
      </c>
      <c r="GK39" s="162">
        <v>0.54166666666666663</v>
      </c>
      <c r="GL39" s="38" t="str">
        <f t="shared" si="32"/>
        <v>8h</v>
      </c>
      <c r="GM39" s="381"/>
      <c r="GN39" s="381"/>
      <c r="GO39" s="381"/>
      <c r="GQ39" s="55"/>
      <c r="GR39" s="58">
        <f t="shared" si="47"/>
        <v>46386</v>
      </c>
      <c r="GS39" s="59" t="str">
        <f t="shared" si="33"/>
        <v>水</v>
      </c>
      <c r="GT39" s="59"/>
      <c r="GU39" s="60"/>
      <c r="GV39" s="60"/>
      <c r="GW39" s="36"/>
      <c r="GX39" s="36"/>
      <c r="GY39" s="61" t="str">
        <f t="shared" si="34"/>
        <v/>
      </c>
      <c r="GZ39" s="37"/>
      <c r="HA39" s="37"/>
      <c r="HB39" s="37"/>
      <c r="HC39" s="37"/>
      <c r="HD39" s="38" t="str">
        <f t="shared" si="35"/>
        <v/>
      </c>
      <c r="HE39" s="381"/>
      <c r="HF39" s="381"/>
      <c r="HG39" s="381"/>
    </row>
    <row r="40" spans="1:215" x14ac:dyDescent="0.45">
      <c r="A40" s="55"/>
      <c r="B40" s="62">
        <f t="shared" si="36"/>
        <v>46053</v>
      </c>
      <c r="C40" s="63" t="str">
        <f t="shared" si="0"/>
        <v>土</v>
      </c>
      <c r="D40" s="63"/>
      <c r="E40" s="64"/>
      <c r="F40" s="64"/>
      <c r="G40" s="39"/>
      <c r="H40" s="39"/>
      <c r="I40" s="65" t="str">
        <f t="shared" si="1"/>
        <v/>
      </c>
      <c r="J40" s="40"/>
      <c r="K40" s="40"/>
      <c r="L40" s="40"/>
      <c r="M40" s="40"/>
      <c r="N40" s="41" t="str">
        <f t="shared" si="2"/>
        <v/>
      </c>
      <c r="O40" s="382"/>
      <c r="P40" s="382"/>
      <c r="Q40" s="382"/>
      <c r="S40" s="55"/>
      <c r="T40" s="62" t="str">
        <f t="shared" si="37"/>
        <v/>
      </c>
      <c r="U40" s="63" t="str">
        <f t="shared" si="3"/>
        <v/>
      </c>
      <c r="V40" s="63"/>
      <c r="W40" s="64"/>
      <c r="X40" s="64"/>
      <c r="Y40" s="39"/>
      <c r="Z40" s="39"/>
      <c r="AA40" s="65" t="str">
        <f t="shared" si="4"/>
        <v/>
      </c>
      <c r="AB40" s="40"/>
      <c r="AC40" s="40"/>
      <c r="AD40" s="40"/>
      <c r="AE40" s="40"/>
      <c r="AF40" s="41" t="str">
        <f t="shared" si="5"/>
        <v/>
      </c>
      <c r="AG40" s="382"/>
      <c r="AH40" s="382"/>
      <c r="AI40" s="382"/>
      <c r="AK40" s="55"/>
      <c r="AL40" s="62">
        <f t="shared" si="38"/>
        <v>46112</v>
      </c>
      <c r="AM40" s="63" t="str">
        <f t="shared" si="6"/>
        <v>火</v>
      </c>
      <c r="AN40" s="63" t="s">
        <v>22</v>
      </c>
      <c r="AO40" s="163">
        <v>0.375</v>
      </c>
      <c r="AP40" s="163">
        <v>0.75</v>
      </c>
      <c r="AQ40" s="164">
        <v>0.5</v>
      </c>
      <c r="AR40" s="164">
        <v>0.54166666666666663</v>
      </c>
      <c r="AS40" s="65" t="str">
        <f t="shared" si="7"/>
        <v>8h</v>
      </c>
      <c r="AT40" s="165">
        <v>0.375</v>
      </c>
      <c r="AU40" s="165">
        <v>0.75</v>
      </c>
      <c r="AV40" s="165">
        <v>0.5</v>
      </c>
      <c r="AW40" s="165">
        <v>0.54166666666666663</v>
      </c>
      <c r="AX40" s="41" t="str">
        <f t="shared" si="8"/>
        <v>8h</v>
      </c>
      <c r="AY40" s="382"/>
      <c r="AZ40" s="382"/>
      <c r="BA40" s="382"/>
      <c r="BC40" s="55"/>
      <c r="BD40" s="62" t="str">
        <f t="shared" si="39"/>
        <v/>
      </c>
      <c r="BE40" s="63" t="str">
        <f t="shared" si="9"/>
        <v/>
      </c>
      <c r="BF40" s="63"/>
      <c r="BG40" s="64"/>
      <c r="BH40" s="64"/>
      <c r="BI40" s="39"/>
      <c r="BJ40" s="39"/>
      <c r="BK40" s="65" t="str">
        <f t="shared" si="10"/>
        <v/>
      </c>
      <c r="BL40" s="40"/>
      <c r="BM40" s="40"/>
      <c r="BN40" s="40"/>
      <c r="BO40" s="40"/>
      <c r="BP40" s="41" t="str">
        <f t="shared" si="11"/>
        <v/>
      </c>
      <c r="BQ40" s="382"/>
      <c r="BR40" s="382"/>
      <c r="BS40" s="382"/>
      <c r="BU40" s="55"/>
      <c r="BV40" s="62">
        <f t="shared" si="40"/>
        <v>46173</v>
      </c>
      <c r="BW40" s="63" t="str">
        <f t="shared" si="12"/>
        <v>日</v>
      </c>
      <c r="BX40" s="63"/>
      <c r="BY40" s="64"/>
      <c r="BZ40" s="64"/>
      <c r="CA40" s="39"/>
      <c r="CB40" s="39"/>
      <c r="CC40" s="65" t="str">
        <f t="shared" si="13"/>
        <v/>
      </c>
      <c r="CD40" s="40"/>
      <c r="CE40" s="40"/>
      <c r="CF40" s="40"/>
      <c r="CG40" s="40"/>
      <c r="CH40" s="41" t="str">
        <f t="shared" si="14"/>
        <v/>
      </c>
      <c r="CI40" s="382"/>
      <c r="CJ40" s="382"/>
      <c r="CK40" s="382"/>
      <c r="CM40" s="55"/>
      <c r="CN40" s="62" t="str">
        <f t="shared" si="41"/>
        <v/>
      </c>
      <c r="CO40" s="63" t="str">
        <f t="shared" si="15"/>
        <v/>
      </c>
      <c r="CP40" s="63"/>
      <c r="CQ40" s="64"/>
      <c r="CR40" s="64"/>
      <c r="CS40" s="39"/>
      <c r="CT40" s="39"/>
      <c r="CU40" s="65" t="str">
        <f t="shared" si="16"/>
        <v/>
      </c>
      <c r="CV40" s="40"/>
      <c r="CW40" s="40"/>
      <c r="CX40" s="40"/>
      <c r="CY40" s="40"/>
      <c r="CZ40" s="41" t="str">
        <f t="shared" si="17"/>
        <v/>
      </c>
      <c r="DA40" s="382"/>
      <c r="DB40" s="382"/>
      <c r="DC40" s="382"/>
      <c r="DE40" s="55"/>
      <c r="DF40" s="62">
        <f t="shared" si="42"/>
        <v>46234</v>
      </c>
      <c r="DG40" s="63" t="str">
        <f t="shared" si="18"/>
        <v>金</v>
      </c>
      <c r="DH40" s="63" t="s">
        <v>22</v>
      </c>
      <c r="DI40" s="163">
        <v>0.375</v>
      </c>
      <c r="DJ40" s="163">
        <v>0.75</v>
      </c>
      <c r="DK40" s="164">
        <v>0.5</v>
      </c>
      <c r="DL40" s="164">
        <v>0.54166666666666663</v>
      </c>
      <c r="DM40" s="65" t="str">
        <f t="shared" si="19"/>
        <v>8h</v>
      </c>
      <c r="DN40" s="165">
        <v>0.375</v>
      </c>
      <c r="DO40" s="165">
        <v>0.75</v>
      </c>
      <c r="DP40" s="165">
        <v>0.5</v>
      </c>
      <c r="DQ40" s="165">
        <v>0.54166666666666663</v>
      </c>
      <c r="DR40" s="41" t="str">
        <f t="shared" si="20"/>
        <v>8h</v>
      </c>
      <c r="DS40" s="382"/>
      <c r="DT40" s="382"/>
      <c r="DU40" s="382"/>
      <c r="DW40" s="55"/>
      <c r="DX40" s="62">
        <f t="shared" si="43"/>
        <v>46265</v>
      </c>
      <c r="DY40" s="63" t="str">
        <f t="shared" si="21"/>
        <v>月</v>
      </c>
      <c r="DZ40" s="63" t="s">
        <v>22</v>
      </c>
      <c r="EA40" s="163">
        <v>0.375</v>
      </c>
      <c r="EB40" s="163">
        <v>0.75</v>
      </c>
      <c r="EC40" s="164">
        <v>0.5</v>
      </c>
      <c r="ED40" s="164">
        <v>0.54166666666666663</v>
      </c>
      <c r="EE40" s="65" t="str">
        <f t="shared" si="22"/>
        <v>8h</v>
      </c>
      <c r="EF40" s="165">
        <v>0.375</v>
      </c>
      <c r="EG40" s="165">
        <v>0.75</v>
      </c>
      <c r="EH40" s="165">
        <v>0.5</v>
      </c>
      <c r="EI40" s="165">
        <v>0.54166666666666663</v>
      </c>
      <c r="EJ40" s="41" t="str">
        <f t="shared" si="23"/>
        <v>8h</v>
      </c>
      <c r="EK40" s="382"/>
      <c r="EL40" s="382"/>
      <c r="EM40" s="382"/>
      <c r="EO40" s="55"/>
      <c r="EP40" s="62" t="str">
        <f t="shared" si="44"/>
        <v/>
      </c>
      <c r="EQ40" s="63" t="str">
        <f t="shared" si="24"/>
        <v/>
      </c>
      <c r="ER40" s="63"/>
      <c r="ES40" s="64"/>
      <c r="ET40" s="64"/>
      <c r="EU40" s="39"/>
      <c r="EV40" s="39"/>
      <c r="EW40" s="65" t="str">
        <f t="shared" si="25"/>
        <v/>
      </c>
      <c r="EX40" s="40"/>
      <c r="EY40" s="40"/>
      <c r="EZ40" s="40"/>
      <c r="FA40" s="40"/>
      <c r="FB40" s="41" t="str">
        <f t="shared" si="26"/>
        <v/>
      </c>
      <c r="FC40" s="382"/>
      <c r="FD40" s="382"/>
      <c r="FE40" s="382"/>
      <c r="FG40" s="55"/>
      <c r="FH40" s="62">
        <f t="shared" si="45"/>
        <v>46326</v>
      </c>
      <c r="FI40" s="63" t="str">
        <f t="shared" si="27"/>
        <v>土</v>
      </c>
      <c r="FJ40" s="63"/>
      <c r="FK40" s="64"/>
      <c r="FL40" s="64"/>
      <c r="FM40" s="39"/>
      <c r="FN40" s="39"/>
      <c r="FO40" s="65" t="str">
        <f t="shared" si="28"/>
        <v/>
      </c>
      <c r="FP40" s="40"/>
      <c r="FQ40" s="40"/>
      <c r="FR40" s="40"/>
      <c r="FS40" s="40"/>
      <c r="FT40" s="41" t="str">
        <f t="shared" si="29"/>
        <v/>
      </c>
      <c r="FU40" s="382"/>
      <c r="FV40" s="382"/>
      <c r="FW40" s="382"/>
      <c r="FY40" s="55"/>
      <c r="FZ40" s="62" t="str">
        <f t="shared" si="46"/>
        <v/>
      </c>
      <c r="GA40" s="63" t="str">
        <f t="shared" si="30"/>
        <v/>
      </c>
      <c r="GB40" s="63"/>
      <c r="GC40" s="64"/>
      <c r="GD40" s="64"/>
      <c r="GE40" s="39"/>
      <c r="GF40" s="39"/>
      <c r="GG40" s="65" t="str">
        <f t="shared" si="31"/>
        <v/>
      </c>
      <c r="GH40" s="40"/>
      <c r="GI40" s="40"/>
      <c r="GJ40" s="40"/>
      <c r="GK40" s="40"/>
      <c r="GL40" s="41" t="str">
        <f t="shared" si="32"/>
        <v/>
      </c>
      <c r="GM40" s="382"/>
      <c r="GN40" s="382"/>
      <c r="GO40" s="382"/>
      <c r="GQ40" s="55"/>
      <c r="GR40" s="62">
        <f t="shared" si="47"/>
        <v>46387</v>
      </c>
      <c r="GS40" s="63" t="str">
        <f t="shared" si="33"/>
        <v>木</v>
      </c>
      <c r="GT40" s="63"/>
      <c r="GU40" s="64"/>
      <c r="GV40" s="64"/>
      <c r="GW40" s="39"/>
      <c r="GX40" s="39"/>
      <c r="GY40" s="65" t="str">
        <f t="shared" si="34"/>
        <v/>
      </c>
      <c r="GZ40" s="40"/>
      <c r="HA40" s="40"/>
      <c r="HB40" s="40"/>
      <c r="HC40" s="40"/>
      <c r="HD40" s="41" t="str">
        <f t="shared" si="35"/>
        <v/>
      </c>
      <c r="HE40" s="382"/>
      <c r="HF40" s="382"/>
      <c r="HG40" s="382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23:EM23"/>
    <mergeCell ref="EK12:EM12"/>
    <mergeCell ref="EK13:EM13"/>
    <mergeCell ref="EK14:EM14"/>
    <mergeCell ref="EK15:EM15"/>
    <mergeCell ref="EK16:EM16"/>
    <mergeCell ref="EK17:EM17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23:DC23"/>
    <mergeCell ref="DA12:DC12"/>
    <mergeCell ref="DA13:DC13"/>
    <mergeCell ref="DA14:DC14"/>
    <mergeCell ref="DA15:DC15"/>
    <mergeCell ref="DA16:DC16"/>
    <mergeCell ref="DA17:DC17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23:BS23"/>
    <mergeCell ref="BQ12:BS12"/>
    <mergeCell ref="BQ13:BS13"/>
    <mergeCell ref="BQ14:BS14"/>
    <mergeCell ref="BQ15:BS15"/>
    <mergeCell ref="BQ16:BS16"/>
    <mergeCell ref="BQ17:BS17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23:AI23"/>
    <mergeCell ref="AG12:AI12"/>
    <mergeCell ref="AG13:AI13"/>
    <mergeCell ref="AG14:AI14"/>
    <mergeCell ref="AG15:AI15"/>
    <mergeCell ref="AG16:AI16"/>
    <mergeCell ref="AG17:AI17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335" priority="1" stopIfTrue="1">
      <formula>$B10=""</formula>
    </cfRule>
  </conditionalFormatting>
  <conditionalFormatting sqref="C10:C40">
    <cfRule type="expression" dxfId="334" priority="3" stopIfTrue="1">
      <formula>WEEKDAY(B10,2)=7</formula>
    </cfRule>
    <cfRule type="expression" dxfId="333" priority="4" stopIfTrue="1">
      <formula>WEEKDAY(B10,2)=6</formula>
    </cfRule>
  </conditionalFormatting>
  <conditionalFormatting sqref="T10:AI40">
    <cfRule type="expression" dxfId="332" priority="5" stopIfTrue="1">
      <formula>$T10=""</formula>
    </cfRule>
  </conditionalFormatting>
  <conditionalFormatting sqref="U10:U40">
    <cfRule type="expression" dxfId="331" priority="7" stopIfTrue="1">
      <formula>WEEKDAY(T10,2)=7</formula>
    </cfRule>
    <cfRule type="expression" dxfId="330" priority="8" stopIfTrue="1">
      <formula>WEEKDAY(T10,2)=6</formula>
    </cfRule>
  </conditionalFormatting>
  <conditionalFormatting sqref="AL10:BA40">
    <cfRule type="expression" dxfId="329" priority="9" stopIfTrue="1">
      <formula>$AL10=""</formula>
    </cfRule>
  </conditionalFormatting>
  <conditionalFormatting sqref="AM10:AM40">
    <cfRule type="expression" dxfId="328" priority="11" stopIfTrue="1">
      <formula>WEEKDAY(AL10,2)=7</formula>
    </cfRule>
    <cfRule type="expression" dxfId="327" priority="12" stopIfTrue="1">
      <formula>WEEKDAY(AL10,2)=6</formula>
    </cfRule>
  </conditionalFormatting>
  <conditionalFormatting sqref="BD10:BS40">
    <cfRule type="expression" dxfId="326" priority="13" stopIfTrue="1">
      <formula>$BD10=""</formula>
    </cfRule>
  </conditionalFormatting>
  <conditionalFormatting sqref="BE10:BE40">
    <cfRule type="expression" dxfId="325" priority="15" stopIfTrue="1">
      <formula>WEEKDAY(BD10,2)=7</formula>
    </cfRule>
    <cfRule type="expression" dxfId="324" priority="16" stopIfTrue="1">
      <formula>WEEKDAY(BD10,2)=6</formula>
    </cfRule>
  </conditionalFormatting>
  <conditionalFormatting sqref="BV10:CK40">
    <cfRule type="expression" dxfId="323" priority="17" stopIfTrue="1">
      <formula>$BV10=""</formula>
    </cfRule>
  </conditionalFormatting>
  <conditionalFormatting sqref="BW10:BW40">
    <cfRule type="expression" dxfId="322" priority="19" stopIfTrue="1">
      <formula>WEEKDAY(BV10,2)=7</formula>
    </cfRule>
    <cfRule type="expression" dxfId="321" priority="20" stopIfTrue="1">
      <formula>WEEKDAY(BV10,2)=6</formula>
    </cfRule>
  </conditionalFormatting>
  <conditionalFormatting sqref="CN10:DC40">
    <cfRule type="expression" dxfId="320" priority="21" stopIfTrue="1">
      <formula>$CN10=""</formula>
    </cfRule>
  </conditionalFormatting>
  <conditionalFormatting sqref="CO10:CO40">
    <cfRule type="expression" dxfId="319" priority="23" stopIfTrue="1">
      <formula>WEEKDAY(CN10,2)=7</formula>
    </cfRule>
    <cfRule type="expression" dxfId="318" priority="24" stopIfTrue="1">
      <formula>WEEKDAY(CN10,2)=6</formula>
    </cfRule>
  </conditionalFormatting>
  <conditionalFormatting sqref="DF10:DU40">
    <cfRule type="expression" dxfId="317" priority="25" stopIfTrue="1">
      <formula>$DF10=""</formula>
    </cfRule>
  </conditionalFormatting>
  <conditionalFormatting sqref="DG10:DG40">
    <cfRule type="expression" dxfId="316" priority="27" stopIfTrue="1">
      <formula>WEEKDAY(DF10,2)=7</formula>
    </cfRule>
    <cfRule type="expression" dxfId="315" priority="28" stopIfTrue="1">
      <formula>WEEKDAY(DF10,2)=6</formula>
    </cfRule>
  </conditionalFormatting>
  <conditionalFormatting sqref="DX10:EM40">
    <cfRule type="expression" dxfId="314" priority="29" stopIfTrue="1">
      <formula>$DX10=""</formula>
    </cfRule>
  </conditionalFormatting>
  <conditionalFormatting sqref="DY10:DY40">
    <cfRule type="expression" dxfId="313" priority="31" stopIfTrue="1">
      <formula>WEEKDAY(DX10,2)=7</formula>
    </cfRule>
    <cfRule type="expression" dxfId="312" priority="32" stopIfTrue="1">
      <formula>WEEKDAY(DX10,2)=6</formula>
    </cfRule>
  </conditionalFormatting>
  <conditionalFormatting sqref="EP10:FE40">
    <cfRule type="expression" dxfId="311" priority="33" stopIfTrue="1">
      <formula>$EP10=""</formula>
    </cfRule>
  </conditionalFormatting>
  <conditionalFormatting sqref="EQ10:EQ40">
    <cfRule type="expression" dxfId="310" priority="35" stopIfTrue="1">
      <formula>WEEKDAY(EP10,2)=7</formula>
    </cfRule>
    <cfRule type="expression" dxfId="309" priority="36" stopIfTrue="1">
      <formula>WEEKDAY(EP10,2)=6</formula>
    </cfRule>
  </conditionalFormatting>
  <conditionalFormatting sqref="FH10:FW40">
    <cfRule type="expression" dxfId="308" priority="37" stopIfTrue="1">
      <formula>$FH10=""</formula>
    </cfRule>
  </conditionalFormatting>
  <conditionalFormatting sqref="FI10:FI40">
    <cfRule type="expression" dxfId="307" priority="39" stopIfTrue="1">
      <formula>WEEKDAY(FH10,2)=7</formula>
    </cfRule>
    <cfRule type="expression" dxfId="306" priority="40" stopIfTrue="1">
      <formula>WEEKDAY(FH10,2)=6</formula>
    </cfRule>
  </conditionalFormatting>
  <conditionalFormatting sqref="FZ10:GO40">
    <cfRule type="expression" dxfId="305" priority="41" stopIfTrue="1">
      <formula>$FZ10=""</formula>
    </cfRule>
  </conditionalFormatting>
  <conditionalFormatting sqref="GA10:GA40">
    <cfRule type="expression" dxfId="304" priority="43" stopIfTrue="1">
      <formula>WEEKDAY(FZ10,2)=7</formula>
    </cfRule>
  </conditionalFormatting>
  <conditionalFormatting sqref="GA10:GA40">
    <cfRule type="expression" dxfId="303" priority="44" stopIfTrue="1">
      <formula>WEEKDAY(FZ10,2)=6</formula>
    </cfRule>
  </conditionalFormatting>
  <conditionalFormatting sqref="GR10:HG40">
    <cfRule type="expression" dxfId="302" priority="45" stopIfTrue="1">
      <formula>$GR10=""</formula>
    </cfRule>
  </conditionalFormatting>
  <conditionalFormatting sqref="GS10:GS40">
    <cfRule type="expression" dxfId="301" priority="47" stopIfTrue="1">
      <formula>WEEKDAY(GR10,2)=7</formula>
    </cfRule>
  </conditionalFormatting>
  <conditionalFormatting sqref="GS10:GS40">
    <cfRule type="expression" dxfId="300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5A02743-FBEB-4E6B-8551-DF83BEE945B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FF4EFD93-EEB0-4CB2-9678-1F203C890711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6A22AED4-0B86-4D1A-AA41-B38A0BCD9C19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FBDFB73-3B26-4A35-87DC-7C1AD5C9DEEF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C1D11F82-851F-4C7B-A5E7-AC42CAC079C2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5A034B55-55D4-4D5C-95F2-AA70E3F94F63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D785976-DD92-48DE-AC04-62428C35022F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A22CC13-F20C-4EFE-B0E0-02E85B8E714B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74BAFBAF-AFBF-4BCE-A587-D9B91B578EC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C5BF5BA-7D0E-4762-8A8F-54F08561196B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0BC69F13-6637-4FFF-9EF4-D96183E68AE6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88C3806E-B834-4332-94E7-8E2FAB506B66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8365-CADE-49A9-8EDE-B000C9D217A3}">
  <sheetPr codeName="Sheet104"/>
  <dimension ref="A1:AJ144"/>
  <sheetViews>
    <sheetView showGridLines="0" workbookViewId="0"/>
  </sheetViews>
  <sheetFormatPr defaultRowHeight="18" outlineLevelRow="1" x14ac:dyDescent="0.45"/>
  <cols>
    <col min="1" max="1" width="3.69921875" style="100" customWidth="1"/>
    <col min="2" max="2" width="0.8984375" style="100" customWidth="1"/>
    <col min="3" max="33" width="3.69921875" style="100" customWidth="1"/>
    <col min="34" max="34" width="0.8984375" style="100" customWidth="1"/>
    <col min="35" max="36" width="8.69921875" style="100" customWidth="1"/>
    <col min="37" max="16384" width="8.796875" style="100"/>
  </cols>
  <sheetData>
    <row r="1" spans="1:36" x14ac:dyDescent="0.45">
      <c r="C1" s="296">
        <v>46023</v>
      </c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85"/>
      <c r="AA1" s="285"/>
      <c r="AB1" s="285"/>
      <c r="AC1" s="285"/>
      <c r="AD1" s="285"/>
      <c r="AE1" s="285"/>
      <c r="AF1" s="285"/>
      <c r="AG1" s="285"/>
    </row>
    <row r="2" spans="1:36" outlineLevel="1" x14ac:dyDescent="0.45">
      <c r="C2" s="99" t="str">
        <f t="shared" ref="C2:AG2" si="0">TEXT(C3,"aaa")</f>
        <v>木</v>
      </c>
      <c r="D2" s="99" t="str">
        <f t="shared" si="0"/>
        <v>金</v>
      </c>
      <c r="E2" s="99" t="str">
        <f t="shared" si="0"/>
        <v>土</v>
      </c>
      <c r="F2" s="99" t="str">
        <f t="shared" si="0"/>
        <v>日</v>
      </c>
      <c r="G2" s="99" t="str">
        <f t="shared" si="0"/>
        <v>月</v>
      </c>
      <c r="H2" s="99" t="str">
        <f t="shared" si="0"/>
        <v>火</v>
      </c>
      <c r="I2" s="99" t="str">
        <f t="shared" si="0"/>
        <v>水</v>
      </c>
      <c r="J2" s="99" t="str">
        <f t="shared" si="0"/>
        <v>木</v>
      </c>
      <c r="K2" s="99" t="str">
        <f t="shared" si="0"/>
        <v>金</v>
      </c>
      <c r="L2" s="99" t="str">
        <f t="shared" si="0"/>
        <v>土</v>
      </c>
      <c r="M2" s="99" t="str">
        <f t="shared" si="0"/>
        <v>日</v>
      </c>
      <c r="N2" s="99" t="str">
        <f t="shared" si="0"/>
        <v>月</v>
      </c>
      <c r="O2" s="99" t="str">
        <f t="shared" si="0"/>
        <v>火</v>
      </c>
      <c r="P2" s="99" t="str">
        <f t="shared" si="0"/>
        <v>水</v>
      </c>
      <c r="Q2" s="99" t="str">
        <f t="shared" si="0"/>
        <v>木</v>
      </c>
      <c r="R2" s="99" t="str">
        <f t="shared" si="0"/>
        <v>金</v>
      </c>
      <c r="S2" s="99" t="str">
        <f t="shared" si="0"/>
        <v>土</v>
      </c>
      <c r="T2" s="99" t="str">
        <f t="shared" si="0"/>
        <v>日</v>
      </c>
      <c r="U2" s="99" t="str">
        <f t="shared" si="0"/>
        <v>月</v>
      </c>
      <c r="V2" s="99" t="str">
        <f t="shared" si="0"/>
        <v>火</v>
      </c>
      <c r="W2" s="99" t="str">
        <f t="shared" si="0"/>
        <v>水</v>
      </c>
      <c r="X2" s="99" t="str">
        <f t="shared" si="0"/>
        <v>木</v>
      </c>
      <c r="Y2" s="99" t="str">
        <f t="shared" si="0"/>
        <v>金</v>
      </c>
      <c r="Z2" s="99" t="str">
        <f t="shared" si="0"/>
        <v>土</v>
      </c>
      <c r="AA2" s="99" t="str">
        <f t="shared" si="0"/>
        <v>日</v>
      </c>
      <c r="AB2" s="99" t="str">
        <f t="shared" si="0"/>
        <v>月</v>
      </c>
      <c r="AC2" s="99" t="str">
        <f t="shared" si="0"/>
        <v>火</v>
      </c>
      <c r="AD2" s="99" t="str">
        <f t="shared" si="0"/>
        <v>水</v>
      </c>
      <c r="AE2" s="99" t="str">
        <f t="shared" si="0"/>
        <v>木</v>
      </c>
      <c r="AF2" s="99" t="str">
        <f t="shared" si="0"/>
        <v>金</v>
      </c>
      <c r="AG2" s="99" t="str">
        <f t="shared" si="0"/>
        <v>土</v>
      </c>
      <c r="AI2" s="101" t="s">
        <v>41</v>
      </c>
      <c r="AJ2" s="105">
        <f>COUNT(C4:AG4)</f>
        <v>19</v>
      </c>
    </row>
    <row r="3" spans="1:36" outlineLevel="1" x14ac:dyDescent="0.45">
      <c r="C3" s="104">
        <f>C1</f>
        <v>46023</v>
      </c>
      <c r="D3" s="104">
        <f t="shared" ref="D3:AG3" si="1">IF(C3="","",IF(C3+1&lt;=EOMONTH($C1,0),C3+1,""))</f>
        <v>46024</v>
      </c>
      <c r="E3" s="104">
        <f t="shared" si="1"/>
        <v>46025</v>
      </c>
      <c r="F3" s="104">
        <f t="shared" si="1"/>
        <v>46026</v>
      </c>
      <c r="G3" s="104">
        <f t="shared" si="1"/>
        <v>46027</v>
      </c>
      <c r="H3" s="104">
        <f t="shared" si="1"/>
        <v>46028</v>
      </c>
      <c r="I3" s="104">
        <f t="shared" si="1"/>
        <v>46029</v>
      </c>
      <c r="J3" s="104">
        <f t="shared" si="1"/>
        <v>46030</v>
      </c>
      <c r="K3" s="104">
        <f t="shared" si="1"/>
        <v>46031</v>
      </c>
      <c r="L3" s="104">
        <f t="shared" si="1"/>
        <v>46032</v>
      </c>
      <c r="M3" s="104">
        <f t="shared" si="1"/>
        <v>46033</v>
      </c>
      <c r="N3" s="104">
        <f t="shared" si="1"/>
        <v>46034</v>
      </c>
      <c r="O3" s="104">
        <f t="shared" si="1"/>
        <v>46035</v>
      </c>
      <c r="P3" s="104">
        <f t="shared" si="1"/>
        <v>46036</v>
      </c>
      <c r="Q3" s="104">
        <f t="shared" si="1"/>
        <v>46037</v>
      </c>
      <c r="R3" s="104">
        <f t="shared" si="1"/>
        <v>46038</v>
      </c>
      <c r="S3" s="104">
        <f t="shared" si="1"/>
        <v>46039</v>
      </c>
      <c r="T3" s="104">
        <f t="shared" si="1"/>
        <v>46040</v>
      </c>
      <c r="U3" s="104">
        <f t="shared" si="1"/>
        <v>46041</v>
      </c>
      <c r="V3" s="104">
        <f t="shared" si="1"/>
        <v>46042</v>
      </c>
      <c r="W3" s="104">
        <f t="shared" si="1"/>
        <v>46043</v>
      </c>
      <c r="X3" s="104">
        <f t="shared" si="1"/>
        <v>46044</v>
      </c>
      <c r="Y3" s="104">
        <f t="shared" si="1"/>
        <v>46045</v>
      </c>
      <c r="Z3" s="104">
        <f t="shared" si="1"/>
        <v>46046</v>
      </c>
      <c r="AA3" s="104">
        <f t="shared" si="1"/>
        <v>46047</v>
      </c>
      <c r="AB3" s="104">
        <f t="shared" si="1"/>
        <v>46048</v>
      </c>
      <c r="AC3" s="104">
        <f t="shared" si="1"/>
        <v>46049</v>
      </c>
      <c r="AD3" s="104">
        <f t="shared" si="1"/>
        <v>46050</v>
      </c>
      <c r="AE3" s="104">
        <f t="shared" si="1"/>
        <v>46051</v>
      </c>
      <c r="AF3" s="104">
        <f t="shared" si="1"/>
        <v>46052</v>
      </c>
      <c r="AG3" s="104">
        <f t="shared" si="1"/>
        <v>46053</v>
      </c>
      <c r="AI3" s="101" t="s">
        <v>42</v>
      </c>
      <c r="AJ3" s="102" t="str">
        <f>_xlfn.LET(_xlpm.v,SUM(C4:AG4),IF(_xlpm.v=INT(_xlpm.v),TEXT(_xlpm.v,"0")&amp;" h",TEXT(_xlpm.v,"0.###")&amp;" h"))</f>
        <v>152 h</v>
      </c>
    </row>
    <row r="4" spans="1:36" outlineLevel="1" x14ac:dyDescent="0.45">
      <c r="A4" s="101" t="s">
        <v>38</v>
      </c>
      <c r="C4" s="98"/>
      <c r="D4" s="98"/>
      <c r="E4" s="98"/>
      <c r="F4" s="98"/>
      <c r="G4" s="98">
        <v>8</v>
      </c>
      <c r="H4" s="98">
        <v>8</v>
      </c>
      <c r="I4" s="98">
        <v>8</v>
      </c>
      <c r="J4" s="98">
        <v>8</v>
      </c>
      <c r="K4" s="98">
        <v>8</v>
      </c>
      <c r="L4" s="98"/>
      <c r="M4" s="98"/>
      <c r="N4" s="98"/>
      <c r="O4" s="98">
        <v>8</v>
      </c>
      <c r="P4" s="98">
        <v>8</v>
      </c>
      <c r="Q4" s="98">
        <v>8</v>
      </c>
      <c r="R4" s="98">
        <v>8</v>
      </c>
      <c r="S4" s="98"/>
      <c r="T4" s="98"/>
      <c r="U4" s="98">
        <v>8</v>
      </c>
      <c r="V4" s="98">
        <v>8</v>
      </c>
      <c r="W4" s="98">
        <v>8</v>
      </c>
      <c r="X4" s="98">
        <v>8</v>
      </c>
      <c r="Y4" s="98">
        <v>8</v>
      </c>
      <c r="Z4" s="98"/>
      <c r="AA4" s="98"/>
      <c r="AB4" s="98">
        <v>8</v>
      </c>
      <c r="AC4" s="98">
        <v>8</v>
      </c>
      <c r="AD4" s="98">
        <v>8</v>
      </c>
      <c r="AE4" s="98">
        <v>8</v>
      </c>
      <c r="AF4" s="98">
        <v>8</v>
      </c>
      <c r="AG4" s="98"/>
      <c r="AI4" s="99" t="s">
        <v>43</v>
      </c>
      <c r="AJ4" s="106">
        <f>COUNT(C5:AG5)</f>
        <v>19</v>
      </c>
    </row>
    <row r="5" spans="1:36" outlineLevel="1" x14ac:dyDescent="0.45">
      <c r="A5" s="99" t="s">
        <v>39</v>
      </c>
      <c r="C5" s="99"/>
      <c r="D5" s="99"/>
      <c r="E5" s="99"/>
      <c r="F5" s="99"/>
      <c r="G5" s="99">
        <v>8</v>
      </c>
      <c r="H5" s="99">
        <v>8</v>
      </c>
      <c r="I5" s="99">
        <v>8</v>
      </c>
      <c r="J5" s="99">
        <v>8</v>
      </c>
      <c r="K5" s="99">
        <v>8</v>
      </c>
      <c r="L5" s="99"/>
      <c r="M5" s="99"/>
      <c r="N5" s="99"/>
      <c r="O5" s="99">
        <v>8</v>
      </c>
      <c r="P5" s="99">
        <v>8</v>
      </c>
      <c r="Q5" s="99">
        <v>8</v>
      </c>
      <c r="R5" s="99">
        <v>8</v>
      </c>
      <c r="S5" s="99"/>
      <c r="T5" s="99"/>
      <c r="U5" s="99">
        <v>8</v>
      </c>
      <c r="V5" s="99">
        <v>8</v>
      </c>
      <c r="W5" s="99">
        <v>8</v>
      </c>
      <c r="X5" s="99">
        <v>8</v>
      </c>
      <c r="Y5" s="99">
        <v>8</v>
      </c>
      <c r="Z5" s="99"/>
      <c r="AA5" s="99"/>
      <c r="AB5" s="99">
        <v>8</v>
      </c>
      <c r="AC5" s="99">
        <v>8</v>
      </c>
      <c r="AD5" s="99">
        <v>8</v>
      </c>
      <c r="AE5" s="99">
        <v>8</v>
      </c>
      <c r="AF5" s="99">
        <v>8</v>
      </c>
      <c r="AG5" s="99"/>
      <c r="AI5" s="99" t="s">
        <v>44</v>
      </c>
      <c r="AJ5" s="103" t="str">
        <f>_xlfn.LET(_xlpm.v,SUM(C5:AG5),IF(_xlpm.v=INT(_xlpm.v),TEXT(_xlpm.v,"0")&amp;" h",TEXT(_xlpm.v,"0.###")&amp;" h"))</f>
        <v>152 h</v>
      </c>
    </row>
    <row r="6" spans="1:36" outlineLevel="1" x14ac:dyDescent="0.45">
      <c r="A6" s="99" t="s">
        <v>37</v>
      </c>
      <c r="C6" s="99"/>
      <c r="D6" s="99"/>
      <c r="E6" s="99"/>
      <c r="F6" s="99"/>
      <c r="G6" s="99" t="s">
        <v>22</v>
      </c>
      <c r="H6" s="99" t="s">
        <v>22</v>
      </c>
      <c r="I6" s="99" t="s">
        <v>22</v>
      </c>
      <c r="J6" s="99" t="s">
        <v>22</v>
      </c>
      <c r="K6" s="99" t="s">
        <v>22</v>
      </c>
      <c r="L6" s="99"/>
      <c r="M6" s="99"/>
      <c r="N6" s="99"/>
      <c r="O6" s="99" t="s">
        <v>22</v>
      </c>
      <c r="P6" s="99" t="s">
        <v>22</v>
      </c>
      <c r="Q6" s="99" t="s">
        <v>22</v>
      </c>
      <c r="R6" s="99" t="s">
        <v>22</v>
      </c>
      <c r="S6" s="99"/>
      <c r="T6" s="99"/>
      <c r="U6" s="99" t="s">
        <v>22</v>
      </c>
      <c r="V6" s="99" t="s">
        <v>22</v>
      </c>
      <c r="W6" s="99" t="s">
        <v>22</v>
      </c>
      <c r="X6" s="99" t="s">
        <v>22</v>
      </c>
      <c r="Y6" s="99" t="s">
        <v>22</v>
      </c>
      <c r="Z6" s="99"/>
      <c r="AA6" s="99"/>
      <c r="AB6" s="99" t="s">
        <v>22</v>
      </c>
      <c r="AC6" s="99" t="s">
        <v>22</v>
      </c>
      <c r="AD6" s="99" t="s">
        <v>22</v>
      </c>
      <c r="AE6" s="99" t="s">
        <v>22</v>
      </c>
      <c r="AF6" s="99" t="s">
        <v>22</v>
      </c>
      <c r="AG6" s="99"/>
      <c r="AI6" s="99" t="s">
        <v>45</v>
      </c>
      <c r="AJ6" s="106">
        <f>COUNTIF(C6:AG6,"出")</f>
        <v>0</v>
      </c>
    </row>
    <row r="7" spans="1:36" outlineLevel="1" x14ac:dyDescent="0.45">
      <c r="A7" s="99" t="s">
        <v>40</v>
      </c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386"/>
      <c r="S7" s="386"/>
      <c r="T7" s="386"/>
      <c r="U7" s="386"/>
      <c r="V7" s="386"/>
      <c r="W7" s="386"/>
      <c r="X7" s="386"/>
      <c r="Y7" s="386"/>
      <c r="Z7" s="386"/>
      <c r="AA7" s="386"/>
      <c r="AB7" s="386"/>
      <c r="AC7" s="386"/>
      <c r="AD7" s="386"/>
      <c r="AE7" s="386"/>
      <c r="AF7" s="386"/>
      <c r="AG7" s="386"/>
      <c r="AI7" s="99" t="s">
        <v>46</v>
      </c>
      <c r="AJ7" s="106">
        <f>COUNTIF(C6:AG6,"リ")</f>
        <v>19</v>
      </c>
    </row>
    <row r="8" spans="1:36" outlineLevel="1" x14ac:dyDescent="0.45"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386"/>
      <c r="S8" s="386"/>
      <c r="T8" s="386"/>
      <c r="U8" s="386"/>
      <c r="V8" s="386"/>
      <c r="W8" s="386"/>
      <c r="X8" s="386"/>
      <c r="Y8" s="386"/>
      <c r="Z8" s="386"/>
      <c r="AA8" s="386"/>
      <c r="AB8" s="386"/>
      <c r="AC8" s="386"/>
      <c r="AD8" s="386"/>
      <c r="AE8" s="386"/>
      <c r="AF8" s="386"/>
      <c r="AG8" s="386"/>
      <c r="AI8" s="99" t="s">
        <v>25</v>
      </c>
      <c r="AJ8" s="107">
        <f>AJ6/(AJ6+AJ7)</f>
        <v>0</v>
      </c>
    </row>
    <row r="9" spans="1:36" outlineLevel="1" x14ac:dyDescent="0.45"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386"/>
      <c r="S9" s="386"/>
      <c r="T9" s="386"/>
      <c r="U9" s="386"/>
      <c r="V9" s="386"/>
      <c r="W9" s="386"/>
      <c r="X9" s="386"/>
      <c r="Y9" s="386"/>
      <c r="Z9" s="386"/>
      <c r="AA9" s="386"/>
      <c r="AB9" s="386"/>
      <c r="AC9" s="386"/>
      <c r="AD9" s="386"/>
      <c r="AE9" s="386"/>
      <c r="AF9" s="386"/>
      <c r="AG9" s="386"/>
    </row>
    <row r="10" spans="1:36" outlineLevel="1" x14ac:dyDescent="0.45"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386"/>
      <c r="S10" s="386"/>
      <c r="T10" s="386"/>
      <c r="U10" s="386"/>
      <c r="V10" s="386"/>
      <c r="W10" s="386"/>
      <c r="X10" s="386"/>
      <c r="Y10" s="386"/>
      <c r="Z10" s="386"/>
      <c r="AA10" s="386"/>
      <c r="AB10" s="386"/>
      <c r="AC10" s="386"/>
      <c r="AD10" s="386"/>
      <c r="AE10" s="386"/>
      <c r="AF10" s="386"/>
      <c r="AG10" s="386"/>
    </row>
    <row r="11" spans="1:36" outlineLevel="1" x14ac:dyDescent="0.45"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386"/>
      <c r="S11" s="386"/>
      <c r="T11" s="386"/>
      <c r="U11" s="386"/>
      <c r="V11" s="386"/>
      <c r="W11" s="386"/>
      <c r="X11" s="386"/>
      <c r="Y11" s="386"/>
      <c r="Z11" s="386"/>
      <c r="AA11" s="386"/>
      <c r="AB11" s="386"/>
      <c r="AC11" s="386"/>
      <c r="AD11" s="386"/>
      <c r="AE11" s="386"/>
      <c r="AF11" s="386"/>
      <c r="AG11" s="386"/>
    </row>
    <row r="12" spans="1:36" outlineLevel="1" x14ac:dyDescent="0.45"/>
    <row r="13" spans="1:36" x14ac:dyDescent="0.45">
      <c r="C13" s="284">
        <v>46054</v>
      </c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</row>
    <row r="14" spans="1:36" outlineLevel="1" x14ac:dyDescent="0.45">
      <c r="C14" s="99" t="str">
        <f t="shared" ref="C14:AG14" si="2">TEXT(C15,"aaa")</f>
        <v>日</v>
      </c>
      <c r="D14" s="99" t="str">
        <f t="shared" si="2"/>
        <v>月</v>
      </c>
      <c r="E14" s="99" t="str">
        <f t="shared" si="2"/>
        <v>火</v>
      </c>
      <c r="F14" s="99" t="str">
        <f t="shared" si="2"/>
        <v>水</v>
      </c>
      <c r="G14" s="99" t="str">
        <f t="shared" si="2"/>
        <v>木</v>
      </c>
      <c r="H14" s="99" t="str">
        <f t="shared" si="2"/>
        <v>金</v>
      </c>
      <c r="I14" s="99" t="str">
        <f t="shared" si="2"/>
        <v>土</v>
      </c>
      <c r="J14" s="99" t="str">
        <f t="shared" si="2"/>
        <v>日</v>
      </c>
      <c r="K14" s="99" t="str">
        <f t="shared" si="2"/>
        <v>月</v>
      </c>
      <c r="L14" s="99" t="str">
        <f t="shared" si="2"/>
        <v>火</v>
      </c>
      <c r="M14" s="99" t="str">
        <f t="shared" si="2"/>
        <v>水</v>
      </c>
      <c r="N14" s="99" t="str">
        <f t="shared" si="2"/>
        <v>木</v>
      </c>
      <c r="O14" s="99" t="str">
        <f t="shared" si="2"/>
        <v>金</v>
      </c>
      <c r="P14" s="99" t="str">
        <f t="shared" si="2"/>
        <v>土</v>
      </c>
      <c r="Q14" s="99" t="str">
        <f t="shared" si="2"/>
        <v>日</v>
      </c>
      <c r="R14" s="99" t="str">
        <f t="shared" si="2"/>
        <v>月</v>
      </c>
      <c r="S14" s="99" t="str">
        <f t="shared" si="2"/>
        <v>火</v>
      </c>
      <c r="T14" s="99" t="str">
        <f t="shared" si="2"/>
        <v>水</v>
      </c>
      <c r="U14" s="99" t="str">
        <f t="shared" si="2"/>
        <v>木</v>
      </c>
      <c r="V14" s="99" t="str">
        <f t="shared" si="2"/>
        <v>金</v>
      </c>
      <c r="W14" s="99" t="str">
        <f t="shared" si="2"/>
        <v>土</v>
      </c>
      <c r="X14" s="99" t="str">
        <f t="shared" si="2"/>
        <v>日</v>
      </c>
      <c r="Y14" s="99" t="str">
        <f t="shared" si="2"/>
        <v>月</v>
      </c>
      <c r="Z14" s="99" t="str">
        <f t="shared" si="2"/>
        <v>火</v>
      </c>
      <c r="AA14" s="99" t="str">
        <f t="shared" si="2"/>
        <v>水</v>
      </c>
      <c r="AB14" s="99" t="str">
        <f t="shared" si="2"/>
        <v>木</v>
      </c>
      <c r="AC14" s="99" t="str">
        <f t="shared" si="2"/>
        <v>金</v>
      </c>
      <c r="AD14" s="99" t="str">
        <f t="shared" si="2"/>
        <v>土</v>
      </c>
      <c r="AE14" s="99" t="str">
        <f t="shared" si="2"/>
        <v/>
      </c>
      <c r="AF14" s="99" t="str">
        <f t="shared" si="2"/>
        <v/>
      </c>
      <c r="AG14" s="99" t="str">
        <f t="shared" si="2"/>
        <v/>
      </c>
      <c r="AI14" s="101" t="s">
        <v>41</v>
      </c>
      <c r="AJ14" s="105">
        <f>COUNT(C16:AG16)</f>
        <v>18</v>
      </c>
    </row>
    <row r="15" spans="1:36" outlineLevel="1" x14ac:dyDescent="0.45">
      <c r="C15" s="104">
        <f>C13</f>
        <v>46054</v>
      </c>
      <c r="D15" s="104">
        <f t="shared" ref="D15:AG15" si="3">IF(C15="","",IF(C15+1&lt;=EOMONTH($C13,0),C15+1,""))</f>
        <v>46055</v>
      </c>
      <c r="E15" s="104">
        <f t="shared" si="3"/>
        <v>46056</v>
      </c>
      <c r="F15" s="104">
        <f t="shared" si="3"/>
        <v>46057</v>
      </c>
      <c r="G15" s="104">
        <f t="shared" si="3"/>
        <v>46058</v>
      </c>
      <c r="H15" s="104">
        <f t="shared" si="3"/>
        <v>46059</v>
      </c>
      <c r="I15" s="104">
        <f t="shared" si="3"/>
        <v>46060</v>
      </c>
      <c r="J15" s="104">
        <f t="shared" si="3"/>
        <v>46061</v>
      </c>
      <c r="K15" s="104">
        <f t="shared" si="3"/>
        <v>46062</v>
      </c>
      <c r="L15" s="104">
        <f t="shared" si="3"/>
        <v>46063</v>
      </c>
      <c r="M15" s="104">
        <f t="shared" si="3"/>
        <v>46064</v>
      </c>
      <c r="N15" s="104">
        <f t="shared" si="3"/>
        <v>46065</v>
      </c>
      <c r="O15" s="104">
        <f t="shared" si="3"/>
        <v>46066</v>
      </c>
      <c r="P15" s="104">
        <f t="shared" si="3"/>
        <v>46067</v>
      </c>
      <c r="Q15" s="104">
        <f t="shared" si="3"/>
        <v>46068</v>
      </c>
      <c r="R15" s="104">
        <f t="shared" si="3"/>
        <v>46069</v>
      </c>
      <c r="S15" s="104">
        <f t="shared" si="3"/>
        <v>46070</v>
      </c>
      <c r="T15" s="104">
        <f t="shared" si="3"/>
        <v>46071</v>
      </c>
      <c r="U15" s="104">
        <f t="shared" si="3"/>
        <v>46072</v>
      </c>
      <c r="V15" s="104">
        <f t="shared" si="3"/>
        <v>46073</v>
      </c>
      <c r="W15" s="104">
        <f t="shared" si="3"/>
        <v>46074</v>
      </c>
      <c r="X15" s="104">
        <f t="shared" si="3"/>
        <v>46075</v>
      </c>
      <c r="Y15" s="104">
        <f t="shared" si="3"/>
        <v>46076</v>
      </c>
      <c r="Z15" s="104">
        <f t="shared" si="3"/>
        <v>46077</v>
      </c>
      <c r="AA15" s="104">
        <f t="shared" si="3"/>
        <v>46078</v>
      </c>
      <c r="AB15" s="104">
        <f t="shared" si="3"/>
        <v>46079</v>
      </c>
      <c r="AC15" s="104">
        <f t="shared" si="3"/>
        <v>46080</v>
      </c>
      <c r="AD15" s="104">
        <f t="shared" si="3"/>
        <v>46081</v>
      </c>
      <c r="AE15" s="104" t="str">
        <f t="shared" si="3"/>
        <v/>
      </c>
      <c r="AF15" s="104" t="str">
        <f t="shared" si="3"/>
        <v/>
      </c>
      <c r="AG15" s="104" t="str">
        <f t="shared" si="3"/>
        <v/>
      </c>
      <c r="AI15" s="101" t="s">
        <v>42</v>
      </c>
      <c r="AJ15" s="102" t="str">
        <f>_xlfn.LET(_xlpm.v,SUM(C16:AG16),IF(_xlpm.v=INT(_xlpm.v),TEXT(_xlpm.v,"0")&amp;" h",TEXT(_xlpm.v,"0.###")&amp;" h"))</f>
        <v>144 h</v>
      </c>
    </row>
    <row r="16" spans="1:36" outlineLevel="1" x14ac:dyDescent="0.45">
      <c r="A16" s="101" t="s">
        <v>38</v>
      </c>
      <c r="C16" s="98"/>
      <c r="D16" s="98">
        <v>8</v>
      </c>
      <c r="E16" s="98">
        <v>8</v>
      </c>
      <c r="F16" s="98">
        <v>8</v>
      </c>
      <c r="G16" s="98">
        <v>8</v>
      </c>
      <c r="H16" s="98">
        <v>8</v>
      </c>
      <c r="I16" s="98"/>
      <c r="J16" s="98"/>
      <c r="K16" s="98">
        <v>8</v>
      </c>
      <c r="L16" s="98">
        <v>8</v>
      </c>
      <c r="M16" s="98"/>
      <c r="N16" s="98">
        <v>8</v>
      </c>
      <c r="O16" s="98">
        <v>8</v>
      </c>
      <c r="P16" s="98"/>
      <c r="Q16" s="98"/>
      <c r="R16" s="98">
        <v>8</v>
      </c>
      <c r="S16" s="98">
        <v>8</v>
      </c>
      <c r="T16" s="98">
        <v>8</v>
      </c>
      <c r="U16" s="98">
        <v>8</v>
      </c>
      <c r="V16" s="98">
        <v>8</v>
      </c>
      <c r="W16" s="98"/>
      <c r="X16" s="98"/>
      <c r="Y16" s="98"/>
      <c r="Z16" s="98">
        <v>8</v>
      </c>
      <c r="AA16" s="98">
        <v>8</v>
      </c>
      <c r="AB16" s="98">
        <v>8</v>
      </c>
      <c r="AC16" s="98">
        <v>8</v>
      </c>
      <c r="AD16" s="98"/>
      <c r="AE16" s="98"/>
      <c r="AF16" s="98"/>
      <c r="AG16" s="98"/>
      <c r="AI16" s="99" t="s">
        <v>43</v>
      </c>
      <c r="AJ16" s="106">
        <f>COUNT(C17:AG17)</f>
        <v>18</v>
      </c>
    </row>
    <row r="17" spans="1:36" outlineLevel="1" x14ac:dyDescent="0.45">
      <c r="A17" s="99" t="s">
        <v>39</v>
      </c>
      <c r="C17" s="99"/>
      <c r="D17" s="99">
        <v>8</v>
      </c>
      <c r="E17" s="99">
        <v>8</v>
      </c>
      <c r="F17" s="99">
        <v>8</v>
      </c>
      <c r="G17" s="99">
        <v>8</v>
      </c>
      <c r="H17" s="99">
        <v>8</v>
      </c>
      <c r="I17" s="99"/>
      <c r="J17" s="99"/>
      <c r="K17" s="99">
        <v>8</v>
      </c>
      <c r="L17" s="99">
        <v>8</v>
      </c>
      <c r="M17" s="99"/>
      <c r="N17" s="99">
        <v>8</v>
      </c>
      <c r="O17" s="99">
        <v>8</v>
      </c>
      <c r="P17" s="99"/>
      <c r="Q17" s="99"/>
      <c r="R17" s="99">
        <v>8</v>
      </c>
      <c r="S17" s="99">
        <v>8</v>
      </c>
      <c r="T17" s="99">
        <v>8</v>
      </c>
      <c r="U17" s="99">
        <v>8</v>
      </c>
      <c r="V17" s="99">
        <v>8</v>
      </c>
      <c r="W17" s="99"/>
      <c r="X17" s="99"/>
      <c r="Y17" s="99"/>
      <c r="Z17" s="99">
        <v>8</v>
      </c>
      <c r="AA17" s="99">
        <v>8</v>
      </c>
      <c r="AB17" s="99">
        <v>8</v>
      </c>
      <c r="AC17" s="99">
        <v>8</v>
      </c>
      <c r="AD17" s="99"/>
      <c r="AE17" s="99"/>
      <c r="AF17" s="99"/>
      <c r="AG17" s="99"/>
      <c r="AI17" s="99" t="s">
        <v>44</v>
      </c>
      <c r="AJ17" s="103" t="str">
        <f>_xlfn.LET(_xlpm.v,SUM(C17:AG17),IF(_xlpm.v=INT(_xlpm.v),TEXT(_xlpm.v,"0")&amp;" h",TEXT(_xlpm.v,"0.###")&amp;" h"))</f>
        <v>144 h</v>
      </c>
    </row>
    <row r="18" spans="1:36" outlineLevel="1" x14ac:dyDescent="0.45">
      <c r="A18" s="99" t="s">
        <v>37</v>
      </c>
      <c r="C18" s="99"/>
      <c r="D18" s="99" t="s">
        <v>22</v>
      </c>
      <c r="E18" s="99" t="s">
        <v>22</v>
      </c>
      <c r="F18" s="99" t="s">
        <v>22</v>
      </c>
      <c r="G18" s="99" t="s">
        <v>22</v>
      </c>
      <c r="H18" s="99" t="s">
        <v>22</v>
      </c>
      <c r="I18" s="99"/>
      <c r="J18" s="99"/>
      <c r="K18" s="99" t="s">
        <v>22</v>
      </c>
      <c r="L18" s="99" t="s">
        <v>22</v>
      </c>
      <c r="M18" s="99"/>
      <c r="N18" s="99" t="s">
        <v>22</v>
      </c>
      <c r="O18" s="99" t="s">
        <v>22</v>
      </c>
      <c r="P18" s="99"/>
      <c r="Q18" s="99"/>
      <c r="R18" s="99" t="s">
        <v>22</v>
      </c>
      <c r="S18" s="99" t="s">
        <v>22</v>
      </c>
      <c r="T18" s="99" t="s">
        <v>22</v>
      </c>
      <c r="U18" s="99" t="s">
        <v>22</v>
      </c>
      <c r="V18" s="99" t="s">
        <v>22</v>
      </c>
      <c r="W18" s="99"/>
      <c r="X18" s="99"/>
      <c r="Y18" s="99"/>
      <c r="Z18" s="99" t="s">
        <v>22</v>
      </c>
      <c r="AA18" s="99" t="s">
        <v>22</v>
      </c>
      <c r="AB18" s="99" t="s">
        <v>22</v>
      </c>
      <c r="AC18" s="99" t="s">
        <v>22</v>
      </c>
      <c r="AD18" s="99"/>
      <c r="AE18" s="99"/>
      <c r="AF18" s="99"/>
      <c r="AG18" s="99"/>
      <c r="AI18" s="99" t="s">
        <v>45</v>
      </c>
      <c r="AJ18" s="106">
        <f>COUNTIF(C18:AG18,"出")</f>
        <v>0</v>
      </c>
    </row>
    <row r="19" spans="1:36" outlineLevel="1" x14ac:dyDescent="0.45">
      <c r="A19" s="99" t="s">
        <v>40</v>
      </c>
      <c r="C19" s="386"/>
      <c r="D19" s="386"/>
      <c r="E19" s="386"/>
      <c r="F19" s="386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S19" s="386"/>
      <c r="T19" s="386"/>
      <c r="U19" s="386"/>
      <c r="V19" s="386"/>
      <c r="W19" s="386"/>
      <c r="X19" s="386"/>
      <c r="Y19" s="386"/>
      <c r="Z19" s="386"/>
      <c r="AA19" s="386"/>
      <c r="AB19" s="386"/>
      <c r="AC19" s="386"/>
      <c r="AD19" s="386"/>
      <c r="AE19" s="386"/>
      <c r="AF19" s="386"/>
      <c r="AG19" s="386"/>
      <c r="AI19" s="99" t="s">
        <v>46</v>
      </c>
      <c r="AJ19" s="106">
        <f>COUNTIF(C18:AG18,"リ")</f>
        <v>18</v>
      </c>
    </row>
    <row r="20" spans="1:36" outlineLevel="1" x14ac:dyDescent="0.45"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I20" s="99" t="s">
        <v>25</v>
      </c>
      <c r="AJ20" s="107">
        <f>AJ18/(AJ18+AJ19)</f>
        <v>0</v>
      </c>
    </row>
    <row r="21" spans="1:36" outlineLevel="1" x14ac:dyDescent="0.45"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386"/>
      <c r="S21" s="386"/>
      <c r="T21" s="386"/>
      <c r="U21" s="386"/>
      <c r="V21" s="386"/>
      <c r="W21" s="386"/>
      <c r="X21" s="386"/>
      <c r="Y21" s="386"/>
      <c r="Z21" s="386"/>
      <c r="AA21" s="386"/>
      <c r="AB21" s="386"/>
      <c r="AC21" s="386"/>
      <c r="AD21" s="386"/>
      <c r="AE21" s="386"/>
      <c r="AF21" s="386"/>
      <c r="AG21" s="386"/>
    </row>
    <row r="22" spans="1:36" outlineLevel="1" x14ac:dyDescent="0.45"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386"/>
      <c r="S22" s="386"/>
      <c r="T22" s="386"/>
      <c r="U22" s="386"/>
      <c r="V22" s="386"/>
      <c r="W22" s="386"/>
      <c r="X22" s="386"/>
      <c r="Y22" s="386"/>
      <c r="Z22" s="386"/>
      <c r="AA22" s="386"/>
      <c r="AB22" s="386"/>
      <c r="AC22" s="386"/>
      <c r="AD22" s="386"/>
      <c r="AE22" s="386"/>
      <c r="AF22" s="386"/>
      <c r="AG22" s="386"/>
    </row>
    <row r="23" spans="1:36" outlineLevel="1" x14ac:dyDescent="0.45">
      <c r="C23" s="386"/>
      <c r="D23" s="386"/>
      <c r="E23" s="386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6"/>
      <c r="S23" s="386"/>
      <c r="T23" s="386"/>
      <c r="U23" s="386"/>
      <c r="V23" s="386"/>
      <c r="W23" s="386"/>
      <c r="X23" s="386"/>
      <c r="Y23" s="386"/>
      <c r="Z23" s="386"/>
      <c r="AA23" s="386"/>
      <c r="AB23" s="386"/>
      <c r="AC23" s="386"/>
      <c r="AD23" s="386"/>
      <c r="AE23" s="386"/>
      <c r="AF23" s="386"/>
      <c r="AG23" s="386"/>
    </row>
    <row r="24" spans="1:36" outlineLevel="1" x14ac:dyDescent="0.45"/>
    <row r="25" spans="1:36" x14ac:dyDescent="0.45">
      <c r="C25" s="284">
        <v>46082</v>
      </c>
      <c r="D25" s="285"/>
      <c r="E25" s="285"/>
      <c r="F25" s="285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</row>
    <row r="26" spans="1:36" outlineLevel="1" x14ac:dyDescent="0.45">
      <c r="C26" s="99" t="str">
        <f t="shared" ref="C26:AG26" si="4">TEXT(C27,"aaa")</f>
        <v>日</v>
      </c>
      <c r="D26" s="99" t="str">
        <f t="shared" si="4"/>
        <v>月</v>
      </c>
      <c r="E26" s="99" t="str">
        <f t="shared" si="4"/>
        <v>火</v>
      </c>
      <c r="F26" s="99" t="str">
        <f t="shared" si="4"/>
        <v>水</v>
      </c>
      <c r="G26" s="99" t="str">
        <f t="shared" si="4"/>
        <v>木</v>
      </c>
      <c r="H26" s="99" t="str">
        <f t="shared" si="4"/>
        <v>金</v>
      </c>
      <c r="I26" s="99" t="str">
        <f t="shared" si="4"/>
        <v>土</v>
      </c>
      <c r="J26" s="99" t="str">
        <f t="shared" si="4"/>
        <v>日</v>
      </c>
      <c r="K26" s="99" t="str">
        <f t="shared" si="4"/>
        <v>月</v>
      </c>
      <c r="L26" s="99" t="str">
        <f t="shared" si="4"/>
        <v>火</v>
      </c>
      <c r="M26" s="99" t="str">
        <f t="shared" si="4"/>
        <v>水</v>
      </c>
      <c r="N26" s="99" t="str">
        <f t="shared" si="4"/>
        <v>木</v>
      </c>
      <c r="O26" s="99" t="str">
        <f t="shared" si="4"/>
        <v>金</v>
      </c>
      <c r="P26" s="99" t="str">
        <f t="shared" si="4"/>
        <v>土</v>
      </c>
      <c r="Q26" s="99" t="str">
        <f t="shared" si="4"/>
        <v>日</v>
      </c>
      <c r="R26" s="99" t="str">
        <f t="shared" si="4"/>
        <v>月</v>
      </c>
      <c r="S26" s="99" t="str">
        <f t="shared" si="4"/>
        <v>火</v>
      </c>
      <c r="T26" s="99" t="str">
        <f t="shared" si="4"/>
        <v>水</v>
      </c>
      <c r="U26" s="99" t="str">
        <f t="shared" si="4"/>
        <v>木</v>
      </c>
      <c r="V26" s="99" t="str">
        <f t="shared" si="4"/>
        <v>金</v>
      </c>
      <c r="W26" s="99" t="str">
        <f t="shared" si="4"/>
        <v>土</v>
      </c>
      <c r="X26" s="99" t="str">
        <f t="shared" si="4"/>
        <v>日</v>
      </c>
      <c r="Y26" s="99" t="str">
        <f t="shared" si="4"/>
        <v>月</v>
      </c>
      <c r="Z26" s="99" t="str">
        <f t="shared" si="4"/>
        <v>火</v>
      </c>
      <c r="AA26" s="99" t="str">
        <f t="shared" si="4"/>
        <v>水</v>
      </c>
      <c r="AB26" s="99" t="str">
        <f t="shared" si="4"/>
        <v>木</v>
      </c>
      <c r="AC26" s="99" t="str">
        <f t="shared" si="4"/>
        <v>金</v>
      </c>
      <c r="AD26" s="99" t="str">
        <f t="shared" si="4"/>
        <v>土</v>
      </c>
      <c r="AE26" s="99" t="str">
        <f t="shared" si="4"/>
        <v>日</v>
      </c>
      <c r="AF26" s="99" t="str">
        <f t="shared" si="4"/>
        <v>月</v>
      </c>
      <c r="AG26" s="99" t="str">
        <f t="shared" si="4"/>
        <v>火</v>
      </c>
      <c r="AI26" s="101" t="s">
        <v>41</v>
      </c>
      <c r="AJ26" s="105">
        <f>COUNT(C28:AG28)</f>
        <v>21</v>
      </c>
    </row>
    <row r="27" spans="1:36" outlineLevel="1" x14ac:dyDescent="0.45">
      <c r="C27" s="104">
        <f>C25</f>
        <v>46082</v>
      </c>
      <c r="D27" s="104">
        <f t="shared" ref="D27:AG27" si="5">IF(C27="","",IF(C27+1&lt;=EOMONTH($C25,0),C27+1,""))</f>
        <v>46083</v>
      </c>
      <c r="E27" s="104">
        <f t="shared" si="5"/>
        <v>46084</v>
      </c>
      <c r="F27" s="104">
        <f t="shared" si="5"/>
        <v>46085</v>
      </c>
      <c r="G27" s="104">
        <f t="shared" si="5"/>
        <v>46086</v>
      </c>
      <c r="H27" s="104">
        <f t="shared" si="5"/>
        <v>46087</v>
      </c>
      <c r="I27" s="104">
        <f t="shared" si="5"/>
        <v>46088</v>
      </c>
      <c r="J27" s="104">
        <f t="shared" si="5"/>
        <v>46089</v>
      </c>
      <c r="K27" s="104">
        <f t="shared" si="5"/>
        <v>46090</v>
      </c>
      <c r="L27" s="104">
        <f t="shared" si="5"/>
        <v>46091</v>
      </c>
      <c r="M27" s="104">
        <f t="shared" si="5"/>
        <v>46092</v>
      </c>
      <c r="N27" s="104">
        <f t="shared" si="5"/>
        <v>46093</v>
      </c>
      <c r="O27" s="104">
        <f t="shared" si="5"/>
        <v>46094</v>
      </c>
      <c r="P27" s="104">
        <f t="shared" si="5"/>
        <v>46095</v>
      </c>
      <c r="Q27" s="104">
        <f t="shared" si="5"/>
        <v>46096</v>
      </c>
      <c r="R27" s="104">
        <f t="shared" si="5"/>
        <v>46097</v>
      </c>
      <c r="S27" s="104">
        <f t="shared" si="5"/>
        <v>46098</v>
      </c>
      <c r="T27" s="104">
        <f t="shared" si="5"/>
        <v>46099</v>
      </c>
      <c r="U27" s="104">
        <f t="shared" si="5"/>
        <v>46100</v>
      </c>
      <c r="V27" s="104">
        <f t="shared" si="5"/>
        <v>46101</v>
      </c>
      <c r="W27" s="104">
        <f t="shared" si="5"/>
        <v>46102</v>
      </c>
      <c r="X27" s="104">
        <f t="shared" si="5"/>
        <v>46103</v>
      </c>
      <c r="Y27" s="104">
        <f t="shared" si="5"/>
        <v>46104</v>
      </c>
      <c r="Z27" s="104">
        <f t="shared" si="5"/>
        <v>46105</v>
      </c>
      <c r="AA27" s="104">
        <f t="shared" si="5"/>
        <v>46106</v>
      </c>
      <c r="AB27" s="104">
        <f t="shared" si="5"/>
        <v>46107</v>
      </c>
      <c r="AC27" s="104">
        <f t="shared" si="5"/>
        <v>46108</v>
      </c>
      <c r="AD27" s="104">
        <f t="shared" si="5"/>
        <v>46109</v>
      </c>
      <c r="AE27" s="104">
        <f t="shared" si="5"/>
        <v>46110</v>
      </c>
      <c r="AF27" s="104">
        <f t="shared" si="5"/>
        <v>46111</v>
      </c>
      <c r="AG27" s="104">
        <f t="shared" si="5"/>
        <v>46112</v>
      </c>
      <c r="AI27" s="101" t="s">
        <v>42</v>
      </c>
      <c r="AJ27" s="102" t="str">
        <f>_xlfn.LET(_xlpm.v,SUM(C28:AG28),IF(_xlpm.v=INT(_xlpm.v),TEXT(_xlpm.v,"0")&amp;" h",TEXT(_xlpm.v,"0.###")&amp;" h"))</f>
        <v>168 h</v>
      </c>
    </row>
    <row r="28" spans="1:36" outlineLevel="1" x14ac:dyDescent="0.45">
      <c r="A28" s="101" t="s">
        <v>38</v>
      </c>
      <c r="C28" s="98"/>
      <c r="D28" s="98">
        <v>8</v>
      </c>
      <c r="E28" s="98">
        <v>8</v>
      </c>
      <c r="F28" s="98">
        <v>8</v>
      </c>
      <c r="G28" s="98">
        <v>8</v>
      </c>
      <c r="H28" s="98">
        <v>8</v>
      </c>
      <c r="I28" s="98"/>
      <c r="J28" s="98"/>
      <c r="K28" s="98">
        <v>8</v>
      </c>
      <c r="L28" s="98">
        <v>8</v>
      </c>
      <c r="M28" s="98">
        <v>8</v>
      </c>
      <c r="N28" s="98">
        <v>8</v>
      </c>
      <c r="O28" s="98">
        <v>8</v>
      </c>
      <c r="P28" s="98"/>
      <c r="Q28" s="98"/>
      <c r="R28" s="98">
        <v>8</v>
      </c>
      <c r="S28" s="98">
        <v>8</v>
      </c>
      <c r="T28" s="98">
        <v>8</v>
      </c>
      <c r="U28" s="98">
        <v>8</v>
      </c>
      <c r="V28" s="98"/>
      <c r="W28" s="98"/>
      <c r="X28" s="98"/>
      <c r="Y28" s="98">
        <v>8</v>
      </c>
      <c r="Z28" s="98">
        <v>8</v>
      </c>
      <c r="AA28" s="98">
        <v>8</v>
      </c>
      <c r="AB28" s="98">
        <v>8</v>
      </c>
      <c r="AC28" s="98">
        <v>8</v>
      </c>
      <c r="AD28" s="98"/>
      <c r="AE28" s="98"/>
      <c r="AF28" s="98">
        <v>8</v>
      </c>
      <c r="AG28" s="98">
        <v>8</v>
      </c>
      <c r="AI28" s="99" t="s">
        <v>43</v>
      </c>
      <c r="AJ28" s="106">
        <f>COUNT(C29:AG29)</f>
        <v>21</v>
      </c>
    </row>
    <row r="29" spans="1:36" outlineLevel="1" x14ac:dyDescent="0.45">
      <c r="A29" s="99" t="s">
        <v>39</v>
      </c>
      <c r="C29" s="99"/>
      <c r="D29" s="99">
        <v>8</v>
      </c>
      <c r="E29" s="99">
        <v>8</v>
      </c>
      <c r="F29" s="99">
        <v>8</v>
      </c>
      <c r="G29" s="99">
        <v>8</v>
      </c>
      <c r="H29" s="99">
        <v>8</v>
      </c>
      <c r="I29" s="99"/>
      <c r="J29" s="99"/>
      <c r="K29" s="99">
        <v>8</v>
      </c>
      <c r="L29" s="99">
        <v>8</v>
      </c>
      <c r="M29" s="99">
        <v>8</v>
      </c>
      <c r="N29" s="99">
        <v>8</v>
      </c>
      <c r="O29" s="99">
        <v>8</v>
      </c>
      <c r="P29" s="99"/>
      <c r="Q29" s="99"/>
      <c r="R29" s="99">
        <v>8</v>
      </c>
      <c r="S29" s="99">
        <v>8</v>
      </c>
      <c r="T29" s="99">
        <v>8</v>
      </c>
      <c r="U29" s="99">
        <v>8</v>
      </c>
      <c r="V29" s="99"/>
      <c r="W29" s="99"/>
      <c r="X29" s="99"/>
      <c r="Y29" s="99">
        <v>8</v>
      </c>
      <c r="Z29" s="99">
        <v>8</v>
      </c>
      <c r="AA29" s="99">
        <v>8</v>
      </c>
      <c r="AB29" s="99">
        <v>8</v>
      </c>
      <c r="AC29" s="99">
        <v>8</v>
      </c>
      <c r="AD29" s="99"/>
      <c r="AE29" s="99"/>
      <c r="AF29" s="99">
        <v>8</v>
      </c>
      <c r="AG29" s="99">
        <v>8</v>
      </c>
      <c r="AI29" s="99" t="s">
        <v>44</v>
      </c>
      <c r="AJ29" s="103" t="str">
        <f>_xlfn.LET(_xlpm.v,SUM(C29:AG29),IF(_xlpm.v=INT(_xlpm.v),TEXT(_xlpm.v,"0")&amp;" h",TEXT(_xlpm.v,"0.###")&amp;" h"))</f>
        <v>168 h</v>
      </c>
    </row>
    <row r="30" spans="1:36" outlineLevel="1" x14ac:dyDescent="0.45">
      <c r="A30" s="99" t="s">
        <v>37</v>
      </c>
      <c r="C30" s="99"/>
      <c r="D30" s="99" t="s">
        <v>22</v>
      </c>
      <c r="E30" s="99" t="s">
        <v>22</v>
      </c>
      <c r="F30" s="99" t="s">
        <v>22</v>
      </c>
      <c r="G30" s="99" t="s">
        <v>22</v>
      </c>
      <c r="H30" s="99" t="s">
        <v>22</v>
      </c>
      <c r="I30" s="99"/>
      <c r="J30" s="99"/>
      <c r="K30" s="99" t="s">
        <v>22</v>
      </c>
      <c r="L30" s="99" t="s">
        <v>22</v>
      </c>
      <c r="M30" s="99" t="s">
        <v>22</v>
      </c>
      <c r="N30" s="99" t="s">
        <v>22</v>
      </c>
      <c r="O30" s="99" t="s">
        <v>22</v>
      </c>
      <c r="P30" s="99"/>
      <c r="Q30" s="99"/>
      <c r="R30" s="99" t="s">
        <v>22</v>
      </c>
      <c r="S30" s="99" t="s">
        <v>22</v>
      </c>
      <c r="T30" s="99" t="s">
        <v>22</v>
      </c>
      <c r="U30" s="99" t="s">
        <v>22</v>
      </c>
      <c r="V30" s="99"/>
      <c r="W30" s="99"/>
      <c r="X30" s="99"/>
      <c r="Y30" s="99" t="s">
        <v>22</v>
      </c>
      <c r="Z30" s="99" t="s">
        <v>22</v>
      </c>
      <c r="AA30" s="99" t="s">
        <v>22</v>
      </c>
      <c r="AB30" s="99" t="s">
        <v>22</v>
      </c>
      <c r="AC30" s="99" t="s">
        <v>22</v>
      </c>
      <c r="AD30" s="99"/>
      <c r="AE30" s="99"/>
      <c r="AF30" s="99" t="s">
        <v>22</v>
      </c>
      <c r="AG30" s="99" t="s">
        <v>22</v>
      </c>
      <c r="AI30" s="99" t="s">
        <v>45</v>
      </c>
      <c r="AJ30" s="106">
        <f>COUNTIF(C30:AG30,"出")</f>
        <v>0</v>
      </c>
    </row>
    <row r="31" spans="1:36" outlineLevel="1" x14ac:dyDescent="0.45">
      <c r="A31" s="99" t="s">
        <v>40</v>
      </c>
      <c r="C31" s="386"/>
      <c r="D31" s="386"/>
      <c r="E31" s="386"/>
      <c r="F31" s="386"/>
      <c r="G31" s="386"/>
      <c r="H31" s="386"/>
      <c r="I31" s="386"/>
      <c r="J31" s="386"/>
      <c r="K31" s="386"/>
      <c r="L31" s="386"/>
      <c r="M31" s="386"/>
      <c r="N31" s="386"/>
      <c r="O31" s="386"/>
      <c r="P31" s="386"/>
      <c r="Q31" s="386"/>
      <c r="S31" s="386"/>
      <c r="T31" s="386"/>
      <c r="U31" s="386"/>
      <c r="V31" s="386"/>
      <c r="W31" s="386"/>
      <c r="X31" s="386"/>
      <c r="Y31" s="386"/>
      <c r="Z31" s="386"/>
      <c r="AA31" s="386"/>
      <c r="AB31" s="386"/>
      <c r="AC31" s="386"/>
      <c r="AD31" s="386"/>
      <c r="AE31" s="386"/>
      <c r="AF31" s="386"/>
      <c r="AG31" s="386"/>
      <c r="AI31" s="99" t="s">
        <v>46</v>
      </c>
      <c r="AJ31" s="106">
        <f>COUNTIF(C30:AG30,"リ")</f>
        <v>21</v>
      </c>
    </row>
    <row r="32" spans="1:36" outlineLevel="1" x14ac:dyDescent="0.45">
      <c r="C32" s="386"/>
      <c r="D32" s="386"/>
      <c r="E32" s="386"/>
      <c r="F32" s="386"/>
      <c r="G32" s="386"/>
      <c r="H32" s="386"/>
      <c r="I32" s="386"/>
      <c r="J32" s="386"/>
      <c r="K32" s="386"/>
      <c r="L32" s="386"/>
      <c r="M32" s="386"/>
      <c r="N32" s="386"/>
      <c r="O32" s="386"/>
      <c r="P32" s="386"/>
      <c r="Q32" s="386"/>
      <c r="S32" s="386"/>
      <c r="T32" s="386"/>
      <c r="U32" s="386"/>
      <c r="V32" s="386"/>
      <c r="W32" s="386"/>
      <c r="X32" s="386"/>
      <c r="Y32" s="386"/>
      <c r="Z32" s="386"/>
      <c r="AA32" s="386"/>
      <c r="AB32" s="386"/>
      <c r="AC32" s="386"/>
      <c r="AD32" s="386"/>
      <c r="AE32" s="386"/>
      <c r="AF32" s="386"/>
      <c r="AG32" s="386"/>
      <c r="AI32" s="99" t="s">
        <v>25</v>
      </c>
      <c r="AJ32" s="107">
        <f>AJ30/(AJ30+AJ31)</f>
        <v>0</v>
      </c>
    </row>
    <row r="33" spans="1:36" outlineLevel="1" x14ac:dyDescent="0.45">
      <c r="C33" s="386"/>
      <c r="D33" s="386"/>
      <c r="E33" s="386"/>
      <c r="F33" s="386"/>
      <c r="G33" s="386"/>
      <c r="H33" s="386"/>
      <c r="I33" s="386"/>
      <c r="J33" s="386"/>
      <c r="K33" s="386"/>
      <c r="L33" s="386"/>
      <c r="M33" s="386"/>
      <c r="N33" s="386"/>
      <c r="O33" s="386"/>
      <c r="P33" s="386"/>
      <c r="Q33" s="386"/>
      <c r="S33" s="386"/>
      <c r="T33" s="386"/>
      <c r="U33" s="386"/>
      <c r="V33" s="386"/>
      <c r="W33" s="386"/>
      <c r="X33" s="386"/>
      <c r="Y33" s="386"/>
      <c r="Z33" s="386"/>
      <c r="AA33" s="386"/>
      <c r="AB33" s="386"/>
      <c r="AC33" s="386"/>
      <c r="AD33" s="386"/>
      <c r="AE33" s="386"/>
      <c r="AF33" s="386"/>
      <c r="AG33" s="386"/>
    </row>
    <row r="34" spans="1:36" outlineLevel="1" x14ac:dyDescent="0.45">
      <c r="C34" s="386"/>
      <c r="D34" s="386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</row>
    <row r="35" spans="1:36" outlineLevel="1" x14ac:dyDescent="0.45">
      <c r="C35" s="386"/>
      <c r="D35" s="386"/>
      <c r="E35" s="386"/>
      <c r="F35" s="386"/>
      <c r="G35" s="386"/>
      <c r="H35" s="386"/>
      <c r="I35" s="386"/>
      <c r="J35" s="386"/>
      <c r="K35" s="386"/>
      <c r="L35" s="386"/>
      <c r="M35" s="386"/>
      <c r="N35" s="386"/>
      <c r="O35" s="386"/>
      <c r="P35" s="386"/>
      <c r="Q35" s="386"/>
      <c r="S35" s="386"/>
      <c r="T35" s="386"/>
      <c r="U35" s="386"/>
      <c r="V35" s="386"/>
      <c r="W35" s="386"/>
      <c r="X35" s="386"/>
      <c r="Y35" s="386"/>
      <c r="Z35" s="386"/>
      <c r="AA35" s="386"/>
      <c r="AB35" s="386"/>
      <c r="AC35" s="386"/>
      <c r="AD35" s="386"/>
      <c r="AE35" s="386"/>
      <c r="AF35" s="386"/>
      <c r="AG35" s="386"/>
    </row>
    <row r="36" spans="1:36" outlineLevel="1" x14ac:dyDescent="0.45"/>
    <row r="37" spans="1:36" x14ac:dyDescent="0.45">
      <c r="C37" s="284">
        <v>46113</v>
      </c>
      <c r="D37" s="285"/>
      <c r="E37" s="285"/>
      <c r="F37" s="285"/>
      <c r="G37" s="285"/>
      <c r="H37" s="285"/>
      <c r="I37" s="285"/>
      <c r="J37" s="285"/>
      <c r="K37" s="285"/>
      <c r="L37" s="285"/>
      <c r="M37" s="285"/>
      <c r="N37" s="285"/>
      <c r="O37" s="285"/>
      <c r="P37" s="285"/>
      <c r="Q37" s="285"/>
      <c r="R37" s="285"/>
      <c r="S37" s="285"/>
      <c r="T37" s="285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</row>
    <row r="38" spans="1:36" outlineLevel="1" x14ac:dyDescent="0.45">
      <c r="C38" s="99" t="str">
        <f t="shared" ref="C38:AG38" si="6">TEXT(C39,"aaa")</f>
        <v>水</v>
      </c>
      <c r="D38" s="99" t="str">
        <f t="shared" si="6"/>
        <v>木</v>
      </c>
      <c r="E38" s="99" t="str">
        <f t="shared" si="6"/>
        <v>金</v>
      </c>
      <c r="F38" s="99" t="str">
        <f t="shared" si="6"/>
        <v>土</v>
      </c>
      <c r="G38" s="99" t="str">
        <f t="shared" si="6"/>
        <v>日</v>
      </c>
      <c r="H38" s="99" t="str">
        <f t="shared" si="6"/>
        <v>月</v>
      </c>
      <c r="I38" s="99" t="str">
        <f t="shared" si="6"/>
        <v>火</v>
      </c>
      <c r="J38" s="99" t="str">
        <f t="shared" si="6"/>
        <v>水</v>
      </c>
      <c r="K38" s="99" t="str">
        <f t="shared" si="6"/>
        <v>木</v>
      </c>
      <c r="L38" s="99" t="str">
        <f t="shared" si="6"/>
        <v>金</v>
      </c>
      <c r="M38" s="99" t="str">
        <f t="shared" si="6"/>
        <v>土</v>
      </c>
      <c r="N38" s="99" t="str">
        <f t="shared" si="6"/>
        <v>日</v>
      </c>
      <c r="O38" s="99" t="str">
        <f t="shared" si="6"/>
        <v>月</v>
      </c>
      <c r="P38" s="99" t="str">
        <f t="shared" si="6"/>
        <v>火</v>
      </c>
      <c r="Q38" s="99" t="str">
        <f t="shared" si="6"/>
        <v>水</v>
      </c>
      <c r="R38" s="99" t="str">
        <f t="shared" si="6"/>
        <v>木</v>
      </c>
      <c r="S38" s="99" t="str">
        <f t="shared" si="6"/>
        <v>金</v>
      </c>
      <c r="T38" s="99" t="str">
        <f t="shared" si="6"/>
        <v>土</v>
      </c>
      <c r="U38" s="99" t="str">
        <f t="shared" si="6"/>
        <v>日</v>
      </c>
      <c r="V38" s="99" t="str">
        <f t="shared" si="6"/>
        <v>月</v>
      </c>
      <c r="W38" s="99" t="str">
        <f t="shared" si="6"/>
        <v>火</v>
      </c>
      <c r="X38" s="99" t="str">
        <f t="shared" si="6"/>
        <v>水</v>
      </c>
      <c r="Y38" s="99" t="str">
        <f t="shared" si="6"/>
        <v>木</v>
      </c>
      <c r="Z38" s="99" t="str">
        <f t="shared" si="6"/>
        <v>金</v>
      </c>
      <c r="AA38" s="99" t="str">
        <f t="shared" si="6"/>
        <v>土</v>
      </c>
      <c r="AB38" s="99" t="str">
        <f t="shared" si="6"/>
        <v>日</v>
      </c>
      <c r="AC38" s="99" t="str">
        <f t="shared" si="6"/>
        <v>月</v>
      </c>
      <c r="AD38" s="99" t="str">
        <f t="shared" si="6"/>
        <v>火</v>
      </c>
      <c r="AE38" s="99" t="str">
        <f t="shared" si="6"/>
        <v>水</v>
      </c>
      <c r="AF38" s="99" t="str">
        <f t="shared" si="6"/>
        <v>木</v>
      </c>
      <c r="AG38" s="99" t="str">
        <f t="shared" si="6"/>
        <v/>
      </c>
      <c r="AI38" s="101" t="s">
        <v>41</v>
      </c>
      <c r="AJ38" s="105">
        <f>COUNT(C40:AG40)</f>
        <v>21</v>
      </c>
    </row>
    <row r="39" spans="1:36" outlineLevel="1" x14ac:dyDescent="0.45">
      <c r="C39" s="104">
        <f>C37</f>
        <v>46113</v>
      </c>
      <c r="D39" s="104">
        <f t="shared" ref="D39:AG39" si="7">IF(C39="","",IF(C39+1&lt;=EOMONTH($C37,0),C39+1,""))</f>
        <v>46114</v>
      </c>
      <c r="E39" s="104">
        <f t="shared" si="7"/>
        <v>46115</v>
      </c>
      <c r="F39" s="104">
        <f t="shared" si="7"/>
        <v>46116</v>
      </c>
      <c r="G39" s="104">
        <f t="shared" si="7"/>
        <v>46117</v>
      </c>
      <c r="H39" s="104">
        <f t="shared" si="7"/>
        <v>46118</v>
      </c>
      <c r="I39" s="104">
        <f t="shared" si="7"/>
        <v>46119</v>
      </c>
      <c r="J39" s="104">
        <f t="shared" si="7"/>
        <v>46120</v>
      </c>
      <c r="K39" s="104">
        <f t="shared" si="7"/>
        <v>46121</v>
      </c>
      <c r="L39" s="104">
        <f t="shared" si="7"/>
        <v>46122</v>
      </c>
      <c r="M39" s="104">
        <f t="shared" si="7"/>
        <v>46123</v>
      </c>
      <c r="N39" s="104">
        <f t="shared" si="7"/>
        <v>46124</v>
      </c>
      <c r="O39" s="104">
        <f t="shared" si="7"/>
        <v>46125</v>
      </c>
      <c r="P39" s="104">
        <f t="shared" si="7"/>
        <v>46126</v>
      </c>
      <c r="Q39" s="104">
        <f t="shared" si="7"/>
        <v>46127</v>
      </c>
      <c r="R39" s="104">
        <f t="shared" si="7"/>
        <v>46128</v>
      </c>
      <c r="S39" s="104">
        <f t="shared" si="7"/>
        <v>46129</v>
      </c>
      <c r="T39" s="104">
        <f t="shared" si="7"/>
        <v>46130</v>
      </c>
      <c r="U39" s="104">
        <f t="shared" si="7"/>
        <v>46131</v>
      </c>
      <c r="V39" s="104">
        <f t="shared" si="7"/>
        <v>46132</v>
      </c>
      <c r="W39" s="104">
        <f t="shared" si="7"/>
        <v>46133</v>
      </c>
      <c r="X39" s="104">
        <f t="shared" si="7"/>
        <v>46134</v>
      </c>
      <c r="Y39" s="104">
        <f t="shared" si="7"/>
        <v>46135</v>
      </c>
      <c r="Z39" s="104">
        <f t="shared" si="7"/>
        <v>46136</v>
      </c>
      <c r="AA39" s="104">
        <f t="shared" si="7"/>
        <v>46137</v>
      </c>
      <c r="AB39" s="104">
        <f t="shared" si="7"/>
        <v>46138</v>
      </c>
      <c r="AC39" s="104">
        <f t="shared" si="7"/>
        <v>46139</v>
      </c>
      <c r="AD39" s="104">
        <f t="shared" si="7"/>
        <v>46140</v>
      </c>
      <c r="AE39" s="104">
        <f t="shared" si="7"/>
        <v>46141</v>
      </c>
      <c r="AF39" s="104">
        <f t="shared" si="7"/>
        <v>46142</v>
      </c>
      <c r="AG39" s="104" t="str">
        <f t="shared" si="7"/>
        <v/>
      </c>
      <c r="AI39" s="101" t="s">
        <v>42</v>
      </c>
      <c r="AJ39" s="102" t="str">
        <f>_xlfn.LET(_xlpm.v,SUM(C40:AG40),IF(_xlpm.v=INT(_xlpm.v),TEXT(_xlpm.v,"0")&amp;" h",TEXT(_xlpm.v,"0.###")&amp;" h"))</f>
        <v>168 h</v>
      </c>
    </row>
    <row r="40" spans="1:36" outlineLevel="1" x14ac:dyDescent="0.45">
      <c r="A40" s="101" t="s">
        <v>38</v>
      </c>
      <c r="C40" s="98">
        <v>8</v>
      </c>
      <c r="D40" s="98">
        <v>8</v>
      </c>
      <c r="E40" s="98">
        <v>8</v>
      </c>
      <c r="F40" s="98"/>
      <c r="G40" s="98"/>
      <c r="H40" s="98">
        <v>8</v>
      </c>
      <c r="I40" s="98">
        <v>8</v>
      </c>
      <c r="J40" s="98">
        <v>8</v>
      </c>
      <c r="K40" s="98">
        <v>8</v>
      </c>
      <c r="L40" s="98">
        <v>8</v>
      </c>
      <c r="M40" s="98"/>
      <c r="N40" s="98"/>
      <c r="O40" s="98">
        <v>8</v>
      </c>
      <c r="P40" s="98">
        <v>8</v>
      </c>
      <c r="Q40" s="98">
        <v>8</v>
      </c>
      <c r="R40" s="98">
        <v>8</v>
      </c>
      <c r="S40" s="98">
        <v>8</v>
      </c>
      <c r="T40" s="98"/>
      <c r="U40" s="98"/>
      <c r="V40" s="98">
        <v>8</v>
      </c>
      <c r="W40" s="98">
        <v>8</v>
      </c>
      <c r="X40" s="98">
        <v>8</v>
      </c>
      <c r="Y40" s="98">
        <v>8</v>
      </c>
      <c r="Z40" s="98">
        <v>8</v>
      </c>
      <c r="AA40" s="98"/>
      <c r="AB40" s="98"/>
      <c r="AC40" s="98">
        <v>8</v>
      </c>
      <c r="AD40" s="98">
        <v>8</v>
      </c>
      <c r="AE40" s="98"/>
      <c r="AF40" s="98">
        <v>8</v>
      </c>
      <c r="AG40" s="98"/>
      <c r="AI40" s="99" t="s">
        <v>43</v>
      </c>
      <c r="AJ40" s="106">
        <f>COUNT(C41:AG41)</f>
        <v>21</v>
      </c>
    </row>
    <row r="41" spans="1:36" outlineLevel="1" x14ac:dyDescent="0.45">
      <c r="A41" s="99" t="s">
        <v>39</v>
      </c>
      <c r="C41" s="99">
        <v>8</v>
      </c>
      <c r="D41" s="99">
        <v>8</v>
      </c>
      <c r="E41" s="99">
        <v>8</v>
      </c>
      <c r="F41" s="99"/>
      <c r="G41" s="99"/>
      <c r="H41" s="99">
        <v>8</v>
      </c>
      <c r="I41" s="99">
        <v>8</v>
      </c>
      <c r="J41" s="99">
        <v>8</v>
      </c>
      <c r="K41" s="99">
        <v>8</v>
      </c>
      <c r="L41" s="99">
        <v>8</v>
      </c>
      <c r="M41" s="99"/>
      <c r="N41" s="99"/>
      <c r="O41" s="99">
        <v>8</v>
      </c>
      <c r="P41" s="99">
        <v>8</v>
      </c>
      <c r="Q41" s="99">
        <v>8</v>
      </c>
      <c r="R41" s="99">
        <v>8</v>
      </c>
      <c r="S41" s="99">
        <v>8</v>
      </c>
      <c r="T41" s="99"/>
      <c r="U41" s="99"/>
      <c r="V41" s="99">
        <v>8</v>
      </c>
      <c r="W41" s="99">
        <v>8</v>
      </c>
      <c r="X41" s="99">
        <v>8</v>
      </c>
      <c r="Y41" s="99">
        <v>8</v>
      </c>
      <c r="Z41" s="99">
        <v>8</v>
      </c>
      <c r="AA41" s="99"/>
      <c r="AB41" s="99"/>
      <c r="AC41" s="99">
        <v>8</v>
      </c>
      <c r="AD41" s="99">
        <v>8</v>
      </c>
      <c r="AE41" s="99"/>
      <c r="AF41" s="99">
        <v>8</v>
      </c>
      <c r="AG41" s="99"/>
      <c r="AI41" s="99" t="s">
        <v>44</v>
      </c>
      <c r="AJ41" s="103" t="str">
        <f>_xlfn.LET(_xlpm.v,SUM(C41:AG41),IF(_xlpm.v=INT(_xlpm.v),TEXT(_xlpm.v,"0")&amp;" h",TEXT(_xlpm.v,"0.###")&amp;" h"))</f>
        <v>168 h</v>
      </c>
    </row>
    <row r="42" spans="1:36" outlineLevel="1" x14ac:dyDescent="0.45">
      <c r="A42" s="99" t="s">
        <v>37</v>
      </c>
      <c r="C42" s="99" t="s">
        <v>22</v>
      </c>
      <c r="D42" s="99" t="s">
        <v>22</v>
      </c>
      <c r="E42" s="99" t="s">
        <v>22</v>
      </c>
      <c r="F42" s="99"/>
      <c r="G42" s="99"/>
      <c r="H42" s="99" t="s">
        <v>22</v>
      </c>
      <c r="I42" s="99" t="s">
        <v>22</v>
      </c>
      <c r="J42" s="99" t="s">
        <v>22</v>
      </c>
      <c r="K42" s="99" t="s">
        <v>22</v>
      </c>
      <c r="L42" s="99" t="s">
        <v>22</v>
      </c>
      <c r="M42" s="99"/>
      <c r="N42" s="99"/>
      <c r="O42" s="99" t="s">
        <v>22</v>
      </c>
      <c r="P42" s="99" t="s">
        <v>22</v>
      </c>
      <c r="Q42" s="99" t="s">
        <v>22</v>
      </c>
      <c r="R42" s="99" t="s">
        <v>22</v>
      </c>
      <c r="S42" s="99" t="s">
        <v>22</v>
      </c>
      <c r="T42" s="99"/>
      <c r="U42" s="99"/>
      <c r="V42" s="99" t="s">
        <v>22</v>
      </c>
      <c r="W42" s="99" t="s">
        <v>22</v>
      </c>
      <c r="X42" s="99" t="s">
        <v>22</v>
      </c>
      <c r="Y42" s="99" t="s">
        <v>22</v>
      </c>
      <c r="Z42" s="99" t="s">
        <v>22</v>
      </c>
      <c r="AA42" s="99"/>
      <c r="AB42" s="99"/>
      <c r="AC42" s="99" t="s">
        <v>22</v>
      </c>
      <c r="AD42" s="99" t="s">
        <v>22</v>
      </c>
      <c r="AE42" s="99"/>
      <c r="AF42" s="99" t="s">
        <v>22</v>
      </c>
      <c r="AG42" s="99"/>
      <c r="AI42" s="99" t="s">
        <v>45</v>
      </c>
      <c r="AJ42" s="106">
        <f>COUNTIF(C42:AG42,"出")</f>
        <v>0</v>
      </c>
    </row>
    <row r="43" spans="1:36" outlineLevel="1" x14ac:dyDescent="0.45">
      <c r="A43" s="99" t="s">
        <v>40</v>
      </c>
      <c r="C43" s="386"/>
      <c r="D43" s="386"/>
      <c r="E43" s="386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6"/>
      <c r="S43" s="386"/>
      <c r="T43" s="386"/>
      <c r="U43" s="386"/>
      <c r="V43" s="386"/>
      <c r="W43" s="386"/>
      <c r="X43" s="386"/>
      <c r="Y43" s="386"/>
      <c r="Z43" s="386"/>
      <c r="AA43" s="386"/>
      <c r="AB43" s="386"/>
      <c r="AC43" s="386"/>
      <c r="AD43" s="386"/>
      <c r="AE43" s="386"/>
      <c r="AF43" s="386"/>
      <c r="AG43" s="386"/>
      <c r="AI43" s="99" t="s">
        <v>46</v>
      </c>
      <c r="AJ43" s="106">
        <f>COUNTIF(C42:AG42,"リ")</f>
        <v>21</v>
      </c>
    </row>
    <row r="44" spans="1:36" outlineLevel="1" x14ac:dyDescent="0.45">
      <c r="C44" s="386"/>
      <c r="D44" s="386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I44" s="99" t="s">
        <v>25</v>
      </c>
      <c r="AJ44" s="107">
        <f>AJ42/(AJ42+AJ43)</f>
        <v>0</v>
      </c>
    </row>
    <row r="45" spans="1:36" outlineLevel="1" x14ac:dyDescent="0.45">
      <c r="C45" s="386"/>
      <c r="D45" s="386"/>
      <c r="E45" s="386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6"/>
      <c r="S45" s="386"/>
      <c r="T45" s="386"/>
      <c r="U45" s="386"/>
      <c r="V45" s="386"/>
      <c r="W45" s="386"/>
      <c r="X45" s="386"/>
      <c r="Y45" s="386"/>
      <c r="Z45" s="386"/>
      <c r="AA45" s="386"/>
      <c r="AB45" s="386"/>
      <c r="AC45" s="386"/>
      <c r="AD45" s="386"/>
      <c r="AE45" s="386"/>
      <c r="AF45" s="386"/>
      <c r="AG45" s="386"/>
    </row>
    <row r="46" spans="1:36" outlineLevel="1" x14ac:dyDescent="0.45">
      <c r="C46" s="386"/>
      <c r="D46" s="386"/>
      <c r="E46" s="386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6"/>
      <c r="S46" s="386"/>
      <c r="T46" s="386"/>
      <c r="U46" s="386"/>
      <c r="V46" s="386"/>
      <c r="W46" s="386"/>
      <c r="X46" s="386"/>
      <c r="Y46" s="386"/>
      <c r="Z46" s="386"/>
      <c r="AA46" s="386"/>
      <c r="AB46" s="386"/>
      <c r="AC46" s="386"/>
      <c r="AD46" s="386"/>
      <c r="AE46" s="386"/>
      <c r="AF46" s="386"/>
      <c r="AG46" s="386"/>
    </row>
    <row r="47" spans="1:36" outlineLevel="1" x14ac:dyDescent="0.45">
      <c r="C47" s="386"/>
      <c r="D47" s="386"/>
      <c r="E47" s="386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6"/>
      <c r="S47" s="386"/>
      <c r="T47" s="386"/>
      <c r="U47" s="386"/>
      <c r="V47" s="386"/>
      <c r="W47" s="386"/>
      <c r="X47" s="386"/>
      <c r="Y47" s="386"/>
      <c r="Z47" s="386"/>
      <c r="AA47" s="386"/>
      <c r="AB47" s="386"/>
      <c r="AC47" s="386"/>
      <c r="AD47" s="386"/>
      <c r="AE47" s="386"/>
      <c r="AF47" s="386"/>
      <c r="AG47" s="386"/>
    </row>
    <row r="48" spans="1:36" outlineLevel="1" x14ac:dyDescent="0.45"/>
    <row r="49" spans="1:36" x14ac:dyDescent="0.45">
      <c r="C49" s="284">
        <v>46143</v>
      </c>
      <c r="D49" s="285"/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</row>
    <row r="50" spans="1:36" outlineLevel="1" x14ac:dyDescent="0.45">
      <c r="C50" s="99" t="str">
        <f t="shared" ref="C50:AG50" si="8">TEXT(C51,"aaa")</f>
        <v>金</v>
      </c>
      <c r="D50" s="99" t="str">
        <f t="shared" si="8"/>
        <v>土</v>
      </c>
      <c r="E50" s="99" t="str">
        <f t="shared" si="8"/>
        <v>日</v>
      </c>
      <c r="F50" s="99" t="str">
        <f t="shared" si="8"/>
        <v>月</v>
      </c>
      <c r="G50" s="99" t="str">
        <f t="shared" si="8"/>
        <v>火</v>
      </c>
      <c r="H50" s="99" t="str">
        <f t="shared" si="8"/>
        <v>水</v>
      </c>
      <c r="I50" s="99" t="str">
        <f t="shared" si="8"/>
        <v>木</v>
      </c>
      <c r="J50" s="99" t="str">
        <f t="shared" si="8"/>
        <v>金</v>
      </c>
      <c r="K50" s="99" t="str">
        <f t="shared" si="8"/>
        <v>土</v>
      </c>
      <c r="L50" s="99" t="str">
        <f t="shared" si="8"/>
        <v>日</v>
      </c>
      <c r="M50" s="99" t="str">
        <f t="shared" si="8"/>
        <v>月</v>
      </c>
      <c r="N50" s="99" t="str">
        <f t="shared" si="8"/>
        <v>火</v>
      </c>
      <c r="O50" s="99" t="str">
        <f t="shared" si="8"/>
        <v>水</v>
      </c>
      <c r="P50" s="99" t="str">
        <f t="shared" si="8"/>
        <v>木</v>
      </c>
      <c r="Q50" s="99" t="str">
        <f t="shared" si="8"/>
        <v>金</v>
      </c>
      <c r="R50" s="99" t="str">
        <f t="shared" si="8"/>
        <v>土</v>
      </c>
      <c r="S50" s="99" t="str">
        <f t="shared" si="8"/>
        <v>日</v>
      </c>
      <c r="T50" s="99" t="str">
        <f t="shared" si="8"/>
        <v>月</v>
      </c>
      <c r="U50" s="99" t="str">
        <f t="shared" si="8"/>
        <v>火</v>
      </c>
      <c r="V50" s="99" t="str">
        <f t="shared" si="8"/>
        <v>水</v>
      </c>
      <c r="W50" s="99" t="str">
        <f t="shared" si="8"/>
        <v>木</v>
      </c>
      <c r="X50" s="99" t="str">
        <f t="shared" si="8"/>
        <v>金</v>
      </c>
      <c r="Y50" s="99" t="str">
        <f t="shared" si="8"/>
        <v>土</v>
      </c>
      <c r="Z50" s="99" t="str">
        <f t="shared" si="8"/>
        <v>日</v>
      </c>
      <c r="AA50" s="99" t="str">
        <f t="shared" si="8"/>
        <v>月</v>
      </c>
      <c r="AB50" s="99" t="str">
        <f t="shared" si="8"/>
        <v>火</v>
      </c>
      <c r="AC50" s="99" t="str">
        <f t="shared" si="8"/>
        <v>水</v>
      </c>
      <c r="AD50" s="99" t="str">
        <f t="shared" si="8"/>
        <v>木</v>
      </c>
      <c r="AE50" s="99" t="str">
        <f t="shared" si="8"/>
        <v>金</v>
      </c>
      <c r="AF50" s="99" t="str">
        <f t="shared" si="8"/>
        <v>土</v>
      </c>
      <c r="AG50" s="99" t="str">
        <f t="shared" si="8"/>
        <v>日</v>
      </c>
      <c r="AI50" s="101" t="s">
        <v>41</v>
      </c>
      <c r="AJ50" s="105">
        <f>COUNT(C52:AG52)</f>
        <v>18</v>
      </c>
    </row>
    <row r="51" spans="1:36" outlineLevel="1" x14ac:dyDescent="0.45">
      <c r="C51" s="104">
        <f>C49</f>
        <v>46143</v>
      </c>
      <c r="D51" s="104">
        <f t="shared" ref="D51:AG51" si="9">IF(C51="","",IF(C51+1&lt;=EOMONTH($C49,0),C51+1,""))</f>
        <v>46144</v>
      </c>
      <c r="E51" s="104">
        <f t="shared" si="9"/>
        <v>46145</v>
      </c>
      <c r="F51" s="104">
        <f t="shared" si="9"/>
        <v>46146</v>
      </c>
      <c r="G51" s="104">
        <f t="shared" si="9"/>
        <v>46147</v>
      </c>
      <c r="H51" s="104">
        <f t="shared" si="9"/>
        <v>46148</v>
      </c>
      <c r="I51" s="104">
        <f t="shared" si="9"/>
        <v>46149</v>
      </c>
      <c r="J51" s="104">
        <f t="shared" si="9"/>
        <v>46150</v>
      </c>
      <c r="K51" s="104">
        <f t="shared" si="9"/>
        <v>46151</v>
      </c>
      <c r="L51" s="104">
        <f t="shared" si="9"/>
        <v>46152</v>
      </c>
      <c r="M51" s="104">
        <f t="shared" si="9"/>
        <v>46153</v>
      </c>
      <c r="N51" s="104">
        <f t="shared" si="9"/>
        <v>46154</v>
      </c>
      <c r="O51" s="104">
        <f t="shared" si="9"/>
        <v>46155</v>
      </c>
      <c r="P51" s="104">
        <f t="shared" si="9"/>
        <v>46156</v>
      </c>
      <c r="Q51" s="104">
        <f t="shared" si="9"/>
        <v>46157</v>
      </c>
      <c r="R51" s="104">
        <f t="shared" si="9"/>
        <v>46158</v>
      </c>
      <c r="S51" s="104">
        <f t="shared" si="9"/>
        <v>46159</v>
      </c>
      <c r="T51" s="104">
        <f t="shared" si="9"/>
        <v>46160</v>
      </c>
      <c r="U51" s="104">
        <f t="shared" si="9"/>
        <v>46161</v>
      </c>
      <c r="V51" s="104">
        <f t="shared" si="9"/>
        <v>46162</v>
      </c>
      <c r="W51" s="104">
        <f t="shared" si="9"/>
        <v>46163</v>
      </c>
      <c r="X51" s="104">
        <f t="shared" si="9"/>
        <v>46164</v>
      </c>
      <c r="Y51" s="104">
        <f t="shared" si="9"/>
        <v>46165</v>
      </c>
      <c r="Z51" s="104">
        <f t="shared" si="9"/>
        <v>46166</v>
      </c>
      <c r="AA51" s="104">
        <f t="shared" si="9"/>
        <v>46167</v>
      </c>
      <c r="AB51" s="104">
        <f t="shared" si="9"/>
        <v>46168</v>
      </c>
      <c r="AC51" s="104">
        <f t="shared" si="9"/>
        <v>46169</v>
      </c>
      <c r="AD51" s="104">
        <f t="shared" si="9"/>
        <v>46170</v>
      </c>
      <c r="AE51" s="104">
        <f t="shared" si="9"/>
        <v>46171</v>
      </c>
      <c r="AF51" s="104">
        <f t="shared" si="9"/>
        <v>46172</v>
      </c>
      <c r="AG51" s="104">
        <f t="shared" si="9"/>
        <v>46173</v>
      </c>
      <c r="AI51" s="101" t="s">
        <v>42</v>
      </c>
      <c r="AJ51" s="102" t="str">
        <f>_xlfn.LET(_xlpm.v,SUM(C52:AG52),IF(_xlpm.v=INT(_xlpm.v),TEXT(_xlpm.v,"0")&amp;" h",TEXT(_xlpm.v,"0.###")&amp;" h"))</f>
        <v>144 h</v>
      </c>
    </row>
    <row r="52" spans="1:36" outlineLevel="1" x14ac:dyDescent="0.45">
      <c r="A52" s="101" t="s">
        <v>38</v>
      </c>
      <c r="C52" s="98">
        <v>8</v>
      </c>
      <c r="D52" s="98"/>
      <c r="E52" s="98"/>
      <c r="F52" s="98"/>
      <c r="G52" s="98"/>
      <c r="H52" s="98"/>
      <c r="I52" s="98">
        <v>8</v>
      </c>
      <c r="J52" s="98">
        <v>8</v>
      </c>
      <c r="K52" s="98"/>
      <c r="L52" s="98"/>
      <c r="M52" s="98">
        <v>8</v>
      </c>
      <c r="N52" s="98">
        <v>8</v>
      </c>
      <c r="O52" s="98">
        <v>8</v>
      </c>
      <c r="P52" s="98">
        <v>8</v>
      </c>
      <c r="Q52" s="98">
        <v>8</v>
      </c>
      <c r="R52" s="98"/>
      <c r="S52" s="98"/>
      <c r="T52" s="98">
        <v>8</v>
      </c>
      <c r="U52" s="98">
        <v>8</v>
      </c>
      <c r="V52" s="98">
        <v>8</v>
      </c>
      <c r="W52" s="98">
        <v>8</v>
      </c>
      <c r="X52" s="98">
        <v>8</v>
      </c>
      <c r="Y52" s="98"/>
      <c r="Z52" s="98"/>
      <c r="AA52" s="98">
        <v>8</v>
      </c>
      <c r="AB52" s="98">
        <v>8</v>
      </c>
      <c r="AC52" s="98">
        <v>8</v>
      </c>
      <c r="AD52" s="98">
        <v>8</v>
      </c>
      <c r="AE52" s="98">
        <v>8</v>
      </c>
      <c r="AF52" s="98"/>
      <c r="AG52" s="98"/>
      <c r="AI52" s="99" t="s">
        <v>43</v>
      </c>
      <c r="AJ52" s="106">
        <f>COUNT(C53:AG53)</f>
        <v>18</v>
      </c>
    </row>
    <row r="53" spans="1:36" outlineLevel="1" x14ac:dyDescent="0.45">
      <c r="A53" s="99" t="s">
        <v>39</v>
      </c>
      <c r="C53" s="99">
        <v>8</v>
      </c>
      <c r="D53" s="99"/>
      <c r="E53" s="99"/>
      <c r="F53" s="99"/>
      <c r="G53" s="99"/>
      <c r="H53" s="99"/>
      <c r="I53" s="99">
        <v>8</v>
      </c>
      <c r="J53" s="99">
        <v>8</v>
      </c>
      <c r="K53" s="99"/>
      <c r="L53" s="99"/>
      <c r="M53" s="99">
        <v>8</v>
      </c>
      <c r="N53" s="99">
        <v>8</v>
      </c>
      <c r="O53" s="99">
        <v>8</v>
      </c>
      <c r="P53" s="99">
        <v>8</v>
      </c>
      <c r="Q53" s="99">
        <v>8</v>
      </c>
      <c r="R53" s="99"/>
      <c r="S53" s="99"/>
      <c r="T53" s="99">
        <v>8</v>
      </c>
      <c r="U53" s="99">
        <v>8</v>
      </c>
      <c r="V53" s="99">
        <v>8</v>
      </c>
      <c r="W53" s="99">
        <v>8</v>
      </c>
      <c r="X53" s="99">
        <v>8</v>
      </c>
      <c r="Y53" s="99"/>
      <c r="Z53" s="99"/>
      <c r="AA53" s="99">
        <v>8</v>
      </c>
      <c r="AB53" s="99">
        <v>8</v>
      </c>
      <c r="AC53" s="99">
        <v>8</v>
      </c>
      <c r="AD53" s="99">
        <v>8</v>
      </c>
      <c r="AE53" s="99">
        <v>8</v>
      </c>
      <c r="AF53" s="99"/>
      <c r="AG53" s="99"/>
      <c r="AI53" s="99" t="s">
        <v>44</v>
      </c>
      <c r="AJ53" s="103" t="str">
        <f>_xlfn.LET(_xlpm.v,SUM(C53:AG53),IF(_xlpm.v=INT(_xlpm.v),TEXT(_xlpm.v,"0")&amp;" h",TEXT(_xlpm.v,"0.###")&amp;" h"))</f>
        <v>144 h</v>
      </c>
    </row>
    <row r="54" spans="1:36" outlineLevel="1" x14ac:dyDescent="0.45">
      <c r="A54" s="99" t="s">
        <v>37</v>
      </c>
      <c r="C54" s="99" t="s">
        <v>22</v>
      </c>
      <c r="D54" s="99"/>
      <c r="E54" s="99"/>
      <c r="F54" s="99"/>
      <c r="G54" s="99"/>
      <c r="H54" s="99"/>
      <c r="I54" s="99" t="s">
        <v>22</v>
      </c>
      <c r="J54" s="99" t="s">
        <v>22</v>
      </c>
      <c r="K54" s="99"/>
      <c r="L54" s="99"/>
      <c r="M54" s="99" t="s">
        <v>22</v>
      </c>
      <c r="N54" s="99" t="s">
        <v>22</v>
      </c>
      <c r="O54" s="99" t="s">
        <v>22</v>
      </c>
      <c r="P54" s="99" t="s">
        <v>22</v>
      </c>
      <c r="Q54" s="99" t="s">
        <v>22</v>
      </c>
      <c r="R54" s="99"/>
      <c r="S54" s="99"/>
      <c r="T54" s="99" t="s">
        <v>22</v>
      </c>
      <c r="U54" s="99" t="s">
        <v>22</v>
      </c>
      <c r="V54" s="99" t="s">
        <v>22</v>
      </c>
      <c r="W54" s="99" t="s">
        <v>22</v>
      </c>
      <c r="X54" s="99" t="s">
        <v>22</v>
      </c>
      <c r="Y54" s="99"/>
      <c r="Z54" s="99"/>
      <c r="AA54" s="99" t="s">
        <v>22</v>
      </c>
      <c r="AB54" s="99" t="s">
        <v>22</v>
      </c>
      <c r="AC54" s="99" t="s">
        <v>22</v>
      </c>
      <c r="AD54" s="99" t="s">
        <v>22</v>
      </c>
      <c r="AE54" s="99" t="s">
        <v>22</v>
      </c>
      <c r="AF54" s="99"/>
      <c r="AG54" s="99"/>
      <c r="AI54" s="99" t="s">
        <v>45</v>
      </c>
      <c r="AJ54" s="106">
        <f>COUNTIF(C54:AG54,"出")</f>
        <v>0</v>
      </c>
    </row>
    <row r="55" spans="1:36" outlineLevel="1" x14ac:dyDescent="0.45">
      <c r="A55" s="99" t="s">
        <v>40</v>
      </c>
      <c r="C55" s="386"/>
      <c r="D55" s="386"/>
      <c r="E55" s="386"/>
      <c r="F55" s="386"/>
      <c r="G55" s="386"/>
      <c r="H55" s="386"/>
      <c r="I55" s="386"/>
      <c r="J55" s="386"/>
      <c r="K55" s="386"/>
      <c r="L55" s="386"/>
      <c r="M55" s="386"/>
      <c r="N55" s="386"/>
      <c r="O55" s="386"/>
      <c r="P55" s="386"/>
      <c r="Q55" s="386"/>
      <c r="S55" s="386"/>
      <c r="T55" s="386"/>
      <c r="U55" s="386"/>
      <c r="V55" s="386"/>
      <c r="W55" s="386"/>
      <c r="X55" s="386"/>
      <c r="Y55" s="386"/>
      <c r="Z55" s="386"/>
      <c r="AA55" s="386"/>
      <c r="AB55" s="386"/>
      <c r="AC55" s="386"/>
      <c r="AD55" s="386"/>
      <c r="AE55" s="386"/>
      <c r="AF55" s="386"/>
      <c r="AG55" s="386"/>
      <c r="AI55" s="99" t="s">
        <v>46</v>
      </c>
      <c r="AJ55" s="106">
        <f>COUNTIF(C54:AG54,"リ")</f>
        <v>18</v>
      </c>
    </row>
    <row r="56" spans="1:36" outlineLevel="1" x14ac:dyDescent="0.45">
      <c r="C56" s="386"/>
      <c r="D56" s="386"/>
      <c r="E56" s="386"/>
      <c r="F56" s="386"/>
      <c r="G56" s="386"/>
      <c r="H56" s="386"/>
      <c r="I56" s="386"/>
      <c r="J56" s="386"/>
      <c r="K56" s="386"/>
      <c r="L56" s="386"/>
      <c r="M56" s="386"/>
      <c r="N56" s="386"/>
      <c r="O56" s="386"/>
      <c r="P56" s="386"/>
      <c r="Q56" s="386"/>
      <c r="S56" s="386"/>
      <c r="T56" s="386"/>
      <c r="U56" s="386"/>
      <c r="V56" s="386"/>
      <c r="W56" s="386"/>
      <c r="X56" s="386"/>
      <c r="Y56" s="386"/>
      <c r="Z56" s="386"/>
      <c r="AA56" s="386"/>
      <c r="AB56" s="386"/>
      <c r="AC56" s="386"/>
      <c r="AD56" s="386"/>
      <c r="AE56" s="386"/>
      <c r="AF56" s="386"/>
      <c r="AG56" s="386"/>
      <c r="AI56" s="99" t="s">
        <v>25</v>
      </c>
      <c r="AJ56" s="107">
        <f>AJ54/(AJ54+AJ55)</f>
        <v>0</v>
      </c>
    </row>
    <row r="57" spans="1:36" outlineLevel="1" x14ac:dyDescent="0.45">
      <c r="C57" s="386"/>
      <c r="D57" s="386"/>
      <c r="E57" s="386"/>
      <c r="F57" s="386"/>
      <c r="G57" s="386"/>
      <c r="H57" s="386"/>
      <c r="I57" s="386"/>
      <c r="J57" s="386"/>
      <c r="K57" s="386"/>
      <c r="L57" s="386"/>
      <c r="M57" s="386"/>
      <c r="N57" s="386"/>
      <c r="O57" s="386"/>
      <c r="P57" s="386"/>
      <c r="Q57" s="386"/>
      <c r="S57" s="386"/>
      <c r="T57" s="386"/>
      <c r="U57" s="386"/>
      <c r="V57" s="386"/>
      <c r="W57" s="386"/>
      <c r="X57" s="386"/>
      <c r="Y57" s="386"/>
      <c r="Z57" s="386"/>
      <c r="AA57" s="386"/>
      <c r="AB57" s="386"/>
      <c r="AC57" s="386"/>
      <c r="AD57" s="386"/>
      <c r="AE57" s="386"/>
      <c r="AF57" s="386"/>
      <c r="AG57" s="386"/>
    </row>
    <row r="58" spans="1:36" outlineLevel="1" x14ac:dyDescent="0.45">
      <c r="C58" s="386"/>
      <c r="D58" s="386"/>
      <c r="E58" s="386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6"/>
      <c r="S58" s="386"/>
      <c r="T58" s="386"/>
      <c r="U58" s="386"/>
      <c r="V58" s="386"/>
      <c r="W58" s="386"/>
      <c r="X58" s="386"/>
      <c r="Y58" s="386"/>
      <c r="Z58" s="386"/>
      <c r="AA58" s="386"/>
      <c r="AB58" s="386"/>
      <c r="AC58" s="386"/>
      <c r="AD58" s="386"/>
      <c r="AE58" s="386"/>
      <c r="AF58" s="386"/>
      <c r="AG58" s="386"/>
    </row>
    <row r="59" spans="1:36" outlineLevel="1" x14ac:dyDescent="0.45">
      <c r="C59" s="386"/>
      <c r="D59" s="386"/>
      <c r="E59" s="386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6"/>
      <c r="S59" s="386"/>
      <c r="T59" s="386"/>
      <c r="U59" s="386"/>
      <c r="V59" s="386"/>
      <c r="W59" s="386"/>
      <c r="X59" s="386"/>
      <c r="Y59" s="386"/>
      <c r="Z59" s="386"/>
      <c r="AA59" s="386"/>
      <c r="AB59" s="386"/>
      <c r="AC59" s="386"/>
      <c r="AD59" s="386"/>
      <c r="AE59" s="386"/>
      <c r="AF59" s="386"/>
      <c r="AG59" s="386"/>
    </row>
    <row r="60" spans="1:36" outlineLevel="1" x14ac:dyDescent="0.45"/>
    <row r="61" spans="1:36" x14ac:dyDescent="0.45">
      <c r="C61" s="284">
        <v>46174</v>
      </c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</row>
    <row r="62" spans="1:36" outlineLevel="1" x14ac:dyDescent="0.45">
      <c r="C62" s="99" t="str">
        <f t="shared" ref="C62:AG62" si="10">TEXT(C63,"aaa")</f>
        <v>月</v>
      </c>
      <c r="D62" s="99" t="str">
        <f t="shared" si="10"/>
        <v>火</v>
      </c>
      <c r="E62" s="99" t="str">
        <f t="shared" si="10"/>
        <v>水</v>
      </c>
      <c r="F62" s="99" t="str">
        <f t="shared" si="10"/>
        <v>木</v>
      </c>
      <c r="G62" s="99" t="str">
        <f t="shared" si="10"/>
        <v>金</v>
      </c>
      <c r="H62" s="99" t="str">
        <f t="shared" si="10"/>
        <v>土</v>
      </c>
      <c r="I62" s="99" t="str">
        <f t="shared" si="10"/>
        <v>日</v>
      </c>
      <c r="J62" s="99" t="str">
        <f t="shared" si="10"/>
        <v>月</v>
      </c>
      <c r="K62" s="99" t="str">
        <f t="shared" si="10"/>
        <v>火</v>
      </c>
      <c r="L62" s="99" t="str">
        <f t="shared" si="10"/>
        <v>水</v>
      </c>
      <c r="M62" s="99" t="str">
        <f t="shared" si="10"/>
        <v>木</v>
      </c>
      <c r="N62" s="99" t="str">
        <f t="shared" si="10"/>
        <v>金</v>
      </c>
      <c r="O62" s="99" t="str">
        <f t="shared" si="10"/>
        <v>土</v>
      </c>
      <c r="P62" s="99" t="str">
        <f t="shared" si="10"/>
        <v>日</v>
      </c>
      <c r="Q62" s="99" t="str">
        <f t="shared" si="10"/>
        <v>月</v>
      </c>
      <c r="R62" s="99" t="str">
        <f t="shared" si="10"/>
        <v>火</v>
      </c>
      <c r="S62" s="99" t="str">
        <f t="shared" si="10"/>
        <v>水</v>
      </c>
      <c r="T62" s="99" t="str">
        <f t="shared" si="10"/>
        <v>木</v>
      </c>
      <c r="U62" s="99" t="str">
        <f t="shared" si="10"/>
        <v>金</v>
      </c>
      <c r="V62" s="99" t="str">
        <f t="shared" si="10"/>
        <v>土</v>
      </c>
      <c r="W62" s="99" t="str">
        <f t="shared" si="10"/>
        <v>日</v>
      </c>
      <c r="X62" s="99" t="str">
        <f t="shared" si="10"/>
        <v>月</v>
      </c>
      <c r="Y62" s="99" t="str">
        <f t="shared" si="10"/>
        <v>火</v>
      </c>
      <c r="Z62" s="99" t="str">
        <f t="shared" si="10"/>
        <v>水</v>
      </c>
      <c r="AA62" s="99" t="str">
        <f t="shared" si="10"/>
        <v>木</v>
      </c>
      <c r="AB62" s="99" t="str">
        <f t="shared" si="10"/>
        <v>金</v>
      </c>
      <c r="AC62" s="99" t="str">
        <f t="shared" si="10"/>
        <v>土</v>
      </c>
      <c r="AD62" s="99" t="str">
        <f t="shared" si="10"/>
        <v>日</v>
      </c>
      <c r="AE62" s="99" t="str">
        <f t="shared" si="10"/>
        <v>月</v>
      </c>
      <c r="AF62" s="99" t="str">
        <f t="shared" si="10"/>
        <v>火</v>
      </c>
      <c r="AG62" s="99" t="str">
        <f t="shared" si="10"/>
        <v/>
      </c>
      <c r="AI62" s="101" t="s">
        <v>41</v>
      </c>
      <c r="AJ62" s="105">
        <f>COUNT(C64:AG64)</f>
        <v>22</v>
      </c>
    </row>
    <row r="63" spans="1:36" outlineLevel="1" x14ac:dyDescent="0.45">
      <c r="C63" s="104">
        <f>C61</f>
        <v>46174</v>
      </c>
      <c r="D63" s="104">
        <f t="shared" ref="D63:AG63" si="11">IF(C63="","",IF(C63+1&lt;=EOMONTH($C61,0),C63+1,""))</f>
        <v>46175</v>
      </c>
      <c r="E63" s="104">
        <f t="shared" si="11"/>
        <v>46176</v>
      </c>
      <c r="F63" s="104">
        <f t="shared" si="11"/>
        <v>46177</v>
      </c>
      <c r="G63" s="104">
        <f t="shared" si="11"/>
        <v>46178</v>
      </c>
      <c r="H63" s="104">
        <f t="shared" si="11"/>
        <v>46179</v>
      </c>
      <c r="I63" s="104">
        <f t="shared" si="11"/>
        <v>46180</v>
      </c>
      <c r="J63" s="104">
        <f t="shared" si="11"/>
        <v>46181</v>
      </c>
      <c r="K63" s="104">
        <f t="shared" si="11"/>
        <v>46182</v>
      </c>
      <c r="L63" s="104">
        <f t="shared" si="11"/>
        <v>46183</v>
      </c>
      <c r="M63" s="104">
        <f t="shared" si="11"/>
        <v>46184</v>
      </c>
      <c r="N63" s="104">
        <f t="shared" si="11"/>
        <v>46185</v>
      </c>
      <c r="O63" s="104">
        <f t="shared" si="11"/>
        <v>46186</v>
      </c>
      <c r="P63" s="104">
        <f t="shared" si="11"/>
        <v>46187</v>
      </c>
      <c r="Q63" s="104">
        <f t="shared" si="11"/>
        <v>46188</v>
      </c>
      <c r="R63" s="104">
        <f t="shared" si="11"/>
        <v>46189</v>
      </c>
      <c r="S63" s="104">
        <f t="shared" si="11"/>
        <v>46190</v>
      </c>
      <c r="T63" s="104">
        <f t="shared" si="11"/>
        <v>46191</v>
      </c>
      <c r="U63" s="104">
        <f t="shared" si="11"/>
        <v>46192</v>
      </c>
      <c r="V63" s="104">
        <f t="shared" si="11"/>
        <v>46193</v>
      </c>
      <c r="W63" s="104">
        <f t="shared" si="11"/>
        <v>46194</v>
      </c>
      <c r="X63" s="104">
        <f t="shared" si="11"/>
        <v>46195</v>
      </c>
      <c r="Y63" s="104">
        <f t="shared" si="11"/>
        <v>46196</v>
      </c>
      <c r="Z63" s="104">
        <f t="shared" si="11"/>
        <v>46197</v>
      </c>
      <c r="AA63" s="104">
        <f t="shared" si="11"/>
        <v>46198</v>
      </c>
      <c r="AB63" s="104">
        <f t="shared" si="11"/>
        <v>46199</v>
      </c>
      <c r="AC63" s="104">
        <f t="shared" si="11"/>
        <v>46200</v>
      </c>
      <c r="AD63" s="104">
        <f t="shared" si="11"/>
        <v>46201</v>
      </c>
      <c r="AE63" s="104">
        <f t="shared" si="11"/>
        <v>46202</v>
      </c>
      <c r="AF63" s="104">
        <f t="shared" si="11"/>
        <v>46203</v>
      </c>
      <c r="AG63" s="104" t="str">
        <f t="shared" si="11"/>
        <v/>
      </c>
      <c r="AI63" s="101" t="s">
        <v>42</v>
      </c>
      <c r="AJ63" s="102" t="str">
        <f>_xlfn.LET(_xlpm.v,SUM(C64:AG64),IF(_xlpm.v=INT(_xlpm.v),TEXT(_xlpm.v,"0")&amp;" h",TEXT(_xlpm.v,"0.###")&amp;" h"))</f>
        <v>176 h</v>
      </c>
    </row>
    <row r="64" spans="1:36" outlineLevel="1" x14ac:dyDescent="0.45">
      <c r="A64" s="101" t="s">
        <v>38</v>
      </c>
      <c r="C64" s="98">
        <v>8</v>
      </c>
      <c r="D64" s="98">
        <v>8</v>
      </c>
      <c r="E64" s="98">
        <v>8</v>
      </c>
      <c r="F64" s="98">
        <v>8</v>
      </c>
      <c r="G64" s="98">
        <v>8</v>
      </c>
      <c r="H64" s="98"/>
      <c r="I64" s="98"/>
      <c r="J64" s="98">
        <v>8</v>
      </c>
      <c r="K64" s="98">
        <v>8</v>
      </c>
      <c r="L64" s="98">
        <v>8</v>
      </c>
      <c r="M64" s="98">
        <v>8</v>
      </c>
      <c r="N64" s="98">
        <v>8</v>
      </c>
      <c r="O64" s="98"/>
      <c r="P64" s="98"/>
      <c r="Q64" s="98">
        <v>8</v>
      </c>
      <c r="R64" s="98">
        <v>8</v>
      </c>
      <c r="S64" s="98">
        <v>8</v>
      </c>
      <c r="T64" s="98">
        <v>8</v>
      </c>
      <c r="U64" s="98">
        <v>8</v>
      </c>
      <c r="V64" s="98"/>
      <c r="W64" s="98"/>
      <c r="X64" s="98">
        <v>8</v>
      </c>
      <c r="Y64" s="98">
        <v>8</v>
      </c>
      <c r="Z64" s="98">
        <v>8</v>
      </c>
      <c r="AA64" s="98">
        <v>8</v>
      </c>
      <c r="AB64" s="98">
        <v>8</v>
      </c>
      <c r="AC64" s="98"/>
      <c r="AD64" s="98"/>
      <c r="AE64" s="98">
        <v>8</v>
      </c>
      <c r="AF64" s="98">
        <v>8</v>
      </c>
      <c r="AG64" s="98"/>
      <c r="AI64" s="99" t="s">
        <v>43</v>
      </c>
      <c r="AJ64" s="106">
        <f>COUNT(C65:AG65)</f>
        <v>22</v>
      </c>
    </row>
    <row r="65" spans="1:36" outlineLevel="1" x14ac:dyDescent="0.45">
      <c r="A65" s="99" t="s">
        <v>39</v>
      </c>
      <c r="C65" s="99">
        <v>8</v>
      </c>
      <c r="D65" s="99">
        <v>8</v>
      </c>
      <c r="E65" s="99">
        <v>8</v>
      </c>
      <c r="F65" s="99">
        <v>8</v>
      </c>
      <c r="G65" s="99">
        <v>8</v>
      </c>
      <c r="H65" s="99"/>
      <c r="I65" s="99"/>
      <c r="J65" s="99">
        <v>8</v>
      </c>
      <c r="K65" s="99">
        <v>8</v>
      </c>
      <c r="L65" s="99">
        <v>8</v>
      </c>
      <c r="M65" s="99">
        <v>8</v>
      </c>
      <c r="N65" s="99">
        <v>8</v>
      </c>
      <c r="O65" s="99"/>
      <c r="P65" s="99"/>
      <c r="Q65" s="99">
        <v>8</v>
      </c>
      <c r="R65" s="99">
        <v>8</v>
      </c>
      <c r="S65" s="99">
        <v>8</v>
      </c>
      <c r="T65" s="99">
        <v>8</v>
      </c>
      <c r="U65" s="99">
        <v>8</v>
      </c>
      <c r="V65" s="99"/>
      <c r="W65" s="99"/>
      <c r="X65" s="99">
        <v>8</v>
      </c>
      <c r="Y65" s="99">
        <v>8</v>
      </c>
      <c r="Z65" s="99">
        <v>8</v>
      </c>
      <c r="AA65" s="99">
        <v>8</v>
      </c>
      <c r="AB65" s="99">
        <v>8</v>
      </c>
      <c r="AC65" s="99"/>
      <c r="AD65" s="99"/>
      <c r="AE65" s="99">
        <v>8</v>
      </c>
      <c r="AF65" s="99">
        <v>8</v>
      </c>
      <c r="AG65" s="99"/>
      <c r="AI65" s="99" t="s">
        <v>44</v>
      </c>
      <c r="AJ65" s="103" t="str">
        <f>_xlfn.LET(_xlpm.v,SUM(C65:AG65),IF(_xlpm.v=INT(_xlpm.v),TEXT(_xlpm.v,"0")&amp;" h",TEXT(_xlpm.v,"0.###")&amp;" h"))</f>
        <v>176 h</v>
      </c>
    </row>
    <row r="66" spans="1:36" outlineLevel="1" x14ac:dyDescent="0.45">
      <c r="A66" s="99" t="s">
        <v>37</v>
      </c>
      <c r="C66" s="99" t="s">
        <v>22</v>
      </c>
      <c r="D66" s="99" t="s">
        <v>22</v>
      </c>
      <c r="E66" s="99" t="s">
        <v>22</v>
      </c>
      <c r="F66" s="99" t="s">
        <v>22</v>
      </c>
      <c r="G66" s="99" t="s">
        <v>22</v>
      </c>
      <c r="H66" s="99"/>
      <c r="I66" s="99"/>
      <c r="J66" s="99" t="s">
        <v>22</v>
      </c>
      <c r="K66" s="99" t="s">
        <v>22</v>
      </c>
      <c r="L66" s="99" t="s">
        <v>22</v>
      </c>
      <c r="M66" s="99" t="s">
        <v>22</v>
      </c>
      <c r="N66" s="99" t="s">
        <v>22</v>
      </c>
      <c r="O66" s="99"/>
      <c r="P66" s="99"/>
      <c r="Q66" s="99" t="s">
        <v>22</v>
      </c>
      <c r="R66" s="99" t="s">
        <v>22</v>
      </c>
      <c r="S66" s="99" t="s">
        <v>22</v>
      </c>
      <c r="T66" s="99" t="s">
        <v>22</v>
      </c>
      <c r="U66" s="99" t="s">
        <v>22</v>
      </c>
      <c r="V66" s="99"/>
      <c r="W66" s="99"/>
      <c r="X66" s="99" t="s">
        <v>22</v>
      </c>
      <c r="Y66" s="99" t="s">
        <v>22</v>
      </c>
      <c r="Z66" s="99" t="s">
        <v>22</v>
      </c>
      <c r="AA66" s="99" t="s">
        <v>22</v>
      </c>
      <c r="AB66" s="99" t="s">
        <v>22</v>
      </c>
      <c r="AC66" s="99"/>
      <c r="AD66" s="99"/>
      <c r="AE66" s="99" t="s">
        <v>22</v>
      </c>
      <c r="AF66" s="99" t="s">
        <v>22</v>
      </c>
      <c r="AG66" s="99"/>
      <c r="AI66" s="99" t="s">
        <v>45</v>
      </c>
      <c r="AJ66" s="106">
        <f>COUNTIF(C66:AG66,"出")</f>
        <v>0</v>
      </c>
    </row>
    <row r="67" spans="1:36" outlineLevel="1" x14ac:dyDescent="0.45">
      <c r="A67" s="99" t="s">
        <v>40</v>
      </c>
      <c r="C67" s="386"/>
      <c r="D67" s="386"/>
      <c r="E67" s="386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6"/>
      <c r="S67" s="386"/>
      <c r="T67" s="386"/>
      <c r="U67" s="386"/>
      <c r="V67" s="386"/>
      <c r="W67" s="386"/>
      <c r="X67" s="386"/>
      <c r="Y67" s="386"/>
      <c r="Z67" s="386"/>
      <c r="AA67" s="386"/>
      <c r="AB67" s="386"/>
      <c r="AC67" s="386"/>
      <c r="AD67" s="386"/>
      <c r="AE67" s="386"/>
      <c r="AF67" s="386"/>
      <c r="AG67" s="386"/>
      <c r="AI67" s="99" t="s">
        <v>46</v>
      </c>
      <c r="AJ67" s="106">
        <f>COUNTIF(C66:AG66,"リ")</f>
        <v>22</v>
      </c>
    </row>
    <row r="68" spans="1:36" outlineLevel="1" x14ac:dyDescent="0.45">
      <c r="C68" s="386"/>
      <c r="D68" s="386"/>
      <c r="E68" s="386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6"/>
      <c r="S68" s="386"/>
      <c r="T68" s="386"/>
      <c r="U68" s="386"/>
      <c r="V68" s="386"/>
      <c r="W68" s="386"/>
      <c r="X68" s="386"/>
      <c r="Y68" s="386"/>
      <c r="Z68" s="386"/>
      <c r="AA68" s="386"/>
      <c r="AB68" s="386"/>
      <c r="AC68" s="386"/>
      <c r="AD68" s="386"/>
      <c r="AE68" s="386"/>
      <c r="AF68" s="386"/>
      <c r="AG68" s="386"/>
      <c r="AI68" s="99" t="s">
        <v>25</v>
      </c>
      <c r="AJ68" s="107">
        <f>AJ66/(AJ66+AJ67)</f>
        <v>0</v>
      </c>
    </row>
    <row r="69" spans="1:36" outlineLevel="1" x14ac:dyDescent="0.45">
      <c r="C69" s="386"/>
      <c r="D69" s="386"/>
      <c r="E69" s="386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6"/>
      <c r="S69" s="386"/>
      <c r="T69" s="386"/>
      <c r="U69" s="386"/>
      <c r="V69" s="386"/>
      <c r="W69" s="386"/>
      <c r="X69" s="386"/>
      <c r="Y69" s="386"/>
      <c r="Z69" s="386"/>
      <c r="AA69" s="386"/>
      <c r="AB69" s="386"/>
      <c r="AC69" s="386"/>
      <c r="AD69" s="386"/>
      <c r="AE69" s="386"/>
      <c r="AF69" s="386"/>
      <c r="AG69" s="386"/>
    </row>
    <row r="70" spans="1:36" outlineLevel="1" x14ac:dyDescent="0.45">
      <c r="C70" s="386"/>
      <c r="D70" s="386"/>
      <c r="E70" s="386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6"/>
      <c r="S70" s="386"/>
      <c r="T70" s="386"/>
      <c r="U70" s="386"/>
      <c r="V70" s="386"/>
      <c r="W70" s="386"/>
      <c r="X70" s="386"/>
      <c r="Y70" s="386"/>
      <c r="Z70" s="386"/>
      <c r="AA70" s="386"/>
      <c r="AB70" s="386"/>
      <c r="AC70" s="386"/>
      <c r="AD70" s="386"/>
      <c r="AE70" s="386"/>
      <c r="AF70" s="386"/>
      <c r="AG70" s="386"/>
    </row>
    <row r="71" spans="1:36" outlineLevel="1" x14ac:dyDescent="0.45">
      <c r="C71" s="386"/>
      <c r="D71" s="386"/>
      <c r="E71" s="386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6"/>
      <c r="S71" s="386"/>
      <c r="T71" s="386"/>
      <c r="U71" s="386"/>
      <c r="V71" s="386"/>
      <c r="W71" s="386"/>
      <c r="X71" s="386"/>
      <c r="Y71" s="386"/>
      <c r="Z71" s="386"/>
      <c r="AA71" s="386"/>
      <c r="AB71" s="386"/>
      <c r="AC71" s="386"/>
      <c r="AD71" s="386"/>
      <c r="AE71" s="386"/>
      <c r="AF71" s="386"/>
      <c r="AG71" s="386"/>
    </row>
    <row r="72" spans="1:36" outlineLevel="1" x14ac:dyDescent="0.45"/>
    <row r="73" spans="1:36" x14ac:dyDescent="0.45">
      <c r="C73" s="284">
        <v>46204</v>
      </c>
      <c r="D73" s="285"/>
      <c r="E73" s="285"/>
      <c r="F73" s="285"/>
      <c r="G73" s="285"/>
      <c r="H73" s="285"/>
      <c r="I73" s="285"/>
      <c r="J73" s="285"/>
      <c r="K73" s="285"/>
      <c r="L73" s="285"/>
      <c r="M73" s="285"/>
      <c r="N73" s="285"/>
      <c r="O73" s="285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</row>
    <row r="74" spans="1:36" outlineLevel="1" x14ac:dyDescent="0.45">
      <c r="C74" s="99" t="str">
        <f t="shared" ref="C74:AG74" si="12">TEXT(C75,"aaa")</f>
        <v>水</v>
      </c>
      <c r="D74" s="99" t="str">
        <f t="shared" si="12"/>
        <v>木</v>
      </c>
      <c r="E74" s="99" t="str">
        <f t="shared" si="12"/>
        <v>金</v>
      </c>
      <c r="F74" s="99" t="str">
        <f t="shared" si="12"/>
        <v>土</v>
      </c>
      <c r="G74" s="99" t="str">
        <f t="shared" si="12"/>
        <v>日</v>
      </c>
      <c r="H74" s="99" t="str">
        <f t="shared" si="12"/>
        <v>月</v>
      </c>
      <c r="I74" s="99" t="str">
        <f t="shared" si="12"/>
        <v>火</v>
      </c>
      <c r="J74" s="99" t="str">
        <f t="shared" si="12"/>
        <v>水</v>
      </c>
      <c r="K74" s="99" t="str">
        <f t="shared" si="12"/>
        <v>木</v>
      </c>
      <c r="L74" s="99" t="str">
        <f t="shared" si="12"/>
        <v>金</v>
      </c>
      <c r="M74" s="99" t="str">
        <f t="shared" si="12"/>
        <v>土</v>
      </c>
      <c r="N74" s="99" t="str">
        <f t="shared" si="12"/>
        <v>日</v>
      </c>
      <c r="O74" s="99" t="str">
        <f t="shared" si="12"/>
        <v>月</v>
      </c>
      <c r="P74" s="99" t="str">
        <f t="shared" si="12"/>
        <v>火</v>
      </c>
      <c r="Q74" s="99" t="str">
        <f t="shared" si="12"/>
        <v>水</v>
      </c>
      <c r="R74" s="99" t="str">
        <f t="shared" si="12"/>
        <v>木</v>
      </c>
      <c r="S74" s="99" t="str">
        <f t="shared" si="12"/>
        <v>金</v>
      </c>
      <c r="T74" s="99" t="str">
        <f t="shared" si="12"/>
        <v>土</v>
      </c>
      <c r="U74" s="99" t="str">
        <f t="shared" si="12"/>
        <v>日</v>
      </c>
      <c r="V74" s="99" t="str">
        <f t="shared" si="12"/>
        <v>月</v>
      </c>
      <c r="W74" s="99" t="str">
        <f t="shared" si="12"/>
        <v>火</v>
      </c>
      <c r="X74" s="99" t="str">
        <f t="shared" si="12"/>
        <v>水</v>
      </c>
      <c r="Y74" s="99" t="str">
        <f t="shared" si="12"/>
        <v>木</v>
      </c>
      <c r="Z74" s="99" t="str">
        <f t="shared" si="12"/>
        <v>金</v>
      </c>
      <c r="AA74" s="99" t="str">
        <f t="shared" si="12"/>
        <v>土</v>
      </c>
      <c r="AB74" s="99" t="str">
        <f t="shared" si="12"/>
        <v>日</v>
      </c>
      <c r="AC74" s="99" t="str">
        <f t="shared" si="12"/>
        <v>月</v>
      </c>
      <c r="AD74" s="99" t="str">
        <f t="shared" si="12"/>
        <v>火</v>
      </c>
      <c r="AE74" s="99" t="str">
        <f t="shared" si="12"/>
        <v>水</v>
      </c>
      <c r="AF74" s="99" t="str">
        <f t="shared" si="12"/>
        <v>木</v>
      </c>
      <c r="AG74" s="99" t="str">
        <f t="shared" si="12"/>
        <v>金</v>
      </c>
      <c r="AI74" s="101" t="s">
        <v>41</v>
      </c>
      <c r="AJ74" s="105">
        <f>COUNT(C76:AG76)</f>
        <v>22</v>
      </c>
    </row>
    <row r="75" spans="1:36" outlineLevel="1" x14ac:dyDescent="0.45">
      <c r="C75" s="104">
        <f>C73</f>
        <v>46204</v>
      </c>
      <c r="D75" s="104">
        <f t="shared" ref="D75:AG75" si="13">IF(C75="","",IF(C75+1&lt;=EOMONTH($C73,0),C75+1,""))</f>
        <v>46205</v>
      </c>
      <c r="E75" s="104">
        <f t="shared" si="13"/>
        <v>46206</v>
      </c>
      <c r="F75" s="104">
        <f t="shared" si="13"/>
        <v>46207</v>
      </c>
      <c r="G75" s="104">
        <f t="shared" si="13"/>
        <v>46208</v>
      </c>
      <c r="H75" s="104">
        <f t="shared" si="13"/>
        <v>46209</v>
      </c>
      <c r="I75" s="104">
        <f t="shared" si="13"/>
        <v>46210</v>
      </c>
      <c r="J75" s="104">
        <f t="shared" si="13"/>
        <v>46211</v>
      </c>
      <c r="K75" s="104">
        <f t="shared" si="13"/>
        <v>46212</v>
      </c>
      <c r="L75" s="104">
        <f t="shared" si="13"/>
        <v>46213</v>
      </c>
      <c r="M75" s="104">
        <f t="shared" si="13"/>
        <v>46214</v>
      </c>
      <c r="N75" s="104">
        <f t="shared" si="13"/>
        <v>46215</v>
      </c>
      <c r="O75" s="104">
        <f t="shared" si="13"/>
        <v>46216</v>
      </c>
      <c r="P75" s="104">
        <f t="shared" si="13"/>
        <v>46217</v>
      </c>
      <c r="Q75" s="104">
        <f t="shared" si="13"/>
        <v>46218</v>
      </c>
      <c r="R75" s="104">
        <f t="shared" si="13"/>
        <v>46219</v>
      </c>
      <c r="S75" s="104">
        <f t="shared" si="13"/>
        <v>46220</v>
      </c>
      <c r="T75" s="104">
        <f t="shared" si="13"/>
        <v>46221</v>
      </c>
      <c r="U75" s="104">
        <f t="shared" si="13"/>
        <v>46222</v>
      </c>
      <c r="V75" s="104">
        <f t="shared" si="13"/>
        <v>46223</v>
      </c>
      <c r="W75" s="104">
        <f t="shared" si="13"/>
        <v>46224</v>
      </c>
      <c r="X75" s="104">
        <f t="shared" si="13"/>
        <v>46225</v>
      </c>
      <c r="Y75" s="104">
        <f t="shared" si="13"/>
        <v>46226</v>
      </c>
      <c r="Z75" s="104">
        <f t="shared" si="13"/>
        <v>46227</v>
      </c>
      <c r="AA75" s="104">
        <f t="shared" si="13"/>
        <v>46228</v>
      </c>
      <c r="AB75" s="104">
        <f t="shared" si="13"/>
        <v>46229</v>
      </c>
      <c r="AC75" s="104">
        <f t="shared" si="13"/>
        <v>46230</v>
      </c>
      <c r="AD75" s="104">
        <f t="shared" si="13"/>
        <v>46231</v>
      </c>
      <c r="AE75" s="104">
        <f t="shared" si="13"/>
        <v>46232</v>
      </c>
      <c r="AF75" s="104">
        <f t="shared" si="13"/>
        <v>46233</v>
      </c>
      <c r="AG75" s="104">
        <f t="shared" si="13"/>
        <v>46234</v>
      </c>
      <c r="AI75" s="101" t="s">
        <v>42</v>
      </c>
      <c r="AJ75" s="102" t="str">
        <f>_xlfn.LET(_xlpm.v,SUM(C76:AG76),IF(_xlpm.v=INT(_xlpm.v),TEXT(_xlpm.v,"0")&amp;" h",TEXT(_xlpm.v,"0.###")&amp;" h"))</f>
        <v>176 h</v>
      </c>
    </row>
    <row r="76" spans="1:36" outlineLevel="1" x14ac:dyDescent="0.45">
      <c r="A76" s="101" t="s">
        <v>38</v>
      </c>
      <c r="C76" s="98">
        <v>8</v>
      </c>
      <c r="D76" s="98">
        <v>8</v>
      </c>
      <c r="E76" s="98">
        <v>8</v>
      </c>
      <c r="F76" s="98"/>
      <c r="G76" s="98"/>
      <c r="H76" s="98">
        <v>8</v>
      </c>
      <c r="I76" s="98">
        <v>8</v>
      </c>
      <c r="J76" s="98">
        <v>8</v>
      </c>
      <c r="K76" s="98">
        <v>8</v>
      </c>
      <c r="L76" s="98">
        <v>8</v>
      </c>
      <c r="M76" s="98"/>
      <c r="N76" s="98"/>
      <c r="O76" s="98">
        <v>8</v>
      </c>
      <c r="P76" s="98">
        <v>8</v>
      </c>
      <c r="Q76" s="98">
        <v>8</v>
      </c>
      <c r="R76" s="98">
        <v>8</v>
      </c>
      <c r="S76" s="98">
        <v>8</v>
      </c>
      <c r="T76" s="98"/>
      <c r="U76" s="98"/>
      <c r="V76" s="98"/>
      <c r="W76" s="98">
        <v>8</v>
      </c>
      <c r="X76" s="98">
        <v>8</v>
      </c>
      <c r="Y76" s="98">
        <v>8</v>
      </c>
      <c r="Z76" s="98">
        <v>8</v>
      </c>
      <c r="AA76" s="98"/>
      <c r="AB76" s="98"/>
      <c r="AC76" s="98">
        <v>8</v>
      </c>
      <c r="AD76" s="98">
        <v>8</v>
      </c>
      <c r="AE76" s="98">
        <v>8</v>
      </c>
      <c r="AF76" s="98">
        <v>8</v>
      </c>
      <c r="AG76" s="98">
        <v>8</v>
      </c>
      <c r="AI76" s="99" t="s">
        <v>43</v>
      </c>
      <c r="AJ76" s="106">
        <f>COUNT(C77:AG77)</f>
        <v>22</v>
      </c>
    </row>
    <row r="77" spans="1:36" outlineLevel="1" x14ac:dyDescent="0.45">
      <c r="A77" s="99" t="s">
        <v>39</v>
      </c>
      <c r="C77" s="99">
        <v>8</v>
      </c>
      <c r="D77" s="99">
        <v>8</v>
      </c>
      <c r="E77" s="99">
        <v>8</v>
      </c>
      <c r="F77" s="99"/>
      <c r="G77" s="99"/>
      <c r="H77" s="99">
        <v>8</v>
      </c>
      <c r="I77" s="99">
        <v>8</v>
      </c>
      <c r="J77" s="99">
        <v>8</v>
      </c>
      <c r="K77" s="99">
        <v>8</v>
      </c>
      <c r="L77" s="99">
        <v>8</v>
      </c>
      <c r="M77" s="99"/>
      <c r="N77" s="99"/>
      <c r="O77" s="99">
        <v>8</v>
      </c>
      <c r="P77" s="99">
        <v>8</v>
      </c>
      <c r="Q77" s="99">
        <v>8</v>
      </c>
      <c r="R77" s="99">
        <v>8</v>
      </c>
      <c r="S77" s="99">
        <v>8</v>
      </c>
      <c r="T77" s="99"/>
      <c r="U77" s="99"/>
      <c r="V77" s="99"/>
      <c r="W77" s="99">
        <v>8</v>
      </c>
      <c r="X77" s="99">
        <v>8</v>
      </c>
      <c r="Y77" s="99">
        <v>8</v>
      </c>
      <c r="Z77" s="99">
        <v>8</v>
      </c>
      <c r="AA77" s="99"/>
      <c r="AB77" s="99"/>
      <c r="AC77" s="99">
        <v>8</v>
      </c>
      <c r="AD77" s="99">
        <v>8</v>
      </c>
      <c r="AE77" s="99">
        <v>8</v>
      </c>
      <c r="AF77" s="99">
        <v>8</v>
      </c>
      <c r="AG77" s="99">
        <v>8</v>
      </c>
      <c r="AI77" s="99" t="s">
        <v>44</v>
      </c>
      <c r="AJ77" s="103" t="str">
        <f>_xlfn.LET(_xlpm.v,SUM(C77:AG77),IF(_xlpm.v=INT(_xlpm.v),TEXT(_xlpm.v,"0")&amp;" h",TEXT(_xlpm.v,"0.###")&amp;" h"))</f>
        <v>176 h</v>
      </c>
    </row>
    <row r="78" spans="1:36" outlineLevel="1" x14ac:dyDescent="0.45">
      <c r="A78" s="99" t="s">
        <v>37</v>
      </c>
      <c r="C78" s="99" t="s">
        <v>22</v>
      </c>
      <c r="D78" s="99" t="s">
        <v>22</v>
      </c>
      <c r="E78" s="99" t="s">
        <v>22</v>
      </c>
      <c r="F78" s="99"/>
      <c r="G78" s="99"/>
      <c r="H78" s="99" t="s">
        <v>22</v>
      </c>
      <c r="I78" s="99" t="s">
        <v>22</v>
      </c>
      <c r="J78" s="99" t="s">
        <v>22</v>
      </c>
      <c r="K78" s="99" t="s">
        <v>22</v>
      </c>
      <c r="L78" s="99" t="s">
        <v>22</v>
      </c>
      <c r="M78" s="99"/>
      <c r="N78" s="99"/>
      <c r="O78" s="99" t="s">
        <v>22</v>
      </c>
      <c r="P78" s="99" t="s">
        <v>22</v>
      </c>
      <c r="Q78" s="99" t="s">
        <v>22</v>
      </c>
      <c r="R78" s="99" t="s">
        <v>22</v>
      </c>
      <c r="S78" s="99" t="s">
        <v>22</v>
      </c>
      <c r="T78" s="99"/>
      <c r="U78" s="99"/>
      <c r="V78" s="99"/>
      <c r="W78" s="99" t="s">
        <v>22</v>
      </c>
      <c r="X78" s="99" t="s">
        <v>22</v>
      </c>
      <c r="Y78" s="99" t="s">
        <v>22</v>
      </c>
      <c r="Z78" s="99" t="s">
        <v>22</v>
      </c>
      <c r="AA78" s="99"/>
      <c r="AB78" s="99"/>
      <c r="AC78" s="99" t="s">
        <v>22</v>
      </c>
      <c r="AD78" s="99" t="s">
        <v>22</v>
      </c>
      <c r="AE78" s="99" t="s">
        <v>22</v>
      </c>
      <c r="AF78" s="99" t="s">
        <v>22</v>
      </c>
      <c r="AG78" s="99" t="s">
        <v>22</v>
      </c>
      <c r="AI78" s="99" t="s">
        <v>45</v>
      </c>
      <c r="AJ78" s="106">
        <f>COUNTIF(C78:AG78,"出")</f>
        <v>0</v>
      </c>
    </row>
    <row r="79" spans="1:36" outlineLevel="1" x14ac:dyDescent="0.45">
      <c r="A79" s="99" t="s">
        <v>40</v>
      </c>
      <c r="C79" s="386"/>
      <c r="D79" s="386"/>
      <c r="E79" s="386"/>
      <c r="F79" s="386"/>
      <c r="G79" s="386"/>
      <c r="H79" s="386"/>
      <c r="I79" s="386"/>
      <c r="J79" s="386"/>
      <c r="K79" s="386"/>
      <c r="L79" s="386"/>
      <c r="M79" s="386"/>
      <c r="N79" s="386"/>
      <c r="O79" s="386"/>
      <c r="P79" s="386"/>
      <c r="Q79" s="386"/>
      <c r="S79" s="386"/>
      <c r="T79" s="386"/>
      <c r="U79" s="386"/>
      <c r="V79" s="386"/>
      <c r="W79" s="386"/>
      <c r="X79" s="386"/>
      <c r="Y79" s="386"/>
      <c r="Z79" s="386"/>
      <c r="AA79" s="386"/>
      <c r="AB79" s="386"/>
      <c r="AC79" s="386"/>
      <c r="AD79" s="386"/>
      <c r="AE79" s="386"/>
      <c r="AF79" s="386"/>
      <c r="AG79" s="386"/>
      <c r="AI79" s="99" t="s">
        <v>46</v>
      </c>
      <c r="AJ79" s="106">
        <f>COUNTIF(C78:AG78,"リ")</f>
        <v>22</v>
      </c>
    </row>
    <row r="80" spans="1:36" outlineLevel="1" x14ac:dyDescent="0.45">
      <c r="C80" s="386"/>
      <c r="D80" s="386"/>
      <c r="E80" s="386"/>
      <c r="F80" s="386"/>
      <c r="G80" s="386"/>
      <c r="H80" s="386"/>
      <c r="I80" s="386"/>
      <c r="J80" s="386"/>
      <c r="K80" s="386"/>
      <c r="L80" s="386"/>
      <c r="M80" s="386"/>
      <c r="N80" s="386"/>
      <c r="O80" s="386"/>
      <c r="P80" s="386"/>
      <c r="Q80" s="386"/>
      <c r="S80" s="386"/>
      <c r="T80" s="386"/>
      <c r="U80" s="386"/>
      <c r="V80" s="386"/>
      <c r="W80" s="386"/>
      <c r="X80" s="386"/>
      <c r="Y80" s="386"/>
      <c r="Z80" s="386"/>
      <c r="AA80" s="386"/>
      <c r="AB80" s="386"/>
      <c r="AC80" s="386"/>
      <c r="AD80" s="386"/>
      <c r="AE80" s="386"/>
      <c r="AF80" s="386"/>
      <c r="AG80" s="386"/>
      <c r="AI80" s="99" t="s">
        <v>25</v>
      </c>
      <c r="AJ80" s="107">
        <f>AJ78/(AJ78+AJ79)</f>
        <v>0</v>
      </c>
    </row>
    <row r="81" spans="1:36" outlineLevel="1" x14ac:dyDescent="0.45">
      <c r="C81" s="386"/>
      <c r="D81" s="386"/>
      <c r="E81" s="386"/>
      <c r="F81" s="386"/>
      <c r="G81" s="386"/>
      <c r="H81" s="386"/>
      <c r="I81" s="386"/>
      <c r="J81" s="386"/>
      <c r="K81" s="386"/>
      <c r="L81" s="386"/>
      <c r="M81" s="386"/>
      <c r="N81" s="386"/>
      <c r="O81" s="386"/>
      <c r="P81" s="386"/>
      <c r="Q81" s="386"/>
      <c r="S81" s="386"/>
      <c r="T81" s="386"/>
      <c r="U81" s="386"/>
      <c r="V81" s="386"/>
      <c r="W81" s="386"/>
      <c r="X81" s="386"/>
      <c r="Y81" s="386"/>
      <c r="Z81" s="386"/>
      <c r="AA81" s="386"/>
      <c r="AB81" s="386"/>
      <c r="AC81" s="386"/>
      <c r="AD81" s="386"/>
      <c r="AE81" s="386"/>
      <c r="AF81" s="386"/>
      <c r="AG81" s="386"/>
    </row>
    <row r="82" spans="1:36" outlineLevel="1" x14ac:dyDescent="0.45">
      <c r="C82" s="386"/>
      <c r="D82" s="386"/>
      <c r="E82" s="386"/>
      <c r="F82" s="386"/>
      <c r="G82" s="386"/>
      <c r="H82" s="386"/>
      <c r="I82" s="386"/>
      <c r="J82" s="386"/>
      <c r="K82" s="386"/>
      <c r="L82" s="386"/>
      <c r="M82" s="386"/>
      <c r="N82" s="386"/>
      <c r="O82" s="386"/>
      <c r="P82" s="386"/>
      <c r="Q82" s="386"/>
      <c r="S82" s="386"/>
      <c r="T82" s="386"/>
      <c r="U82" s="386"/>
      <c r="V82" s="386"/>
      <c r="W82" s="386"/>
      <c r="X82" s="386"/>
      <c r="Y82" s="386"/>
      <c r="Z82" s="386"/>
      <c r="AA82" s="386"/>
      <c r="AB82" s="386"/>
      <c r="AC82" s="386"/>
      <c r="AD82" s="386"/>
      <c r="AE82" s="386"/>
      <c r="AF82" s="386"/>
      <c r="AG82" s="386"/>
    </row>
    <row r="83" spans="1:36" outlineLevel="1" x14ac:dyDescent="0.45">
      <c r="C83" s="386"/>
      <c r="D83" s="386"/>
      <c r="E83" s="386"/>
      <c r="F83" s="386"/>
      <c r="G83" s="386"/>
      <c r="H83" s="386"/>
      <c r="I83" s="386"/>
      <c r="J83" s="386"/>
      <c r="K83" s="386"/>
      <c r="L83" s="386"/>
      <c r="M83" s="386"/>
      <c r="N83" s="386"/>
      <c r="O83" s="386"/>
      <c r="P83" s="386"/>
      <c r="Q83" s="386"/>
      <c r="S83" s="386"/>
      <c r="T83" s="386"/>
      <c r="U83" s="386"/>
      <c r="V83" s="386"/>
      <c r="W83" s="386"/>
      <c r="X83" s="386"/>
      <c r="Y83" s="386"/>
      <c r="Z83" s="386"/>
      <c r="AA83" s="386"/>
      <c r="AB83" s="386"/>
      <c r="AC83" s="386"/>
      <c r="AD83" s="386"/>
      <c r="AE83" s="386"/>
      <c r="AF83" s="386"/>
      <c r="AG83" s="386"/>
    </row>
    <row r="84" spans="1:36" outlineLevel="1" x14ac:dyDescent="0.45"/>
    <row r="85" spans="1:36" x14ac:dyDescent="0.45">
      <c r="C85" s="284">
        <v>46235</v>
      </c>
      <c r="D85" s="285"/>
      <c r="E85" s="285"/>
      <c r="F85" s="285"/>
      <c r="G85" s="285"/>
      <c r="H85" s="285"/>
      <c r="I85" s="285"/>
      <c r="J85" s="285"/>
      <c r="K85" s="285"/>
      <c r="L85" s="285"/>
      <c r="M85" s="285"/>
      <c r="N85" s="285"/>
      <c r="O85" s="285"/>
      <c r="P85" s="285"/>
      <c r="Q85" s="285"/>
      <c r="R85" s="285"/>
      <c r="S85" s="285"/>
      <c r="T85" s="285"/>
      <c r="U85" s="285"/>
      <c r="V85" s="285"/>
      <c r="W85" s="285"/>
      <c r="X85" s="285"/>
      <c r="Y85" s="285"/>
      <c r="Z85" s="285"/>
      <c r="AA85" s="285"/>
      <c r="AB85" s="285"/>
      <c r="AC85" s="285"/>
      <c r="AD85" s="285"/>
      <c r="AE85" s="285"/>
      <c r="AF85" s="285"/>
      <c r="AG85" s="285"/>
    </row>
    <row r="86" spans="1:36" outlineLevel="1" x14ac:dyDescent="0.45">
      <c r="C86" s="99" t="str">
        <f t="shared" ref="C86:AG86" si="14">TEXT(C87,"aaa")</f>
        <v>土</v>
      </c>
      <c r="D86" s="99" t="str">
        <f t="shared" si="14"/>
        <v>日</v>
      </c>
      <c r="E86" s="99" t="str">
        <f t="shared" si="14"/>
        <v>月</v>
      </c>
      <c r="F86" s="99" t="str">
        <f t="shared" si="14"/>
        <v>火</v>
      </c>
      <c r="G86" s="99" t="str">
        <f t="shared" si="14"/>
        <v>水</v>
      </c>
      <c r="H86" s="99" t="str">
        <f t="shared" si="14"/>
        <v>木</v>
      </c>
      <c r="I86" s="99" t="str">
        <f t="shared" si="14"/>
        <v>金</v>
      </c>
      <c r="J86" s="99" t="str">
        <f t="shared" si="14"/>
        <v>土</v>
      </c>
      <c r="K86" s="99" t="str">
        <f t="shared" si="14"/>
        <v>日</v>
      </c>
      <c r="L86" s="99" t="str">
        <f t="shared" si="14"/>
        <v>月</v>
      </c>
      <c r="M86" s="99" t="str">
        <f t="shared" si="14"/>
        <v>火</v>
      </c>
      <c r="N86" s="99" t="str">
        <f t="shared" si="14"/>
        <v>水</v>
      </c>
      <c r="O86" s="99" t="str">
        <f t="shared" si="14"/>
        <v>木</v>
      </c>
      <c r="P86" s="99" t="str">
        <f t="shared" si="14"/>
        <v>金</v>
      </c>
      <c r="Q86" s="99" t="str">
        <f t="shared" si="14"/>
        <v>土</v>
      </c>
      <c r="R86" s="99" t="str">
        <f t="shared" si="14"/>
        <v>日</v>
      </c>
      <c r="S86" s="99" t="str">
        <f t="shared" si="14"/>
        <v>月</v>
      </c>
      <c r="T86" s="99" t="str">
        <f t="shared" si="14"/>
        <v>火</v>
      </c>
      <c r="U86" s="99" t="str">
        <f t="shared" si="14"/>
        <v>水</v>
      </c>
      <c r="V86" s="99" t="str">
        <f t="shared" si="14"/>
        <v>木</v>
      </c>
      <c r="W86" s="99" t="str">
        <f t="shared" si="14"/>
        <v>金</v>
      </c>
      <c r="X86" s="99" t="str">
        <f t="shared" si="14"/>
        <v>土</v>
      </c>
      <c r="Y86" s="99" t="str">
        <f t="shared" si="14"/>
        <v>日</v>
      </c>
      <c r="Z86" s="99" t="str">
        <f t="shared" si="14"/>
        <v>月</v>
      </c>
      <c r="AA86" s="99" t="str">
        <f t="shared" si="14"/>
        <v>火</v>
      </c>
      <c r="AB86" s="99" t="str">
        <f t="shared" si="14"/>
        <v>水</v>
      </c>
      <c r="AC86" s="99" t="str">
        <f t="shared" si="14"/>
        <v>木</v>
      </c>
      <c r="AD86" s="99" t="str">
        <f t="shared" si="14"/>
        <v>金</v>
      </c>
      <c r="AE86" s="99" t="str">
        <f t="shared" si="14"/>
        <v>土</v>
      </c>
      <c r="AF86" s="99" t="str">
        <f t="shared" si="14"/>
        <v>日</v>
      </c>
      <c r="AG86" s="99" t="str">
        <f t="shared" si="14"/>
        <v>月</v>
      </c>
      <c r="AI86" s="101" t="s">
        <v>41</v>
      </c>
      <c r="AJ86" s="105">
        <f>COUNT(C88:AG88)</f>
        <v>20</v>
      </c>
    </row>
    <row r="87" spans="1:36" outlineLevel="1" x14ac:dyDescent="0.45">
      <c r="C87" s="104">
        <f>C85</f>
        <v>46235</v>
      </c>
      <c r="D87" s="104">
        <f t="shared" ref="D87:AG87" si="15">IF(C87="","",IF(C87+1&lt;=EOMONTH($C85,0),C87+1,""))</f>
        <v>46236</v>
      </c>
      <c r="E87" s="104">
        <f t="shared" si="15"/>
        <v>46237</v>
      </c>
      <c r="F87" s="104">
        <f t="shared" si="15"/>
        <v>46238</v>
      </c>
      <c r="G87" s="104">
        <f t="shared" si="15"/>
        <v>46239</v>
      </c>
      <c r="H87" s="104">
        <f t="shared" si="15"/>
        <v>46240</v>
      </c>
      <c r="I87" s="104">
        <f t="shared" si="15"/>
        <v>46241</v>
      </c>
      <c r="J87" s="104">
        <f t="shared" si="15"/>
        <v>46242</v>
      </c>
      <c r="K87" s="104">
        <f t="shared" si="15"/>
        <v>46243</v>
      </c>
      <c r="L87" s="104">
        <f t="shared" si="15"/>
        <v>46244</v>
      </c>
      <c r="M87" s="104">
        <f t="shared" si="15"/>
        <v>46245</v>
      </c>
      <c r="N87" s="104">
        <f t="shared" si="15"/>
        <v>46246</v>
      </c>
      <c r="O87" s="104">
        <f t="shared" si="15"/>
        <v>46247</v>
      </c>
      <c r="P87" s="104">
        <f t="shared" si="15"/>
        <v>46248</v>
      </c>
      <c r="Q87" s="104">
        <f t="shared" si="15"/>
        <v>46249</v>
      </c>
      <c r="R87" s="104">
        <f t="shared" si="15"/>
        <v>46250</v>
      </c>
      <c r="S87" s="104">
        <f t="shared" si="15"/>
        <v>46251</v>
      </c>
      <c r="T87" s="104">
        <f t="shared" si="15"/>
        <v>46252</v>
      </c>
      <c r="U87" s="104">
        <f t="shared" si="15"/>
        <v>46253</v>
      </c>
      <c r="V87" s="104">
        <f t="shared" si="15"/>
        <v>46254</v>
      </c>
      <c r="W87" s="104">
        <f t="shared" si="15"/>
        <v>46255</v>
      </c>
      <c r="X87" s="104">
        <f t="shared" si="15"/>
        <v>46256</v>
      </c>
      <c r="Y87" s="104">
        <f t="shared" si="15"/>
        <v>46257</v>
      </c>
      <c r="Z87" s="104">
        <f t="shared" si="15"/>
        <v>46258</v>
      </c>
      <c r="AA87" s="104">
        <f t="shared" si="15"/>
        <v>46259</v>
      </c>
      <c r="AB87" s="104">
        <f t="shared" si="15"/>
        <v>46260</v>
      </c>
      <c r="AC87" s="104">
        <f t="shared" si="15"/>
        <v>46261</v>
      </c>
      <c r="AD87" s="104">
        <f t="shared" si="15"/>
        <v>46262</v>
      </c>
      <c r="AE87" s="104">
        <f t="shared" si="15"/>
        <v>46263</v>
      </c>
      <c r="AF87" s="104">
        <f t="shared" si="15"/>
        <v>46264</v>
      </c>
      <c r="AG87" s="104">
        <f t="shared" si="15"/>
        <v>46265</v>
      </c>
      <c r="AI87" s="101" t="s">
        <v>42</v>
      </c>
      <c r="AJ87" s="102" t="str">
        <f>_xlfn.LET(_xlpm.v,SUM(C88:AG88),IF(_xlpm.v=INT(_xlpm.v),TEXT(_xlpm.v,"0")&amp;" h",TEXT(_xlpm.v,"0.###")&amp;" h"))</f>
        <v>160 h</v>
      </c>
    </row>
    <row r="88" spans="1:36" outlineLevel="1" x14ac:dyDescent="0.45">
      <c r="A88" s="101" t="s">
        <v>38</v>
      </c>
      <c r="C88" s="98"/>
      <c r="D88" s="98"/>
      <c r="E88" s="98">
        <v>8</v>
      </c>
      <c r="F88" s="98">
        <v>8</v>
      </c>
      <c r="G88" s="98">
        <v>8</v>
      </c>
      <c r="H88" s="98">
        <v>8</v>
      </c>
      <c r="I88" s="98">
        <v>8</v>
      </c>
      <c r="J88" s="98"/>
      <c r="K88" s="98"/>
      <c r="L88" s="98">
        <v>8</v>
      </c>
      <c r="M88" s="98"/>
      <c r="N88" s="98">
        <v>8</v>
      </c>
      <c r="O88" s="98">
        <v>8</v>
      </c>
      <c r="P88" s="98">
        <v>8</v>
      </c>
      <c r="Q88" s="98"/>
      <c r="R88" s="98"/>
      <c r="S88" s="98">
        <v>8</v>
      </c>
      <c r="T88" s="98">
        <v>8</v>
      </c>
      <c r="U88" s="98">
        <v>8</v>
      </c>
      <c r="V88" s="98">
        <v>8</v>
      </c>
      <c r="W88" s="98">
        <v>8</v>
      </c>
      <c r="X88" s="98"/>
      <c r="Y88" s="98"/>
      <c r="Z88" s="98">
        <v>8</v>
      </c>
      <c r="AA88" s="98">
        <v>8</v>
      </c>
      <c r="AB88" s="98">
        <v>8</v>
      </c>
      <c r="AC88" s="98">
        <v>8</v>
      </c>
      <c r="AD88" s="98">
        <v>8</v>
      </c>
      <c r="AE88" s="98"/>
      <c r="AF88" s="98"/>
      <c r="AG88" s="98">
        <v>8</v>
      </c>
      <c r="AI88" s="99" t="s">
        <v>43</v>
      </c>
      <c r="AJ88" s="106">
        <f>COUNT(C89:AG89)</f>
        <v>20</v>
      </c>
    </row>
    <row r="89" spans="1:36" outlineLevel="1" x14ac:dyDescent="0.45">
      <c r="A89" s="99" t="s">
        <v>39</v>
      </c>
      <c r="C89" s="99"/>
      <c r="D89" s="99"/>
      <c r="E89" s="99">
        <v>8</v>
      </c>
      <c r="F89" s="99">
        <v>8</v>
      </c>
      <c r="G89" s="99">
        <v>8</v>
      </c>
      <c r="H89" s="99">
        <v>8</v>
      </c>
      <c r="I89" s="99">
        <v>8</v>
      </c>
      <c r="J89" s="99"/>
      <c r="K89" s="99"/>
      <c r="L89" s="99">
        <v>8</v>
      </c>
      <c r="M89" s="99"/>
      <c r="N89" s="99">
        <v>8</v>
      </c>
      <c r="O89" s="99">
        <v>8</v>
      </c>
      <c r="P89" s="99">
        <v>8</v>
      </c>
      <c r="Q89" s="99"/>
      <c r="R89" s="99"/>
      <c r="S89" s="99">
        <v>8</v>
      </c>
      <c r="T89" s="99">
        <v>8</v>
      </c>
      <c r="U89" s="99">
        <v>8</v>
      </c>
      <c r="V89" s="99">
        <v>8</v>
      </c>
      <c r="W89" s="99">
        <v>8</v>
      </c>
      <c r="X89" s="99"/>
      <c r="Y89" s="99"/>
      <c r="Z89" s="99">
        <v>8</v>
      </c>
      <c r="AA89" s="99">
        <v>8</v>
      </c>
      <c r="AB89" s="99">
        <v>8</v>
      </c>
      <c r="AC89" s="99">
        <v>8</v>
      </c>
      <c r="AD89" s="99">
        <v>8</v>
      </c>
      <c r="AE89" s="99"/>
      <c r="AF89" s="99"/>
      <c r="AG89" s="99">
        <v>8</v>
      </c>
      <c r="AI89" s="99" t="s">
        <v>44</v>
      </c>
      <c r="AJ89" s="103" t="str">
        <f>_xlfn.LET(_xlpm.v,SUM(C89:AG89),IF(_xlpm.v=INT(_xlpm.v),TEXT(_xlpm.v,"0")&amp;" h",TEXT(_xlpm.v,"0.###")&amp;" h"))</f>
        <v>160 h</v>
      </c>
    </row>
    <row r="90" spans="1:36" outlineLevel="1" x14ac:dyDescent="0.45">
      <c r="A90" s="99" t="s">
        <v>37</v>
      </c>
      <c r="C90" s="99"/>
      <c r="D90" s="99"/>
      <c r="E90" s="99" t="s">
        <v>22</v>
      </c>
      <c r="F90" s="99" t="s">
        <v>22</v>
      </c>
      <c r="G90" s="99" t="s">
        <v>22</v>
      </c>
      <c r="H90" s="99" t="s">
        <v>22</v>
      </c>
      <c r="I90" s="99" t="s">
        <v>22</v>
      </c>
      <c r="J90" s="99"/>
      <c r="K90" s="99"/>
      <c r="L90" s="99" t="s">
        <v>22</v>
      </c>
      <c r="M90" s="99"/>
      <c r="N90" s="99" t="s">
        <v>22</v>
      </c>
      <c r="O90" s="99" t="s">
        <v>22</v>
      </c>
      <c r="P90" s="99" t="s">
        <v>22</v>
      </c>
      <c r="Q90" s="99"/>
      <c r="R90" s="99"/>
      <c r="S90" s="99" t="s">
        <v>22</v>
      </c>
      <c r="T90" s="99" t="s">
        <v>22</v>
      </c>
      <c r="U90" s="99" t="s">
        <v>22</v>
      </c>
      <c r="V90" s="99" t="s">
        <v>22</v>
      </c>
      <c r="W90" s="99" t="s">
        <v>22</v>
      </c>
      <c r="X90" s="99"/>
      <c r="Y90" s="99"/>
      <c r="Z90" s="99" t="s">
        <v>22</v>
      </c>
      <c r="AA90" s="99" t="s">
        <v>22</v>
      </c>
      <c r="AB90" s="99" t="s">
        <v>22</v>
      </c>
      <c r="AC90" s="99" t="s">
        <v>22</v>
      </c>
      <c r="AD90" s="99" t="s">
        <v>22</v>
      </c>
      <c r="AE90" s="99"/>
      <c r="AF90" s="99"/>
      <c r="AG90" s="99" t="s">
        <v>22</v>
      </c>
      <c r="AI90" s="99" t="s">
        <v>45</v>
      </c>
      <c r="AJ90" s="106">
        <f>COUNTIF(C90:AG90,"出")</f>
        <v>0</v>
      </c>
    </row>
    <row r="91" spans="1:36" outlineLevel="1" x14ac:dyDescent="0.45">
      <c r="A91" s="99" t="s">
        <v>40</v>
      </c>
      <c r="C91" s="386"/>
      <c r="D91" s="386"/>
      <c r="E91" s="386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6"/>
      <c r="S91" s="386"/>
      <c r="T91" s="386"/>
      <c r="U91" s="386"/>
      <c r="V91" s="386"/>
      <c r="W91" s="386"/>
      <c r="X91" s="386"/>
      <c r="Y91" s="386"/>
      <c r="Z91" s="386"/>
      <c r="AA91" s="386"/>
      <c r="AB91" s="386"/>
      <c r="AC91" s="386"/>
      <c r="AD91" s="386"/>
      <c r="AE91" s="386"/>
      <c r="AF91" s="386"/>
      <c r="AG91" s="386"/>
      <c r="AI91" s="99" t="s">
        <v>46</v>
      </c>
      <c r="AJ91" s="106">
        <f>COUNTIF(C90:AG90,"リ")</f>
        <v>20</v>
      </c>
    </row>
    <row r="92" spans="1:36" outlineLevel="1" x14ac:dyDescent="0.45">
      <c r="C92" s="386"/>
      <c r="D92" s="386"/>
      <c r="E92" s="386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6"/>
      <c r="S92" s="386"/>
      <c r="T92" s="386"/>
      <c r="U92" s="386"/>
      <c r="V92" s="386"/>
      <c r="W92" s="386"/>
      <c r="X92" s="386"/>
      <c r="Y92" s="386"/>
      <c r="Z92" s="386"/>
      <c r="AA92" s="386"/>
      <c r="AB92" s="386"/>
      <c r="AC92" s="386"/>
      <c r="AD92" s="386"/>
      <c r="AE92" s="386"/>
      <c r="AF92" s="386"/>
      <c r="AG92" s="386"/>
      <c r="AI92" s="99" t="s">
        <v>25</v>
      </c>
      <c r="AJ92" s="107">
        <f>AJ90/(AJ90+AJ91)</f>
        <v>0</v>
      </c>
    </row>
    <row r="93" spans="1:36" outlineLevel="1" x14ac:dyDescent="0.45">
      <c r="C93" s="386"/>
      <c r="D93" s="386"/>
      <c r="E93" s="386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6"/>
      <c r="S93" s="386"/>
      <c r="T93" s="386"/>
      <c r="U93" s="386"/>
      <c r="V93" s="386"/>
      <c r="W93" s="386"/>
      <c r="X93" s="386"/>
      <c r="Y93" s="386"/>
      <c r="Z93" s="386"/>
      <c r="AA93" s="386"/>
      <c r="AB93" s="386"/>
      <c r="AC93" s="386"/>
      <c r="AD93" s="386"/>
      <c r="AE93" s="386"/>
      <c r="AF93" s="386"/>
      <c r="AG93" s="386"/>
    </row>
    <row r="94" spans="1:36" outlineLevel="1" x14ac:dyDescent="0.45">
      <c r="C94" s="386"/>
      <c r="D94" s="386"/>
      <c r="E94" s="386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6"/>
      <c r="S94" s="386"/>
      <c r="T94" s="386"/>
      <c r="U94" s="386"/>
      <c r="V94" s="386"/>
      <c r="W94" s="386"/>
      <c r="X94" s="386"/>
      <c r="Y94" s="386"/>
      <c r="Z94" s="386"/>
      <c r="AA94" s="386"/>
      <c r="AB94" s="386"/>
      <c r="AC94" s="386"/>
      <c r="AD94" s="386"/>
      <c r="AE94" s="386"/>
      <c r="AF94" s="386"/>
      <c r="AG94" s="386"/>
    </row>
    <row r="95" spans="1:36" outlineLevel="1" x14ac:dyDescent="0.45">
      <c r="C95" s="386"/>
      <c r="D95" s="386"/>
      <c r="E95" s="386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6"/>
      <c r="S95" s="386"/>
      <c r="T95" s="386"/>
      <c r="U95" s="386"/>
      <c r="V95" s="386"/>
      <c r="W95" s="386"/>
      <c r="X95" s="386"/>
      <c r="Y95" s="386"/>
      <c r="Z95" s="386"/>
      <c r="AA95" s="386"/>
      <c r="AB95" s="386"/>
      <c r="AC95" s="386"/>
      <c r="AD95" s="386"/>
      <c r="AE95" s="386"/>
      <c r="AF95" s="386"/>
      <c r="AG95" s="386"/>
    </row>
    <row r="96" spans="1:36" outlineLevel="1" x14ac:dyDescent="0.45"/>
    <row r="97" spans="1:36" x14ac:dyDescent="0.45">
      <c r="C97" s="284">
        <v>46266</v>
      </c>
      <c r="D97" s="285"/>
      <c r="E97" s="285"/>
      <c r="F97" s="285"/>
      <c r="G97" s="285"/>
      <c r="H97" s="285"/>
      <c r="I97" s="285"/>
      <c r="J97" s="285"/>
      <c r="K97" s="285"/>
      <c r="L97" s="285"/>
      <c r="M97" s="285"/>
      <c r="N97" s="285"/>
      <c r="O97" s="285"/>
      <c r="P97" s="285"/>
      <c r="Q97" s="285"/>
      <c r="R97" s="285"/>
      <c r="S97" s="285"/>
      <c r="T97" s="285"/>
      <c r="U97" s="285"/>
      <c r="V97" s="285"/>
      <c r="W97" s="285"/>
      <c r="X97" s="285"/>
      <c r="Y97" s="285"/>
      <c r="Z97" s="285"/>
      <c r="AA97" s="285"/>
      <c r="AB97" s="285"/>
      <c r="AC97" s="285"/>
      <c r="AD97" s="285"/>
      <c r="AE97" s="285"/>
      <c r="AF97" s="285"/>
      <c r="AG97" s="285"/>
    </row>
    <row r="98" spans="1:36" outlineLevel="1" x14ac:dyDescent="0.45">
      <c r="C98" s="99" t="str">
        <f t="shared" ref="C98:AG98" si="16">TEXT(C99,"aaa")</f>
        <v>火</v>
      </c>
      <c r="D98" s="99" t="str">
        <f t="shared" si="16"/>
        <v>水</v>
      </c>
      <c r="E98" s="99" t="str">
        <f t="shared" si="16"/>
        <v>木</v>
      </c>
      <c r="F98" s="99" t="str">
        <f t="shared" si="16"/>
        <v>金</v>
      </c>
      <c r="G98" s="99" t="str">
        <f t="shared" si="16"/>
        <v>土</v>
      </c>
      <c r="H98" s="99" t="str">
        <f t="shared" si="16"/>
        <v>日</v>
      </c>
      <c r="I98" s="99" t="str">
        <f t="shared" si="16"/>
        <v>月</v>
      </c>
      <c r="J98" s="99" t="str">
        <f t="shared" si="16"/>
        <v>火</v>
      </c>
      <c r="K98" s="99" t="str">
        <f t="shared" si="16"/>
        <v>水</v>
      </c>
      <c r="L98" s="99" t="str">
        <f t="shared" si="16"/>
        <v>木</v>
      </c>
      <c r="M98" s="99" t="str">
        <f t="shared" si="16"/>
        <v>金</v>
      </c>
      <c r="N98" s="99" t="str">
        <f t="shared" si="16"/>
        <v>土</v>
      </c>
      <c r="O98" s="99" t="str">
        <f t="shared" si="16"/>
        <v>日</v>
      </c>
      <c r="P98" s="99" t="str">
        <f t="shared" si="16"/>
        <v>月</v>
      </c>
      <c r="Q98" s="99" t="str">
        <f t="shared" si="16"/>
        <v>火</v>
      </c>
      <c r="R98" s="99" t="str">
        <f t="shared" si="16"/>
        <v>水</v>
      </c>
      <c r="S98" s="99" t="str">
        <f t="shared" si="16"/>
        <v>木</v>
      </c>
      <c r="T98" s="99" t="str">
        <f t="shared" si="16"/>
        <v>金</v>
      </c>
      <c r="U98" s="99" t="str">
        <f t="shared" si="16"/>
        <v>土</v>
      </c>
      <c r="V98" s="99" t="str">
        <f t="shared" si="16"/>
        <v>日</v>
      </c>
      <c r="W98" s="99" t="str">
        <f t="shared" si="16"/>
        <v>月</v>
      </c>
      <c r="X98" s="99" t="str">
        <f t="shared" si="16"/>
        <v>火</v>
      </c>
      <c r="Y98" s="99" t="str">
        <f t="shared" si="16"/>
        <v>水</v>
      </c>
      <c r="Z98" s="99" t="str">
        <f t="shared" si="16"/>
        <v>木</v>
      </c>
      <c r="AA98" s="99" t="str">
        <f t="shared" si="16"/>
        <v>金</v>
      </c>
      <c r="AB98" s="99" t="str">
        <f t="shared" si="16"/>
        <v>土</v>
      </c>
      <c r="AC98" s="99" t="str">
        <f t="shared" si="16"/>
        <v>日</v>
      </c>
      <c r="AD98" s="99" t="str">
        <f t="shared" si="16"/>
        <v>月</v>
      </c>
      <c r="AE98" s="99" t="str">
        <f t="shared" si="16"/>
        <v>火</v>
      </c>
      <c r="AF98" s="99" t="str">
        <f t="shared" si="16"/>
        <v>水</v>
      </c>
      <c r="AG98" s="99" t="str">
        <f t="shared" si="16"/>
        <v/>
      </c>
      <c r="AI98" s="101" t="s">
        <v>41</v>
      </c>
      <c r="AJ98" s="105">
        <f>COUNT(C100:AG100)</f>
        <v>19</v>
      </c>
    </row>
    <row r="99" spans="1:36" outlineLevel="1" x14ac:dyDescent="0.45">
      <c r="C99" s="104">
        <f>C97</f>
        <v>46266</v>
      </c>
      <c r="D99" s="104">
        <f t="shared" ref="D99:AG99" si="17">IF(C99="","",IF(C99+1&lt;=EOMONTH($C97,0),C99+1,""))</f>
        <v>46267</v>
      </c>
      <c r="E99" s="104">
        <f t="shared" si="17"/>
        <v>46268</v>
      </c>
      <c r="F99" s="104">
        <f t="shared" si="17"/>
        <v>46269</v>
      </c>
      <c r="G99" s="104">
        <f t="shared" si="17"/>
        <v>46270</v>
      </c>
      <c r="H99" s="104">
        <f t="shared" si="17"/>
        <v>46271</v>
      </c>
      <c r="I99" s="104">
        <f t="shared" si="17"/>
        <v>46272</v>
      </c>
      <c r="J99" s="104">
        <f t="shared" si="17"/>
        <v>46273</v>
      </c>
      <c r="K99" s="104">
        <f t="shared" si="17"/>
        <v>46274</v>
      </c>
      <c r="L99" s="104">
        <f t="shared" si="17"/>
        <v>46275</v>
      </c>
      <c r="M99" s="104">
        <f t="shared" si="17"/>
        <v>46276</v>
      </c>
      <c r="N99" s="104">
        <f t="shared" si="17"/>
        <v>46277</v>
      </c>
      <c r="O99" s="104">
        <f t="shared" si="17"/>
        <v>46278</v>
      </c>
      <c r="P99" s="104">
        <f t="shared" si="17"/>
        <v>46279</v>
      </c>
      <c r="Q99" s="104">
        <f t="shared" si="17"/>
        <v>46280</v>
      </c>
      <c r="R99" s="104">
        <f t="shared" si="17"/>
        <v>46281</v>
      </c>
      <c r="S99" s="104">
        <f t="shared" si="17"/>
        <v>46282</v>
      </c>
      <c r="T99" s="104">
        <f t="shared" si="17"/>
        <v>46283</v>
      </c>
      <c r="U99" s="104">
        <f t="shared" si="17"/>
        <v>46284</v>
      </c>
      <c r="V99" s="104">
        <f t="shared" si="17"/>
        <v>46285</v>
      </c>
      <c r="W99" s="104">
        <f t="shared" si="17"/>
        <v>46286</v>
      </c>
      <c r="X99" s="104">
        <f t="shared" si="17"/>
        <v>46287</v>
      </c>
      <c r="Y99" s="104">
        <f t="shared" si="17"/>
        <v>46288</v>
      </c>
      <c r="Z99" s="104">
        <f t="shared" si="17"/>
        <v>46289</v>
      </c>
      <c r="AA99" s="104">
        <f t="shared" si="17"/>
        <v>46290</v>
      </c>
      <c r="AB99" s="104">
        <f t="shared" si="17"/>
        <v>46291</v>
      </c>
      <c r="AC99" s="104">
        <f t="shared" si="17"/>
        <v>46292</v>
      </c>
      <c r="AD99" s="104">
        <f t="shared" si="17"/>
        <v>46293</v>
      </c>
      <c r="AE99" s="104">
        <f t="shared" si="17"/>
        <v>46294</v>
      </c>
      <c r="AF99" s="104">
        <f t="shared" si="17"/>
        <v>46295</v>
      </c>
      <c r="AG99" s="104" t="str">
        <f t="shared" si="17"/>
        <v/>
      </c>
      <c r="AI99" s="101" t="s">
        <v>42</v>
      </c>
      <c r="AJ99" s="102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01" t="s">
        <v>38</v>
      </c>
      <c r="C100" s="98">
        <v>8</v>
      </c>
      <c r="D100" s="98">
        <v>8</v>
      </c>
      <c r="E100" s="98">
        <v>8</v>
      </c>
      <c r="F100" s="98">
        <v>8</v>
      </c>
      <c r="G100" s="98"/>
      <c r="H100" s="98"/>
      <c r="I100" s="98">
        <v>8</v>
      </c>
      <c r="J100" s="98">
        <v>8</v>
      </c>
      <c r="K100" s="98">
        <v>8</v>
      </c>
      <c r="L100" s="98">
        <v>8</v>
      </c>
      <c r="M100" s="98">
        <v>8</v>
      </c>
      <c r="N100" s="98"/>
      <c r="O100" s="98"/>
      <c r="P100" s="98">
        <v>8</v>
      </c>
      <c r="Q100" s="98">
        <v>8</v>
      </c>
      <c r="R100" s="98">
        <v>8</v>
      </c>
      <c r="S100" s="98">
        <v>8</v>
      </c>
      <c r="T100" s="98">
        <v>8</v>
      </c>
      <c r="U100" s="98"/>
      <c r="V100" s="98"/>
      <c r="W100" s="98"/>
      <c r="X100" s="98"/>
      <c r="Y100" s="98"/>
      <c r="Z100" s="98">
        <v>8</v>
      </c>
      <c r="AA100" s="98">
        <v>8</v>
      </c>
      <c r="AB100" s="98"/>
      <c r="AC100" s="98"/>
      <c r="AD100" s="98">
        <v>8</v>
      </c>
      <c r="AE100" s="98">
        <v>8</v>
      </c>
      <c r="AF100" s="98">
        <v>8</v>
      </c>
      <c r="AG100" s="98"/>
      <c r="AI100" s="99" t="s">
        <v>43</v>
      </c>
      <c r="AJ100" s="106">
        <f>COUNT(C101:AG101)</f>
        <v>19</v>
      </c>
    </row>
    <row r="101" spans="1:36" outlineLevel="1" x14ac:dyDescent="0.45">
      <c r="A101" s="99" t="s">
        <v>39</v>
      </c>
      <c r="C101" s="99">
        <v>8</v>
      </c>
      <c r="D101" s="99">
        <v>8</v>
      </c>
      <c r="E101" s="99">
        <v>8</v>
      </c>
      <c r="F101" s="99">
        <v>8</v>
      </c>
      <c r="G101" s="99"/>
      <c r="H101" s="99"/>
      <c r="I101" s="99">
        <v>8</v>
      </c>
      <c r="J101" s="99">
        <v>8</v>
      </c>
      <c r="K101" s="99">
        <v>8</v>
      </c>
      <c r="L101" s="99">
        <v>8</v>
      </c>
      <c r="M101" s="99">
        <v>8</v>
      </c>
      <c r="N101" s="99"/>
      <c r="O101" s="99"/>
      <c r="P101" s="99">
        <v>8</v>
      </c>
      <c r="Q101" s="99">
        <v>8</v>
      </c>
      <c r="R101" s="99">
        <v>8</v>
      </c>
      <c r="S101" s="99">
        <v>8</v>
      </c>
      <c r="T101" s="99">
        <v>8</v>
      </c>
      <c r="U101" s="99"/>
      <c r="V101" s="99"/>
      <c r="W101" s="99"/>
      <c r="X101" s="99"/>
      <c r="Y101" s="99"/>
      <c r="Z101" s="99">
        <v>8</v>
      </c>
      <c r="AA101" s="99">
        <v>8</v>
      </c>
      <c r="AB101" s="99"/>
      <c r="AC101" s="99"/>
      <c r="AD101" s="99">
        <v>8</v>
      </c>
      <c r="AE101" s="99">
        <v>8</v>
      </c>
      <c r="AF101" s="99">
        <v>8</v>
      </c>
      <c r="AG101" s="99"/>
      <c r="AI101" s="99" t="s">
        <v>44</v>
      </c>
      <c r="AJ101" s="103" t="str">
        <f>_xlfn.LET(_xlpm.v,SUM(C101:AG101),IF(_xlpm.v=INT(_xlpm.v),TEXT(_xlpm.v,"0")&amp;" h",TEXT(_xlpm.v,"0.###")&amp;" h"))</f>
        <v>152 h</v>
      </c>
    </row>
    <row r="102" spans="1:36" outlineLevel="1" x14ac:dyDescent="0.45">
      <c r="A102" s="99" t="s">
        <v>37</v>
      </c>
      <c r="C102" s="99" t="s">
        <v>22</v>
      </c>
      <c r="D102" s="99" t="s">
        <v>22</v>
      </c>
      <c r="E102" s="99" t="s">
        <v>22</v>
      </c>
      <c r="F102" s="99" t="s">
        <v>22</v>
      </c>
      <c r="G102" s="99"/>
      <c r="H102" s="99"/>
      <c r="I102" s="99" t="s">
        <v>22</v>
      </c>
      <c r="J102" s="99" t="s">
        <v>22</v>
      </c>
      <c r="K102" s="99" t="s">
        <v>22</v>
      </c>
      <c r="L102" s="99" t="s">
        <v>22</v>
      </c>
      <c r="M102" s="99" t="s">
        <v>22</v>
      </c>
      <c r="N102" s="99"/>
      <c r="O102" s="99"/>
      <c r="P102" s="99" t="s">
        <v>22</v>
      </c>
      <c r="Q102" s="99" t="s">
        <v>22</v>
      </c>
      <c r="R102" s="99" t="s">
        <v>22</v>
      </c>
      <c r="S102" s="99" t="s">
        <v>22</v>
      </c>
      <c r="T102" s="99" t="s">
        <v>22</v>
      </c>
      <c r="U102" s="99"/>
      <c r="V102" s="99"/>
      <c r="W102" s="99"/>
      <c r="X102" s="99"/>
      <c r="Y102" s="99"/>
      <c r="Z102" s="99" t="s">
        <v>22</v>
      </c>
      <c r="AA102" s="99" t="s">
        <v>22</v>
      </c>
      <c r="AB102" s="99"/>
      <c r="AC102" s="99"/>
      <c r="AD102" s="99" t="s">
        <v>22</v>
      </c>
      <c r="AE102" s="99" t="s">
        <v>22</v>
      </c>
      <c r="AF102" s="99" t="s">
        <v>22</v>
      </c>
      <c r="AG102" s="99"/>
      <c r="AI102" s="99" t="s">
        <v>45</v>
      </c>
      <c r="AJ102" s="106">
        <f>COUNTIF(C102:AG102,"出")</f>
        <v>0</v>
      </c>
    </row>
    <row r="103" spans="1:36" outlineLevel="1" x14ac:dyDescent="0.45">
      <c r="A103" s="99" t="s">
        <v>40</v>
      </c>
      <c r="C103" s="386"/>
      <c r="D103" s="386"/>
      <c r="E103" s="386"/>
      <c r="F103" s="386"/>
      <c r="G103" s="386"/>
      <c r="H103" s="386"/>
      <c r="I103" s="386"/>
      <c r="J103" s="386"/>
      <c r="K103" s="386"/>
      <c r="L103" s="386"/>
      <c r="M103" s="386"/>
      <c r="N103" s="386"/>
      <c r="O103" s="386"/>
      <c r="P103" s="386"/>
      <c r="Q103" s="386"/>
      <c r="S103" s="386"/>
      <c r="T103" s="386"/>
      <c r="U103" s="386"/>
      <c r="V103" s="386"/>
      <c r="W103" s="386"/>
      <c r="X103" s="386"/>
      <c r="Y103" s="386"/>
      <c r="Z103" s="386"/>
      <c r="AA103" s="386"/>
      <c r="AB103" s="386"/>
      <c r="AC103" s="386"/>
      <c r="AD103" s="386"/>
      <c r="AE103" s="386"/>
      <c r="AF103" s="386"/>
      <c r="AG103" s="386"/>
      <c r="AI103" s="99" t="s">
        <v>46</v>
      </c>
      <c r="AJ103" s="106">
        <f>COUNTIF(C102:AG102,"リ")</f>
        <v>19</v>
      </c>
    </row>
    <row r="104" spans="1:36" outlineLevel="1" x14ac:dyDescent="0.45">
      <c r="C104" s="386"/>
      <c r="D104" s="386"/>
      <c r="E104" s="386"/>
      <c r="F104" s="386"/>
      <c r="G104" s="386"/>
      <c r="H104" s="386"/>
      <c r="I104" s="386"/>
      <c r="J104" s="386"/>
      <c r="K104" s="386"/>
      <c r="L104" s="386"/>
      <c r="M104" s="386"/>
      <c r="N104" s="386"/>
      <c r="O104" s="386"/>
      <c r="P104" s="386"/>
      <c r="Q104" s="386"/>
      <c r="S104" s="386"/>
      <c r="T104" s="386"/>
      <c r="U104" s="386"/>
      <c r="V104" s="386"/>
      <c r="W104" s="386"/>
      <c r="X104" s="386"/>
      <c r="Y104" s="386"/>
      <c r="Z104" s="386"/>
      <c r="AA104" s="386"/>
      <c r="AB104" s="386"/>
      <c r="AC104" s="386"/>
      <c r="AD104" s="386"/>
      <c r="AE104" s="386"/>
      <c r="AF104" s="386"/>
      <c r="AG104" s="386"/>
      <c r="AI104" s="99" t="s">
        <v>25</v>
      </c>
      <c r="AJ104" s="107">
        <f>AJ102/(AJ102+AJ103)</f>
        <v>0</v>
      </c>
    </row>
    <row r="105" spans="1:36" outlineLevel="1" x14ac:dyDescent="0.45">
      <c r="C105" s="386"/>
      <c r="D105" s="386"/>
      <c r="E105" s="386"/>
      <c r="F105" s="386"/>
      <c r="G105" s="386"/>
      <c r="H105" s="386"/>
      <c r="I105" s="386"/>
      <c r="J105" s="386"/>
      <c r="K105" s="386"/>
      <c r="L105" s="386"/>
      <c r="M105" s="386"/>
      <c r="N105" s="386"/>
      <c r="O105" s="386"/>
      <c r="P105" s="386"/>
      <c r="Q105" s="386"/>
      <c r="S105" s="386"/>
      <c r="T105" s="386"/>
      <c r="U105" s="386"/>
      <c r="V105" s="386"/>
      <c r="W105" s="386"/>
      <c r="X105" s="386"/>
      <c r="Y105" s="386"/>
      <c r="Z105" s="386"/>
      <c r="AA105" s="386"/>
      <c r="AB105" s="386"/>
      <c r="AC105" s="386"/>
      <c r="AD105" s="386"/>
      <c r="AE105" s="386"/>
      <c r="AF105" s="386"/>
      <c r="AG105" s="386"/>
    </row>
    <row r="106" spans="1:36" outlineLevel="1" x14ac:dyDescent="0.45">
      <c r="C106" s="386"/>
      <c r="D106" s="386"/>
      <c r="E106" s="386"/>
      <c r="F106" s="386"/>
      <c r="G106" s="386"/>
      <c r="H106" s="386"/>
      <c r="I106" s="386"/>
      <c r="J106" s="386"/>
      <c r="K106" s="386"/>
      <c r="L106" s="386"/>
      <c r="M106" s="386"/>
      <c r="N106" s="386"/>
      <c r="O106" s="386"/>
      <c r="P106" s="386"/>
      <c r="Q106" s="386"/>
      <c r="S106" s="386"/>
      <c r="T106" s="386"/>
      <c r="U106" s="386"/>
      <c r="V106" s="386"/>
      <c r="W106" s="386"/>
      <c r="X106" s="386"/>
      <c r="Y106" s="386"/>
      <c r="Z106" s="386"/>
      <c r="AA106" s="386"/>
      <c r="AB106" s="386"/>
      <c r="AC106" s="386"/>
      <c r="AD106" s="386"/>
      <c r="AE106" s="386"/>
      <c r="AF106" s="386"/>
      <c r="AG106" s="386"/>
    </row>
    <row r="107" spans="1:36" outlineLevel="1" x14ac:dyDescent="0.45">
      <c r="C107" s="386"/>
      <c r="D107" s="386"/>
      <c r="E107" s="386"/>
      <c r="F107" s="386"/>
      <c r="G107" s="386"/>
      <c r="H107" s="386"/>
      <c r="I107" s="386"/>
      <c r="J107" s="386"/>
      <c r="K107" s="386"/>
      <c r="L107" s="386"/>
      <c r="M107" s="386"/>
      <c r="N107" s="386"/>
      <c r="O107" s="386"/>
      <c r="P107" s="386"/>
      <c r="Q107" s="386"/>
      <c r="S107" s="386"/>
      <c r="T107" s="386"/>
      <c r="U107" s="386"/>
      <c r="V107" s="386"/>
      <c r="W107" s="386"/>
      <c r="X107" s="386"/>
      <c r="Y107" s="386"/>
      <c r="Z107" s="386"/>
      <c r="AA107" s="386"/>
      <c r="AB107" s="386"/>
      <c r="AC107" s="386"/>
      <c r="AD107" s="386"/>
      <c r="AE107" s="386"/>
      <c r="AF107" s="386"/>
      <c r="AG107" s="386"/>
    </row>
    <row r="108" spans="1:36" outlineLevel="1" x14ac:dyDescent="0.45"/>
    <row r="109" spans="1:36" x14ac:dyDescent="0.45">
      <c r="C109" s="284">
        <v>46296</v>
      </c>
      <c r="D109" s="285"/>
      <c r="E109" s="285"/>
      <c r="F109" s="285"/>
      <c r="G109" s="285"/>
      <c r="H109" s="285"/>
      <c r="I109" s="285"/>
      <c r="J109" s="285"/>
      <c r="K109" s="285"/>
      <c r="L109" s="285"/>
      <c r="M109" s="285"/>
      <c r="N109" s="285"/>
      <c r="O109" s="285"/>
      <c r="P109" s="285"/>
      <c r="Q109" s="285"/>
      <c r="R109" s="285"/>
      <c r="S109" s="285"/>
      <c r="T109" s="285"/>
      <c r="U109" s="285"/>
      <c r="V109" s="285"/>
      <c r="W109" s="285"/>
      <c r="X109" s="285"/>
      <c r="Y109" s="285"/>
      <c r="Z109" s="285"/>
      <c r="AA109" s="285"/>
      <c r="AB109" s="285"/>
      <c r="AC109" s="285"/>
      <c r="AD109" s="285"/>
      <c r="AE109" s="285"/>
      <c r="AF109" s="285"/>
      <c r="AG109" s="285"/>
    </row>
    <row r="110" spans="1:36" outlineLevel="1" x14ac:dyDescent="0.45">
      <c r="C110" s="99" t="str">
        <f t="shared" ref="C110:AG110" si="18">TEXT(C111,"aaa")</f>
        <v>木</v>
      </c>
      <c r="D110" s="99" t="str">
        <f t="shared" si="18"/>
        <v>金</v>
      </c>
      <c r="E110" s="99" t="str">
        <f t="shared" si="18"/>
        <v>土</v>
      </c>
      <c r="F110" s="99" t="str">
        <f t="shared" si="18"/>
        <v>日</v>
      </c>
      <c r="G110" s="99" t="str">
        <f t="shared" si="18"/>
        <v>月</v>
      </c>
      <c r="H110" s="99" t="str">
        <f t="shared" si="18"/>
        <v>火</v>
      </c>
      <c r="I110" s="99" t="str">
        <f t="shared" si="18"/>
        <v>水</v>
      </c>
      <c r="J110" s="99" t="str">
        <f t="shared" si="18"/>
        <v>木</v>
      </c>
      <c r="K110" s="99" t="str">
        <f t="shared" si="18"/>
        <v>金</v>
      </c>
      <c r="L110" s="99" t="str">
        <f t="shared" si="18"/>
        <v>土</v>
      </c>
      <c r="M110" s="99" t="str">
        <f t="shared" si="18"/>
        <v>日</v>
      </c>
      <c r="N110" s="99" t="str">
        <f t="shared" si="18"/>
        <v>月</v>
      </c>
      <c r="O110" s="99" t="str">
        <f t="shared" si="18"/>
        <v>火</v>
      </c>
      <c r="P110" s="99" t="str">
        <f t="shared" si="18"/>
        <v>水</v>
      </c>
      <c r="Q110" s="99" t="str">
        <f t="shared" si="18"/>
        <v>木</v>
      </c>
      <c r="R110" s="99" t="str">
        <f t="shared" si="18"/>
        <v>金</v>
      </c>
      <c r="S110" s="99" t="str">
        <f t="shared" si="18"/>
        <v>土</v>
      </c>
      <c r="T110" s="99" t="str">
        <f t="shared" si="18"/>
        <v>日</v>
      </c>
      <c r="U110" s="99" t="str">
        <f t="shared" si="18"/>
        <v>月</v>
      </c>
      <c r="V110" s="99" t="str">
        <f t="shared" si="18"/>
        <v>火</v>
      </c>
      <c r="W110" s="99" t="str">
        <f t="shared" si="18"/>
        <v>水</v>
      </c>
      <c r="X110" s="99" t="str">
        <f t="shared" si="18"/>
        <v>木</v>
      </c>
      <c r="Y110" s="99" t="str">
        <f t="shared" si="18"/>
        <v>金</v>
      </c>
      <c r="Z110" s="99" t="str">
        <f t="shared" si="18"/>
        <v>土</v>
      </c>
      <c r="AA110" s="99" t="str">
        <f t="shared" si="18"/>
        <v>日</v>
      </c>
      <c r="AB110" s="99" t="str">
        <f t="shared" si="18"/>
        <v>月</v>
      </c>
      <c r="AC110" s="99" t="str">
        <f t="shared" si="18"/>
        <v>火</v>
      </c>
      <c r="AD110" s="99" t="str">
        <f t="shared" si="18"/>
        <v>水</v>
      </c>
      <c r="AE110" s="99" t="str">
        <f t="shared" si="18"/>
        <v>木</v>
      </c>
      <c r="AF110" s="99" t="str">
        <f t="shared" si="18"/>
        <v>金</v>
      </c>
      <c r="AG110" s="99" t="str">
        <f t="shared" si="18"/>
        <v>土</v>
      </c>
      <c r="AI110" s="101" t="s">
        <v>41</v>
      </c>
      <c r="AJ110" s="105">
        <f>COUNT(C112:AG112)</f>
        <v>21</v>
      </c>
    </row>
    <row r="111" spans="1:36" outlineLevel="1" x14ac:dyDescent="0.45">
      <c r="C111" s="104">
        <f>C109</f>
        <v>46296</v>
      </c>
      <c r="D111" s="104">
        <f t="shared" ref="D111:AG111" si="19">IF(C111="","",IF(C111+1&lt;=EOMONTH($C109,0),C111+1,""))</f>
        <v>46297</v>
      </c>
      <c r="E111" s="104">
        <f t="shared" si="19"/>
        <v>46298</v>
      </c>
      <c r="F111" s="104">
        <f t="shared" si="19"/>
        <v>46299</v>
      </c>
      <c r="G111" s="104">
        <f t="shared" si="19"/>
        <v>46300</v>
      </c>
      <c r="H111" s="104">
        <f t="shared" si="19"/>
        <v>46301</v>
      </c>
      <c r="I111" s="104">
        <f t="shared" si="19"/>
        <v>46302</v>
      </c>
      <c r="J111" s="104">
        <f t="shared" si="19"/>
        <v>46303</v>
      </c>
      <c r="K111" s="104">
        <f t="shared" si="19"/>
        <v>46304</v>
      </c>
      <c r="L111" s="104">
        <f t="shared" si="19"/>
        <v>46305</v>
      </c>
      <c r="M111" s="104">
        <f t="shared" si="19"/>
        <v>46306</v>
      </c>
      <c r="N111" s="104">
        <f t="shared" si="19"/>
        <v>46307</v>
      </c>
      <c r="O111" s="104">
        <f t="shared" si="19"/>
        <v>46308</v>
      </c>
      <c r="P111" s="104">
        <f t="shared" si="19"/>
        <v>46309</v>
      </c>
      <c r="Q111" s="104">
        <f t="shared" si="19"/>
        <v>46310</v>
      </c>
      <c r="R111" s="104">
        <f t="shared" si="19"/>
        <v>46311</v>
      </c>
      <c r="S111" s="104">
        <f t="shared" si="19"/>
        <v>46312</v>
      </c>
      <c r="T111" s="104">
        <f t="shared" si="19"/>
        <v>46313</v>
      </c>
      <c r="U111" s="104">
        <f t="shared" si="19"/>
        <v>46314</v>
      </c>
      <c r="V111" s="104">
        <f t="shared" si="19"/>
        <v>46315</v>
      </c>
      <c r="W111" s="104">
        <f t="shared" si="19"/>
        <v>46316</v>
      </c>
      <c r="X111" s="104">
        <f t="shared" si="19"/>
        <v>46317</v>
      </c>
      <c r="Y111" s="104">
        <f t="shared" si="19"/>
        <v>46318</v>
      </c>
      <c r="Z111" s="104">
        <f t="shared" si="19"/>
        <v>46319</v>
      </c>
      <c r="AA111" s="104">
        <f t="shared" si="19"/>
        <v>46320</v>
      </c>
      <c r="AB111" s="104">
        <f t="shared" si="19"/>
        <v>46321</v>
      </c>
      <c r="AC111" s="104">
        <f t="shared" si="19"/>
        <v>46322</v>
      </c>
      <c r="AD111" s="104">
        <f t="shared" si="19"/>
        <v>46323</v>
      </c>
      <c r="AE111" s="104">
        <f t="shared" si="19"/>
        <v>46324</v>
      </c>
      <c r="AF111" s="104">
        <f t="shared" si="19"/>
        <v>46325</v>
      </c>
      <c r="AG111" s="104">
        <f t="shared" si="19"/>
        <v>46326</v>
      </c>
      <c r="AI111" s="101" t="s">
        <v>42</v>
      </c>
      <c r="AJ111" s="102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01" t="s">
        <v>38</v>
      </c>
      <c r="C112" s="98">
        <v>8</v>
      </c>
      <c r="D112" s="98">
        <v>8</v>
      </c>
      <c r="E112" s="98"/>
      <c r="F112" s="98"/>
      <c r="G112" s="98">
        <v>8</v>
      </c>
      <c r="H112" s="98">
        <v>8</v>
      </c>
      <c r="I112" s="98">
        <v>8</v>
      </c>
      <c r="J112" s="98">
        <v>8</v>
      </c>
      <c r="K112" s="98">
        <v>8</v>
      </c>
      <c r="L112" s="98"/>
      <c r="M112" s="98"/>
      <c r="N112" s="98"/>
      <c r="O112" s="98">
        <v>8</v>
      </c>
      <c r="P112" s="98">
        <v>8</v>
      </c>
      <c r="Q112" s="98">
        <v>8</v>
      </c>
      <c r="R112" s="98">
        <v>8</v>
      </c>
      <c r="S112" s="98"/>
      <c r="T112" s="98"/>
      <c r="U112" s="98">
        <v>8</v>
      </c>
      <c r="V112" s="98">
        <v>8</v>
      </c>
      <c r="W112" s="98">
        <v>8</v>
      </c>
      <c r="X112" s="98">
        <v>8</v>
      </c>
      <c r="Y112" s="98">
        <v>8</v>
      </c>
      <c r="Z112" s="98"/>
      <c r="AA112" s="98"/>
      <c r="AB112" s="98">
        <v>8</v>
      </c>
      <c r="AC112" s="98">
        <v>8</v>
      </c>
      <c r="AD112" s="98">
        <v>8</v>
      </c>
      <c r="AE112" s="98">
        <v>8</v>
      </c>
      <c r="AF112" s="98">
        <v>8</v>
      </c>
      <c r="AG112" s="98"/>
      <c r="AI112" s="99" t="s">
        <v>43</v>
      </c>
      <c r="AJ112" s="106">
        <f>COUNT(C113:AG113)</f>
        <v>21</v>
      </c>
    </row>
    <row r="113" spans="1:36" outlineLevel="1" x14ac:dyDescent="0.45">
      <c r="A113" s="99" t="s">
        <v>39</v>
      </c>
      <c r="C113" s="99">
        <v>8</v>
      </c>
      <c r="D113" s="99">
        <v>8</v>
      </c>
      <c r="E113" s="99"/>
      <c r="F113" s="99"/>
      <c r="G113" s="99">
        <v>8</v>
      </c>
      <c r="H113" s="99">
        <v>8</v>
      </c>
      <c r="I113" s="99">
        <v>8</v>
      </c>
      <c r="J113" s="99">
        <v>8</v>
      </c>
      <c r="K113" s="99">
        <v>8</v>
      </c>
      <c r="L113" s="99"/>
      <c r="M113" s="99"/>
      <c r="N113" s="99"/>
      <c r="O113" s="99">
        <v>8</v>
      </c>
      <c r="P113" s="99">
        <v>8</v>
      </c>
      <c r="Q113" s="99">
        <v>8</v>
      </c>
      <c r="R113" s="99">
        <v>8</v>
      </c>
      <c r="S113" s="99"/>
      <c r="T113" s="99"/>
      <c r="U113" s="99">
        <v>8</v>
      </c>
      <c r="V113" s="99">
        <v>8</v>
      </c>
      <c r="W113" s="99">
        <v>8</v>
      </c>
      <c r="X113" s="99">
        <v>8</v>
      </c>
      <c r="Y113" s="99">
        <v>8</v>
      </c>
      <c r="Z113" s="99"/>
      <c r="AA113" s="99"/>
      <c r="AB113" s="99">
        <v>8</v>
      </c>
      <c r="AC113" s="99">
        <v>8</v>
      </c>
      <c r="AD113" s="99">
        <v>8</v>
      </c>
      <c r="AE113" s="99">
        <v>8</v>
      </c>
      <c r="AF113" s="99">
        <v>8</v>
      </c>
      <c r="AG113" s="99"/>
      <c r="AI113" s="99" t="s">
        <v>44</v>
      </c>
      <c r="AJ113" s="103" t="str">
        <f>_xlfn.LET(_xlpm.v,SUM(C113:AG113),IF(_xlpm.v=INT(_xlpm.v),TEXT(_xlpm.v,"0")&amp;" h",TEXT(_xlpm.v,"0.###")&amp;" h"))</f>
        <v>168 h</v>
      </c>
    </row>
    <row r="114" spans="1:36" outlineLevel="1" x14ac:dyDescent="0.45">
      <c r="A114" s="99" t="s">
        <v>37</v>
      </c>
      <c r="C114" s="99" t="s">
        <v>22</v>
      </c>
      <c r="D114" s="99" t="s">
        <v>22</v>
      </c>
      <c r="E114" s="99"/>
      <c r="F114" s="99"/>
      <c r="G114" s="99" t="s">
        <v>22</v>
      </c>
      <c r="H114" s="99" t="s">
        <v>22</v>
      </c>
      <c r="I114" s="99" t="s">
        <v>22</v>
      </c>
      <c r="J114" s="99" t="s">
        <v>22</v>
      </c>
      <c r="K114" s="99" t="s">
        <v>22</v>
      </c>
      <c r="L114" s="99"/>
      <c r="M114" s="99"/>
      <c r="N114" s="99"/>
      <c r="O114" s="99" t="s">
        <v>22</v>
      </c>
      <c r="P114" s="99" t="s">
        <v>22</v>
      </c>
      <c r="Q114" s="99" t="s">
        <v>22</v>
      </c>
      <c r="R114" s="99" t="s">
        <v>22</v>
      </c>
      <c r="S114" s="99"/>
      <c r="T114" s="99"/>
      <c r="U114" s="99" t="s">
        <v>22</v>
      </c>
      <c r="V114" s="99" t="s">
        <v>22</v>
      </c>
      <c r="W114" s="99" t="s">
        <v>22</v>
      </c>
      <c r="X114" s="99" t="s">
        <v>22</v>
      </c>
      <c r="Y114" s="99" t="s">
        <v>22</v>
      </c>
      <c r="Z114" s="99"/>
      <c r="AA114" s="99"/>
      <c r="AB114" s="99" t="s">
        <v>22</v>
      </c>
      <c r="AC114" s="99" t="s">
        <v>22</v>
      </c>
      <c r="AD114" s="99" t="s">
        <v>22</v>
      </c>
      <c r="AE114" s="99" t="s">
        <v>22</v>
      </c>
      <c r="AF114" s="99" t="s">
        <v>22</v>
      </c>
      <c r="AG114" s="99"/>
      <c r="AI114" s="99" t="s">
        <v>45</v>
      </c>
      <c r="AJ114" s="106">
        <f>COUNTIF(C114:AG114,"出")</f>
        <v>0</v>
      </c>
    </row>
    <row r="115" spans="1:36" outlineLevel="1" x14ac:dyDescent="0.45">
      <c r="A115" s="99" t="s">
        <v>40</v>
      </c>
      <c r="C115" s="386"/>
      <c r="D115" s="386"/>
      <c r="E115" s="386"/>
      <c r="F115" s="386"/>
      <c r="G115" s="386"/>
      <c r="H115" s="386"/>
      <c r="I115" s="386"/>
      <c r="J115" s="386"/>
      <c r="K115" s="386"/>
      <c r="L115" s="386"/>
      <c r="M115" s="386"/>
      <c r="N115" s="386"/>
      <c r="O115" s="386"/>
      <c r="P115" s="386"/>
      <c r="Q115" s="386"/>
      <c r="S115" s="386"/>
      <c r="T115" s="386"/>
      <c r="U115" s="386"/>
      <c r="V115" s="386"/>
      <c r="W115" s="386"/>
      <c r="X115" s="386"/>
      <c r="Y115" s="386"/>
      <c r="Z115" s="386"/>
      <c r="AA115" s="386"/>
      <c r="AB115" s="386"/>
      <c r="AC115" s="386"/>
      <c r="AD115" s="386"/>
      <c r="AE115" s="386"/>
      <c r="AF115" s="386"/>
      <c r="AG115" s="386"/>
      <c r="AI115" s="99" t="s">
        <v>46</v>
      </c>
      <c r="AJ115" s="106">
        <f>COUNTIF(C114:AG114,"リ")</f>
        <v>21</v>
      </c>
    </row>
    <row r="116" spans="1:36" outlineLevel="1" x14ac:dyDescent="0.45">
      <c r="C116" s="386"/>
      <c r="D116" s="386"/>
      <c r="E116" s="386"/>
      <c r="F116" s="386"/>
      <c r="G116" s="386"/>
      <c r="H116" s="386"/>
      <c r="I116" s="386"/>
      <c r="J116" s="386"/>
      <c r="K116" s="386"/>
      <c r="L116" s="386"/>
      <c r="M116" s="386"/>
      <c r="N116" s="386"/>
      <c r="O116" s="386"/>
      <c r="P116" s="386"/>
      <c r="Q116" s="386"/>
      <c r="S116" s="386"/>
      <c r="T116" s="386"/>
      <c r="U116" s="386"/>
      <c r="V116" s="386"/>
      <c r="W116" s="386"/>
      <c r="X116" s="386"/>
      <c r="Y116" s="386"/>
      <c r="Z116" s="386"/>
      <c r="AA116" s="386"/>
      <c r="AB116" s="386"/>
      <c r="AC116" s="386"/>
      <c r="AD116" s="386"/>
      <c r="AE116" s="386"/>
      <c r="AF116" s="386"/>
      <c r="AG116" s="386"/>
      <c r="AI116" s="99" t="s">
        <v>25</v>
      </c>
      <c r="AJ116" s="107">
        <f>AJ114/(AJ114+AJ115)</f>
        <v>0</v>
      </c>
    </row>
    <row r="117" spans="1:36" outlineLevel="1" x14ac:dyDescent="0.45">
      <c r="C117" s="386"/>
      <c r="D117" s="386"/>
      <c r="E117" s="386"/>
      <c r="F117" s="386"/>
      <c r="G117" s="386"/>
      <c r="H117" s="386"/>
      <c r="I117" s="386"/>
      <c r="J117" s="386"/>
      <c r="K117" s="386"/>
      <c r="L117" s="386"/>
      <c r="M117" s="386"/>
      <c r="N117" s="386"/>
      <c r="O117" s="386"/>
      <c r="P117" s="386"/>
      <c r="Q117" s="386"/>
      <c r="S117" s="386"/>
      <c r="T117" s="386"/>
      <c r="U117" s="386"/>
      <c r="V117" s="386"/>
      <c r="W117" s="386"/>
      <c r="X117" s="386"/>
      <c r="Y117" s="386"/>
      <c r="Z117" s="386"/>
      <c r="AA117" s="386"/>
      <c r="AB117" s="386"/>
      <c r="AC117" s="386"/>
      <c r="AD117" s="386"/>
      <c r="AE117" s="386"/>
      <c r="AF117" s="386"/>
      <c r="AG117" s="386"/>
    </row>
    <row r="118" spans="1:36" outlineLevel="1" x14ac:dyDescent="0.45">
      <c r="C118" s="386"/>
      <c r="D118" s="386"/>
      <c r="E118" s="386"/>
      <c r="F118" s="386"/>
      <c r="G118" s="386"/>
      <c r="H118" s="386"/>
      <c r="I118" s="386"/>
      <c r="J118" s="386"/>
      <c r="K118" s="386"/>
      <c r="L118" s="386"/>
      <c r="M118" s="386"/>
      <c r="N118" s="386"/>
      <c r="O118" s="386"/>
      <c r="P118" s="386"/>
      <c r="Q118" s="386"/>
      <c r="S118" s="386"/>
      <c r="T118" s="386"/>
      <c r="U118" s="386"/>
      <c r="V118" s="386"/>
      <c r="W118" s="386"/>
      <c r="X118" s="386"/>
      <c r="Y118" s="386"/>
      <c r="Z118" s="386"/>
      <c r="AA118" s="386"/>
      <c r="AB118" s="386"/>
      <c r="AC118" s="386"/>
      <c r="AD118" s="386"/>
      <c r="AE118" s="386"/>
      <c r="AF118" s="386"/>
      <c r="AG118" s="386"/>
    </row>
    <row r="119" spans="1:36" outlineLevel="1" x14ac:dyDescent="0.45">
      <c r="C119" s="386"/>
      <c r="D119" s="386"/>
      <c r="E119" s="386"/>
      <c r="F119" s="386"/>
      <c r="G119" s="386"/>
      <c r="H119" s="386"/>
      <c r="I119" s="386"/>
      <c r="J119" s="386"/>
      <c r="K119" s="386"/>
      <c r="L119" s="386"/>
      <c r="M119" s="386"/>
      <c r="N119" s="386"/>
      <c r="O119" s="386"/>
      <c r="P119" s="386"/>
      <c r="Q119" s="386"/>
      <c r="S119" s="386"/>
      <c r="T119" s="386"/>
      <c r="U119" s="386"/>
      <c r="V119" s="386"/>
      <c r="W119" s="386"/>
      <c r="X119" s="386"/>
      <c r="Y119" s="386"/>
      <c r="Z119" s="386"/>
      <c r="AA119" s="386"/>
      <c r="AB119" s="386"/>
      <c r="AC119" s="386"/>
      <c r="AD119" s="386"/>
      <c r="AE119" s="386"/>
      <c r="AF119" s="386"/>
      <c r="AG119" s="386"/>
    </row>
    <row r="120" spans="1:36" outlineLevel="1" x14ac:dyDescent="0.45"/>
    <row r="121" spans="1:36" x14ac:dyDescent="0.45">
      <c r="C121" s="284">
        <v>46327</v>
      </c>
      <c r="D121" s="285"/>
      <c r="E121" s="285"/>
      <c r="F121" s="285"/>
      <c r="G121" s="285"/>
      <c r="H121" s="285"/>
      <c r="I121" s="285"/>
      <c r="J121" s="285"/>
      <c r="K121" s="285"/>
      <c r="L121" s="285"/>
      <c r="M121" s="285"/>
      <c r="N121" s="285"/>
      <c r="O121" s="285"/>
      <c r="P121" s="285"/>
      <c r="Q121" s="285"/>
      <c r="R121" s="285"/>
      <c r="S121" s="285"/>
      <c r="T121" s="285"/>
      <c r="U121" s="285"/>
      <c r="V121" s="285"/>
      <c r="W121" s="285"/>
      <c r="X121" s="285"/>
      <c r="Y121" s="285"/>
      <c r="Z121" s="285"/>
      <c r="AA121" s="285"/>
      <c r="AB121" s="285"/>
      <c r="AC121" s="285"/>
      <c r="AD121" s="285"/>
      <c r="AE121" s="285"/>
      <c r="AF121" s="285"/>
      <c r="AG121" s="285"/>
    </row>
    <row r="122" spans="1:36" outlineLevel="1" x14ac:dyDescent="0.45">
      <c r="C122" s="99" t="str">
        <f t="shared" ref="C122:AG122" si="20">TEXT(C123,"aaa")</f>
        <v>日</v>
      </c>
      <c r="D122" s="99" t="str">
        <f t="shared" si="20"/>
        <v>月</v>
      </c>
      <c r="E122" s="99" t="str">
        <f t="shared" si="20"/>
        <v>火</v>
      </c>
      <c r="F122" s="99" t="str">
        <f t="shared" si="20"/>
        <v>水</v>
      </c>
      <c r="G122" s="99" t="str">
        <f t="shared" si="20"/>
        <v>木</v>
      </c>
      <c r="H122" s="99" t="str">
        <f t="shared" si="20"/>
        <v>金</v>
      </c>
      <c r="I122" s="99" t="str">
        <f t="shared" si="20"/>
        <v>土</v>
      </c>
      <c r="J122" s="99" t="str">
        <f t="shared" si="20"/>
        <v>日</v>
      </c>
      <c r="K122" s="99" t="str">
        <f t="shared" si="20"/>
        <v>月</v>
      </c>
      <c r="L122" s="99" t="str">
        <f t="shared" si="20"/>
        <v>火</v>
      </c>
      <c r="M122" s="99" t="str">
        <f t="shared" si="20"/>
        <v>水</v>
      </c>
      <c r="N122" s="99" t="str">
        <f t="shared" si="20"/>
        <v>木</v>
      </c>
      <c r="O122" s="99" t="str">
        <f t="shared" si="20"/>
        <v>金</v>
      </c>
      <c r="P122" s="99" t="str">
        <f t="shared" si="20"/>
        <v>土</v>
      </c>
      <c r="Q122" s="99" t="str">
        <f t="shared" si="20"/>
        <v>日</v>
      </c>
      <c r="R122" s="99" t="str">
        <f t="shared" si="20"/>
        <v>月</v>
      </c>
      <c r="S122" s="99" t="str">
        <f t="shared" si="20"/>
        <v>火</v>
      </c>
      <c r="T122" s="99" t="str">
        <f t="shared" si="20"/>
        <v>水</v>
      </c>
      <c r="U122" s="99" t="str">
        <f t="shared" si="20"/>
        <v>木</v>
      </c>
      <c r="V122" s="99" t="str">
        <f t="shared" si="20"/>
        <v>金</v>
      </c>
      <c r="W122" s="99" t="str">
        <f t="shared" si="20"/>
        <v>土</v>
      </c>
      <c r="X122" s="99" t="str">
        <f t="shared" si="20"/>
        <v>日</v>
      </c>
      <c r="Y122" s="99" t="str">
        <f t="shared" si="20"/>
        <v>月</v>
      </c>
      <c r="Z122" s="99" t="str">
        <f t="shared" si="20"/>
        <v>火</v>
      </c>
      <c r="AA122" s="99" t="str">
        <f t="shared" si="20"/>
        <v>水</v>
      </c>
      <c r="AB122" s="99" t="str">
        <f t="shared" si="20"/>
        <v>木</v>
      </c>
      <c r="AC122" s="99" t="str">
        <f t="shared" si="20"/>
        <v>金</v>
      </c>
      <c r="AD122" s="99" t="str">
        <f t="shared" si="20"/>
        <v>土</v>
      </c>
      <c r="AE122" s="99" t="str">
        <f t="shared" si="20"/>
        <v>日</v>
      </c>
      <c r="AF122" s="99" t="str">
        <f t="shared" si="20"/>
        <v>月</v>
      </c>
      <c r="AG122" s="99" t="str">
        <f t="shared" si="20"/>
        <v/>
      </c>
      <c r="AI122" s="101" t="s">
        <v>41</v>
      </c>
      <c r="AJ122" s="105">
        <f>COUNT(C124:AG124)</f>
        <v>19</v>
      </c>
    </row>
    <row r="123" spans="1:36" outlineLevel="1" x14ac:dyDescent="0.45">
      <c r="C123" s="104">
        <f>C121</f>
        <v>46327</v>
      </c>
      <c r="D123" s="104">
        <f t="shared" ref="D123:AG123" si="21">IF(C123="","",IF(C123+1&lt;=EOMONTH($C121,0),C123+1,""))</f>
        <v>46328</v>
      </c>
      <c r="E123" s="104">
        <f t="shared" si="21"/>
        <v>46329</v>
      </c>
      <c r="F123" s="104">
        <f t="shared" si="21"/>
        <v>46330</v>
      </c>
      <c r="G123" s="104">
        <f t="shared" si="21"/>
        <v>46331</v>
      </c>
      <c r="H123" s="104">
        <f t="shared" si="21"/>
        <v>46332</v>
      </c>
      <c r="I123" s="104">
        <f t="shared" si="21"/>
        <v>46333</v>
      </c>
      <c r="J123" s="104">
        <f t="shared" si="21"/>
        <v>46334</v>
      </c>
      <c r="K123" s="104">
        <f t="shared" si="21"/>
        <v>46335</v>
      </c>
      <c r="L123" s="104">
        <f t="shared" si="21"/>
        <v>46336</v>
      </c>
      <c r="M123" s="104">
        <f t="shared" si="21"/>
        <v>46337</v>
      </c>
      <c r="N123" s="104">
        <f t="shared" si="21"/>
        <v>46338</v>
      </c>
      <c r="O123" s="104">
        <f t="shared" si="21"/>
        <v>46339</v>
      </c>
      <c r="P123" s="104">
        <f t="shared" si="21"/>
        <v>46340</v>
      </c>
      <c r="Q123" s="104">
        <f t="shared" si="21"/>
        <v>46341</v>
      </c>
      <c r="R123" s="104">
        <f t="shared" si="21"/>
        <v>46342</v>
      </c>
      <c r="S123" s="104">
        <f t="shared" si="21"/>
        <v>46343</v>
      </c>
      <c r="T123" s="104">
        <f t="shared" si="21"/>
        <v>46344</v>
      </c>
      <c r="U123" s="104">
        <f t="shared" si="21"/>
        <v>46345</v>
      </c>
      <c r="V123" s="104">
        <f t="shared" si="21"/>
        <v>46346</v>
      </c>
      <c r="W123" s="104">
        <f t="shared" si="21"/>
        <v>46347</v>
      </c>
      <c r="X123" s="104">
        <f t="shared" si="21"/>
        <v>46348</v>
      </c>
      <c r="Y123" s="104">
        <f t="shared" si="21"/>
        <v>46349</v>
      </c>
      <c r="Z123" s="104">
        <f t="shared" si="21"/>
        <v>46350</v>
      </c>
      <c r="AA123" s="104">
        <f t="shared" si="21"/>
        <v>46351</v>
      </c>
      <c r="AB123" s="104">
        <f t="shared" si="21"/>
        <v>46352</v>
      </c>
      <c r="AC123" s="104">
        <f t="shared" si="21"/>
        <v>46353</v>
      </c>
      <c r="AD123" s="104">
        <f t="shared" si="21"/>
        <v>46354</v>
      </c>
      <c r="AE123" s="104">
        <f t="shared" si="21"/>
        <v>46355</v>
      </c>
      <c r="AF123" s="104">
        <f t="shared" si="21"/>
        <v>46356</v>
      </c>
      <c r="AG123" s="104" t="str">
        <f t="shared" si="21"/>
        <v/>
      </c>
      <c r="AI123" s="101" t="s">
        <v>42</v>
      </c>
      <c r="AJ123" s="102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01" t="s">
        <v>38</v>
      </c>
      <c r="C124" s="98"/>
      <c r="D124" s="98">
        <v>8</v>
      </c>
      <c r="E124" s="98"/>
      <c r="F124" s="98">
        <v>8</v>
      </c>
      <c r="G124" s="98">
        <v>8</v>
      </c>
      <c r="H124" s="98">
        <v>8</v>
      </c>
      <c r="I124" s="98"/>
      <c r="J124" s="98"/>
      <c r="K124" s="98">
        <v>8</v>
      </c>
      <c r="L124" s="98">
        <v>8</v>
      </c>
      <c r="M124" s="98">
        <v>8</v>
      </c>
      <c r="N124" s="98">
        <v>8</v>
      </c>
      <c r="O124" s="98">
        <v>8</v>
      </c>
      <c r="P124" s="98"/>
      <c r="Q124" s="98"/>
      <c r="R124" s="98">
        <v>8</v>
      </c>
      <c r="S124" s="98">
        <v>8</v>
      </c>
      <c r="T124" s="98">
        <v>8</v>
      </c>
      <c r="U124" s="98">
        <v>8</v>
      </c>
      <c r="V124" s="98">
        <v>8</v>
      </c>
      <c r="W124" s="98"/>
      <c r="X124" s="98"/>
      <c r="Y124" s="98"/>
      <c r="Z124" s="98">
        <v>8</v>
      </c>
      <c r="AA124" s="98">
        <v>8</v>
      </c>
      <c r="AB124" s="98">
        <v>8</v>
      </c>
      <c r="AC124" s="98">
        <v>8</v>
      </c>
      <c r="AD124" s="98"/>
      <c r="AE124" s="98"/>
      <c r="AF124" s="98">
        <v>8</v>
      </c>
      <c r="AG124" s="98"/>
      <c r="AI124" s="99" t="s">
        <v>43</v>
      </c>
      <c r="AJ124" s="106">
        <f>COUNT(C125:AG125)</f>
        <v>19</v>
      </c>
    </row>
    <row r="125" spans="1:36" outlineLevel="1" x14ac:dyDescent="0.45">
      <c r="A125" s="99" t="s">
        <v>39</v>
      </c>
      <c r="C125" s="99"/>
      <c r="D125" s="99">
        <v>8</v>
      </c>
      <c r="E125" s="99"/>
      <c r="F125" s="99">
        <v>8</v>
      </c>
      <c r="G125" s="99">
        <v>8</v>
      </c>
      <c r="H125" s="99">
        <v>8</v>
      </c>
      <c r="I125" s="99"/>
      <c r="J125" s="99"/>
      <c r="K125" s="99">
        <v>8</v>
      </c>
      <c r="L125" s="99">
        <v>8</v>
      </c>
      <c r="M125" s="99">
        <v>8</v>
      </c>
      <c r="N125" s="99">
        <v>8</v>
      </c>
      <c r="O125" s="99">
        <v>8</v>
      </c>
      <c r="P125" s="99"/>
      <c r="Q125" s="99"/>
      <c r="R125" s="99">
        <v>8</v>
      </c>
      <c r="S125" s="99">
        <v>8</v>
      </c>
      <c r="T125" s="99">
        <v>8</v>
      </c>
      <c r="U125" s="99">
        <v>8</v>
      </c>
      <c r="V125" s="99">
        <v>8</v>
      </c>
      <c r="W125" s="99"/>
      <c r="X125" s="99"/>
      <c r="Y125" s="99"/>
      <c r="Z125" s="99">
        <v>8</v>
      </c>
      <c r="AA125" s="99">
        <v>8</v>
      </c>
      <c r="AB125" s="99">
        <v>8</v>
      </c>
      <c r="AC125" s="99">
        <v>8</v>
      </c>
      <c r="AD125" s="99"/>
      <c r="AE125" s="99"/>
      <c r="AF125" s="99">
        <v>8</v>
      </c>
      <c r="AG125" s="99"/>
      <c r="AI125" s="99" t="s">
        <v>44</v>
      </c>
      <c r="AJ125" s="103" t="str">
        <f>_xlfn.LET(_xlpm.v,SUM(C125:AG125),IF(_xlpm.v=INT(_xlpm.v),TEXT(_xlpm.v,"0")&amp;" h",TEXT(_xlpm.v,"0.###")&amp;" h"))</f>
        <v>152 h</v>
      </c>
    </row>
    <row r="126" spans="1:36" outlineLevel="1" x14ac:dyDescent="0.45">
      <c r="A126" s="99" t="s">
        <v>37</v>
      </c>
      <c r="C126" s="99"/>
      <c r="D126" s="99" t="s">
        <v>22</v>
      </c>
      <c r="E126" s="99"/>
      <c r="F126" s="99" t="s">
        <v>22</v>
      </c>
      <c r="G126" s="99" t="s">
        <v>22</v>
      </c>
      <c r="H126" s="99" t="s">
        <v>22</v>
      </c>
      <c r="I126" s="99"/>
      <c r="J126" s="99"/>
      <c r="K126" s="99" t="s">
        <v>22</v>
      </c>
      <c r="L126" s="99" t="s">
        <v>22</v>
      </c>
      <c r="M126" s="99" t="s">
        <v>22</v>
      </c>
      <c r="N126" s="99" t="s">
        <v>22</v>
      </c>
      <c r="O126" s="99" t="s">
        <v>22</v>
      </c>
      <c r="P126" s="99"/>
      <c r="Q126" s="99"/>
      <c r="R126" s="99" t="s">
        <v>22</v>
      </c>
      <c r="S126" s="99" t="s">
        <v>22</v>
      </c>
      <c r="T126" s="99" t="s">
        <v>22</v>
      </c>
      <c r="U126" s="99" t="s">
        <v>22</v>
      </c>
      <c r="V126" s="99" t="s">
        <v>22</v>
      </c>
      <c r="W126" s="99"/>
      <c r="X126" s="99"/>
      <c r="Y126" s="99"/>
      <c r="Z126" s="99" t="s">
        <v>22</v>
      </c>
      <c r="AA126" s="99" t="s">
        <v>22</v>
      </c>
      <c r="AB126" s="99" t="s">
        <v>22</v>
      </c>
      <c r="AC126" s="99" t="s">
        <v>22</v>
      </c>
      <c r="AD126" s="99"/>
      <c r="AE126" s="99"/>
      <c r="AF126" s="99" t="s">
        <v>22</v>
      </c>
      <c r="AG126" s="99"/>
      <c r="AI126" s="99" t="s">
        <v>45</v>
      </c>
      <c r="AJ126" s="106">
        <f>COUNTIF(C126:AG126,"出")</f>
        <v>0</v>
      </c>
    </row>
    <row r="127" spans="1:36" outlineLevel="1" x14ac:dyDescent="0.45">
      <c r="A127" s="99" t="s">
        <v>40</v>
      </c>
      <c r="C127" s="386"/>
      <c r="D127" s="386"/>
      <c r="E127" s="386"/>
      <c r="F127" s="386"/>
      <c r="G127" s="386"/>
      <c r="H127" s="386"/>
      <c r="I127" s="386"/>
      <c r="J127" s="386"/>
      <c r="K127" s="386"/>
      <c r="L127" s="386"/>
      <c r="M127" s="386"/>
      <c r="N127" s="386"/>
      <c r="O127" s="386"/>
      <c r="P127" s="386"/>
      <c r="Q127" s="386"/>
      <c r="S127" s="386"/>
      <c r="T127" s="386"/>
      <c r="U127" s="386"/>
      <c r="V127" s="386"/>
      <c r="W127" s="386"/>
      <c r="X127" s="386"/>
      <c r="Y127" s="386"/>
      <c r="Z127" s="386"/>
      <c r="AA127" s="386"/>
      <c r="AB127" s="386"/>
      <c r="AC127" s="386"/>
      <c r="AD127" s="386"/>
      <c r="AE127" s="386"/>
      <c r="AF127" s="386"/>
      <c r="AG127" s="386"/>
      <c r="AI127" s="99" t="s">
        <v>46</v>
      </c>
      <c r="AJ127" s="106">
        <f>COUNTIF(C126:AG126,"リ")</f>
        <v>19</v>
      </c>
    </row>
    <row r="128" spans="1:36" outlineLevel="1" x14ac:dyDescent="0.45">
      <c r="C128" s="386"/>
      <c r="D128" s="386"/>
      <c r="E128" s="386"/>
      <c r="F128" s="386"/>
      <c r="G128" s="386"/>
      <c r="H128" s="386"/>
      <c r="I128" s="386"/>
      <c r="J128" s="386"/>
      <c r="K128" s="386"/>
      <c r="L128" s="386"/>
      <c r="M128" s="386"/>
      <c r="N128" s="386"/>
      <c r="O128" s="386"/>
      <c r="P128" s="386"/>
      <c r="Q128" s="386"/>
      <c r="S128" s="386"/>
      <c r="T128" s="386"/>
      <c r="U128" s="386"/>
      <c r="V128" s="386"/>
      <c r="W128" s="386"/>
      <c r="X128" s="386"/>
      <c r="Y128" s="386"/>
      <c r="Z128" s="386"/>
      <c r="AA128" s="386"/>
      <c r="AB128" s="386"/>
      <c r="AC128" s="386"/>
      <c r="AD128" s="386"/>
      <c r="AE128" s="386"/>
      <c r="AF128" s="386"/>
      <c r="AG128" s="386"/>
      <c r="AI128" s="99" t="s">
        <v>25</v>
      </c>
      <c r="AJ128" s="107">
        <f>AJ126/(AJ126+AJ127)</f>
        <v>0</v>
      </c>
    </row>
    <row r="129" spans="1:36" outlineLevel="1" x14ac:dyDescent="0.45">
      <c r="C129" s="386"/>
      <c r="D129" s="386"/>
      <c r="E129" s="386"/>
      <c r="F129" s="386"/>
      <c r="G129" s="386"/>
      <c r="H129" s="386"/>
      <c r="I129" s="386"/>
      <c r="J129" s="386"/>
      <c r="K129" s="386"/>
      <c r="L129" s="386"/>
      <c r="M129" s="386"/>
      <c r="N129" s="386"/>
      <c r="O129" s="386"/>
      <c r="P129" s="386"/>
      <c r="Q129" s="386"/>
      <c r="S129" s="386"/>
      <c r="T129" s="386"/>
      <c r="U129" s="386"/>
      <c r="V129" s="386"/>
      <c r="W129" s="386"/>
      <c r="X129" s="386"/>
      <c r="Y129" s="386"/>
      <c r="Z129" s="386"/>
      <c r="AA129" s="386"/>
      <c r="AB129" s="386"/>
      <c r="AC129" s="386"/>
      <c r="AD129" s="386"/>
      <c r="AE129" s="386"/>
      <c r="AF129" s="386"/>
      <c r="AG129" s="386"/>
    </row>
    <row r="130" spans="1:36" outlineLevel="1" x14ac:dyDescent="0.45">
      <c r="C130" s="386"/>
      <c r="D130" s="386"/>
      <c r="E130" s="386"/>
      <c r="F130" s="386"/>
      <c r="G130" s="386"/>
      <c r="H130" s="386"/>
      <c r="I130" s="386"/>
      <c r="J130" s="386"/>
      <c r="K130" s="386"/>
      <c r="L130" s="386"/>
      <c r="M130" s="386"/>
      <c r="N130" s="386"/>
      <c r="O130" s="386"/>
      <c r="P130" s="386"/>
      <c r="Q130" s="386"/>
      <c r="S130" s="386"/>
      <c r="T130" s="386"/>
      <c r="U130" s="386"/>
      <c r="V130" s="386"/>
      <c r="W130" s="386"/>
      <c r="X130" s="386"/>
      <c r="Y130" s="386"/>
      <c r="Z130" s="386"/>
      <c r="AA130" s="386"/>
      <c r="AB130" s="386"/>
      <c r="AC130" s="386"/>
      <c r="AD130" s="386"/>
      <c r="AE130" s="386"/>
      <c r="AF130" s="386"/>
      <c r="AG130" s="386"/>
    </row>
    <row r="131" spans="1:36" outlineLevel="1" x14ac:dyDescent="0.45">
      <c r="C131" s="386"/>
      <c r="D131" s="386"/>
      <c r="E131" s="386"/>
      <c r="F131" s="386"/>
      <c r="G131" s="386"/>
      <c r="H131" s="386"/>
      <c r="I131" s="386"/>
      <c r="J131" s="386"/>
      <c r="K131" s="386"/>
      <c r="L131" s="386"/>
      <c r="M131" s="386"/>
      <c r="N131" s="386"/>
      <c r="O131" s="386"/>
      <c r="P131" s="386"/>
      <c r="Q131" s="386"/>
      <c r="S131" s="386"/>
      <c r="T131" s="386"/>
      <c r="U131" s="386"/>
      <c r="V131" s="386"/>
      <c r="W131" s="386"/>
      <c r="X131" s="386"/>
      <c r="Y131" s="386"/>
      <c r="Z131" s="386"/>
      <c r="AA131" s="386"/>
      <c r="AB131" s="386"/>
      <c r="AC131" s="386"/>
      <c r="AD131" s="386"/>
      <c r="AE131" s="386"/>
      <c r="AF131" s="386"/>
      <c r="AG131" s="386"/>
    </row>
    <row r="132" spans="1:36" outlineLevel="1" x14ac:dyDescent="0.45"/>
    <row r="133" spans="1:36" x14ac:dyDescent="0.45">
      <c r="C133" s="284">
        <v>46357</v>
      </c>
      <c r="D133" s="285"/>
      <c r="E133" s="285"/>
      <c r="F133" s="285"/>
      <c r="G133" s="285"/>
      <c r="H133" s="285"/>
      <c r="I133" s="285"/>
      <c r="J133" s="285"/>
      <c r="K133" s="285"/>
      <c r="L133" s="285"/>
      <c r="M133" s="285"/>
      <c r="N133" s="285"/>
      <c r="O133" s="285"/>
      <c r="P133" s="285"/>
      <c r="Q133" s="285"/>
      <c r="R133" s="285"/>
      <c r="S133" s="285"/>
      <c r="T133" s="285"/>
      <c r="U133" s="285"/>
      <c r="V133" s="285"/>
      <c r="W133" s="285"/>
      <c r="X133" s="285"/>
      <c r="Y133" s="285"/>
      <c r="Z133" s="285"/>
      <c r="AA133" s="285"/>
      <c r="AB133" s="285"/>
      <c r="AC133" s="285"/>
      <c r="AD133" s="285"/>
      <c r="AE133" s="285"/>
      <c r="AF133" s="285"/>
      <c r="AG133" s="285"/>
    </row>
    <row r="134" spans="1:36" outlineLevel="1" x14ac:dyDescent="0.45">
      <c r="C134" s="99" t="str">
        <f t="shared" ref="C134:AG134" si="22">TEXT(C135,"aaa")</f>
        <v>火</v>
      </c>
      <c r="D134" s="99" t="str">
        <f t="shared" si="22"/>
        <v>水</v>
      </c>
      <c r="E134" s="99" t="str">
        <f t="shared" si="22"/>
        <v>木</v>
      </c>
      <c r="F134" s="99" t="str">
        <f t="shared" si="22"/>
        <v>金</v>
      </c>
      <c r="G134" s="99" t="str">
        <f t="shared" si="22"/>
        <v>土</v>
      </c>
      <c r="H134" s="99" t="str">
        <f t="shared" si="22"/>
        <v>日</v>
      </c>
      <c r="I134" s="99" t="str">
        <f t="shared" si="22"/>
        <v>月</v>
      </c>
      <c r="J134" s="99" t="str">
        <f t="shared" si="22"/>
        <v>火</v>
      </c>
      <c r="K134" s="99" t="str">
        <f t="shared" si="22"/>
        <v>水</v>
      </c>
      <c r="L134" s="99" t="str">
        <f t="shared" si="22"/>
        <v>木</v>
      </c>
      <c r="M134" s="99" t="str">
        <f t="shared" si="22"/>
        <v>金</v>
      </c>
      <c r="N134" s="99" t="str">
        <f t="shared" si="22"/>
        <v>土</v>
      </c>
      <c r="O134" s="99" t="str">
        <f t="shared" si="22"/>
        <v>日</v>
      </c>
      <c r="P134" s="99" t="str">
        <f t="shared" si="22"/>
        <v>月</v>
      </c>
      <c r="Q134" s="99" t="str">
        <f t="shared" si="22"/>
        <v>火</v>
      </c>
      <c r="R134" s="99" t="str">
        <f t="shared" si="22"/>
        <v>水</v>
      </c>
      <c r="S134" s="99" t="str">
        <f t="shared" si="22"/>
        <v>木</v>
      </c>
      <c r="T134" s="99" t="str">
        <f t="shared" si="22"/>
        <v>金</v>
      </c>
      <c r="U134" s="99" t="str">
        <f t="shared" si="22"/>
        <v>土</v>
      </c>
      <c r="V134" s="99" t="str">
        <f t="shared" si="22"/>
        <v>日</v>
      </c>
      <c r="W134" s="99" t="str">
        <f t="shared" si="22"/>
        <v>月</v>
      </c>
      <c r="X134" s="99" t="str">
        <f t="shared" si="22"/>
        <v>火</v>
      </c>
      <c r="Y134" s="99" t="str">
        <f t="shared" si="22"/>
        <v>水</v>
      </c>
      <c r="Z134" s="99" t="str">
        <f t="shared" si="22"/>
        <v>木</v>
      </c>
      <c r="AA134" s="99" t="str">
        <f t="shared" si="22"/>
        <v>金</v>
      </c>
      <c r="AB134" s="99" t="str">
        <f t="shared" si="22"/>
        <v>土</v>
      </c>
      <c r="AC134" s="99" t="str">
        <f t="shared" si="22"/>
        <v>日</v>
      </c>
      <c r="AD134" s="99" t="str">
        <f t="shared" si="22"/>
        <v>月</v>
      </c>
      <c r="AE134" s="99" t="str">
        <f t="shared" si="22"/>
        <v>火</v>
      </c>
      <c r="AF134" s="99" t="str">
        <f t="shared" si="22"/>
        <v>水</v>
      </c>
      <c r="AG134" s="99" t="str">
        <f t="shared" si="22"/>
        <v>木</v>
      </c>
      <c r="AI134" s="101" t="s">
        <v>41</v>
      </c>
      <c r="AJ134" s="105">
        <f>COUNT(C136:AG136)</f>
        <v>20</v>
      </c>
    </row>
    <row r="135" spans="1:36" outlineLevel="1" x14ac:dyDescent="0.45">
      <c r="C135" s="104">
        <f>C133</f>
        <v>46357</v>
      </c>
      <c r="D135" s="104">
        <f t="shared" ref="D135:AG135" si="23">IF(C135="","",IF(C135+1&lt;=EOMONTH($C133,0),C135+1,""))</f>
        <v>46358</v>
      </c>
      <c r="E135" s="104">
        <f t="shared" si="23"/>
        <v>46359</v>
      </c>
      <c r="F135" s="104">
        <f t="shared" si="23"/>
        <v>46360</v>
      </c>
      <c r="G135" s="104">
        <f t="shared" si="23"/>
        <v>46361</v>
      </c>
      <c r="H135" s="104">
        <f t="shared" si="23"/>
        <v>46362</v>
      </c>
      <c r="I135" s="104">
        <f t="shared" si="23"/>
        <v>46363</v>
      </c>
      <c r="J135" s="104">
        <f t="shared" si="23"/>
        <v>46364</v>
      </c>
      <c r="K135" s="104">
        <f t="shared" si="23"/>
        <v>46365</v>
      </c>
      <c r="L135" s="104">
        <f t="shared" si="23"/>
        <v>46366</v>
      </c>
      <c r="M135" s="104">
        <f t="shared" si="23"/>
        <v>46367</v>
      </c>
      <c r="N135" s="104">
        <f t="shared" si="23"/>
        <v>46368</v>
      </c>
      <c r="O135" s="104">
        <f t="shared" si="23"/>
        <v>46369</v>
      </c>
      <c r="P135" s="104">
        <f t="shared" si="23"/>
        <v>46370</v>
      </c>
      <c r="Q135" s="104">
        <f t="shared" si="23"/>
        <v>46371</v>
      </c>
      <c r="R135" s="104">
        <f t="shared" si="23"/>
        <v>46372</v>
      </c>
      <c r="S135" s="104">
        <f t="shared" si="23"/>
        <v>46373</v>
      </c>
      <c r="T135" s="104">
        <f t="shared" si="23"/>
        <v>46374</v>
      </c>
      <c r="U135" s="104">
        <f t="shared" si="23"/>
        <v>46375</v>
      </c>
      <c r="V135" s="104">
        <f t="shared" si="23"/>
        <v>46376</v>
      </c>
      <c r="W135" s="104">
        <f t="shared" si="23"/>
        <v>46377</v>
      </c>
      <c r="X135" s="104">
        <f t="shared" si="23"/>
        <v>46378</v>
      </c>
      <c r="Y135" s="104">
        <f t="shared" si="23"/>
        <v>46379</v>
      </c>
      <c r="Z135" s="104">
        <f t="shared" si="23"/>
        <v>46380</v>
      </c>
      <c r="AA135" s="104">
        <f t="shared" si="23"/>
        <v>46381</v>
      </c>
      <c r="AB135" s="104">
        <f t="shared" si="23"/>
        <v>46382</v>
      </c>
      <c r="AC135" s="104">
        <f t="shared" si="23"/>
        <v>46383</v>
      </c>
      <c r="AD135" s="104">
        <f t="shared" si="23"/>
        <v>46384</v>
      </c>
      <c r="AE135" s="104">
        <f t="shared" si="23"/>
        <v>46385</v>
      </c>
      <c r="AF135" s="104">
        <f t="shared" si="23"/>
        <v>46386</v>
      </c>
      <c r="AG135" s="104">
        <f t="shared" si="23"/>
        <v>46387</v>
      </c>
      <c r="AI135" s="101" t="s">
        <v>42</v>
      </c>
      <c r="AJ135" s="102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01" t="s">
        <v>38</v>
      </c>
      <c r="C136" s="98">
        <v>8</v>
      </c>
      <c r="D136" s="98">
        <v>8</v>
      </c>
      <c r="E136" s="98">
        <v>8</v>
      </c>
      <c r="F136" s="98">
        <v>8</v>
      </c>
      <c r="G136" s="98"/>
      <c r="H136" s="98"/>
      <c r="I136" s="98">
        <v>8</v>
      </c>
      <c r="J136" s="98">
        <v>8</v>
      </c>
      <c r="K136" s="98">
        <v>8</v>
      </c>
      <c r="L136" s="98">
        <v>8</v>
      </c>
      <c r="M136" s="98">
        <v>8</v>
      </c>
      <c r="N136" s="98"/>
      <c r="O136" s="98"/>
      <c r="P136" s="98">
        <v>8</v>
      </c>
      <c r="Q136" s="98">
        <v>8</v>
      </c>
      <c r="R136" s="98">
        <v>8</v>
      </c>
      <c r="S136" s="98">
        <v>8</v>
      </c>
      <c r="T136" s="98">
        <v>8</v>
      </c>
      <c r="U136" s="98"/>
      <c r="V136" s="98"/>
      <c r="W136" s="98">
        <v>8</v>
      </c>
      <c r="X136" s="98">
        <v>8</v>
      </c>
      <c r="Y136" s="98">
        <v>8</v>
      </c>
      <c r="Z136" s="98">
        <v>8</v>
      </c>
      <c r="AA136" s="98">
        <v>8</v>
      </c>
      <c r="AB136" s="98"/>
      <c r="AC136" s="98"/>
      <c r="AD136" s="98">
        <v>8</v>
      </c>
      <c r="AE136" s="98"/>
      <c r="AF136" s="98"/>
      <c r="AG136" s="98"/>
      <c r="AI136" s="99" t="s">
        <v>43</v>
      </c>
      <c r="AJ136" s="106">
        <f>COUNT(C137:AG137)</f>
        <v>20</v>
      </c>
    </row>
    <row r="137" spans="1:36" outlineLevel="1" x14ac:dyDescent="0.45">
      <c r="A137" s="99" t="s">
        <v>39</v>
      </c>
      <c r="C137" s="99">
        <v>8</v>
      </c>
      <c r="D137" s="99">
        <v>8</v>
      </c>
      <c r="E137" s="99">
        <v>8</v>
      </c>
      <c r="F137" s="99">
        <v>8</v>
      </c>
      <c r="G137" s="99"/>
      <c r="H137" s="99"/>
      <c r="I137" s="99">
        <v>8</v>
      </c>
      <c r="J137" s="99">
        <v>8</v>
      </c>
      <c r="K137" s="99">
        <v>8</v>
      </c>
      <c r="L137" s="99">
        <v>8</v>
      </c>
      <c r="M137" s="99">
        <v>8</v>
      </c>
      <c r="N137" s="99"/>
      <c r="O137" s="99"/>
      <c r="P137" s="99">
        <v>8</v>
      </c>
      <c r="Q137" s="99">
        <v>8</v>
      </c>
      <c r="R137" s="99">
        <v>8</v>
      </c>
      <c r="S137" s="99">
        <v>8</v>
      </c>
      <c r="T137" s="99">
        <v>8</v>
      </c>
      <c r="U137" s="99"/>
      <c r="V137" s="99"/>
      <c r="W137" s="99">
        <v>8</v>
      </c>
      <c r="X137" s="99">
        <v>8</v>
      </c>
      <c r="Y137" s="99">
        <v>8</v>
      </c>
      <c r="Z137" s="99">
        <v>8</v>
      </c>
      <c r="AA137" s="99">
        <v>8</v>
      </c>
      <c r="AB137" s="99"/>
      <c r="AC137" s="99"/>
      <c r="AD137" s="99">
        <v>8</v>
      </c>
      <c r="AE137" s="99"/>
      <c r="AF137" s="99"/>
      <c r="AG137" s="99"/>
      <c r="AI137" s="99" t="s">
        <v>44</v>
      </c>
      <c r="AJ137" s="103" t="str">
        <f>_xlfn.LET(_xlpm.v,SUM(C137:AG137),IF(_xlpm.v=INT(_xlpm.v),TEXT(_xlpm.v,"0")&amp;" h",TEXT(_xlpm.v,"0.###")&amp;" h"))</f>
        <v>160 h</v>
      </c>
    </row>
    <row r="138" spans="1:36" outlineLevel="1" x14ac:dyDescent="0.45">
      <c r="A138" s="99" t="s">
        <v>37</v>
      </c>
      <c r="C138" s="99" t="s">
        <v>22</v>
      </c>
      <c r="D138" s="99" t="s">
        <v>22</v>
      </c>
      <c r="E138" s="99" t="s">
        <v>22</v>
      </c>
      <c r="F138" s="99" t="s">
        <v>22</v>
      </c>
      <c r="G138" s="99"/>
      <c r="H138" s="99"/>
      <c r="I138" s="99" t="s">
        <v>22</v>
      </c>
      <c r="J138" s="99" t="s">
        <v>22</v>
      </c>
      <c r="K138" s="99" t="s">
        <v>22</v>
      </c>
      <c r="L138" s="99" t="s">
        <v>22</v>
      </c>
      <c r="M138" s="99" t="s">
        <v>22</v>
      </c>
      <c r="N138" s="99"/>
      <c r="O138" s="99"/>
      <c r="P138" s="99" t="s">
        <v>22</v>
      </c>
      <c r="Q138" s="99" t="s">
        <v>22</v>
      </c>
      <c r="R138" s="99" t="s">
        <v>22</v>
      </c>
      <c r="S138" s="99" t="s">
        <v>22</v>
      </c>
      <c r="T138" s="99" t="s">
        <v>22</v>
      </c>
      <c r="U138" s="99"/>
      <c r="V138" s="99"/>
      <c r="W138" s="99" t="s">
        <v>22</v>
      </c>
      <c r="X138" s="99" t="s">
        <v>22</v>
      </c>
      <c r="Y138" s="99" t="s">
        <v>22</v>
      </c>
      <c r="Z138" s="99" t="s">
        <v>22</v>
      </c>
      <c r="AA138" s="99" t="s">
        <v>22</v>
      </c>
      <c r="AB138" s="99"/>
      <c r="AC138" s="99"/>
      <c r="AD138" s="99" t="s">
        <v>22</v>
      </c>
      <c r="AE138" s="99"/>
      <c r="AF138" s="99"/>
      <c r="AG138" s="99"/>
      <c r="AI138" s="99" t="s">
        <v>45</v>
      </c>
      <c r="AJ138" s="106">
        <f>COUNTIF(C138:AG138,"出")</f>
        <v>0</v>
      </c>
    </row>
    <row r="139" spans="1:36" outlineLevel="1" x14ac:dyDescent="0.45">
      <c r="A139" s="99" t="s">
        <v>40</v>
      </c>
      <c r="C139" s="386"/>
      <c r="D139" s="386"/>
      <c r="E139" s="386"/>
      <c r="F139" s="386"/>
      <c r="G139" s="386"/>
      <c r="H139" s="386"/>
      <c r="I139" s="386"/>
      <c r="J139" s="386"/>
      <c r="K139" s="386"/>
      <c r="L139" s="386"/>
      <c r="M139" s="386"/>
      <c r="N139" s="386"/>
      <c r="O139" s="386"/>
      <c r="P139" s="386"/>
      <c r="Q139" s="386"/>
      <c r="S139" s="386"/>
      <c r="T139" s="386"/>
      <c r="U139" s="386"/>
      <c r="V139" s="386"/>
      <c r="W139" s="386"/>
      <c r="X139" s="386"/>
      <c r="Y139" s="386"/>
      <c r="Z139" s="386"/>
      <c r="AA139" s="386"/>
      <c r="AB139" s="386"/>
      <c r="AC139" s="386"/>
      <c r="AD139" s="386"/>
      <c r="AE139" s="386"/>
      <c r="AF139" s="386"/>
      <c r="AG139" s="386"/>
      <c r="AI139" s="99" t="s">
        <v>46</v>
      </c>
      <c r="AJ139" s="106">
        <f>COUNTIF(C138:AG138,"リ")</f>
        <v>20</v>
      </c>
    </row>
    <row r="140" spans="1:36" outlineLevel="1" x14ac:dyDescent="0.45">
      <c r="C140" s="386"/>
      <c r="D140" s="386"/>
      <c r="E140" s="386"/>
      <c r="F140" s="386"/>
      <c r="G140" s="386"/>
      <c r="H140" s="386"/>
      <c r="I140" s="386"/>
      <c r="J140" s="386"/>
      <c r="K140" s="386"/>
      <c r="L140" s="386"/>
      <c r="M140" s="386"/>
      <c r="N140" s="386"/>
      <c r="O140" s="386"/>
      <c r="P140" s="386"/>
      <c r="Q140" s="386"/>
      <c r="S140" s="386"/>
      <c r="T140" s="386"/>
      <c r="U140" s="386"/>
      <c r="V140" s="386"/>
      <c r="W140" s="386"/>
      <c r="X140" s="386"/>
      <c r="Y140" s="386"/>
      <c r="Z140" s="386"/>
      <c r="AA140" s="386"/>
      <c r="AB140" s="386"/>
      <c r="AC140" s="386"/>
      <c r="AD140" s="386"/>
      <c r="AE140" s="386"/>
      <c r="AF140" s="386"/>
      <c r="AG140" s="386"/>
      <c r="AI140" s="99" t="s">
        <v>25</v>
      </c>
      <c r="AJ140" s="107">
        <f>AJ138/(AJ138+AJ139)</f>
        <v>0</v>
      </c>
    </row>
    <row r="141" spans="1:36" outlineLevel="1" x14ac:dyDescent="0.45">
      <c r="C141" s="386"/>
      <c r="D141" s="386"/>
      <c r="E141" s="386"/>
      <c r="F141" s="386"/>
      <c r="G141" s="386"/>
      <c r="H141" s="386"/>
      <c r="I141" s="386"/>
      <c r="J141" s="386"/>
      <c r="K141" s="386"/>
      <c r="L141" s="386"/>
      <c r="M141" s="386"/>
      <c r="N141" s="386"/>
      <c r="O141" s="386"/>
      <c r="P141" s="386"/>
      <c r="Q141" s="386"/>
      <c r="S141" s="386"/>
      <c r="T141" s="386"/>
      <c r="U141" s="386"/>
      <c r="V141" s="386"/>
      <c r="W141" s="386"/>
      <c r="X141" s="386"/>
      <c r="Y141" s="386"/>
      <c r="Z141" s="386"/>
      <c r="AA141" s="386"/>
      <c r="AB141" s="386"/>
      <c r="AC141" s="386"/>
      <c r="AD141" s="386"/>
      <c r="AE141" s="386"/>
      <c r="AF141" s="386"/>
      <c r="AG141" s="386"/>
    </row>
    <row r="142" spans="1:36" outlineLevel="1" x14ac:dyDescent="0.45">
      <c r="C142" s="386"/>
      <c r="D142" s="386"/>
      <c r="E142" s="386"/>
      <c r="F142" s="386"/>
      <c r="G142" s="386"/>
      <c r="H142" s="386"/>
      <c r="I142" s="386"/>
      <c r="J142" s="386"/>
      <c r="K142" s="386"/>
      <c r="L142" s="386"/>
      <c r="M142" s="386"/>
      <c r="N142" s="386"/>
      <c r="O142" s="386"/>
      <c r="P142" s="386"/>
      <c r="Q142" s="386"/>
      <c r="S142" s="386"/>
      <c r="T142" s="386"/>
      <c r="U142" s="386"/>
      <c r="V142" s="386"/>
      <c r="W142" s="386"/>
      <c r="X142" s="386"/>
      <c r="Y142" s="386"/>
      <c r="Z142" s="386"/>
      <c r="AA142" s="386"/>
      <c r="AB142" s="386"/>
      <c r="AC142" s="386"/>
      <c r="AD142" s="386"/>
      <c r="AE142" s="386"/>
      <c r="AF142" s="386"/>
      <c r="AG142" s="386"/>
    </row>
    <row r="143" spans="1:36" outlineLevel="1" x14ac:dyDescent="0.45">
      <c r="C143" s="386"/>
      <c r="D143" s="386"/>
      <c r="E143" s="386"/>
      <c r="F143" s="386"/>
      <c r="G143" s="386"/>
      <c r="H143" s="386"/>
      <c r="I143" s="386"/>
      <c r="J143" s="386"/>
      <c r="K143" s="386"/>
      <c r="L143" s="386"/>
      <c r="M143" s="386"/>
      <c r="N143" s="386"/>
      <c r="O143" s="386"/>
      <c r="P143" s="386"/>
      <c r="Q143" s="386"/>
      <c r="S143" s="386"/>
      <c r="T143" s="386"/>
      <c r="U143" s="386"/>
      <c r="V143" s="386"/>
      <c r="W143" s="386"/>
      <c r="X143" s="386"/>
      <c r="Y143" s="386"/>
      <c r="Z143" s="386"/>
      <c r="AA143" s="386"/>
      <c r="AB143" s="386"/>
      <c r="AC143" s="386"/>
      <c r="AD143" s="386"/>
      <c r="AE143" s="386"/>
      <c r="AF143" s="386"/>
      <c r="AG143" s="386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87" priority="1" stopIfTrue="1">
      <formula>C$3=""</formula>
    </cfRule>
  </conditionalFormatting>
  <conditionalFormatting sqref="C2:AG2">
    <cfRule type="expression" dxfId="286" priority="3" stopIfTrue="1">
      <formula>WEEKDAY(C3,2)=7</formula>
    </cfRule>
    <cfRule type="expression" dxfId="285" priority="4" stopIfTrue="1">
      <formula>WEEKDAY(C3,2)=6</formula>
    </cfRule>
  </conditionalFormatting>
  <conditionalFormatting sqref="C14:AG18">
    <cfRule type="expression" dxfId="284" priority="5" stopIfTrue="1">
      <formula>C$15=""</formula>
    </cfRule>
  </conditionalFormatting>
  <conditionalFormatting sqref="C14:AG14">
    <cfRule type="expression" dxfId="283" priority="7" stopIfTrue="1">
      <formula>WEEKDAY(C15,2)=7</formula>
    </cfRule>
    <cfRule type="expression" dxfId="282" priority="8" stopIfTrue="1">
      <formula>WEEKDAY(C15,2)=6</formula>
    </cfRule>
  </conditionalFormatting>
  <conditionalFormatting sqref="C26:AG30">
    <cfRule type="expression" dxfId="281" priority="9" stopIfTrue="1">
      <formula>C$27=""</formula>
    </cfRule>
  </conditionalFormatting>
  <conditionalFormatting sqref="C26:AG26">
    <cfRule type="expression" dxfId="280" priority="11" stopIfTrue="1">
      <formula>WEEKDAY(C27,2)=7</formula>
    </cfRule>
    <cfRule type="expression" dxfId="279" priority="12" stopIfTrue="1">
      <formula>WEEKDAY(C27,2)=6</formula>
    </cfRule>
  </conditionalFormatting>
  <conditionalFormatting sqref="C38:AG42">
    <cfRule type="expression" dxfId="278" priority="13" stopIfTrue="1">
      <formula>C$39=""</formula>
    </cfRule>
  </conditionalFormatting>
  <conditionalFormatting sqref="C38:AG38">
    <cfRule type="expression" dxfId="277" priority="15" stopIfTrue="1">
      <formula>WEEKDAY(C39,2)=7</formula>
    </cfRule>
    <cfRule type="expression" dxfId="276" priority="16" stopIfTrue="1">
      <formula>WEEKDAY(C39,2)=6</formula>
    </cfRule>
  </conditionalFormatting>
  <conditionalFormatting sqref="C50:AG54">
    <cfRule type="expression" dxfId="275" priority="17" stopIfTrue="1">
      <formula>C$51=""</formula>
    </cfRule>
  </conditionalFormatting>
  <conditionalFormatting sqref="C50:AG50">
    <cfRule type="expression" dxfId="274" priority="19" stopIfTrue="1">
      <formula>WEEKDAY(C51,2)=7</formula>
    </cfRule>
    <cfRule type="expression" dxfId="273" priority="20" stopIfTrue="1">
      <formula>WEEKDAY(C51,2)=6</formula>
    </cfRule>
  </conditionalFormatting>
  <conditionalFormatting sqref="C62:AG66">
    <cfRule type="expression" dxfId="272" priority="21" stopIfTrue="1">
      <formula>C$63=""</formula>
    </cfRule>
  </conditionalFormatting>
  <conditionalFormatting sqref="C62:AG62">
    <cfRule type="expression" dxfId="271" priority="23" stopIfTrue="1">
      <formula>WEEKDAY(C63,2)=7</formula>
    </cfRule>
    <cfRule type="expression" dxfId="270" priority="24" stopIfTrue="1">
      <formula>WEEKDAY(C63,2)=6</formula>
    </cfRule>
  </conditionalFormatting>
  <conditionalFormatting sqref="C74:AG78">
    <cfRule type="expression" dxfId="269" priority="25" stopIfTrue="1">
      <formula>C$75=""</formula>
    </cfRule>
  </conditionalFormatting>
  <conditionalFormatting sqref="C74:AG74">
    <cfRule type="expression" dxfId="268" priority="27" stopIfTrue="1">
      <formula>WEEKDAY(C75,2)=7</formula>
    </cfRule>
    <cfRule type="expression" dxfId="267" priority="28" stopIfTrue="1">
      <formula>WEEKDAY(C75,2)=6</formula>
    </cfRule>
  </conditionalFormatting>
  <conditionalFormatting sqref="C86:AG90">
    <cfRule type="expression" dxfId="266" priority="29" stopIfTrue="1">
      <formula>C$87=""</formula>
    </cfRule>
  </conditionalFormatting>
  <conditionalFormatting sqref="C86:AG86">
    <cfRule type="expression" dxfId="265" priority="31" stopIfTrue="1">
      <formula>WEEKDAY(C87,2)=7</formula>
    </cfRule>
    <cfRule type="expression" dxfId="264" priority="32" stopIfTrue="1">
      <formula>WEEKDAY(C87,2)=6</formula>
    </cfRule>
  </conditionalFormatting>
  <conditionalFormatting sqref="C98:AG102">
    <cfRule type="expression" dxfId="263" priority="33" stopIfTrue="1">
      <formula>C$99=""</formula>
    </cfRule>
  </conditionalFormatting>
  <conditionalFormatting sqref="C98:AG98">
    <cfRule type="expression" dxfId="262" priority="35" stopIfTrue="1">
      <formula>WEEKDAY(C99,2)=7</formula>
    </cfRule>
    <cfRule type="expression" dxfId="261" priority="36" stopIfTrue="1">
      <formula>WEEKDAY(C99,2)=6</formula>
    </cfRule>
  </conditionalFormatting>
  <conditionalFormatting sqref="C110:AG114">
    <cfRule type="expression" dxfId="260" priority="37" stopIfTrue="1">
      <formula>C$111=""</formula>
    </cfRule>
  </conditionalFormatting>
  <conditionalFormatting sqref="C110:AG110">
    <cfRule type="expression" dxfId="259" priority="39" stopIfTrue="1">
      <formula>WEEKDAY(C111,2)=7</formula>
    </cfRule>
    <cfRule type="expression" dxfId="258" priority="40" stopIfTrue="1">
      <formula>WEEKDAY(C111,2)=6</formula>
    </cfRule>
  </conditionalFormatting>
  <conditionalFormatting sqref="C122:AG126">
    <cfRule type="expression" dxfId="257" priority="41" stopIfTrue="1">
      <formula>C$123=""</formula>
    </cfRule>
  </conditionalFormatting>
  <conditionalFormatting sqref="C122:AG122">
    <cfRule type="expression" dxfId="256" priority="43" stopIfTrue="1">
      <formula>WEEKDAY(C123,2)=7</formula>
    </cfRule>
  </conditionalFormatting>
  <conditionalFormatting sqref="C122:AG122">
    <cfRule type="expression" dxfId="255" priority="44" stopIfTrue="1">
      <formula>WEEKDAY(C123,2)=6</formula>
    </cfRule>
  </conditionalFormatting>
  <conditionalFormatting sqref="C134:AG138">
    <cfRule type="expression" dxfId="254" priority="45" stopIfTrue="1">
      <formula>C$135=""</formula>
    </cfRule>
  </conditionalFormatting>
  <conditionalFormatting sqref="C134:AG134">
    <cfRule type="expression" dxfId="253" priority="47" stopIfTrue="1">
      <formula>WEEKDAY(C135,2)=7</formula>
    </cfRule>
  </conditionalFormatting>
  <conditionalFormatting sqref="C134:AG134">
    <cfRule type="expression" dxfId="25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BF6933C-17A1-4A03-9C58-E4380978FFEB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0DE383D-E112-43F7-A4A8-B9F742C6D0BF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E8F3FAFB-FB63-44C0-97E0-C4FA72E24607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67811A03-F7F7-4C29-AC0C-3903CAA195EC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B985501-2C82-45C7-9C4F-894DFA9D930A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ABD1F422-971F-427D-92FC-7A8D4650516F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FA5EE1-B085-4B85-A5D3-106D71719261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A66401E7-4247-43F5-88CF-9A5B2F5DBE64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CF249E2-5302-47FF-AB83-9BDEE66A879D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A04B1901-8E3B-439A-8F91-D49DCB2504DA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707FFB82-DEA0-4E89-91D0-FBD301776862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292078BE-FF55-4CA1-8A83-57336BB3126B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5899E-E656-4E36-8180-A0ADF2252008}">
  <sheetPr codeName="Sheet103"/>
  <dimension ref="A1:AJ144"/>
  <sheetViews>
    <sheetView showGridLines="0" workbookViewId="0"/>
  </sheetViews>
  <sheetFormatPr defaultRowHeight="18" outlineLevelRow="1" x14ac:dyDescent="0.45"/>
  <cols>
    <col min="1" max="1" width="3.69921875" style="28" customWidth="1"/>
    <col min="2" max="2" width="0.8984375" style="28" customWidth="1"/>
    <col min="3" max="33" width="3.69921875" style="28" customWidth="1"/>
    <col min="34" max="34" width="0.8984375" style="28" customWidth="1"/>
    <col min="35" max="36" width="8.69921875" style="28" customWidth="1"/>
    <col min="37" max="16384" width="8.796875" style="28"/>
  </cols>
  <sheetData>
    <row r="1" spans="1:36" x14ac:dyDescent="0.45">
      <c r="C1" s="303">
        <v>46023</v>
      </c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</row>
    <row r="2" spans="1:36" outlineLevel="1" x14ac:dyDescent="0.45">
      <c r="C2" s="29" t="str">
        <f t="shared" ref="C2:AG2" si="0">TEXT(C3,"aaa")</f>
        <v>木</v>
      </c>
      <c r="D2" s="29" t="str">
        <f t="shared" si="0"/>
        <v>金</v>
      </c>
      <c r="E2" s="29" t="str">
        <f t="shared" si="0"/>
        <v>土</v>
      </c>
      <c r="F2" s="29" t="str">
        <f t="shared" si="0"/>
        <v>日</v>
      </c>
      <c r="G2" s="29" t="str">
        <f t="shared" si="0"/>
        <v>月</v>
      </c>
      <c r="H2" s="29" t="str">
        <f t="shared" si="0"/>
        <v>火</v>
      </c>
      <c r="I2" s="29" t="str">
        <f t="shared" si="0"/>
        <v>水</v>
      </c>
      <c r="J2" s="29" t="str">
        <f t="shared" si="0"/>
        <v>木</v>
      </c>
      <c r="K2" s="29" t="str">
        <f t="shared" si="0"/>
        <v>金</v>
      </c>
      <c r="L2" s="29" t="str">
        <f t="shared" si="0"/>
        <v>土</v>
      </c>
      <c r="M2" s="29" t="str">
        <f t="shared" si="0"/>
        <v>日</v>
      </c>
      <c r="N2" s="29" t="str">
        <f t="shared" si="0"/>
        <v>月</v>
      </c>
      <c r="O2" s="29" t="str">
        <f t="shared" si="0"/>
        <v>火</v>
      </c>
      <c r="P2" s="29" t="str">
        <f t="shared" si="0"/>
        <v>水</v>
      </c>
      <c r="Q2" s="29" t="str">
        <f t="shared" si="0"/>
        <v>木</v>
      </c>
      <c r="R2" s="29" t="str">
        <f t="shared" si="0"/>
        <v>金</v>
      </c>
      <c r="S2" s="29" t="str">
        <f t="shared" si="0"/>
        <v>土</v>
      </c>
      <c r="T2" s="29" t="str">
        <f t="shared" si="0"/>
        <v>日</v>
      </c>
      <c r="U2" s="29" t="str">
        <f t="shared" si="0"/>
        <v>月</v>
      </c>
      <c r="V2" s="29" t="str">
        <f t="shared" si="0"/>
        <v>火</v>
      </c>
      <c r="W2" s="29" t="str">
        <f t="shared" si="0"/>
        <v>水</v>
      </c>
      <c r="X2" s="29" t="str">
        <f t="shared" si="0"/>
        <v>木</v>
      </c>
      <c r="Y2" s="29" t="str">
        <f t="shared" si="0"/>
        <v>金</v>
      </c>
      <c r="Z2" s="29" t="str">
        <f t="shared" si="0"/>
        <v>土</v>
      </c>
      <c r="AA2" s="29" t="str">
        <f t="shared" si="0"/>
        <v>日</v>
      </c>
      <c r="AB2" s="29" t="str">
        <f t="shared" si="0"/>
        <v>月</v>
      </c>
      <c r="AC2" s="29" t="str">
        <f t="shared" si="0"/>
        <v>火</v>
      </c>
      <c r="AD2" s="29" t="str">
        <f t="shared" si="0"/>
        <v>水</v>
      </c>
      <c r="AE2" s="29" t="str">
        <f t="shared" si="0"/>
        <v>木</v>
      </c>
      <c r="AF2" s="29" t="str">
        <f t="shared" si="0"/>
        <v>金</v>
      </c>
      <c r="AG2" s="29" t="str">
        <f t="shared" si="0"/>
        <v>土</v>
      </c>
      <c r="AI2" s="95" t="s">
        <v>41</v>
      </c>
      <c r="AJ2" s="96">
        <f>COUNT(C4:AG4)</f>
        <v>19</v>
      </c>
    </row>
    <row r="3" spans="1:36" outlineLevel="1" x14ac:dyDescent="0.45">
      <c r="C3" s="30">
        <f>C1</f>
        <v>46023</v>
      </c>
      <c r="D3" s="30">
        <f t="shared" ref="D3:AG3" si="1">IF(C3="","",IF(C3+1&lt;=EOMONTH($C1,0),C3+1,""))</f>
        <v>46024</v>
      </c>
      <c r="E3" s="30">
        <f t="shared" si="1"/>
        <v>46025</v>
      </c>
      <c r="F3" s="30">
        <f t="shared" si="1"/>
        <v>46026</v>
      </c>
      <c r="G3" s="30">
        <f t="shared" si="1"/>
        <v>46027</v>
      </c>
      <c r="H3" s="30">
        <f t="shared" si="1"/>
        <v>46028</v>
      </c>
      <c r="I3" s="30">
        <f t="shared" si="1"/>
        <v>46029</v>
      </c>
      <c r="J3" s="30">
        <f t="shared" si="1"/>
        <v>46030</v>
      </c>
      <c r="K3" s="30">
        <f t="shared" si="1"/>
        <v>46031</v>
      </c>
      <c r="L3" s="30">
        <f t="shared" si="1"/>
        <v>46032</v>
      </c>
      <c r="M3" s="30">
        <f t="shared" si="1"/>
        <v>46033</v>
      </c>
      <c r="N3" s="30">
        <f t="shared" si="1"/>
        <v>46034</v>
      </c>
      <c r="O3" s="30">
        <f t="shared" si="1"/>
        <v>46035</v>
      </c>
      <c r="P3" s="30">
        <f t="shared" si="1"/>
        <v>46036</v>
      </c>
      <c r="Q3" s="30">
        <f t="shared" si="1"/>
        <v>46037</v>
      </c>
      <c r="R3" s="30">
        <f t="shared" si="1"/>
        <v>46038</v>
      </c>
      <c r="S3" s="30">
        <f t="shared" si="1"/>
        <v>46039</v>
      </c>
      <c r="T3" s="30">
        <f t="shared" si="1"/>
        <v>46040</v>
      </c>
      <c r="U3" s="30">
        <f t="shared" si="1"/>
        <v>46041</v>
      </c>
      <c r="V3" s="30">
        <f t="shared" si="1"/>
        <v>46042</v>
      </c>
      <c r="W3" s="30">
        <f t="shared" si="1"/>
        <v>46043</v>
      </c>
      <c r="X3" s="30">
        <f t="shared" si="1"/>
        <v>46044</v>
      </c>
      <c r="Y3" s="30">
        <f t="shared" si="1"/>
        <v>46045</v>
      </c>
      <c r="Z3" s="30">
        <f t="shared" si="1"/>
        <v>46046</v>
      </c>
      <c r="AA3" s="30">
        <f t="shared" si="1"/>
        <v>46047</v>
      </c>
      <c r="AB3" s="30">
        <f t="shared" si="1"/>
        <v>46048</v>
      </c>
      <c r="AC3" s="30">
        <f t="shared" si="1"/>
        <v>46049</v>
      </c>
      <c r="AD3" s="30">
        <f t="shared" si="1"/>
        <v>46050</v>
      </c>
      <c r="AE3" s="30">
        <f t="shared" si="1"/>
        <v>46051</v>
      </c>
      <c r="AF3" s="30">
        <f t="shared" si="1"/>
        <v>46052</v>
      </c>
      <c r="AG3" s="30">
        <f t="shared" si="1"/>
        <v>46053</v>
      </c>
      <c r="AI3" s="95" t="s">
        <v>42</v>
      </c>
      <c r="AJ3" s="97" t="str">
        <f>_xlfn.LET(_xlpm.v,SUM(C4:AG4),IF(_xlpm.v=INT(_xlpm.v),TEXT(_xlpm.v,"0")&amp;" h",TEXT(_xlpm.v,"0.###")&amp;" h"))</f>
        <v>152 h</v>
      </c>
    </row>
    <row r="4" spans="1:36" outlineLevel="1" x14ac:dyDescent="0.45">
      <c r="A4" s="95" t="s">
        <v>38</v>
      </c>
      <c r="C4" s="94"/>
      <c r="D4" s="94"/>
      <c r="E4" s="94"/>
      <c r="F4" s="94"/>
      <c r="G4" s="94">
        <v>8</v>
      </c>
      <c r="H4" s="94">
        <v>8</v>
      </c>
      <c r="I4" s="94">
        <v>8</v>
      </c>
      <c r="J4" s="94">
        <v>8</v>
      </c>
      <c r="K4" s="94">
        <v>8</v>
      </c>
      <c r="L4" s="94"/>
      <c r="M4" s="94"/>
      <c r="N4" s="94"/>
      <c r="O4" s="94">
        <v>8</v>
      </c>
      <c r="P4" s="94">
        <v>8</v>
      </c>
      <c r="Q4" s="94">
        <v>8</v>
      </c>
      <c r="R4" s="94">
        <v>8</v>
      </c>
      <c r="S4" s="94"/>
      <c r="T4" s="94"/>
      <c r="U4" s="94">
        <v>8</v>
      </c>
      <c r="V4" s="94">
        <v>8</v>
      </c>
      <c r="W4" s="94">
        <v>8</v>
      </c>
      <c r="X4" s="94">
        <v>8</v>
      </c>
      <c r="Y4" s="94">
        <v>8</v>
      </c>
      <c r="Z4" s="94"/>
      <c r="AA4" s="94"/>
      <c r="AB4" s="94">
        <v>8</v>
      </c>
      <c r="AC4" s="94">
        <v>8</v>
      </c>
      <c r="AD4" s="94">
        <v>8</v>
      </c>
      <c r="AE4" s="94">
        <v>8</v>
      </c>
      <c r="AF4" s="94">
        <v>8</v>
      </c>
      <c r="AG4" s="94"/>
      <c r="AI4" s="29" t="s">
        <v>43</v>
      </c>
      <c r="AJ4" s="31">
        <f>COUNT(C5:AG5)</f>
        <v>19</v>
      </c>
    </row>
    <row r="5" spans="1:36" outlineLevel="1" x14ac:dyDescent="0.45">
      <c r="A5" s="29" t="s">
        <v>39</v>
      </c>
      <c r="C5" s="29"/>
      <c r="D5" s="29"/>
      <c r="E5" s="29"/>
      <c r="F5" s="29"/>
      <c r="G5" s="29">
        <v>8</v>
      </c>
      <c r="H5" s="29">
        <v>8</v>
      </c>
      <c r="I5" s="29">
        <v>8</v>
      </c>
      <c r="J5" s="29">
        <v>8</v>
      </c>
      <c r="K5" s="29">
        <v>8</v>
      </c>
      <c r="L5" s="29"/>
      <c r="M5" s="29"/>
      <c r="N5" s="29"/>
      <c r="O5" s="29">
        <v>8</v>
      </c>
      <c r="P5" s="29">
        <v>8</v>
      </c>
      <c r="Q5" s="29">
        <v>8</v>
      </c>
      <c r="R5" s="29">
        <v>8</v>
      </c>
      <c r="S5" s="29"/>
      <c r="T5" s="29"/>
      <c r="U5" s="29">
        <v>8</v>
      </c>
      <c r="V5" s="29">
        <v>8</v>
      </c>
      <c r="W5" s="29">
        <v>8</v>
      </c>
      <c r="X5" s="29">
        <v>8</v>
      </c>
      <c r="Y5" s="29">
        <v>8</v>
      </c>
      <c r="Z5" s="29"/>
      <c r="AA5" s="29"/>
      <c r="AB5" s="29">
        <v>8</v>
      </c>
      <c r="AC5" s="29">
        <v>8</v>
      </c>
      <c r="AD5" s="29">
        <v>8</v>
      </c>
      <c r="AE5" s="29">
        <v>8</v>
      </c>
      <c r="AF5" s="29">
        <v>8</v>
      </c>
      <c r="AG5" s="29"/>
      <c r="AI5" s="29" t="s">
        <v>44</v>
      </c>
      <c r="AJ5" s="32" t="str">
        <f>_xlfn.LET(_xlpm.v,SUM(C5:AG5),IF(_xlpm.v=INT(_xlpm.v),TEXT(_xlpm.v,"0")&amp;" h",TEXT(_xlpm.v,"0.###")&amp;" h"))</f>
        <v>152 h</v>
      </c>
    </row>
    <row r="6" spans="1:36" outlineLevel="1" x14ac:dyDescent="0.45">
      <c r="A6" s="29" t="s">
        <v>37</v>
      </c>
      <c r="C6" s="29"/>
      <c r="D6" s="29"/>
      <c r="E6" s="29"/>
      <c r="F6" s="29"/>
      <c r="G6" s="29" t="s">
        <v>22</v>
      </c>
      <c r="H6" s="29" t="s">
        <v>22</v>
      </c>
      <c r="I6" s="29" t="s">
        <v>22</v>
      </c>
      <c r="J6" s="29" t="s">
        <v>22</v>
      </c>
      <c r="K6" s="29" t="s">
        <v>22</v>
      </c>
      <c r="L6" s="29"/>
      <c r="M6" s="29"/>
      <c r="N6" s="29"/>
      <c r="O6" s="29" t="s">
        <v>22</v>
      </c>
      <c r="P6" s="29" t="s">
        <v>22</v>
      </c>
      <c r="Q6" s="29" t="s">
        <v>22</v>
      </c>
      <c r="R6" s="29" t="s">
        <v>22</v>
      </c>
      <c r="S6" s="29"/>
      <c r="T6" s="29"/>
      <c r="U6" s="29" t="s">
        <v>22</v>
      </c>
      <c r="V6" s="29" t="s">
        <v>22</v>
      </c>
      <c r="W6" s="29" t="s">
        <v>22</v>
      </c>
      <c r="X6" s="29" t="s">
        <v>22</v>
      </c>
      <c r="Y6" s="29" t="s">
        <v>22</v>
      </c>
      <c r="Z6" s="29"/>
      <c r="AA6" s="29"/>
      <c r="AB6" s="29" t="s">
        <v>22</v>
      </c>
      <c r="AC6" s="29" t="s">
        <v>22</v>
      </c>
      <c r="AD6" s="29" t="s">
        <v>22</v>
      </c>
      <c r="AE6" s="29" t="s">
        <v>22</v>
      </c>
      <c r="AF6" s="29" t="s">
        <v>22</v>
      </c>
      <c r="AG6" s="29"/>
      <c r="AI6" s="29" t="s">
        <v>45</v>
      </c>
      <c r="AJ6" s="31">
        <f>COUNTIF(C6:AG6,"出")</f>
        <v>0</v>
      </c>
    </row>
    <row r="7" spans="1:36" outlineLevel="1" x14ac:dyDescent="0.45">
      <c r="A7" s="29" t="s">
        <v>40</v>
      </c>
      <c r="C7" s="387"/>
      <c r="D7" s="387"/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87"/>
      <c r="P7" s="387"/>
      <c r="Q7" s="387"/>
      <c r="S7" s="387"/>
      <c r="T7" s="387"/>
      <c r="U7" s="387"/>
      <c r="V7" s="387"/>
      <c r="W7" s="387"/>
      <c r="X7" s="387"/>
      <c r="Y7" s="387"/>
      <c r="Z7" s="387"/>
      <c r="AA7" s="387"/>
      <c r="AB7" s="387"/>
      <c r="AC7" s="387"/>
      <c r="AD7" s="387"/>
      <c r="AE7" s="387"/>
      <c r="AF7" s="387"/>
      <c r="AG7" s="387"/>
      <c r="AI7" s="29" t="s">
        <v>46</v>
      </c>
      <c r="AJ7" s="31">
        <f>COUNTIF(C6:AG6,"リ")</f>
        <v>19</v>
      </c>
    </row>
    <row r="8" spans="1:36" outlineLevel="1" x14ac:dyDescent="0.45"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I8" s="29" t="s">
        <v>25</v>
      </c>
      <c r="AJ8" s="33">
        <f>AJ6/(AJ6+AJ7)</f>
        <v>0</v>
      </c>
    </row>
    <row r="9" spans="1:36" outlineLevel="1" x14ac:dyDescent="0.45">
      <c r="C9" s="387"/>
      <c r="D9" s="387"/>
      <c r="E9" s="387"/>
      <c r="F9" s="387"/>
      <c r="G9" s="387"/>
      <c r="H9" s="387"/>
      <c r="I9" s="387"/>
      <c r="J9" s="387"/>
      <c r="K9" s="387"/>
      <c r="L9" s="387"/>
      <c r="M9" s="387"/>
      <c r="N9" s="387"/>
      <c r="O9" s="387"/>
      <c r="P9" s="387"/>
      <c r="Q9" s="387"/>
      <c r="S9" s="387"/>
      <c r="T9" s="387"/>
      <c r="U9" s="387"/>
      <c r="V9" s="387"/>
      <c r="W9" s="387"/>
      <c r="X9" s="387"/>
      <c r="Y9" s="387"/>
      <c r="Z9" s="387"/>
      <c r="AA9" s="387"/>
      <c r="AB9" s="387"/>
      <c r="AC9" s="387"/>
      <c r="AD9" s="387"/>
      <c r="AE9" s="387"/>
      <c r="AF9" s="387"/>
      <c r="AG9" s="387"/>
    </row>
    <row r="10" spans="1:36" outlineLevel="1" x14ac:dyDescent="0.45">
      <c r="C10" s="387"/>
      <c r="D10" s="387"/>
      <c r="E10" s="387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7"/>
      <c r="S10" s="387"/>
      <c r="T10" s="387"/>
      <c r="U10" s="387"/>
      <c r="V10" s="387"/>
      <c r="W10" s="387"/>
      <c r="X10" s="387"/>
      <c r="Y10" s="387"/>
      <c r="Z10" s="387"/>
      <c r="AA10" s="387"/>
      <c r="AB10" s="387"/>
      <c r="AC10" s="387"/>
      <c r="AD10" s="387"/>
      <c r="AE10" s="387"/>
      <c r="AF10" s="387"/>
      <c r="AG10" s="387"/>
    </row>
    <row r="11" spans="1:36" outlineLevel="1" x14ac:dyDescent="0.45">
      <c r="C11" s="387"/>
      <c r="D11" s="387"/>
      <c r="E11" s="387"/>
      <c r="F11" s="387"/>
      <c r="G11" s="387"/>
      <c r="H11" s="387"/>
      <c r="I11" s="387"/>
      <c r="J11" s="387"/>
      <c r="K11" s="387"/>
      <c r="L11" s="387"/>
      <c r="M11" s="387"/>
      <c r="N11" s="387"/>
      <c r="O11" s="387"/>
      <c r="P11" s="387"/>
      <c r="Q11" s="387"/>
      <c r="S11" s="387"/>
      <c r="T11" s="387"/>
      <c r="U11" s="387"/>
      <c r="V11" s="387"/>
      <c r="W11" s="387"/>
      <c r="X11" s="387"/>
      <c r="Y11" s="387"/>
      <c r="Z11" s="387"/>
      <c r="AA11" s="387"/>
      <c r="AB11" s="387"/>
      <c r="AC11" s="387"/>
      <c r="AD11" s="387"/>
      <c r="AE11" s="387"/>
      <c r="AF11" s="387"/>
      <c r="AG11" s="387"/>
    </row>
    <row r="12" spans="1:36" outlineLevel="1" x14ac:dyDescent="0.45"/>
    <row r="13" spans="1:36" x14ac:dyDescent="0.45">
      <c r="C13" s="314">
        <v>46054</v>
      </c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4"/>
      <c r="AA13" s="304"/>
      <c r="AB13" s="304"/>
      <c r="AC13" s="304"/>
      <c r="AD13" s="304"/>
      <c r="AE13" s="304"/>
      <c r="AF13" s="304"/>
      <c r="AG13" s="304"/>
    </row>
    <row r="14" spans="1:36" outlineLevel="1" x14ac:dyDescent="0.45">
      <c r="C14" s="29" t="str">
        <f t="shared" ref="C14:AG14" si="2">TEXT(C15,"aaa")</f>
        <v>日</v>
      </c>
      <c r="D14" s="29" t="str">
        <f t="shared" si="2"/>
        <v>月</v>
      </c>
      <c r="E14" s="29" t="str">
        <f t="shared" si="2"/>
        <v>火</v>
      </c>
      <c r="F14" s="29" t="str">
        <f t="shared" si="2"/>
        <v>水</v>
      </c>
      <c r="G14" s="29" t="str">
        <f t="shared" si="2"/>
        <v>木</v>
      </c>
      <c r="H14" s="29" t="str">
        <f t="shared" si="2"/>
        <v>金</v>
      </c>
      <c r="I14" s="29" t="str">
        <f t="shared" si="2"/>
        <v>土</v>
      </c>
      <c r="J14" s="29" t="str">
        <f t="shared" si="2"/>
        <v>日</v>
      </c>
      <c r="K14" s="29" t="str">
        <f t="shared" si="2"/>
        <v>月</v>
      </c>
      <c r="L14" s="29" t="str">
        <f t="shared" si="2"/>
        <v>火</v>
      </c>
      <c r="M14" s="29" t="str">
        <f t="shared" si="2"/>
        <v>水</v>
      </c>
      <c r="N14" s="29" t="str">
        <f t="shared" si="2"/>
        <v>木</v>
      </c>
      <c r="O14" s="29" t="str">
        <f t="shared" si="2"/>
        <v>金</v>
      </c>
      <c r="P14" s="29" t="str">
        <f t="shared" si="2"/>
        <v>土</v>
      </c>
      <c r="Q14" s="29" t="str">
        <f t="shared" si="2"/>
        <v>日</v>
      </c>
      <c r="R14" s="29" t="str">
        <f t="shared" si="2"/>
        <v>月</v>
      </c>
      <c r="S14" s="29" t="str">
        <f t="shared" si="2"/>
        <v>火</v>
      </c>
      <c r="T14" s="29" t="str">
        <f t="shared" si="2"/>
        <v>水</v>
      </c>
      <c r="U14" s="29" t="str">
        <f t="shared" si="2"/>
        <v>木</v>
      </c>
      <c r="V14" s="29" t="str">
        <f t="shared" si="2"/>
        <v>金</v>
      </c>
      <c r="W14" s="29" t="str">
        <f t="shared" si="2"/>
        <v>土</v>
      </c>
      <c r="X14" s="29" t="str">
        <f t="shared" si="2"/>
        <v>日</v>
      </c>
      <c r="Y14" s="29" t="str">
        <f t="shared" si="2"/>
        <v>月</v>
      </c>
      <c r="Z14" s="29" t="str">
        <f t="shared" si="2"/>
        <v>火</v>
      </c>
      <c r="AA14" s="29" t="str">
        <f t="shared" si="2"/>
        <v>水</v>
      </c>
      <c r="AB14" s="29" t="str">
        <f t="shared" si="2"/>
        <v>木</v>
      </c>
      <c r="AC14" s="29" t="str">
        <f t="shared" si="2"/>
        <v>金</v>
      </c>
      <c r="AD14" s="29" t="str">
        <f t="shared" si="2"/>
        <v>土</v>
      </c>
      <c r="AE14" s="29" t="str">
        <f t="shared" si="2"/>
        <v/>
      </c>
      <c r="AF14" s="29" t="str">
        <f t="shared" si="2"/>
        <v/>
      </c>
      <c r="AG14" s="29" t="str">
        <f t="shared" si="2"/>
        <v/>
      </c>
      <c r="AI14" s="95" t="s">
        <v>41</v>
      </c>
      <c r="AJ14" s="96">
        <f>COUNT(C16:AG16)</f>
        <v>18</v>
      </c>
    </row>
    <row r="15" spans="1:36" outlineLevel="1" x14ac:dyDescent="0.45">
      <c r="C15" s="30">
        <f>C13</f>
        <v>46054</v>
      </c>
      <c r="D15" s="30">
        <f t="shared" ref="D15:AG15" si="3">IF(C15="","",IF(C15+1&lt;=EOMONTH($C13,0),C15+1,""))</f>
        <v>46055</v>
      </c>
      <c r="E15" s="30">
        <f t="shared" si="3"/>
        <v>46056</v>
      </c>
      <c r="F15" s="30">
        <f t="shared" si="3"/>
        <v>46057</v>
      </c>
      <c r="G15" s="30">
        <f t="shared" si="3"/>
        <v>46058</v>
      </c>
      <c r="H15" s="30">
        <f t="shared" si="3"/>
        <v>46059</v>
      </c>
      <c r="I15" s="30">
        <f t="shared" si="3"/>
        <v>46060</v>
      </c>
      <c r="J15" s="30">
        <f t="shared" si="3"/>
        <v>46061</v>
      </c>
      <c r="K15" s="30">
        <f t="shared" si="3"/>
        <v>46062</v>
      </c>
      <c r="L15" s="30">
        <f t="shared" si="3"/>
        <v>46063</v>
      </c>
      <c r="M15" s="30">
        <f t="shared" si="3"/>
        <v>46064</v>
      </c>
      <c r="N15" s="30">
        <f t="shared" si="3"/>
        <v>46065</v>
      </c>
      <c r="O15" s="30">
        <f t="shared" si="3"/>
        <v>46066</v>
      </c>
      <c r="P15" s="30">
        <f t="shared" si="3"/>
        <v>46067</v>
      </c>
      <c r="Q15" s="30">
        <f t="shared" si="3"/>
        <v>46068</v>
      </c>
      <c r="R15" s="30">
        <f t="shared" si="3"/>
        <v>46069</v>
      </c>
      <c r="S15" s="30">
        <f t="shared" si="3"/>
        <v>46070</v>
      </c>
      <c r="T15" s="30">
        <f t="shared" si="3"/>
        <v>46071</v>
      </c>
      <c r="U15" s="30">
        <f t="shared" si="3"/>
        <v>46072</v>
      </c>
      <c r="V15" s="30">
        <f t="shared" si="3"/>
        <v>46073</v>
      </c>
      <c r="W15" s="30">
        <f t="shared" si="3"/>
        <v>46074</v>
      </c>
      <c r="X15" s="30">
        <f t="shared" si="3"/>
        <v>46075</v>
      </c>
      <c r="Y15" s="30">
        <f t="shared" si="3"/>
        <v>46076</v>
      </c>
      <c r="Z15" s="30">
        <f t="shared" si="3"/>
        <v>46077</v>
      </c>
      <c r="AA15" s="30">
        <f t="shared" si="3"/>
        <v>46078</v>
      </c>
      <c r="AB15" s="30">
        <f t="shared" si="3"/>
        <v>46079</v>
      </c>
      <c r="AC15" s="30">
        <f t="shared" si="3"/>
        <v>46080</v>
      </c>
      <c r="AD15" s="30">
        <f t="shared" si="3"/>
        <v>46081</v>
      </c>
      <c r="AE15" s="30" t="str">
        <f t="shared" si="3"/>
        <v/>
      </c>
      <c r="AF15" s="30" t="str">
        <f t="shared" si="3"/>
        <v/>
      </c>
      <c r="AG15" s="30" t="str">
        <f t="shared" si="3"/>
        <v/>
      </c>
      <c r="AI15" s="95" t="s">
        <v>42</v>
      </c>
      <c r="AJ15" s="97" t="str">
        <f>_xlfn.LET(_xlpm.v,SUM(C16:AG16),IF(_xlpm.v=INT(_xlpm.v),TEXT(_xlpm.v,"0")&amp;" h",TEXT(_xlpm.v,"0.###")&amp;" h"))</f>
        <v>144 h</v>
      </c>
    </row>
    <row r="16" spans="1:36" outlineLevel="1" x14ac:dyDescent="0.45">
      <c r="A16" s="95" t="s">
        <v>38</v>
      </c>
      <c r="C16" s="94"/>
      <c r="D16" s="94">
        <v>8</v>
      </c>
      <c r="E16" s="94">
        <v>8</v>
      </c>
      <c r="F16" s="94">
        <v>8</v>
      </c>
      <c r="G16" s="94">
        <v>8</v>
      </c>
      <c r="H16" s="94">
        <v>8</v>
      </c>
      <c r="I16" s="94"/>
      <c r="J16" s="94"/>
      <c r="K16" s="94">
        <v>8</v>
      </c>
      <c r="L16" s="94">
        <v>8</v>
      </c>
      <c r="M16" s="94"/>
      <c r="N16" s="94">
        <v>8</v>
      </c>
      <c r="O16" s="94">
        <v>8</v>
      </c>
      <c r="P16" s="94"/>
      <c r="Q16" s="94"/>
      <c r="R16" s="94">
        <v>8</v>
      </c>
      <c r="S16" s="94">
        <v>8</v>
      </c>
      <c r="T16" s="94">
        <v>8</v>
      </c>
      <c r="U16" s="94">
        <v>8</v>
      </c>
      <c r="V16" s="94">
        <v>8</v>
      </c>
      <c r="W16" s="94"/>
      <c r="X16" s="94"/>
      <c r="Y16" s="94"/>
      <c r="Z16" s="94">
        <v>8</v>
      </c>
      <c r="AA16" s="94">
        <v>8</v>
      </c>
      <c r="AB16" s="94">
        <v>8</v>
      </c>
      <c r="AC16" s="94">
        <v>8</v>
      </c>
      <c r="AD16" s="94"/>
      <c r="AE16" s="94"/>
      <c r="AF16" s="94"/>
      <c r="AG16" s="94"/>
      <c r="AI16" s="29" t="s">
        <v>43</v>
      </c>
      <c r="AJ16" s="31">
        <f>COUNT(C17:AG17)</f>
        <v>18</v>
      </c>
    </row>
    <row r="17" spans="1:36" outlineLevel="1" x14ac:dyDescent="0.45">
      <c r="A17" s="29" t="s">
        <v>39</v>
      </c>
      <c r="C17" s="29"/>
      <c r="D17" s="29">
        <v>8</v>
      </c>
      <c r="E17" s="29">
        <v>8</v>
      </c>
      <c r="F17" s="29">
        <v>8</v>
      </c>
      <c r="G17" s="29">
        <v>8</v>
      </c>
      <c r="H17" s="29">
        <v>8</v>
      </c>
      <c r="I17" s="29"/>
      <c r="J17" s="29"/>
      <c r="K17" s="29">
        <v>8</v>
      </c>
      <c r="L17" s="29">
        <v>8</v>
      </c>
      <c r="M17" s="29"/>
      <c r="N17" s="29">
        <v>8</v>
      </c>
      <c r="O17" s="29">
        <v>8</v>
      </c>
      <c r="P17" s="29"/>
      <c r="Q17" s="29"/>
      <c r="R17" s="29">
        <v>8</v>
      </c>
      <c r="S17" s="29">
        <v>8</v>
      </c>
      <c r="T17" s="29">
        <v>8</v>
      </c>
      <c r="U17" s="29">
        <v>8</v>
      </c>
      <c r="V17" s="29">
        <v>8</v>
      </c>
      <c r="W17" s="29"/>
      <c r="X17" s="29"/>
      <c r="Y17" s="29"/>
      <c r="Z17" s="29">
        <v>8</v>
      </c>
      <c r="AA17" s="29">
        <v>8</v>
      </c>
      <c r="AB17" s="29">
        <v>8</v>
      </c>
      <c r="AC17" s="29">
        <v>8</v>
      </c>
      <c r="AD17" s="29"/>
      <c r="AE17" s="29"/>
      <c r="AF17" s="29"/>
      <c r="AG17" s="29"/>
      <c r="AI17" s="29" t="s">
        <v>44</v>
      </c>
      <c r="AJ17" s="32" t="str">
        <f>_xlfn.LET(_xlpm.v,SUM(C17:AG17),IF(_xlpm.v=INT(_xlpm.v),TEXT(_xlpm.v,"0")&amp;" h",TEXT(_xlpm.v,"0.###")&amp;" h"))</f>
        <v>144 h</v>
      </c>
    </row>
    <row r="18" spans="1:36" outlineLevel="1" x14ac:dyDescent="0.45">
      <c r="A18" s="29" t="s">
        <v>37</v>
      </c>
      <c r="C18" s="29"/>
      <c r="D18" s="29" t="s">
        <v>22</v>
      </c>
      <c r="E18" s="29" t="s">
        <v>22</v>
      </c>
      <c r="F18" s="29" t="s">
        <v>22</v>
      </c>
      <c r="G18" s="29" t="s">
        <v>22</v>
      </c>
      <c r="H18" s="29" t="s">
        <v>22</v>
      </c>
      <c r="I18" s="29"/>
      <c r="J18" s="29"/>
      <c r="K18" s="29" t="s">
        <v>22</v>
      </c>
      <c r="L18" s="29" t="s">
        <v>22</v>
      </c>
      <c r="M18" s="29"/>
      <c r="N18" s="29" t="s">
        <v>22</v>
      </c>
      <c r="O18" s="29" t="s">
        <v>22</v>
      </c>
      <c r="P18" s="29"/>
      <c r="Q18" s="29"/>
      <c r="R18" s="29" t="s">
        <v>22</v>
      </c>
      <c r="S18" s="29" t="s">
        <v>22</v>
      </c>
      <c r="T18" s="29" t="s">
        <v>22</v>
      </c>
      <c r="U18" s="29" t="s">
        <v>22</v>
      </c>
      <c r="V18" s="29" t="s">
        <v>22</v>
      </c>
      <c r="W18" s="29"/>
      <c r="X18" s="29"/>
      <c r="Y18" s="29"/>
      <c r="Z18" s="29" t="s">
        <v>22</v>
      </c>
      <c r="AA18" s="29" t="s">
        <v>22</v>
      </c>
      <c r="AB18" s="29" t="s">
        <v>22</v>
      </c>
      <c r="AC18" s="29" t="s">
        <v>22</v>
      </c>
      <c r="AD18" s="29"/>
      <c r="AE18" s="29"/>
      <c r="AF18" s="29"/>
      <c r="AG18" s="29"/>
      <c r="AI18" s="29" t="s">
        <v>45</v>
      </c>
      <c r="AJ18" s="31">
        <f>COUNTIF(C18:AG18,"出")</f>
        <v>0</v>
      </c>
    </row>
    <row r="19" spans="1:36" outlineLevel="1" x14ac:dyDescent="0.45">
      <c r="A19" s="29" t="s">
        <v>40</v>
      </c>
      <c r="C19" s="387"/>
      <c r="D19" s="387"/>
      <c r="E19" s="387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S19" s="387"/>
      <c r="T19" s="387"/>
      <c r="U19" s="387"/>
      <c r="V19" s="387"/>
      <c r="W19" s="387"/>
      <c r="X19" s="387"/>
      <c r="Y19" s="387"/>
      <c r="Z19" s="387"/>
      <c r="AA19" s="387"/>
      <c r="AB19" s="387"/>
      <c r="AC19" s="387"/>
      <c r="AD19" s="387"/>
      <c r="AE19" s="387"/>
      <c r="AF19" s="387"/>
      <c r="AG19" s="387"/>
      <c r="AI19" s="29" t="s">
        <v>46</v>
      </c>
      <c r="AJ19" s="31">
        <f>COUNTIF(C18:AG18,"リ")</f>
        <v>18</v>
      </c>
    </row>
    <row r="20" spans="1:36" outlineLevel="1" x14ac:dyDescent="0.45">
      <c r="C20" s="387"/>
      <c r="D20" s="387"/>
      <c r="E20" s="387"/>
      <c r="F20" s="387"/>
      <c r="G20" s="387"/>
      <c r="H20" s="387"/>
      <c r="I20" s="387"/>
      <c r="J20" s="387"/>
      <c r="K20" s="387"/>
      <c r="L20" s="387"/>
      <c r="M20" s="387"/>
      <c r="N20" s="387"/>
      <c r="O20" s="387"/>
      <c r="P20" s="387"/>
      <c r="Q20" s="387"/>
      <c r="S20" s="387"/>
      <c r="T20" s="387"/>
      <c r="U20" s="387"/>
      <c r="V20" s="387"/>
      <c r="W20" s="387"/>
      <c r="X20" s="387"/>
      <c r="Y20" s="387"/>
      <c r="Z20" s="387"/>
      <c r="AA20" s="387"/>
      <c r="AB20" s="387"/>
      <c r="AC20" s="387"/>
      <c r="AD20" s="387"/>
      <c r="AE20" s="387"/>
      <c r="AF20" s="387"/>
      <c r="AG20" s="387"/>
      <c r="AI20" s="29" t="s">
        <v>25</v>
      </c>
      <c r="AJ20" s="33">
        <f>AJ18/(AJ18+AJ19)</f>
        <v>0</v>
      </c>
    </row>
    <row r="21" spans="1:36" outlineLevel="1" x14ac:dyDescent="0.45">
      <c r="C21" s="387"/>
      <c r="D21" s="387"/>
      <c r="E21" s="387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7"/>
      <c r="S21" s="387"/>
      <c r="T21" s="387"/>
      <c r="U21" s="387"/>
      <c r="V21" s="387"/>
      <c r="W21" s="387"/>
      <c r="X21" s="387"/>
      <c r="Y21" s="387"/>
      <c r="Z21" s="387"/>
      <c r="AA21" s="387"/>
      <c r="AB21" s="387"/>
      <c r="AC21" s="387"/>
      <c r="AD21" s="387"/>
      <c r="AE21" s="387"/>
      <c r="AF21" s="387"/>
      <c r="AG21" s="387"/>
    </row>
    <row r="22" spans="1:36" outlineLevel="1" x14ac:dyDescent="0.45">
      <c r="C22" s="387"/>
      <c r="D22" s="387"/>
      <c r="E22" s="387"/>
      <c r="F22" s="387"/>
      <c r="G22" s="387"/>
      <c r="H22" s="387"/>
      <c r="I22" s="387"/>
      <c r="J22" s="387"/>
      <c r="K22" s="387"/>
      <c r="L22" s="387"/>
      <c r="M22" s="387"/>
      <c r="N22" s="387"/>
      <c r="O22" s="387"/>
      <c r="P22" s="387"/>
      <c r="Q22" s="387"/>
      <c r="S22" s="387"/>
      <c r="T22" s="387"/>
      <c r="U22" s="387"/>
      <c r="V22" s="387"/>
      <c r="W22" s="387"/>
      <c r="X22" s="387"/>
      <c r="Y22" s="387"/>
      <c r="Z22" s="387"/>
      <c r="AA22" s="387"/>
      <c r="AB22" s="387"/>
      <c r="AC22" s="387"/>
      <c r="AD22" s="387"/>
      <c r="AE22" s="387"/>
      <c r="AF22" s="387"/>
      <c r="AG22" s="387"/>
    </row>
    <row r="23" spans="1:36" outlineLevel="1" x14ac:dyDescent="0.45">
      <c r="C23" s="387"/>
      <c r="D23" s="387"/>
      <c r="E23" s="387"/>
      <c r="F23" s="387"/>
      <c r="G23" s="387"/>
      <c r="H23" s="387"/>
      <c r="I23" s="387"/>
      <c r="J23" s="387"/>
      <c r="K23" s="387"/>
      <c r="L23" s="387"/>
      <c r="M23" s="387"/>
      <c r="N23" s="387"/>
      <c r="O23" s="387"/>
      <c r="P23" s="387"/>
      <c r="Q23" s="387"/>
      <c r="S23" s="387"/>
      <c r="T23" s="387"/>
      <c r="U23" s="387"/>
      <c r="V23" s="387"/>
      <c r="W23" s="387"/>
      <c r="X23" s="387"/>
      <c r="Y23" s="387"/>
      <c r="Z23" s="387"/>
      <c r="AA23" s="387"/>
      <c r="AB23" s="387"/>
      <c r="AC23" s="387"/>
      <c r="AD23" s="387"/>
      <c r="AE23" s="387"/>
      <c r="AF23" s="387"/>
      <c r="AG23" s="387"/>
    </row>
    <row r="24" spans="1:36" outlineLevel="1" x14ac:dyDescent="0.45"/>
    <row r="25" spans="1:36" x14ac:dyDescent="0.45">
      <c r="C25" s="314">
        <v>46082</v>
      </c>
      <c r="D25" s="304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  <c r="Y25" s="304"/>
      <c r="Z25" s="304"/>
      <c r="AA25" s="304"/>
      <c r="AB25" s="304"/>
      <c r="AC25" s="304"/>
      <c r="AD25" s="304"/>
      <c r="AE25" s="304"/>
      <c r="AF25" s="304"/>
      <c r="AG25" s="304"/>
    </row>
    <row r="26" spans="1:36" outlineLevel="1" x14ac:dyDescent="0.45">
      <c r="C26" s="29" t="str">
        <f t="shared" ref="C26:AG26" si="4">TEXT(C27,"aaa")</f>
        <v>日</v>
      </c>
      <c r="D26" s="29" t="str">
        <f t="shared" si="4"/>
        <v>月</v>
      </c>
      <c r="E26" s="29" t="str">
        <f t="shared" si="4"/>
        <v>火</v>
      </c>
      <c r="F26" s="29" t="str">
        <f t="shared" si="4"/>
        <v>水</v>
      </c>
      <c r="G26" s="29" t="str">
        <f t="shared" si="4"/>
        <v>木</v>
      </c>
      <c r="H26" s="29" t="str">
        <f t="shared" si="4"/>
        <v>金</v>
      </c>
      <c r="I26" s="29" t="str">
        <f t="shared" si="4"/>
        <v>土</v>
      </c>
      <c r="J26" s="29" t="str">
        <f t="shared" si="4"/>
        <v>日</v>
      </c>
      <c r="K26" s="29" t="str">
        <f t="shared" si="4"/>
        <v>月</v>
      </c>
      <c r="L26" s="29" t="str">
        <f t="shared" si="4"/>
        <v>火</v>
      </c>
      <c r="M26" s="29" t="str">
        <f t="shared" si="4"/>
        <v>水</v>
      </c>
      <c r="N26" s="29" t="str">
        <f t="shared" si="4"/>
        <v>木</v>
      </c>
      <c r="O26" s="29" t="str">
        <f t="shared" si="4"/>
        <v>金</v>
      </c>
      <c r="P26" s="29" t="str">
        <f t="shared" si="4"/>
        <v>土</v>
      </c>
      <c r="Q26" s="29" t="str">
        <f t="shared" si="4"/>
        <v>日</v>
      </c>
      <c r="R26" s="29" t="str">
        <f t="shared" si="4"/>
        <v>月</v>
      </c>
      <c r="S26" s="29" t="str">
        <f t="shared" si="4"/>
        <v>火</v>
      </c>
      <c r="T26" s="29" t="str">
        <f t="shared" si="4"/>
        <v>水</v>
      </c>
      <c r="U26" s="29" t="str">
        <f t="shared" si="4"/>
        <v>木</v>
      </c>
      <c r="V26" s="29" t="str">
        <f t="shared" si="4"/>
        <v>金</v>
      </c>
      <c r="W26" s="29" t="str">
        <f t="shared" si="4"/>
        <v>土</v>
      </c>
      <c r="X26" s="29" t="str">
        <f t="shared" si="4"/>
        <v>日</v>
      </c>
      <c r="Y26" s="29" t="str">
        <f t="shared" si="4"/>
        <v>月</v>
      </c>
      <c r="Z26" s="29" t="str">
        <f t="shared" si="4"/>
        <v>火</v>
      </c>
      <c r="AA26" s="29" t="str">
        <f t="shared" si="4"/>
        <v>水</v>
      </c>
      <c r="AB26" s="29" t="str">
        <f t="shared" si="4"/>
        <v>木</v>
      </c>
      <c r="AC26" s="29" t="str">
        <f t="shared" si="4"/>
        <v>金</v>
      </c>
      <c r="AD26" s="29" t="str">
        <f t="shared" si="4"/>
        <v>土</v>
      </c>
      <c r="AE26" s="29" t="str">
        <f t="shared" si="4"/>
        <v>日</v>
      </c>
      <c r="AF26" s="29" t="str">
        <f t="shared" si="4"/>
        <v>月</v>
      </c>
      <c r="AG26" s="29" t="str">
        <f t="shared" si="4"/>
        <v>火</v>
      </c>
      <c r="AI26" s="95" t="s">
        <v>41</v>
      </c>
      <c r="AJ26" s="96">
        <f>COUNT(C28:AG28)</f>
        <v>21</v>
      </c>
    </row>
    <row r="27" spans="1:36" outlineLevel="1" x14ac:dyDescent="0.45">
      <c r="C27" s="30">
        <f>C25</f>
        <v>46082</v>
      </c>
      <c r="D27" s="30">
        <f t="shared" ref="D27:AG27" si="5">IF(C27="","",IF(C27+1&lt;=EOMONTH($C25,0),C27+1,""))</f>
        <v>46083</v>
      </c>
      <c r="E27" s="30">
        <f t="shared" si="5"/>
        <v>46084</v>
      </c>
      <c r="F27" s="30">
        <f t="shared" si="5"/>
        <v>46085</v>
      </c>
      <c r="G27" s="30">
        <f t="shared" si="5"/>
        <v>46086</v>
      </c>
      <c r="H27" s="30">
        <f t="shared" si="5"/>
        <v>46087</v>
      </c>
      <c r="I27" s="30">
        <f t="shared" si="5"/>
        <v>46088</v>
      </c>
      <c r="J27" s="30">
        <f t="shared" si="5"/>
        <v>46089</v>
      </c>
      <c r="K27" s="30">
        <f t="shared" si="5"/>
        <v>46090</v>
      </c>
      <c r="L27" s="30">
        <f t="shared" si="5"/>
        <v>46091</v>
      </c>
      <c r="M27" s="30">
        <f t="shared" si="5"/>
        <v>46092</v>
      </c>
      <c r="N27" s="30">
        <f t="shared" si="5"/>
        <v>46093</v>
      </c>
      <c r="O27" s="30">
        <f t="shared" si="5"/>
        <v>46094</v>
      </c>
      <c r="P27" s="30">
        <f t="shared" si="5"/>
        <v>46095</v>
      </c>
      <c r="Q27" s="30">
        <f t="shared" si="5"/>
        <v>46096</v>
      </c>
      <c r="R27" s="30">
        <f t="shared" si="5"/>
        <v>46097</v>
      </c>
      <c r="S27" s="30">
        <f t="shared" si="5"/>
        <v>46098</v>
      </c>
      <c r="T27" s="30">
        <f t="shared" si="5"/>
        <v>46099</v>
      </c>
      <c r="U27" s="30">
        <f t="shared" si="5"/>
        <v>46100</v>
      </c>
      <c r="V27" s="30">
        <f t="shared" si="5"/>
        <v>46101</v>
      </c>
      <c r="W27" s="30">
        <f t="shared" si="5"/>
        <v>46102</v>
      </c>
      <c r="X27" s="30">
        <f t="shared" si="5"/>
        <v>46103</v>
      </c>
      <c r="Y27" s="30">
        <f t="shared" si="5"/>
        <v>46104</v>
      </c>
      <c r="Z27" s="30">
        <f t="shared" si="5"/>
        <v>46105</v>
      </c>
      <c r="AA27" s="30">
        <f t="shared" si="5"/>
        <v>46106</v>
      </c>
      <c r="AB27" s="30">
        <f t="shared" si="5"/>
        <v>46107</v>
      </c>
      <c r="AC27" s="30">
        <f t="shared" si="5"/>
        <v>46108</v>
      </c>
      <c r="AD27" s="30">
        <f t="shared" si="5"/>
        <v>46109</v>
      </c>
      <c r="AE27" s="30">
        <f t="shared" si="5"/>
        <v>46110</v>
      </c>
      <c r="AF27" s="30">
        <f t="shared" si="5"/>
        <v>46111</v>
      </c>
      <c r="AG27" s="30">
        <f t="shared" si="5"/>
        <v>46112</v>
      </c>
      <c r="AI27" s="95" t="s">
        <v>42</v>
      </c>
      <c r="AJ27" s="97" t="str">
        <f>_xlfn.LET(_xlpm.v,SUM(C28:AG28),IF(_xlpm.v=INT(_xlpm.v),TEXT(_xlpm.v,"0")&amp;" h",TEXT(_xlpm.v,"0.###")&amp;" h"))</f>
        <v>168 h</v>
      </c>
    </row>
    <row r="28" spans="1:36" outlineLevel="1" x14ac:dyDescent="0.45">
      <c r="A28" s="95" t="s">
        <v>38</v>
      </c>
      <c r="C28" s="94"/>
      <c r="D28" s="94">
        <v>8</v>
      </c>
      <c r="E28" s="94">
        <v>8</v>
      </c>
      <c r="F28" s="94">
        <v>8</v>
      </c>
      <c r="G28" s="94">
        <v>8</v>
      </c>
      <c r="H28" s="94">
        <v>8</v>
      </c>
      <c r="I28" s="94"/>
      <c r="J28" s="94"/>
      <c r="K28" s="94">
        <v>8</v>
      </c>
      <c r="L28" s="94">
        <v>8</v>
      </c>
      <c r="M28" s="94">
        <v>8</v>
      </c>
      <c r="N28" s="94">
        <v>8</v>
      </c>
      <c r="O28" s="94">
        <v>8</v>
      </c>
      <c r="P28" s="94"/>
      <c r="Q28" s="94"/>
      <c r="R28" s="94">
        <v>8</v>
      </c>
      <c r="S28" s="94">
        <v>8</v>
      </c>
      <c r="T28" s="94">
        <v>8</v>
      </c>
      <c r="U28" s="94">
        <v>8</v>
      </c>
      <c r="V28" s="94"/>
      <c r="W28" s="94"/>
      <c r="X28" s="94"/>
      <c r="Y28" s="94">
        <v>8</v>
      </c>
      <c r="Z28" s="94">
        <v>8</v>
      </c>
      <c r="AA28" s="94">
        <v>8</v>
      </c>
      <c r="AB28" s="94">
        <v>8</v>
      </c>
      <c r="AC28" s="94">
        <v>8</v>
      </c>
      <c r="AD28" s="94"/>
      <c r="AE28" s="94"/>
      <c r="AF28" s="94">
        <v>8</v>
      </c>
      <c r="AG28" s="94">
        <v>8</v>
      </c>
      <c r="AI28" s="29" t="s">
        <v>43</v>
      </c>
      <c r="AJ28" s="31">
        <f>COUNT(C29:AG29)</f>
        <v>21</v>
      </c>
    </row>
    <row r="29" spans="1:36" outlineLevel="1" x14ac:dyDescent="0.45">
      <c r="A29" s="29" t="s">
        <v>39</v>
      </c>
      <c r="C29" s="29"/>
      <c r="D29" s="29">
        <v>8</v>
      </c>
      <c r="E29" s="29">
        <v>8</v>
      </c>
      <c r="F29" s="29">
        <v>8</v>
      </c>
      <c r="G29" s="29">
        <v>8</v>
      </c>
      <c r="H29" s="29">
        <v>8</v>
      </c>
      <c r="I29" s="29"/>
      <c r="J29" s="29"/>
      <c r="K29" s="29">
        <v>8</v>
      </c>
      <c r="L29" s="29">
        <v>8</v>
      </c>
      <c r="M29" s="29">
        <v>8</v>
      </c>
      <c r="N29" s="29">
        <v>8</v>
      </c>
      <c r="O29" s="29">
        <v>8</v>
      </c>
      <c r="P29" s="29"/>
      <c r="Q29" s="29"/>
      <c r="R29" s="29">
        <v>8</v>
      </c>
      <c r="S29" s="29">
        <v>8</v>
      </c>
      <c r="T29" s="29">
        <v>8</v>
      </c>
      <c r="U29" s="29">
        <v>8</v>
      </c>
      <c r="V29" s="29"/>
      <c r="W29" s="29"/>
      <c r="X29" s="29"/>
      <c r="Y29" s="29">
        <v>8</v>
      </c>
      <c r="Z29" s="29">
        <v>8</v>
      </c>
      <c r="AA29" s="29">
        <v>8</v>
      </c>
      <c r="AB29" s="29">
        <v>8</v>
      </c>
      <c r="AC29" s="29">
        <v>8</v>
      </c>
      <c r="AD29" s="29"/>
      <c r="AE29" s="29"/>
      <c r="AF29" s="29">
        <v>8</v>
      </c>
      <c r="AG29" s="29">
        <v>8</v>
      </c>
      <c r="AI29" s="29" t="s">
        <v>44</v>
      </c>
      <c r="AJ29" s="32" t="str">
        <f>_xlfn.LET(_xlpm.v,SUM(C29:AG29),IF(_xlpm.v=INT(_xlpm.v),TEXT(_xlpm.v,"0")&amp;" h",TEXT(_xlpm.v,"0.###")&amp;" h"))</f>
        <v>168 h</v>
      </c>
    </row>
    <row r="30" spans="1:36" outlineLevel="1" x14ac:dyDescent="0.45">
      <c r="A30" s="29" t="s">
        <v>37</v>
      </c>
      <c r="C30" s="29"/>
      <c r="D30" s="29" t="s">
        <v>22</v>
      </c>
      <c r="E30" s="29" t="s">
        <v>22</v>
      </c>
      <c r="F30" s="29" t="s">
        <v>22</v>
      </c>
      <c r="G30" s="29" t="s">
        <v>22</v>
      </c>
      <c r="H30" s="29" t="s">
        <v>22</v>
      </c>
      <c r="I30" s="29"/>
      <c r="J30" s="29"/>
      <c r="K30" s="29" t="s">
        <v>22</v>
      </c>
      <c r="L30" s="29" t="s">
        <v>22</v>
      </c>
      <c r="M30" s="29" t="s">
        <v>22</v>
      </c>
      <c r="N30" s="29" t="s">
        <v>22</v>
      </c>
      <c r="O30" s="29" t="s">
        <v>22</v>
      </c>
      <c r="P30" s="29"/>
      <c r="Q30" s="29"/>
      <c r="R30" s="29" t="s">
        <v>22</v>
      </c>
      <c r="S30" s="29" t="s">
        <v>22</v>
      </c>
      <c r="T30" s="29" t="s">
        <v>22</v>
      </c>
      <c r="U30" s="29" t="s">
        <v>22</v>
      </c>
      <c r="V30" s="29"/>
      <c r="W30" s="29"/>
      <c r="X30" s="29"/>
      <c r="Y30" s="29" t="s">
        <v>22</v>
      </c>
      <c r="Z30" s="29" t="s">
        <v>22</v>
      </c>
      <c r="AA30" s="29" t="s">
        <v>22</v>
      </c>
      <c r="AB30" s="29" t="s">
        <v>22</v>
      </c>
      <c r="AC30" s="29" t="s">
        <v>22</v>
      </c>
      <c r="AD30" s="29"/>
      <c r="AE30" s="29"/>
      <c r="AF30" s="29" t="s">
        <v>22</v>
      </c>
      <c r="AG30" s="29" t="s">
        <v>22</v>
      </c>
      <c r="AI30" s="29" t="s">
        <v>45</v>
      </c>
      <c r="AJ30" s="31">
        <f>COUNTIF(C30:AG30,"出")</f>
        <v>0</v>
      </c>
    </row>
    <row r="31" spans="1:36" outlineLevel="1" x14ac:dyDescent="0.45">
      <c r="A31" s="29" t="s">
        <v>40</v>
      </c>
      <c r="C31" s="387"/>
      <c r="D31" s="387"/>
      <c r="E31" s="387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7"/>
      <c r="S31" s="387"/>
      <c r="T31" s="387"/>
      <c r="U31" s="387"/>
      <c r="V31" s="387"/>
      <c r="W31" s="387"/>
      <c r="X31" s="387"/>
      <c r="Y31" s="387"/>
      <c r="Z31" s="387"/>
      <c r="AA31" s="387"/>
      <c r="AB31" s="387"/>
      <c r="AC31" s="387"/>
      <c r="AD31" s="387"/>
      <c r="AE31" s="387"/>
      <c r="AF31" s="387"/>
      <c r="AG31" s="387"/>
      <c r="AI31" s="29" t="s">
        <v>46</v>
      </c>
      <c r="AJ31" s="31">
        <f>COUNTIF(C30:AG30,"リ")</f>
        <v>21</v>
      </c>
    </row>
    <row r="32" spans="1:36" outlineLevel="1" x14ac:dyDescent="0.45">
      <c r="C32" s="387"/>
      <c r="D32" s="387"/>
      <c r="E32" s="387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7"/>
      <c r="S32" s="387"/>
      <c r="T32" s="387"/>
      <c r="U32" s="387"/>
      <c r="V32" s="387"/>
      <c r="W32" s="387"/>
      <c r="X32" s="387"/>
      <c r="Y32" s="387"/>
      <c r="Z32" s="387"/>
      <c r="AA32" s="387"/>
      <c r="AB32" s="387"/>
      <c r="AC32" s="387"/>
      <c r="AD32" s="387"/>
      <c r="AE32" s="387"/>
      <c r="AF32" s="387"/>
      <c r="AG32" s="387"/>
      <c r="AI32" s="29" t="s">
        <v>25</v>
      </c>
      <c r="AJ32" s="33">
        <f>AJ30/(AJ30+AJ31)</f>
        <v>0</v>
      </c>
    </row>
    <row r="33" spans="1:36" outlineLevel="1" x14ac:dyDescent="0.45">
      <c r="C33" s="387"/>
      <c r="D33" s="387"/>
      <c r="E33" s="387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7"/>
      <c r="S33" s="387"/>
      <c r="T33" s="387"/>
      <c r="U33" s="387"/>
      <c r="V33" s="387"/>
      <c r="W33" s="387"/>
      <c r="X33" s="387"/>
      <c r="Y33" s="387"/>
      <c r="Z33" s="387"/>
      <c r="AA33" s="387"/>
      <c r="AB33" s="387"/>
      <c r="AC33" s="387"/>
      <c r="AD33" s="387"/>
      <c r="AE33" s="387"/>
      <c r="AF33" s="387"/>
      <c r="AG33" s="387"/>
    </row>
    <row r="34" spans="1:36" outlineLevel="1" x14ac:dyDescent="0.45">
      <c r="C34" s="387"/>
      <c r="D34" s="387"/>
      <c r="E34" s="387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7"/>
      <c r="S34" s="387"/>
      <c r="T34" s="387"/>
      <c r="U34" s="387"/>
      <c r="V34" s="387"/>
      <c r="W34" s="387"/>
      <c r="X34" s="387"/>
      <c r="Y34" s="387"/>
      <c r="Z34" s="387"/>
      <c r="AA34" s="387"/>
      <c r="AB34" s="387"/>
      <c r="AC34" s="387"/>
      <c r="AD34" s="387"/>
      <c r="AE34" s="387"/>
      <c r="AF34" s="387"/>
      <c r="AG34" s="387"/>
    </row>
    <row r="35" spans="1:36" outlineLevel="1" x14ac:dyDescent="0.45">
      <c r="C35" s="387"/>
      <c r="D35" s="387"/>
      <c r="E35" s="387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7"/>
      <c r="S35" s="387"/>
      <c r="T35" s="387"/>
      <c r="U35" s="387"/>
      <c r="V35" s="387"/>
      <c r="W35" s="387"/>
      <c r="X35" s="387"/>
      <c r="Y35" s="387"/>
      <c r="Z35" s="387"/>
      <c r="AA35" s="387"/>
      <c r="AB35" s="387"/>
      <c r="AC35" s="387"/>
      <c r="AD35" s="387"/>
      <c r="AE35" s="387"/>
      <c r="AF35" s="387"/>
      <c r="AG35" s="387"/>
    </row>
    <row r="36" spans="1:36" outlineLevel="1" x14ac:dyDescent="0.45"/>
    <row r="37" spans="1:36" x14ac:dyDescent="0.45">
      <c r="C37" s="314">
        <v>46113</v>
      </c>
      <c r="D37" s="304"/>
      <c r="E37" s="304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04"/>
      <c r="R37" s="304"/>
      <c r="S37" s="304"/>
      <c r="T37" s="304"/>
      <c r="U37" s="304"/>
      <c r="V37" s="304"/>
      <c r="W37" s="304"/>
      <c r="X37" s="304"/>
      <c r="Y37" s="304"/>
      <c r="Z37" s="304"/>
      <c r="AA37" s="304"/>
      <c r="AB37" s="304"/>
      <c r="AC37" s="304"/>
      <c r="AD37" s="304"/>
      <c r="AE37" s="304"/>
      <c r="AF37" s="304"/>
      <c r="AG37" s="304"/>
    </row>
    <row r="38" spans="1:36" outlineLevel="1" x14ac:dyDescent="0.45">
      <c r="C38" s="29" t="str">
        <f t="shared" ref="C38:AG38" si="6">TEXT(C39,"aaa")</f>
        <v>水</v>
      </c>
      <c r="D38" s="29" t="str">
        <f t="shared" si="6"/>
        <v>木</v>
      </c>
      <c r="E38" s="29" t="str">
        <f t="shared" si="6"/>
        <v>金</v>
      </c>
      <c r="F38" s="29" t="str">
        <f t="shared" si="6"/>
        <v>土</v>
      </c>
      <c r="G38" s="29" t="str">
        <f t="shared" si="6"/>
        <v>日</v>
      </c>
      <c r="H38" s="29" t="str">
        <f t="shared" si="6"/>
        <v>月</v>
      </c>
      <c r="I38" s="29" t="str">
        <f t="shared" si="6"/>
        <v>火</v>
      </c>
      <c r="J38" s="29" t="str">
        <f t="shared" si="6"/>
        <v>水</v>
      </c>
      <c r="K38" s="29" t="str">
        <f t="shared" si="6"/>
        <v>木</v>
      </c>
      <c r="L38" s="29" t="str">
        <f t="shared" si="6"/>
        <v>金</v>
      </c>
      <c r="M38" s="29" t="str">
        <f t="shared" si="6"/>
        <v>土</v>
      </c>
      <c r="N38" s="29" t="str">
        <f t="shared" si="6"/>
        <v>日</v>
      </c>
      <c r="O38" s="29" t="str">
        <f t="shared" si="6"/>
        <v>月</v>
      </c>
      <c r="P38" s="29" t="str">
        <f t="shared" si="6"/>
        <v>火</v>
      </c>
      <c r="Q38" s="29" t="str">
        <f t="shared" si="6"/>
        <v>水</v>
      </c>
      <c r="R38" s="29" t="str">
        <f t="shared" si="6"/>
        <v>木</v>
      </c>
      <c r="S38" s="29" t="str">
        <f t="shared" si="6"/>
        <v>金</v>
      </c>
      <c r="T38" s="29" t="str">
        <f t="shared" si="6"/>
        <v>土</v>
      </c>
      <c r="U38" s="29" t="str">
        <f t="shared" si="6"/>
        <v>日</v>
      </c>
      <c r="V38" s="29" t="str">
        <f t="shared" si="6"/>
        <v>月</v>
      </c>
      <c r="W38" s="29" t="str">
        <f t="shared" si="6"/>
        <v>火</v>
      </c>
      <c r="X38" s="29" t="str">
        <f t="shared" si="6"/>
        <v>水</v>
      </c>
      <c r="Y38" s="29" t="str">
        <f t="shared" si="6"/>
        <v>木</v>
      </c>
      <c r="Z38" s="29" t="str">
        <f t="shared" si="6"/>
        <v>金</v>
      </c>
      <c r="AA38" s="29" t="str">
        <f t="shared" si="6"/>
        <v>土</v>
      </c>
      <c r="AB38" s="29" t="str">
        <f t="shared" si="6"/>
        <v>日</v>
      </c>
      <c r="AC38" s="29" t="str">
        <f t="shared" si="6"/>
        <v>月</v>
      </c>
      <c r="AD38" s="29" t="str">
        <f t="shared" si="6"/>
        <v>火</v>
      </c>
      <c r="AE38" s="29" t="str">
        <f t="shared" si="6"/>
        <v>水</v>
      </c>
      <c r="AF38" s="29" t="str">
        <f t="shared" si="6"/>
        <v>木</v>
      </c>
      <c r="AG38" s="29" t="str">
        <f t="shared" si="6"/>
        <v/>
      </c>
      <c r="AI38" s="95" t="s">
        <v>41</v>
      </c>
      <c r="AJ38" s="96">
        <f>COUNT(C40:AG40)</f>
        <v>21</v>
      </c>
    </row>
    <row r="39" spans="1:36" outlineLevel="1" x14ac:dyDescent="0.45">
      <c r="C39" s="30">
        <f>C37</f>
        <v>46113</v>
      </c>
      <c r="D39" s="30">
        <f t="shared" ref="D39:AG39" si="7">IF(C39="","",IF(C39+1&lt;=EOMONTH($C37,0),C39+1,""))</f>
        <v>46114</v>
      </c>
      <c r="E39" s="30">
        <f t="shared" si="7"/>
        <v>46115</v>
      </c>
      <c r="F39" s="30">
        <f t="shared" si="7"/>
        <v>46116</v>
      </c>
      <c r="G39" s="30">
        <f t="shared" si="7"/>
        <v>46117</v>
      </c>
      <c r="H39" s="30">
        <f t="shared" si="7"/>
        <v>46118</v>
      </c>
      <c r="I39" s="30">
        <f t="shared" si="7"/>
        <v>46119</v>
      </c>
      <c r="J39" s="30">
        <f t="shared" si="7"/>
        <v>46120</v>
      </c>
      <c r="K39" s="30">
        <f t="shared" si="7"/>
        <v>46121</v>
      </c>
      <c r="L39" s="30">
        <f t="shared" si="7"/>
        <v>46122</v>
      </c>
      <c r="M39" s="30">
        <f t="shared" si="7"/>
        <v>46123</v>
      </c>
      <c r="N39" s="30">
        <f t="shared" si="7"/>
        <v>46124</v>
      </c>
      <c r="O39" s="30">
        <f t="shared" si="7"/>
        <v>46125</v>
      </c>
      <c r="P39" s="30">
        <f t="shared" si="7"/>
        <v>46126</v>
      </c>
      <c r="Q39" s="30">
        <f t="shared" si="7"/>
        <v>46127</v>
      </c>
      <c r="R39" s="30">
        <f t="shared" si="7"/>
        <v>46128</v>
      </c>
      <c r="S39" s="30">
        <f t="shared" si="7"/>
        <v>46129</v>
      </c>
      <c r="T39" s="30">
        <f t="shared" si="7"/>
        <v>46130</v>
      </c>
      <c r="U39" s="30">
        <f t="shared" si="7"/>
        <v>46131</v>
      </c>
      <c r="V39" s="30">
        <f t="shared" si="7"/>
        <v>46132</v>
      </c>
      <c r="W39" s="30">
        <f t="shared" si="7"/>
        <v>46133</v>
      </c>
      <c r="X39" s="30">
        <f t="shared" si="7"/>
        <v>46134</v>
      </c>
      <c r="Y39" s="30">
        <f t="shared" si="7"/>
        <v>46135</v>
      </c>
      <c r="Z39" s="30">
        <f t="shared" si="7"/>
        <v>46136</v>
      </c>
      <c r="AA39" s="30">
        <f t="shared" si="7"/>
        <v>46137</v>
      </c>
      <c r="AB39" s="30">
        <f t="shared" si="7"/>
        <v>46138</v>
      </c>
      <c r="AC39" s="30">
        <f t="shared" si="7"/>
        <v>46139</v>
      </c>
      <c r="AD39" s="30">
        <f t="shared" si="7"/>
        <v>46140</v>
      </c>
      <c r="AE39" s="30">
        <f t="shared" si="7"/>
        <v>46141</v>
      </c>
      <c r="AF39" s="30">
        <f t="shared" si="7"/>
        <v>46142</v>
      </c>
      <c r="AG39" s="30" t="str">
        <f t="shared" si="7"/>
        <v/>
      </c>
      <c r="AI39" s="95" t="s">
        <v>42</v>
      </c>
      <c r="AJ39" s="97" t="str">
        <f>_xlfn.LET(_xlpm.v,SUM(C40:AG40),IF(_xlpm.v=INT(_xlpm.v),TEXT(_xlpm.v,"0")&amp;" h",TEXT(_xlpm.v,"0.###")&amp;" h"))</f>
        <v>168 h</v>
      </c>
    </row>
    <row r="40" spans="1:36" outlineLevel="1" x14ac:dyDescent="0.45">
      <c r="A40" s="95" t="s">
        <v>38</v>
      </c>
      <c r="C40" s="94">
        <v>8</v>
      </c>
      <c r="D40" s="94">
        <v>8</v>
      </c>
      <c r="E40" s="94">
        <v>8</v>
      </c>
      <c r="F40" s="94"/>
      <c r="G40" s="94"/>
      <c r="H40" s="94">
        <v>8</v>
      </c>
      <c r="I40" s="94">
        <v>8</v>
      </c>
      <c r="J40" s="94">
        <v>8</v>
      </c>
      <c r="K40" s="94">
        <v>8</v>
      </c>
      <c r="L40" s="94">
        <v>8</v>
      </c>
      <c r="M40" s="94"/>
      <c r="N40" s="94"/>
      <c r="O40" s="94">
        <v>8</v>
      </c>
      <c r="P40" s="94">
        <v>8</v>
      </c>
      <c r="Q40" s="94">
        <v>8</v>
      </c>
      <c r="R40" s="94">
        <v>8</v>
      </c>
      <c r="S40" s="94">
        <v>8</v>
      </c>
      <c r="T40" s="94"/>
      <c r="U40" s="94"/>
      <c r="V40" s="94">
        <v>8</v>
      </c>
      <c r="W40" s="94">
        <v>8</v>
      </c>
      <c r="X40" s="94">
        <v>8</v>
      </c>
      <c r="Y40" s="94">
        <v>8</v>
      </c>
      <c r="Z40" s="94">
        <v>8</v>
      </c>
      <c r="AA40" s="94"/>
      <c r="AB40" s="94"/>
      <c r="AC40" s="94">
        <v>8</v>
      </c>
      <c r="AD40" s="94">
        <v>8</v>
      </c>
      <c r="AE40" s="94"/>
      <c r="AF40" s="94">
        <v>8</v>
      </c>
      <c r="AG40" s="94"/>
      <c r="AI40" s="29" t="s">
        <v>43</v>
      </c>
      <c r="AJ40" s="31">
        <f>COUNT(C41:AG41)</f>
        <v>21</v>
      </c>
    </row>
    <row r="41" spans="1:36" outlineLevel="1" x14ac:dyDescent="0.45">
      <c r="A41" s="29" t="s">
        <v>39</v>
      </c>
      <c r="C41" s="29">
        <v>8</v>
      </c>
      <c r="D41" s="29">
        <v>8</v>
      </c>
      <c r="E41" s="29">
        <v>8</v>
      </c>
      <c r="F41" s="29"/>
      <c r="G41" s="29"/>
      <c r="H41" s="29">
        <v>8</v>
      </c>
      <c r="I41" s="29">
        <v>8</v>
      </c>
      <c r="J41" s="29">
        <v>8</v>
      </c>
      <c r="K41" s="29">
        <v>8</v>
      </c>
      <c r="L41" s="29">
        <v>8</v>
      </c>
      <c r="M41" s="29"/>
      <c r="N41" s="29"/>
      <c r="O41" s="29">
        <v>8</v>
      </c>
      <c r="P41" s="29">
        <v>8</v>
      </c>
      <c r="Q41" s="29">
        <v>8</v>
      </c>
      <c r="R41" s="29">
        <v>8</v>
      </c>
      <c r="S41" s="29">
        <v>8</v>
      </c>
      <c r="T41" s="29"/>
      <c r="U41" s="29"/>
      <c r="V41" s="29">
        <v>8</v>
      </c>
      <c r="W41" s="29">
        <v>8</v>
      </c>
      <c r="X41" s="29">
        <v>8</v>
      </c>
      <c r="Y41" s="29">
        <v>8</v>
      </c>
      <c r="Z41" s="29">
        <v>8</v>
      </c>
      <c r="AA41" s="29"/>
      <c r="AB41" s="29"/>
      <c r="AC41" s="29">
        <v>8</v>
      </c>
      <c r="AD41" s="29">
        <v>8</v>
      </c>
      <c r="AE41" s="29"/>
      <c r="AF41" s="29">
        <v>8</v>
      </c>
      <c r="AG41" s="29"/>
      <c r="AI41" s="29" t="s">
        <v>44</v>
      </c>
      <c r="AJ41" s="32" t="str">
        <f>_xlfn.LET(_xlpm.v,SUM(C41:AG41),IF(_xlpm.v=INT(_xlpm.v),TEXT(_xlpm.v,"0")&amp;" h",TEXT(_xlpm.v,"0.###")&amp;" h"))</f>
        <v>168 h</v>
      </c>
    </row>
    <row r="42" spans="1:36" outlineLevel="1" x14ac:dyDescent="0.45">
      <c r="A42" s="29" t="s">
        <v>37</v>
      </c>
      <c r="C42" s="29" t="s">
        <v>22</v>
      </c>
      <c r="D42" s="29" t="s">
        <v>22</v>
      </c>
      <c r="E42" s="29" t="s">
        <v>22</v>
      </c>
      <c r="F42" s="29"/>
      <c r="G42" s="29"/>
      <c r="H42" s="29" t="s">
        <v>22</v>
      </c>
      <c r="I42" s="29" t="s">
        <v>22</v>
      </c>
      <c r="J42" s="29" t="s">
        <v>22</v>
      </c>
      <c r="K42" s="29" t="s">
        <v>22</v>
      </c>
      <c r="L42" s="29" t="s">
        <v>22</v>
      </c>
      <c r="M42" s="29"/>
      <c r="N42" s="29"/>
      <c r="O42" s="29" t="s">
        <v>22</v>
      </c>
      <c r="P42" s="29" t="s">
        <v>22</v>
      </c>
      <c r="Q42" s="29" t="s">
        <v>22</v>
      </c>
      <c r="R42" s="29" t="s">
        <v>22</v>
      </c>
      <c r="S42" s="29" t="s">
        <v>22</v>
      </c>
      <c r="T42" s="29"/>
      <c r="U42" s="29"/>
      <c r="V42" s="29" t="s">
        <v>22</v>
      </c>
      <c r="W42" s="29" t="s">
        <v>22</v>
      </c>
      <c r="X42" s="29" t="s">
        <v>22</v>
      </c>
      <c r="Y42" s="29" t="s">
        <v>22</v>
      </c>
      <c r="Z42" s="29" t="s">
        <v>22</v>
      </c>
      <c r="AA42" s="29"/>
      <c r="AB42" s="29"/>
      <c r="AC42" s="29" t="s">
        <v>22</v>
      </c>
      <c r="AD42" s="29" t="s">
        <v>22</v>
      </c>
      <c r="AE42" s="29"/>
      <c r="AF42" s="29" t="s">
        <v>22</v>
      </c>
      <c r="AG42" s="29"/>
      <c r="AI42" s="29" t="s">
        <v>45</v>
      </c>
      <c r="AJ42" s="31">
        <f>COUNTIF(C42:AG42,"出")</f>
        <v>0</v>
      </c>
    </row>
    <row r="43" spans="1:36" outlineLevel="1" x14ac:dyDescent="0.45">
      <c r="A43" s="29" t="s">
        <v>40</v>
      </c>
      <c r="C43" s="387"/>
      <c r="D43" s="387"/>
      <c r="E43" s="387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87"/>
      <c r="AC43" s="387"/>
      <c r="AD43" s="387"/>
      <c r="AE43" s="387"/>
      <c r="AF43" s="387"/>
      <c r="AG43" s="387"/>
      <c r="AI43" s="29" t="s">
        <v>46</v>
      </c>
      <c r="AJ43" s="31">
        <f>COUNTIF(C42:AG42,"リ")</f>
        <v>21</v>
      </c>
    </row>
    <row r="44" spans="1:36" outlineLevel="1" x14ac:dyDescent="0.45">
      <c r="C44" s="387"/>
      <c r="D44" s="387"/>
      <c r="E44" s="387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7"/>
      <c r="S44" s="387"/>
      <c r="T44" s="387"/>
      <c r="U44" s="387"/>
      <c r="V44" s="387"/>
      <c r="W44" s="387"/>
      <c r="X44" s="387"/>
      <c r="Y44" s="387"/>
      <c r="Z44" s="387"/>
      <c r="AA44" s="387"/>
      <c r="AB44" s="387"/>
      <c r="AC44" s="387"/>
      <c r="AD44" s="387"/>
      <c r="AE44" s="387"/>
      <c r="AF44" s="387"/>
      <c r="AG44" s="387"/>
      <c r="AI44" s="29" t="s">
        <v>25</v>
      </c>
      <c r="AJ44" s="33">
        <f>AJ42/(AJ42+AJ43)</f>
        <v>0</v>
      </c>
    </row>
    <row r="45" spans="1:36" outlineLevel="1" x14ac:dyDescent="0.45">
      <c r="C45" s="387"/>
      <c r="D45" s="387"/>
      <c r="E45" s="387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7"/>
      <c r="S45" s="387"/>
      <c r="T45" s="387"/>
      <c r="U45" s="387"/>
      <c r="V45" s="387"/>
      <c r="W45" s="387"/>
      <c r="X45" s="387"/>
      <c r="Y45" s="387"/>
      <c r="Z45" s="387"/>
      <c r="AA45" s="387"/>
      <c r="AB45" s="387"/>
      <c r="AC45" s="387"/>
      <c r="AD45" s="387"/>
      <c r="AE45" s="387"/>
      <c r="AF45" s="387"/>
      <c r="AG45" s="387"/>
    </row>
    <row r="46" spans="1:36" outlineLevel="1" x14ac:dyDescent="0.45">
      <c r="C46" s="387"/>
      <c r="D46" s="387"/>
      <c r="E46" s="387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D46" s="387"/>
      <c r="AE46" s="387"/>
      <c r="AF46" s="387"/>
      <c r="AG46" s="387"/>
    </row>
    <row r="47" spans="1:36" outlineLevel="1" x14ac:dyDescent="0.45"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AD47" s="387"/>
      <c r="AE47" s="387"/>
      <c r="AF47" s="387"/>
      <c r="AG47" s="387"/>
    </row>
    <row r="48" spans="1:36" outlineLevel="1" x14ac:dyDescent="0.45"/>
    <row r="49" spans="1:36" x14ac:dyDescent="0.45">
      <c r="C49" s="314">
        <v>46143</v>
      </c>
      <c r="D49" s="304"/>
      <c r="E49" s="304"/>
      <c r="F49" s="304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304"/>
      <c r="R49" s="304"/>
      <c r="S49" s="304"/>
      <c r="T49" s="304"/>
      <c r="U49" s="304"/>
      <c r="V49" s="304"/>
      <c r="W49" s="304"/>
      <c r="X49" s="304"/>
      <c r="Y49" s="304"/>
      <c r="Z49" s="304"/>
      <c r="AA49" s="304"/>
      <c r="AB49" s="304"/>
      <c r="AC49" s="304"/>
      <c r="AD49" s="304"/>
      <c r="AE49" s="304"/>
      <c r="AF49" s="304"/>
      <c r="AG49" s="304"/>
    </row>
    <row r="50" spans="1:36" outlineLevel="1" x14ac:dyDescent="0.45">
      <c r="C50" s="29" t="str">
        <f t="shared" ref="C50:AG50" si="8">TEXT(C51,"aaa")</f>
        <v>金</v>
      </c>
      <c r="D50" s="29" t="str">
        <f t="shared" si="8"/>
        <v>土</v>
      </c>
      <c r="E50" s="29" t="str">
        <f t="shared" si="8"/>
        <v>日</v>
      </c>
      <c r="F50" s="29" t="str">
        <f t="shared" si="8"/>
        <v>月</v>
      </c>
      <c r="G50" s="29" t="str">
        <f t="shared" si="8"/>
        <v>火</v>
      </c>
      <c r="H50" s="29" t="str">
        <f t="shared" si="8"/>
        <v>水</v>
      </c>
      <c r="I50" s="29" t="str">
        <f t="shared" si="8"/>
        <v>木</v>
      </c>
      <c r="J50" s="29" t="str">
        <f t="shared" si="8"/>
        <v>金</v>
      </c>
      <c r="K50" s="29" t="str">
        <f t="shared" si="8"/>
        <v>土</v>
      </c>
      <c r="L50" s="29" t="str">
        <f t="shared" si="8"/>
        <v>日</v>
      </c>
      <c r="M50" s="29" t="str">
        <f t="shared" si="8"/>
        <v>月</v>
      </c>
      <c r="N50" s="29" t="str">
        <f t="shared" si="8"/>
        <v>火</v>
      </c>
      <c r="O50" s="29" t="str">
        <f t="shared" si="8"/>
        <v>水</v>
      </c>
      <c r="P50" s="29" t="str">
        <f t="shared" si="8"/>
        <v>木</v>
      </c>
      <c r="Q50" s="29" t="str">
        <f t="shared" si="8"/>
        <v>金</v>
      </c>
      <c r="R50" s="29" t="str">
        <f t="shared" si="8"/>
        <v>土</v>
      </c>
      <c r="S50" s="29" t="str">
        <f t="shared" si="8"/>
        <v>日</v>
      </c>
      <c r="T50" s="29" t="str">
        <f t="shared" si="8"/>
        <v>月</v>
      </c>
      <c r="U50" s="29" t="str">
        <f t="shared" si="8"/>
        <v>火</v>
      </c>
      <c r="V50" s="29" t="str">
        <f t="shared" si="8"/>
        <v>水</v>
      </c>
      <c r="W50" s="29" t="str">
        <f t="shared" si="8"/>
        <v>木</v>
      </c>
      <c r="X50" s="29" t="str">
        <f t="shared" si="8"/>
        <v>金</v>
      </c>
      <c r="Y50" s="29" t="str">
        <f t="shared" si="8"/>
        <v>土</v>
      </c>
      <c r="Z50" s="29" t="str">
        <f t="shared" si="8"/>
        <v>日</v>
      </c>
      <c r="AA50" s="29" t="str">
        <f t="shared" si="8"/>
        <v>月</v>
      </c>
      <c r="AB50" s="29" t="str">
        <f t="shared" si="8"/>
        <v>火</v>
      </c>
      <c r="AC50" s="29" t="str">
        <f t="shared" si="8"/>
        <v>水</v>
      </c>
      <c r="AD50" s="29" t="str">
        <f t="shared" si="8"/>
        <v>木</v>
      </c>
      <c r="AE50" s="29" t="str">
        <f t="shared" si="8"/>
        <v>金</v>
      </c>
      <c r="AF50" s="29" t="str">
        <f t="shared" si="8"/>
        <v>土</v>
      </c>
      <c r="AG50" s="29" t="str">
        <f t="shared" si="8"/>
        <v>日</v>
      </c>
      <c r="AI50" s="95" t="s">
        <v>41</v>
      </c>
      <c r="AJ50" s="96">
        <f>COUNT(C52:AG52)</f>
        <v>18</v>
      </c>
    </row>
    <row r="51" spans="1:36" outlineLevel="1" x14ac:dyDescent="0.45">
      <c r="C51" s="30">
        <f>C49</f>
        <v>46143</v>
      </c>
      <c r="D51" s="30">
        <f t="shared" ref="D51:AG51" si="9">IF(C51="","",IF(C51+1&lt;=EOMONTH($C49,0),C51+1,""))</f>
        <v>46144</v>
      </c>
      <c r="E51" s="30">
        <f t="shared" si="9"/>
        <v>46145</v>
      </c>
      <c r="F51" s="30">
        <f t="shared" si="9"/>
        <v>46146</v>
      </c>
      <c r="G51" s="30">
        <f t="shared" si="9"/>
        <v>46147</v>
      </c>
      <c r="H51" s="30">
        <f t="shared" si="9"/>
        <v>46148</v>
      </c>
      <c r="I51" s="30">
        <f t="shared" si="9"/>
        <v>46149</v>
      </c>
      <c r="J51" s="30">
        <f t="shared" si="9"/>
        <v>46150</v>
      </c>
      <c r="K51" s="30">
        <f t="shared" si="9"/>
        <v>46151</v>
      </c>
      <c r="L51" s="30">
        <f t="shared" si="9"/>
        <v>46152</v>
      </c>
      <c r="M51" s="30">
        <f t="shared" si="9"/>
        <v>46153</v>
      </c>
      <c r="N51" s="30">
        <f t="shared" si="9"/>
        <v>46154</v>
      </c>
      <c r="O51" s="30">
        <f t="shared" si="9"/>
        <v>46155</v>
      </c>
      <c r="P51" s="30">
        <f t="shared" si="9"/>
        <v>46156</v>
      </c>
      <c r="Q51" s="30">
        <f t="shared" si="9"/>
        <v>46157</v>
      </c>
      <c r="R51" s="30">
        <f t="shared" si="9"/>
        <v>46158</v>
      </c>
      <c r="S51" s="30">
        <f t="shared" si="9"/>
        <v>46159</v>
      </c>
      <c r="T51" s="30">
        <f t="shared" si="9"/>
        <v>46160</v>
      </c>
      <c r="U51" s="30">
        <f t="shared" si="9"/>
        <v>46161</v>
      </c>
      <c r="V51" s="30">
        <f t="shared" si="9"/>
        <v>46162</v>
      </c>
      <c r="W51" s="30">
        <f t="shared" si="9"/>
        <v>46163</v>
      </c>
      <c r="X51" s="30">
        <f t="shared" si="9"/>
        <v>46164</v>
      </c>
      <c r="Y51" s="30">
        <f t="shared" si="9"/>
        <v>46165</v>
      </c>
      <c r="Z51" s="30">
        <f t="shared" si="9"/>
        <v>46166</v>
      </c>
      <c r="AA51" s="30">
        <f t="shared" si="9"/>
        <v>46167</v>
      </c>
      <c r="AB51" s="30">
        <f t="shared" si="9"/>
        <v>46168</v>
      </c>
      <c r="AC51" s="30">
        <f t="shared" si="9"/>
        <v>46169</v>
      </c>
      <c r="AD51" s="30">
        <f t="shared" si="9"/>
        <v>46170</v>
      </c>
      <c r="AE51" s="30">
        <f t="shared" si="9"/>
        <v>46171</v>
      </c>
      <c r="AF51" s="30">
        <f t="shared" si="9"/>
        <v>46172</v>
      </c>
      <c r="AG51" s="30">
        <f t="shared" si="9"/>
        <v>46173</v>
      </c>
      <c r="AI51" s="95" t="s">
        <v>42</v>
      </c>
      <c r="AJ51" s="97" t="str">
        <f>_xlfn.LET(_xlpm.v,SUM(C52:AG52),IF(_xlpm.v=INT(_xlpm.v),TEXT(_xlpm.v,"0")&amp;" h",TEXT(_xlpm.v,"0.###")&amp;" h"))</f>
        <v>144 h</v>
      </c>
    </row>
    <row r="52" spans="1:36" outlineLevel="1" x14ac:dyDescent="0.45">
      <c r="A52" s="95" t="s">
        <v>38</v>
      </c>
      <c r="C52" s="94">
        <v>8</v>
      </c>
      <c r="D52" s="94"/>
      <c r="E52" s="94"/>
      <c r="F52" s="94"/>
      <c r="G52" s="94"/>
      <c r="H52" s="94"/>
      <c r="I52" s="94">
        <v>8</v>
      </c>
      <c r="J52" s="94">
        <v>8</v>
      </c>
      <c r="K52" s="94"/>
      <c r="L52" s="94"/>
      <c r="M52" s="94">
        <v>8</v>
      </c>
      <c r="N52" s="94">
        <v>8</v>
      </c>
      <c r="O52" s="94">
        <v>8</v>
      </c>
      <c r="P52" s="94">
        <v>8</v>
      </c>
      <c r="Q52" s="94">
        <v>8</v>
      </c>
      <c r="R52" s="94"/>
      <c r="S52" s="94"/>
      <c r="T52" s="94">
        <v>8</v>
      </c>
      <c r="U52" s="94">
        <v>8</v>
      </c>
      <c r="V52" s="94">
        <v>8</v>
      </c>
      <c r="W52" s="94">
        <v>8</v>
      </c>
      <c r="X52" s="94">
        <v>8</v>
      </c>
      <c r="Y52" s="94"/>
      <c r="Z52" s="94"/>
      <c r="AA52" s="94">
        <v>8</v>
      </c>
      <c r="AB52" s="94">
        <v>8</v>
      </c>
      <c r="AC52" s="94">
        <v>8</v>
      </c>
      <c r="AD52" s="94">
        <v>8</v>
      </c>
      <c r="AE52" s="94">
        <v>8</v>
      </c>
      <c r="AF52" s="94"/>
      <c r="AG52" s="94"/>
      <c r="AI52" s="29" t="s">
        <v>43</v>
      </c>
      <c r="AJ52" s="31">
        <f>COUNT(C53:AG53)</f>
        <v>18</v>
      </c>
    </row>
    <row r="53" spans="1:36" outlineLevel="1" x14ac:dyDescent="0.45">
      <c r="A53" s="29" t="s">
        <v>39</v>
      </c>
      <c r="C53" s="29">
        <v>8</v>
      </c>
      <c r="D53" s="29"/>
      <c r="E53" s="29"/>
      <c r="F53" s="29"/>
      <c r="G53" s="29"/>
      <c r="H53" s="29"/>
      <c r="I53" s="29">
        <v>8</v>
      </c>
      <c r="J53" s="29">
        <v>8</v>
      </c>
      <c r="K53" s="29"/>
      <c r="L53" s="29"/>
      <c r="M53" s="29">
        <v>8</v>
      </c>
      <c r="N53" s="29">
        <v>8</v>
      </c>
      <c r="O53" s="29">
        <v>8</v>
      </c>
      <c r="P53" s="29">
        <v>8</v>
      </c>
      <c r="Q53" s="29">
        <v>8</v>
      </c>
      <c r="R53" s="29"/>
      <c r="S53" s="29"/>
      <c r="T53" s="29">
        <v>8</v>
      </c>
      <c r="U53" s="29">
        <v>8</v>
      </c>
      <c r="V53" s="29">
        <v>8</v>
      </c>
      <c r="W53" s="29">
        <v>8</v>
      </c>
      <c r="X53" s="29">
        <v>8</v>
      </c>
      <c r="Y53" s="29"/>
      <c r="Z53" s="29"/>
      <c r="AA53" s="29">
        <v>8</v>
      </c>
      <c r="AB53" s="29">
        <v>8</v>
      </c>
      <c r="AC53" s="29">
        <v>8</v>
      </c>
      <c r="AD53" s="29">
        <v>8</v>
      </c>
      <c r="AE53" s="29">
        <v>8</v>
      </c>
      <c r="AF53" s="29"/>
      <c r="AG53" s="29"/>
      <c r="AI53" s="29" t="s">
        <v>44</v>
      </c>
      <c r="AJ53" s="32" t="str">
        <f>_xlfn.LET(_xlpm.v,SUM(C53:AG53),IF(_xlpm.v=INT(_xlpm.v),TEXT(_xlpm.v,"0")&amp;" h",TEXT(_xlpm.v,"0.###")&amp;" h"))</f>
        <v>144 h</v>
      </c>
    </row>
    <row r="54" spans="1:36" outlineLevel="1" x14ac:dyDescent="0.45">
      <c r="A54" s="29" t="s">
        <v>37</v>
      </c>
      <c r="C54" s="29" t="s">
        <v>22</v>
      </c>
      <c r="D54" s="29"/>
      <c r="E54" s="29"/>
      <c r="F54" s="29"/>
      <c r="G54" s="29"/>
      <c r="H54" s="29"/>
      <c r="I54" s="29" t="s">
        <v>22</v>
      </c>
      <c r="J54" s="29" t="s">
        <v>22</v>
      </c>
      <c r="K54" s="29"/>
      <c r="L54" s="29"/>
      <c r="M54" s="29" t="s">
        <v>22</v>
      </c>
      <c r="N54" s="29" t="s">
        <v>22</v>
      </c>
      <c r="O54" s="29" t="s">
        <v>22</v>
      </c>
      <c r="P54" s="29" t="s">
        <v>22</v>
      </c>
      <c r="Q54" s="29" t="s">
        <v>22</v>
      </c>
      <c r="R54" s="29"/>
      <c r="S54" s="29"/>
      <c r="T54" s="29" t="s">
        <v>22</v>
      </c>
      <c r="U54" s="29" t="s">
        <v>22</v>
      </c>
      <c r="V54" s="29" t="s">
        <v>22</v>
      </c>
      <c r="W54" s="29" t="s">
        <v>22</v>
      </c>
      <c r="X54" s="29" t="s">
        <v>22</v>
      </c>
      <c r="Y54" s="29"/>
      <c r="Z54" s="29"/>
      <c r="AA54" s="29" t="s">
        <v>22</v>
      </c>
      <c r="AB54" s="29" t="s">
        <v>22</v>
      </c>
      <c r="AC54" s="29" t="s">
        <v>22</v>
      </c>
      <c r="AD54" s="29" t="s">
        <v>22</v>
      </c>
      <c r="AE54" s="29" t="s">
        <v>22</v>
      </c>
      <c r="AF54" s="29"/>
      <c r="AG54" s="29"/>
      <c r="AI54" s="29" t="s">
        <v>45</v>
      </c>
      <c r="AJ54" s="31">
        <f>COUNTIF(C54:AG54,"出")</f>
        <v>0</v>
      </c>
    </row>
    <row r="55" spans="1:36" outlineLevel="1" x14ac:dyDescent="0.45">
      <c r="A55" s="29" t="s">
        <v>40</v>
      </c>
      <c r="C55" s="387"/>
      <c r="D55" s="387"/>
      <c r="E55" s="387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7"/>
      <c r="S55" s="387"/>
      <c r="T55" s="387"/>
      <c r="U55" s="387"/>
      <c r="V55" s="387"/>
      <c r="W55" s="387"/>
      <c r="X55" s="387"/>
      <c r="Y55" s="387"/>
      <c r="Z55" s="387"/>
      <c r="AA55" s="387"/>
      <c r="AB55" s="387"/>
      <c r="AC55" s="387"/>
      <c r="AD55" s="387"/>
      <c r="AE55" s="387"/>
      <c r="AF55" s="387"/>
      <c r="AG55" s="387"/>
      <c r="AI55" s="29" t="s">
        <v>46</v>
      </c>
      <c r="AJ55" s="31">
        <f>COUNTIF(C54:AG54,"リ")</f>
        <v>18</v>
      </c>
    </row>
    <row r="56" spans="1:36" outlineLevel="1" x14ac:dyDescent="0.45">
      <c r="C56" s="387"/>
      <c r="D56" s="387"/>
      <c r="E56" s="387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7"/>
      <c r="S56" s="387"/>
      <c r="T56" s="387"/>
      <c r="U56" s="387"/>
      <c r="V56" s="387"/>
      <c r="W56" s="387"/>
      <c r="X56" s="387"/>
      <c r="Y56" s="387"/>
      <c r="Z56" s="387"/>
      <c r="AA56" s="387"/>
      <c r="AB56" s="387"/>
      <c r="AC56" s="387"/>
      <c r="AD56" s="387"/>
      <c r="AE56" s="387"/>
      <c r="AF56" s="387"/>
      <c r="AG56" s="387"/>
      <c r="AI56" s="29" t="s">
        <v>25</v>
      </c>
      <c r="AJ56" s="33">
        <f>AJ54/(AJ54+AJ55)</f>
        <v>0</v>
      </c>
    </row>
    <row r="57" spans="1:36" outlineLevel="1" x14ac:dyDescent="0.45">
      <c r="C57" s="387"/>
      <c r="D57" s="387"/>
      <c r="E57" s="387"/>
      <c r="F57" s="387"/>
      <c r="G57" s="387"/>
      <c r="H57" s="387"/>
      <c r="I57" s="387"/>
      <c r="J57" s="387"/>
      <c r="K57" s="387"/>
      <c r="L57" s="387"/>
      <c r="M57" s="387"/>
      <c r="N57" s="387"/>
      <c r="O57" s="387"/>
      <c r="P57" s="387"/>
      <c r="Q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AD57" s="387"/>
      <c r="AE57" s="387"/>
      <c r="AF57" s="387"/>
      <c r="AG57" s="387"/>
    </row>
    <row r="58" spans="1:36" outlineLevel="1" x14ac:dyDescent="0.45">
      <c r="C58" s="387"/>
      <c r="D58" s="387"/>
      <c r="E58" s="387"/>
      <c r="F58" s="387"/>
      <c r="G58" s="387"/>
      <c r="H58" s="387"/>
      <c r="I58" s="387"/>
      <c r="J58" s="387"/>
      <c r="K58" s="387"/>
      <c r="L58" s="387"/>
      <c r="M58" s="387"/>
      <c r="N58" s="387"/>
      <c r="O58" s="387"/>
      <c r="P58" s="387"/>
      <c r="Q58" s="387"/>
      <c r="S58" s="387"/>
      <c r="T58" s="387"/>
      <c r="U58" s="387"/>
      <c r="V58" s="387"/>
      <c r="W58" s="387"/>
      <c r="X58" s="387"/>
      <c r="Y58" s="387"/>
      <c r="Z58" s="387"/>
      <c r="AA58" s="387"/>
      <c r="AB58" s="387"/>
      <c r="AC58" s="387"/>
      <c r="AD58" s="387"/>
      <c r="AE58" s="387"/>
      <c r="AF58" s="387"/>
      <c r="AG58" s="387"/>
    </row>
    <row r="59" spans="1:36" outlineLevel="1" x14ac:dyDescent="0.45">
      <c r="C59" s="387"/>
      <c r="D59" s="387"/>
      <c r="E59" s="387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7"/>
      <c r="S59" s="387"/>
      <c r="T59" s="387"/>
      <c r="U59" s="387"/>
      <c r="V59" s="387"/>
      <c r="W59" s="387"/>
      <c r="X59" s="387"/>
      <c r="Y59" s="387"/>
      <c r="Z59" s="387"/>
      <c r="AA59" s="387"/>
      <c r="AB59" s="387"/>
      <c r="AC59" s="387"/>
      <c r="AD59" s="387"/>
      <c r="AE59" s="387"/>
      <c r="AF59" s="387"/>
      <c r="AG59" s="387"/>
    </row>
    <row r="60" spans="1:36" outlineLevel="1" x14ac:dyDescent="0.45"/>
    <row r="61" spans="1:36" x14ac:dyDescent="0.45">
      <c r="C61" s="314">
        <v>46174</v>
      </c>
      <c r="D61" s="304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</row>
    <row r="62" spans="1:36" outlineLevel="1" x14ac:dyDescent="0.45">
      <c r="C62" s="29" t="str">
        <f t="shared" ref="C62:AG62" si="10">TEXT(C63,"aaa")</f>
        <v>月</v>
      </c>
      <c r="D62" s="29" t="str">
        <f t="shared" si="10"/>
        <v>火</v>
      </c>
      <c r="E62" s="29" t="str">
        <f t="shared" si="10"/>
        <v>水</v>
      </c>
      <c r="F62" s="29" t="str">
        <f t="shared" si="10"/>
        <v>木</v>
      </c>
      <c r="G62" s="29" t="str">
        <f t="shared" si="10"/>
        <v>金</v>
      </c>
      <c r="H62" s="29" t="str">
        <f t="shared" si="10"/>
        <v>土</v>
      </c>
      <c r="I62" s="29" t="str">
        <f t="shared" si="10"/>
        <v>日</v>
      </c>
      <c r="J62" s="29" t="str">
        <f t="shared" si="10"/>
        <v>月</v>
      </c>
      <c r="K62" s="29" t="str">
        <f t="shared" si="10"/>
        <v>火</v>
      </c>
      <c r="L62" s="29" t="str">
        <f t="shared" si="10"/>
        <v>水</v>
      </c>
      <c r="M62" s="29" t="str">
        <f t="shared" si="10"/>
        <v>木</v>
      </c>
      <c r="N62" s="29" t="str">
        <f t="shared" si="10"/>
        <v>金</v>
      </c>
      <c r="O62" s="29" t="str">
        <f t="shared" si="10"/>
        <v>土</v>
      </c>
      <c r="P62" s="29" t="str">
        <f t="shared" si="10"/>
        <v>日</v>
      </c>
      <c r="Q62" s="29" t="str">
        <f t="shared" si="10"/>
        <v>月</v>
      </c>
      <c r="R62" s="29" t="str">
        <f t="shared" si="10"/>
        <v>火</v>
      </c>
      <c r="S62" s="29" t="str">
        <f t="shared" si="10"/>
        <v>水</v>
      </c>
      <c r="T62" s="29" t="str">
        <f t="shared" si="10"/>
        <v>木</v>
      </c>
      <c r="U62" s="29" t="str">
        <f t="shared" si="10"/>
        <v>金</v>
      </c>
      <c r="V62" s="29" t="str">
        <f t="shared" si="10"/>
        <v>土</v>
      </c>
      <c r="W62" s="29" t="str">
        <f t="shared" si="10"/>
        <v>日</v>
      </c>
      <c r="X62" s="29" t="str">
        <f t="shared" si="10"/>
        <v>月</v>
      </c>
      <c r="Y62" s="29" t="str">
        <f t="shared" si="10"/>
        <v>火</v>
      </c>
      <c r="Z62" s="29" t="str">
        <f t="shared" si="10"/>
        <v>水</v>
      </c>
      <c r="AA62" s="29" t="str">
        <f t="shared" si="10"/>
        <v>木</v>
      </c>
      <c r="AB62" s="29" t="str">
        <f t="shared" si="10"/>
        <v>金</v>
      </c>
      <c r="AC62" s="29" t="str">
        <f t="shared" si="10"/>
        <v>土</v>
      </c>
      <c r="AD62" s="29" t="str">
        <f t="shared" si="10"/>
        <v>日</v>
      </c>
      <c r="AE62" s="29" t="str">
        <f t="shared" si="10"/>
        <v>月</v>
      </c>
      <c r="AF62" s="29" t="str">
        <f t="shared" si="10"/>
        <v>火</v>
      </c>
      <c r="AG62" s="29" t="str">
        <f t="shared" si="10"/>
        <v/>
      </c>
      <c r="AI62" s="95" t="s">
        <v>41</v>
      </c>
      <c r="AJ62" s="96">
        <f>COUNT(C64:AG64)</f>
        <v>22</v>
      </c>
    </row>
    <row r="63" spans="1:36" outlineLevel="1" x14ac:dyDescent="0.45">
      <c r="C63" s="30">
        <f>C61</f>
        <v>46174</v>
      </c>
      <c r="D63" s="30">
        <f t="shared" ref="D63:AG63" si="11">IF(C63="","",IF(C63+1&lt;=EOMONTH($C61,0),C63+1,""))</f>
        <v>46175</v>
      </c>
      <c r="E63" s="30">
        <f t="shared" si="11"/>
        <v>46176</v>
      </c>
      <c r="F63" s="30">
        <f t="shared" si="11"/>
        <v>46177</v>
      </c>
      <c r="G63" s="30">
        <f t="shared" si="11"/>
        <v>46178</v>
      </c>
      <c r="H63" s="30">
        <f t="shared" si="11"/>
        <v>46179</v>
      </c>
      <c r="I63" s="30">
        <f t="shared" si="11"/>
        <v>46180</v>
      </c>
      <c r="J63" s="30">
        <f t="shared" si="11"/>
        <v>46181</v>
      </c>
      <c r="K63" s="30">
        <f t="shared" si="11"/>
        <v>46182</v>
      </c>
      <c r="L63" s="30">
        <f t="shared" si="11"/>
        <v>46183</v>
      </c>
      <c r="M63" s="30">
        <f t="shared" si="11"/>
        <v>46184</v>
      </c>
      <c r="N63" s="30">
        <f t="shared" si="11"/>
        <v>46185</v>
      </c>
      <c r="O63" s="30">
        <f t="shared" si="11"/>
        <v>46186</v>
      </c>
      <c r="P63" s="30">
        <f t="shared" si="11"/>
        <v>46187</v>
      </c>
      <c r="Q63" s="30">
        <f t="shared" si="11"/>
        <v>46188</v>
      </c>
      <c r="R63" s="30">
        <f t="shared" si="11"/>
        <v>46189</v>
      </c>
      <c r="S63" s="30">
        <f t="shared" si="11"/>
        <v>46190</v>
      </c>
      <c r="T63" s="30">
        <f t="shared" si="11"/>
        <v>46191</v>
      </c>
      <c r="U63" s="30">
        <f t="shared" si="11"/>
        <v>46192</v>
      </c>
      <c r="V63" s="30">
        <f t="shared" si="11"/>
        <v>46193</v>
      </c>
      <c r="W63" s="30">
        <f t="shared" si="11"/>
        <v>46194</v>
      </c>
      <c r="X63" s="30">
        <f t="shared" si="11"/>
        <v>46195</v>
      </c>
      <c r="Y63" s="30">
        <f t="shared" si="11"/>
        <v>46196</v>
      </c>
      <c r="Z63" s="30">
        <f t="shared" si="11"/>
        <v>46197</v>
      </c>
      <c r="AA63" s="30">
        <f t="shared" si="11"/>
        <v>46198</v>
      </c>
      <c r="AB63" s="30">
        <f t="shared" si="11"/>
        <v>46199</v>
      </c>
      <c r="AC63" s="30">
        <f t="shared" si="11"/>
        <v>46200</v>
      </c>
      <c r="AD63" s="30">
        <f t="shared" si="11"/>
        <v>46201</v>
      </c>
      <c r="AE63" s="30">
        <f t="shared" si="11"/>
        <v>46202</v>
      </c>
      <c r="AF63" s="30">
        <f t="shared" si="11"/>
        <v>46203</v>
      </c>
      <c r="AG63" s="30" t="str">
        <f t="shared" si="11"/>
        <v/>
      </c>
      <c r="AI63" s="95" t="s">
        <v>42</v>
      </c>
      <c r="AJ63" s="97" t="str">
        <f>_xlfn.LET(_xlpm.v,SUM(C64:AG64),IF(_xlpm.v=INT(_xlpm.v),TEXT(_xlpm.v,"0")&amp;" h",TEXT(_xlpm.v,"0.###")&amp;" h"))</f>
        <v>176 h</v>
      </c>
    </row>
    <row r="64" spans="1:36" outlineLevel="1" x14ac:dyDescent="0.45">
      <c r="A64" s="95" t="s">
        <v>38</v>
      </c>
      <c r="C64" s="94">
        <v>8</v>
      </c>
      <c r="D64" s="94">
        <v>8</v>
      </c>
      <c r="E64" s="94">
        <v>8</v>
      </c>
      <c r="F64" s="94">
        <v>8</v>
      </c>
      <c r="G64" s="94">
        <v>8</v>
      </c>
      <c r="H64" s="94"/>
      <c r="I64" s="94"/>
      <c r="J64" s="94">
        <v>8</v>
      </c>
      <c r="K64" s="94">
        <v>8</v>
      </c>
      <c r="L64" s="94">
        <v>8</v>
      </c>
      <c r="M64" s="94">
        <v>8</v>
      </c>
      <c r="N64" s="94">
        <v>8</v>
      </c>
      <c r="O64" s="94"/>
      <c r="P64" s="94"/>
      <c r="Q64" s="94">
        <v>8</v>
      </c>
      <c r="R64" s="94">
        <v>8</v>
      </c>
      <c r="S64" s="94">
        <v>8</v>
      </c>
      <c r="T64" s="94">
        <v>8</v>
      </c>
      <c r="U64" s="94">
        <v>8</v>
      </c>
      <c r="V64" s="94"/>
      <c r="W64" s="94"/>
      <c r="X64" s="94">
        <v>8</v>
      </c>
      <c r="Y64" s="94">
        <v>8</v>
      </c>
      <c r="Z64" s="94">
        <v>8</v>
      </c>
      <c r="AA64" s="94">
        <v>8</v>
      </c>
      <c r="AB64" s="94">
        <v>8</v>
      </c>
      <c r="AC64" s="94"/>
      <c r="AD64" s="94"/>
      <c r="AE64" s="94">
        <v>8</v>
      </c>
      <c r="AF64" s="94">
        <v>8</v>
      </c>
      <c r="AG64" s="94"/>
      <c r="AI64" s="29" t="s">
        <v>43</v>
      </c>
      <c r="AJ64" s="31">
        <f>COUNT(C65:AG65)</f>
        <v>22</v>
      </c>
    </row>
    <row r="65" spans="1:36" outlineLevel="1" x14ac:dyDescent="0.45">
      <c r="A65" s="29" t="s">
        <v>39</v>
      </c>
      <c r="C65" s="29">
        <v>8</v>
      </c>
      <c r="D65" s="29">
        <v>8</v>
      </c>
      <c r="E65" s="29">
        <v>8</v>
      </c>
      <c r="F65" s="29">
        <v>8</v>
      </c>
      <c r="G65" s="29">
        <v>8</v>
      </c>
      <c r="H65" s="29"/>
      <c r="I65" s="29"/>
      <c r="J65" s="29">
        <v>8</v>
      </c>
      <c r="K65" s="29">
        <v>8</v>
      </c>
      <c r="L65" s="29">
        <v>8</v>
      </c>
      <c r="M65" s="29">
        <v>8</v>
      </c>
      <c r="N65" s="29">
        <v>8</v>
      </c>
      <c r="O65" s="29"/>
      <c r="P65" s="29"/>
      <c r="Q65" s="29">
        <v>8</v>
      </c>
      <c r="R65" s="29">
        <v>8</v>
      </c>
      <c r="S65" s="29">
        <v>8</v>
      </c>
      <c r="T65" s="29">
        <v>8</v>
      </c>
      <c r="U65" s="29">
        <v>8</v>
      </c>
      <c r="V65" s="29"/>
      <c r="W65" s="29"/>
      <c r="X65" s="29">
        <v>8</v>
      </c>
      <c r="Y65" s="29">
        <v>8</v>
      </c>
      <c r="Z65" s="29">
        <v>8</v>
      </c>
      <c r="AA65" s="29">
        <v>8</v>
      </c>
      <c r="AB65" s="29">
        <v>8</v>
      </c>
      <c r="AC65" s="29"/>
      <c r="AD65" s="29"/>
      <c r="AE65" s="29">
        <v>8</v>
      </c>
      <c r="AF65" s="29">
        <v>8</v>
      </c>
      <c r="AG65" s="29"/>
      <c r="AI65" s="29" t="s">
        <v>44</v>
      </c>
      <c r="AJ65" s="32" t="str">
        <f>_xlfn.LET(_xlpm.v,SUM(C65:AG65),IF(_xlpm.v=INT(_xlpm.v),TEXT(_xlpm.v,"0")&amp;" h",TEXT(_xlpm.v,"0.###")&amp;" h"))</f>
        <v>176 h</v>
      </c>
    </row>
    <row r="66" spans="1:36" outlineLevel="1" x14ac:dyDescent="0.45">
      <c r="A66" s="29" t="s">
        <v>37</v>
      </c>
      <c r="C66" s="29" t="s">
        <v>22</v>
      </c>
      <c r="D66" s="29" t="s">
        <v>22</v>
      </c>
      <c r="E66" s="29" t="s">
        <v>22</v>
      </c>
      <c r="F66" s="29" t="s">
        <v>22</v>
      </c>
      <c r="G66" s="29" t="s">
        <v>22</v>
      </c>
      <c r="H66" s="29"/>
      <c r="I66" s="29"/>
      <c r="J66" s="29" t="s">
        <v>22</v>
      </c>
      <c r="K66" s="29" t="s">
        <v>22</v>
      </c>
      <c r="L66" s="29" t="s">
        <v>22</v>
      </c>
      <c r="M66" s="29" t="s">
        <v>22</v>
      </c>
      <c r="N66" s="29" t="s">
        <v>22</v>
      </c>
      <c r="O66" s="29"/>
      <c r="P66" s="29"/>
      <c r="Q66" s="29" t="s">
        <v>22</v>
      </c>
      <c r="R66" s="29" t="s">
        <v>22</v>
      </c>
      <c r="S66" s="29" t="s">
        <v>22</v>
      </c>
      <c r="T66" s="29" t="s">
        <v>22</v>
      </c>
      <c r="U66" s="29" t="s">
        <v>22</v>
      </c>
      <c r="V66" s="29"/>
      <c r="W66" s="29"/>
      <c r="X66" s="29" t="s">
        <v>22</v>
      </c>
      <c r="Y66" s="29" t="s">
        <v>22</v>
      </c>
      <c r="Z66" s="29" t="s">
        <v>22</v>
      </c>
      <c r="AA66" s="29" t="s">
        <v>22</v>
      </c>
      <c r="AB66" s="29" t="s">
        <v>22</v>
      </c>
      <c r="AC66" s="29"/>
      <c r="AD66" s="29"/>
      <c r="AE66" s="29" t="s">
        <v>22</v>
      </c>
      <c r="AF66" s="29" t="s">
        <v>22</v>
      </c>
      <c r="AG66" s="29"/>
      <c r="AI66" s="29" t="s">
        <v>45</v>
      </c>
      <c r="AJ66" s="31">
        <f>COUNTIF(C66:AG66,"出")</f>
        <v>0</v>
      </c>
    </row>
    <row r="67" spans="1:36" outlineLevel="1" x14ac:dyDescent="0.45">
      <c r="A67" s="29" t="s">
        <v>40</v>
      </c>
      <c r="C67" s="387"/>
      <c r="D67" s="387"/>
      <c r="E67" s="387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7"/>
      <c r="S67" s="387"/>
      <c r="T67" s="387"/>
      <c r="U67" s="387"/>
      <c r="V67" s="387"/>
      <c r="W67" s="387"/>
      <c r="X67" s="387"/>
      <c r="Y67" s="387"/>
      <c r="Z67" s="387"/>
      <c r="AA67" s="387"/>
      <c r="AB67" s="387"/>
      <c r="AC67" s="387"/>
      <c r="AD67" s="387"/>
      <c r="AE67" s="387"/>
      <c r="AF67" s="387"/>
      <c r="AG67" s="387"/>
      <c r="AI67" s="29" t="s">
        <v>46</v>
      </c>
      <c r="AJ67" s="31">
        <f>COUNTIF(C66:AG66,"リ")</f>
        <v>22</v>
      </c>
    </row>
    <row r="68" spans="1:36" outlineLevel="1" x14ac:dyDescent="0.45"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7"/>
      <c r="S68" s="387"/>
      <c r="T68" s="387"/>
      <c r="U68" s="387"/>
      <c r="V68" s="387"/>
      <c r="W68" s="387"/>
      <c r="X68" s="387"/>
      <c r="Y68" s="387"/>
      <c r="Z68" s="387"/>
      <c r="AA68" s="387"/>
      <c r="AB68" s="387"/>
      <c r="AC68" s="387"/>
      <c r="AD68" s="387"/>
      <c r="AE68" s="387"/>
      <c r="AF68" s="387"/>
      <c r="AG68" s="387"/>
      <c r="AI68" s="29" t="s">
        <v>25</v>
      </c>
      <c r="AJ68" s="33">
        <f>AJ66/(AJ66+AJ67)</f>
        <v>0</v>
      </c>
    </row>
    <row r="69" spans="1:36" outlineLevel="1" x14ac:dyDescent="0.45">
      <c r="C69" s="387"/>
      <c r="D69" s="387"/>
      <c r="E69" s="387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7"/>
      <c r="S69" s="387"/>
      <c r="T69" s="387"/>
      <c r="U69" s="387"/>
      <c r="V69" s="387"/>
      <c r="W69" s="387"/>
      <c r="X69" s="387"/>
      <c r="Y69" s="387"/>
      <c r="Z69" s="387"/>
      <c r="AA69" s="387"/>
      <c r="AB69" s="387"/>
      <c r="AC69" s="387"/>
      <c r="AD69" s="387"/>
      <c r="AE69" s="387"/>
      <c r="AF69" s="387"/>
      <c r="AG69" s="387"/>
    </row>
    <row r="70" spans="1:36" outlineLevel="1" x14ac:dyDescent="0.45">
      <c r="C70" s="387"/>
      <c r="D70" s="387"/>
      <c r="E70" s="387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7"/>
      <c r="S70" s="387"/>
      <c r="T70" s="387"/>
      <c r="U70" s="387"/>
      <c r="V70" s="387"/>
      <c r="W70" s="387"/>
      <c r="X70" s="387"/>
      <c r="Y70" s="387"/>
      <c r="Z70" s="387"/>
      <c r="AA70" s="387"/>
      <c r="AB70" s="387"/>
      <c r="AC70" s="387"/>
      <c r="AD70" s="387"/>
      <c r="AE70" s="387"/>
      <c r="AF70" s="387"/>
      <c r="AG70" s="387"/>
    </row>
    <row r="71" spans="1:36" outlineLevel="1" x14ac:dyDescent="0.45">
      <c r="C71" s="387"/>
      <c r="D71" s="387"/>
      <c r="E71" s="387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7"/>
      <c r="S71" s="387"/>
      <c r="T71" s="387"/>
      <c r="U71" s="387"/>
      <c r="V71" s="387"/>
      <c r="W71" s="387"/>
      <c r="X71" s="387"/>
      <c r="Y71" s="387"/>
      <c r="Z71" s="387"/>
      <c r="AA71" s="387"/>
      <c r="AB71" s="387"/>
      <c r="AC71" s="387"/>
      <c r="AD71" s="387"/>
      <c r="AE71" s="387"/>
      <c r="AF71" s="387"/>
      <c r="AG71" s="387"/>
    </row>
    <row r="72" spans="1:36" outlineLevel="1" x14ac:dyDescent="0.45"/>
    <row r="73" spans="1:36" x14ac:dyDescent="0.45">
      <c r="C73" s="314">
        <v>46204</v>
      </c>
      <c r="D73" s="304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</row>
    <row r="74" spans="1:36" outlineLevel="1" x14ac:dyDescent="0.45">
      <c r="C74" s="29" t="str">
        <f t="shared" ref="C74:AG74" si="12">TEXT(C75,"aaa")</f>
        <v>水</v>
      </c>
      <c r="D74" s="29" t="str">
        <f t="shared" si="12"/>
        <v>木</v>
      </c>
      <c r="E74" s="29" t="str">
        <f t="shared" si="12"/>
        <v>金</v>
      </c>
      <c r="F74" s="29" t="str">
        <f t="shared" si="12"/>
        <v>土</v>
      </c>
      <c r="G74" s="29" t="str">
        <f t="shared" si="12"/>
        <v>日</v>
      </c>
      <c r="H74" s="29" t="str">
        <f t="shared" si="12"/>
        <v>月</v>
      </c>
      <c r="I74" s="29" t="str">
        <f t="shared" si="12"/>
        <v>火</v>
      </c>
      <c r="J74" s="29" t="str">
        <f t="shared" si="12"/>
        <v>水</v>
      </c>
      <c r="K74" s="29" t="str">
        <f t="shared" si="12"/>
        <v>木</v>
      </c>
      <c r="L74" s="29" t="str">
        <f t="shared" si="12"/>
        <v>金</v>
      </c>
      <c r="M74" s="29" t="str">
        <f t="shared" si="12"/>
        <v>土</v>
      </c>
      <c r="N74" s="29" t="str">
        <f t="shared" si="12"/>
        <v>日</v>
      </c>
      <c r="O74" s="29" t="str">
        <f t="shared" si="12"/>
        <v>月</v>
      </c>
      <c r="P74" s="29" t="str">
        <f t="shared" si="12"/>
        <v>火</v>
      </c>
      <c r="Q74" s="29" t="str">
        <f t="shared" si="12"/>
        <v>水</v>
      </c>
      <c r="R74" s="29" t="str">
        <f t="shared" si="12"/>
        <v>木</v>
      </c>
      <c r="S74" s="29" t="str">
        <f t="shared" si="12"/>
        <v>金</v>
      </c>
      <c r="T74" s="29" t="str">
        <f t="shared" si="12"/>
        <v>土</v>
      </c>
      <c r="U74" s="29" t="str">
        <f t="shared" si="12"/>
        <v>日</v>
      </c>
      <c r="V74" s="29" t="str">
        <f t="shared" si="12"/>
        <v>月</v>
      </c>
      <c r="W74" s="29" t="str">
        <f t="shared" si="12"/>
        <v>火</v>
      </c>
      <c r="X74" s="29" t="str">
        <f t="shared" si="12"/>
        <v>水</v>
      </c>
      <c r="Y74" s="29" t="str">
        <f t="shared" si="12"/>
        <v>木</v>
      </c>
      <c r="Z74" s="29" t="str">
        <f t="shared" si="12"/>
        <v>金</v>
      </c>
      <c r="AA74" s="29" t="str">
        <f t="shared" si="12"/>
        <v>土</v>
      </c>
      <c r="AB74" s="29" t="str">
        <f t="shared" si="12"/>
        <v>日</v>
      </c>
      <c r="AC74" s="29" t="str">
        <f t="shared" si="12"/>
        <v>月</v>
      </c>
      <c r="AD74" s="29" t="str">
        <f t="shared" si="12"/>
        <v>火</v>
      </c>
      <c r="AE74" s="29" t="str">
        <f t="shared" si="12"/>
        <v>水</v>
      </c>
      <c r="AF74" s="29" t="str">
        <f t="shared" si="12"/>
        <v>木</v>
      </c>
      <c r="AG74" s="29" t="str">
        <f t="shared" si="12"/>
        <v>金</v>
      </c>
      <c r="AI74" s="95" t="s">
        <v>41</v>
      </c>
      <c r="AJ74" s="96">
        <f>COUNT(C76:AG76)</f>
        <v>22</v>
      </c>
    </row>
    <row r="75" spans="1:36" outlineLevel="1" x14ac:dyDescent="0.45">
      <c r="C75" s="30">
        <f>C73</f>
        <v>46204</v>
      </c>
      <c r="D75" s="30">
        <f t="shared" ref="D75:AG75" si="13">IF(C75="","",IF(C75+1&lt;=EOMONTH($C73,0),C75+1,""))</f>
        <v>46205</v>
      </c>
      <c r="E75" s="30">
        <f t="shared" si="13"/>
        <v>46206</v>
      </c>
      <c r="F75" s="30">
        <f t="shared" si="13"/>
        <v>46207</v>
      </c>
      <c r="G75" s="30">
        <f t="shared" si="13"/>
        <v>46208</v>
      </c>
      <c r="H75" s="30">
        <f t="shared" si="13"/>
        <v>46209</v>
      </c>
      <c r="I75" s="30">
        <f t="shared" si="13"/>
        <v>46210</v>
      </c>
      <c r="J75" s="30">
        <f t="shared" si="13"/>
        <v>46211</v>
      </c>
      <c r="K75" s="30">
        <f t="shared" si="13"/>
        <v>46212</v>
      </c>
      <c r="L75" s="30">
        <f t="shared" si="13"/>
        <v>46213</v>
      </c>
      <c r="M75" s="30">
        <f t="shared" si="13"/>
        <v>46214</v>
      </c>
      <c r="N75" s="30">
        <f t="shared" si="13"/>
        <v>46215</v>
      </c>
      <c r="O75" s="30">
        <f t="shared" si="13"/>
        <v>46216</v>
      </c>
      <c r="P75" s="30">
        <f t="shared" si="13"/>
        <v>46217</v>
      </c>
      <c r="Q75" s="30">
        <f t="shared" si="13"/>
        <v>46218</v>
      </c>
      <c r="R75" s="30">
        <f t="shared" si="13"/>
        <v>46219</v>
      </c>
      <c r="S75" s="30">
        <f t="shared" si="13"/>
        <v>46220</v>
      </c>
      <c r="T75" s="30">
        <f t="shared" si="13"/>
        <v>46221</v>
      </c>
      <c r="U75" s="30">
        <f t="shared" si="13"/>
        <v>46222</v>
      </c>
      <c r="V75" s="30">
        <f t="shared" si="13"/>
        <v>46223</v>
      </c>
      <c r="W75" s="30">
        <f t="shared" si="13"/>
        <v>46224</v>
      </c>
      <c r="X75" s="30">
        <f t="shared" si="13"/>
        <v>46225</v>
      </c>
      <c r="Y75" s="30">
        <f t="shared" si="13"/>
        <v>46226</v>
      </c>
      <c r="Z75" s="30">
        <f t="shared" si="13"/>
        <v>46227</v>
      </c>
      <c r="AA75" s="30">
        <f t="shared" si="13"/>
        <v>46228</v>
      </c>
      <c r="AB75" s="30">
        <f t="shared" si="13"/>
        <v>46229</v>
      </c>
      <c r="AC75" s="30">
        <f t="shared" si="13"/>
        <v>46230</v>
      </c>
      <c r="AD75" s="30">
        <f t="shared" si="13"/>
        <v>46231</v>
      </c>
      <c r="AE75" s="30">
        <f t="shared" si="13"/>
        <v>46232</v>
      </c>
      <c r="AF75" s="30">
        <f t="shared" si="13"/>
        <v>46233</v>
      </c>
      <c r="AG75" s="30">
        <f t="shared" si="13"/>
        <v>46234</v>
      </c>
      <c r="AI75" s="95" t="s">
        <v>42</v>
      </c>
      <c r="AJ75" s="97" t="str">
        <f>_xlfn.LET(_xlpm.v,SUM(C76:AG76),IF(_xlpm.v=INT(_xlpm.v),TEXT(_xlpm.v,"0")&amp;" h",TEXT(_xlpm.v,"0.###")&amp;" h"))</f>
        <v>176 h</v>
      </c>
    </row>
    <row r="76" spans="1:36" outlineLevel="1" x14ac:dyDescent="0.45">
      <c r="A76" s="95" t="s">
        <v>38</v>
      </c>
      <c r="C76" s="94">
        <v>8</v>
      </c>
      <c r="D76" s="94">
        <v>8</v>
      </c>
      <c r="E76" s="94">
        <v>8</v>
      </c>
      <c r="F76" s="94"/>
      <c r="G76" s="94"/>
      <c r="H76" s="94">
        <v>8</v>
      </c>
      <c r="I76" s="94">
        <v>8</v>
      </c>
      <c r="J76" s="94">
        <v>8</v>
      </c>
      <c r="K76" s="94">
        <v>8</v>
      </c>
      <c r="L76" s="94">
        <v>8</v>
      </c>
      <c r="M76" s="94"/>
      <c r="N76" s="94"/>
      <c r="O76" s="94">
        <v>8</v>
      </c>
      <c r="P76" s="94">
        <v>8</v>
      </c>
      <c r="Q76" s="94">
        <v>8</v>
      </c>
      <c r="R76" s="94">
        <v>8</v>
      </c>
      <c r="S76" s="94">
        <v>8</v>
      </c>
      <c r="T76" s="94"/>
      <c r="U76" s="94"/>
      <c r="V76" s="94"/>
      <c r="W76" s="94">
        <v>8</v>
      </c>
      <c r="X76" s="94">
        <v>8</v>
      </c>
      <c r="Y76" s="94">
        <v>8</v>
      </c>
      <c r="Z76" s="94">
        <v>8</v>
      </c>
      <c r="AA76" s="94"/>
      <c r="AB76" s="94"/>
      <c r="AC76" s="94">
        <v>8</v>
      </c>
      <c r="AD76" s="94">
        <v>8</v>
      </c>
      <c r="AE76" s="94">
        <v>8</v>
      </c>
      <c r="AF76" s="94">
        <v>8</v>
      </c>
      <c r="AG76" s="94">
        <v>8</v>
      </c>
      <c r="AI76" s="29" t="s">
        <v>43</v>
      </c>
      <c r="AJ76" s="31">
        <f>COUNT(C77:AG77)</f>
        <v>22</v>
      </c>
    </row>
    <row r="77" spans="1:36" outlineLevel="1" x14ac:dyDescent="0.45">
      <c r="A77" s="29" t="s">
        <v>39</v>
      </c>
      <c r="C77" s="29">
        <v>8</v>
      </c>
      <c r="D77" s="29">
        <v>8</v>
      </c>
      <c r="E77" s="29">
        <v>8</v>
      </c>
      <c r="F77" s="29"/>
      <c r="G77" s="29"/>
      <c r="H77" s="29">
        <v>8</v>
      </c>
      <c r="I77" s="29">
        <v>8</v>
      </c>
      <c r="J77" s="29">
        <v>8</v>
      </c>
      <c r="K77" s="29">
        <v>8</v>
      </c>
      <c r="L77" s="29">
        <v>8</v>
      </c>
      <c r="M77" s="29"/>
      <c r="N77" s="29"/>
      <c r="O77" s="29">
        <v>8</v>
      </c>
      <c r="P77" s="29">
        <v>8</v>
      </c>
      <c r="Q77" s="29">
        <v>8</v>
      </c>
      <c r="R77" s="29">
        <v>8</v>
      </c>
      <c r="S77" s="29">
        <v>8</v>
      </c>
      <c r="T77" s="29"/>
      <c r="U77" s="29"/>
      <c r="V77" s="29"/>
      <c r="W77" s="29">
        <v>8</v>
      </c>
      <c r="X77" s="29">
        <v>8</v>
      </c>
      <c r="Y77" s="29">
        <v>8</v>
      </c>
      <c r="Z77" s="29">
        <v>8</v>
      </c>
      <c r="AA77" s="29"/>
      <c r="AB77" s="29"/>
      <c r="AC77" s="29">
        <v>8</v>
      </c>
      <c r="AD77" s="29">
        <v>8</v>
      </c>
      <c r="AE77" s="29">
        <v>8</v>
      </c>
      <c r="AF77" s="29">
        <v>8</v>
      </c>
      <c r="AG77" s="29">
        <v>8</v>
      </c>
      <c r="AI77" s="29" t="s">
        <v>44</v>
      </c>
      <c r="AJ77" s="32" t="str">
        <f>_xlfn.LET(_xlpm.v,SUM(C77:AG77),IF(_xlpm.v=INT(_xlpm.v),TEXT(_xlpm.v,"0")&amp;" h",TEXT(_xlpm.v,"0.###")&amp;" h"))</f>
        <v>176 h</v>
      </c>
    </row>
    <row r="78" spans="1:36" outlineLevel="1" x14ac:dyDescent="0.45">
      <c r="A78" s="29" t="s">
        <v>37</v>
      </c>
      <c r="C78" s="29" t="s">
        <v>22</v>
      </c>
      <c r="D78" s="29" t="s">
        <v>22</v>
      </c>
      <c r="E78" s="29" t="s">
        <v>22</v>
      </c>
      <c r="F78" s="29"/>
      <c r="G78" s="29"/>
      <c r="H78" s="29" t="s">
        <v>22</v>
      </c>
      <c r="I78" s="29" t="s">
        <v>22</v>
      </c>
      <c r="J78" s="29" t="s">
        <v>22</v>
      </c>
      <c r="K78" s="29" t="s">
        <v>22</v>
      </c>
      <c r="L78" s="29" t="s">
        <v>22</v>
      </c>
      <c r="M78" s="29"/>
      <c r="N78" s="29"/>
      <c r="O78" s="29" t="s">
        <v>22</v>
      </c>
      <c r="P78" s="29" t="s">
        <v>22</v>
      </c>
      <c r="Q78" s="29" t="s">
        <v>22</v>
      </c>
      <c r="R78" s="29" t="s">
        <v>22</v>
      </c>
      <c r="S78" s="29" t="s">
        <v>22</v>
      </c>
      <c r="T78" s="29"/>
      <c r="U78" s="29"/>
      <c r="V78" s="29"/>
      <c r="W78" s="29" t="s">
        <v>22</v>
      </c>
      <c r="X78" s="29" t="s">
        <v>22</v>
      </c>
      <c r="Y78" s="29" t="s">
        <v>22</v>
      </c>
      <c r="Z78" s="29" t="s">
        <v>22</v>
      </c>
      <c r="AA78" s="29"/>
      <c r="AB78" s="29"/>
      <c r="AC78" s="29" t="s">
        <v>22</v>
      </c>
      <c r="AD78" s="29" t="s">
        <v>22</v>
      </c>
      <c r="AE78" s="29" t="s">
        <v>22</v>
      </c>
      <c r="AF78" s="29" t="s">
        <v>22</v>
      </c>
      <c r="AG78" s="29" t="s">
        <v>22</v>
      </c>
      <c r="AI78" s="29" t="s">
        <v>45</v>
      </c>
      <c r="AJ78" s="31">
        <f>COUNTIF(C78:AG78,"出")</f>
        <v>0</v>
      </c>
    </row>
    <row r="79" spans="1:36" outlineLevel="1" x14ac:dyDescent="0.45">
      <c r="A79" s="29" t="s">
        <v>40</v>
      </c>
      <c r="C79" s="387"/>
      <c r="D79" s="387"/>
      <c r="E79" s="387"/>
      <c r="F79" s="387"/>
      <c r="G79" s="387"/>
      <c r="H79" s="387"/>
      <c r="I79" s="387"/>
      <c r="J79" s="387"/>
      <c r="K79" s="387"/>
      <c r="L79" s="387"/>
      <c r="M79" s="387"/>
      <c r="N79" s="387"/>
      <c r="O79" s="387"/>
      <c r="P79" s="387"/>
      <c r="Q79" s="387"/>
      <c r="S79" s="387"/>
      <c r="T79" s="387"/>
      <c r="U79" s="387"/>
      <c r="V79" s="387"/>
      <c r="W79" s="387"/>
      <c r="X79" s="387"/>
      <c r="Y79" s="387"/>
      <c r="Z79" s="387"/>
      <c r="AA79" s="387"/>
      <c r="AB79" s="387"/>
      <c r="AC79" s="387"/>
      <c r="AD79" s="387"/>
      <c r="AE79" s="387"/>
      <c r="AF79" s="387"/>
      <c r="AG79" s="387"/>
      <c r="AI79" s="29" t="s">
        <v>46</v>
      </c>
      <c r="AJ79" s="31">
        <f>COUNTIF(C78:AG78,"リ")</f>
        <v>22</v>
      </c>
    </row>
    <row r="80" spans="1:36" outlineLevel="1" x14ac:dyDescent="0.45">
      <c r="C80" s="387"/>
      <c r="D80" s="387"/>
      <c r="E80" s="387"/>
      <c r="F80" s="387"/>
      <c r="G80" s="387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S80" s="387"/>
      <c r="T80" s="387"/>
      <c r="U80" s="387"/>
      <c r="V80" s="387"/>
      <c r="W80" s="387"/>
      <c r="X80" s="387"/>
      <c r="Y80" s="387"/>
      <c r="Z80" s="387"/>
      <c r="AA80" s="387"/>
      <c r="AB80" s="387"/>
      <c r="AC80" s="387"/>
      <c r="AD80" s="387"/>
      <c r="AE80" s="387"/>
      <c r="AF80" s="387"/>
      <c r="AG80" s="387"/>
      <c r="AI80" s="29" t="s">
        <v>25</v>
      </c>
      <c r="AJ80" s="33">
        <f>AJ78/(AJ78+AJ79)</f>
        <v>0</v>
      </c>
    </row>
    <row r="81" spans="1:36" outlineLevel="1" x14ac:dyDescent="0.45"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7"/>
      <c r="O81" s="387"/>
      <c r="P81" s="387"/>
      <c r="Q81" s="387"/>
      <c r="S81" s="387"/>
      <c r="T81" s="387"/>
      <c r="U81" s="387"/>
      <c r="V81" s="387"/>
      <c r="W81" s="387"/>
      <c r="X81" s="387"/>
      <c r="Y81" s="387"/>
      <c r="Z81" s="387"/>
      <c r="AA81" s="387"/>
      <c r="AB81" s="387"/>
      <c r="AC81" s="387"/>
      <c r="AD81" s="387"/>
      <c r="AE81" s="387"/>
      <c r="AF81" s="387"/>
      <c r="AG81" s="387"/>
    </row>
    <row r="82" spans="1:36" outlineLevel="1" x14ac:dyDescent="0.45">
      <c r="C82" s="387"/>
      <c r="D82" s="387"/>
      <c r="E82" s="387"/>
      <c r="F82" s="387"/>
      <c r="G82" s="387"/>
      <c r="H82" s="387"/>
      <c r="I82" s="387"/>
      <c r="J82" s="387"/>
      <c r="K82" s="387"/>
      <c r="L82" s="387"/>
      <c r="M82" s="387"/>
      <c r="N82" s="387"/>
      <c r="O82" s="387"/>
      <c r="P82" s="387"/>
      <c r="Q82" s="387"/>
      <c r="S82" s="387"/>
      <c r="T82" s="387"/>
      <c r="U82" s="387"/>
      <c r="V82" s="387"/>
      <c r="W82" s="387"/>
      <c r="X82" s="387"/>
      <c r="Y82" s="387"/>
      <c r="Z82" s="387"/>
      <c r="AA82" s="387"/>
      <c r="AB82" s="387"/>
      <c r="AC82" s="387"/>
      <c r="AD82" s="387"/>
      <c r="AE82" s="387"/>
      <c r="AF82" s="387"/>
      <c r="AG82" s="387"/>
    </row>
    <row r="83" spans="1:36" outlineLevel="1" x14ac:dyDescent="0.45">
      <c r="C83" s="387"/>
      <c r="D83" s="387"/>
      <c r="E83" s="387"/>
      <c r="F83" s="387"/>
      <c r="G83" s="387"/>
      <c r="H83" s="387"/>
      <c r="I83" s="387"/>
      <c r="J83" s="387"/>
      <c r="K83" s="387"/>
      <c r="L83" s="387"/>
      <c r="M83" s="387"/>
      <c r="N83" s="387"/>
      <c r="O83" s="387"/>
      <c r="P83" s="387"/>
      <c r="Q83" s="387"/>
      <c r="S83" s="387"/>
      <c r="T83" s="387"/>
      <c r="U83" s="387"/>
      <c r="V83" s="387"/>
      <c r="W83" s="387"/>
      <c r="X83" s="387"/>
      <c r="Y83" s="387"/>
      <c r="Z83" s="387"/>
      <c r="AA83" s="387"/>
      <c r="AB83" s="387"/>
      <c r="AC83" s="387"/>
      <c r="AD83" s="387"/>
      <c r="AE83" s="387"/>
      <c r="AF83" s="387"/>
      <c r="AG83" s="387"/>
    </row>
    <row r="84" spans="1:36" outlineLevel="1" x14ac:dyDescent="0.45"/>
    <row r="85" spans="1:36" x14ac:dyDescent="0.45">
      <c r="C85" s="314">
        <v>46235</v>
      </c>
      <c r="D85" s="304"/>
      <c r="E85" s="304"/>
      <c r="F85" s="304"/>
      <c r="G85" s="304"/>
      <c r="H85" s="304"/>
      <c r="I85" s="304"/>
      <c r="J85" s="304"/>
      <c r="K85" s="304"/>
      <c r="L85" s="304"/>
      <c r="M85" s="304"/>
      <c r="N85" s="304"/>
      <c r="O85" s="304"/>
      <c r="P85" s="304"/>
      <c r="Q85" s="304"/>
      <c r="R85" s="304"/>
      <c r="S85" s="304"/>
      <c r="T85" s="304"/>
      <c r="U85" s="304"/>
      <c r="V85" s="304"/>
      <c r="W85" s="304"/>
      <c r="X85" s="304"/>
      <c r="Y85" s="304"/>
      <c r="Z85" s="304"/>
      <c r="AA85" s="304"/>
      <c r="AB85" s="304"/>
      <c r="AC85" s="304"/>
      <c r="AD85" s="304"/>
      <c r="AE85" s="304"/>
      <c r="AF85" s="304"/>
      <c r="AG85" s="304"/>
    </row>
    <row r="86" spans="1:36" outlineLevel="1" x14ac:dyDescent="0.45">
      <c r="C86" s="29" t="str">
        <f t="shared" ref="C86:AG86" si="14">TEXT(C87,"aaa")</f>
        <v>土</v>
      </c>
      <c r="D86" s="29" t="str">
        <f t="shared" si="14"/>
        <v>日</v>
      </c>
      <c r="E86" s="29" t="str">
        <f t="shared" si="14"/>
        <v>月</v>
      </c>
      <c r="F86" s="29" t="str">
        <f t="shared" si="14"/>
        <v>火</v>
      </c>
      <c r="G86" s="29" t="str">
        <f t="shared" si="14"/>
        <v>水</v>
      </c>
      <c r="H86" s="29" t="str">
        <f t="shared" si="14"/>
        <v>木</v>
      </c>
      <c r="I86" s="29" t="str">
        <f t="shared" si="14"/>
        <v>金</v>
      </c>
      <c r="J86" s="29" t="str">
        <f t="shared" si="14"/>
        <v>土</v>
      </c>
      <c r="K86" s="29" t="str">
        <f t="shared" si="14"/>
        <v>日</v>
      </c>
      <c r="L86" s="29" t="str">
        <f t="shared" si="14"/>
        <v>月</v>
      </c>
      <c r="M86" s="29" t="str">
        <f t="shared" si="14"/>
        <v>火</v>
      </c>
      <c r="N86" s="29" t="str">
        <f t="shared" si="14"/>
        <v>水</v>
      </c>
      <c r="O86" s="29" t="str">
        <f t="shared" si="14"/>
        <v>木</v>
      </c>
      <c r="P86" s="29" t="str">
        <f t="shared" si="14"/>
        <v>金</v>
      </c>
      <c r="Q86" s="29" t="str">
        <f t="shared" si="14"/>
        <v>土</v>
      </c>
      <c r="R86" s="29" t="str">
        <f t="shared" si="14"/>
        <v>日</v>
      </c>
      <c r="S86" s="29" t="str">
        <f t="shared" si="14"/>
        <v>月</v>
      </c>
      <c r="T86" s="29" t="str">
        <f t="shared" si="14"/>
        <v>火</v>
      </c>
      <c r="U86" s="29" t="str">
        <f t="shared" si="14"/>
        <v>水</v>
      </c>
      <c r="V86" s="29" t="str">
        <f t="shared" si="14"/>
        <v>木</v>
      </c>
      <c r="W86" s="29" t="str">
        <f t="shared" si="14"/>
        <v>金</v>
      </c>
      <c r="X86" s="29" t="str">
        <f t="shared" si="14"/>
        <v>土</v>
      </c>
      <c r="Y86" s="29" t="str">
        <f t="shared" si="14"/>
        <v>日</v>
      </c>
      <c r="Z86" s="29" t="str">
        <f t="shared" si="14"/>
        <v>月</v>
      </c>
      <c r="AA86" s="29" t="str">
        <f t="shared" si="14"/>
        <v>火</v>
      </c>
      <c r="AB86" s="29" t="str">
        <f t="shared" si="14"/>
        <v>水</v>
      </c>
      <c r="AC86" s="29" t="str">
        <f t="shared" si="14"/>
        <v>木</v>
      </c>
      <c r="AD86" s="29" t="str">
        <f t="shared" si="14"/>
        <v>金</v>
      </c>
      <c r="AE86" s="29" t="str">
        <f t="shared" si="14"/>
        <v>土</v>
      </c>
      <c r="AF86" s="29" t="str">
        <f t="shared" si="14"/>
        <v>日</v>
      </c>
      <c r="AG86" s="29" t="str">
        <f t="shared" si="14"/>
        <v>月</v>
      </c>
      <c r="AI86" s="95" t="s">
        <v>41</v>
      </c>
      <c r="AJ86" s="96">
        <f>COUNT(C88:AG88)</f>
        <v>20</v>
      </c>
    </row>
    <row r="87" spans="1:36" outlineLevel="1" x14ac:dyDescent="0.45">
      <c r="C87" s="30">
        <f>C85</f>
        <v>46235</v>
      </c>
      <c r="D87" s="30">
        <f t="shared" ref="D87:AG87" si="15">IF(C87="","",IF(C87+1&lt;=EOMONTH($C85,0),C87+1,""))</f>
        <v>46236</v>
      </c>
      <c r="E87" s="30">
        <f t="shared" si="15"/>
        <v>46237</v>
      </c>
      <c r="F87" s="30">
        <f t="shared" si="15"/>
        <v>46238</v>
      </c>
      <c r="G87" s="30">
        <f t="shared" si="15"/>
        <v>46239</v>
      </c>
      <c r="H87" s="30">
        <f t="shared" si="15"/>
        <v>46240</v>
      </c>
      <c r="I87" s="30">
        <f t="shared" si="15"/>
        <v>46241</v>
      </c>
      <c r="J87" s="30">
        <f t="shared" si="15"/>
        <v>46242</v>
      </c>
      <c r="K87" s="30">
        <f t="shared" si="15"/>
        <v>46243</v>
      </c>
      <c r="L87" s="30">
        <f t="shared" si="15"/>
        <v>46244</v>
      </c>
      <c r="M87" s="30">
        <f t="shared" si="15"/>
        <v>46245</v>
      </c>
      <c r="N87" s="30">
        <f t="shared" si="15"/>
        <v>46246</v>
      </c>
      <c r="O87" s="30">
        <f t="shared" si="15"/>
        <v>46247</v>
      </c>
      <c r="P87" s="30">
        <f t="shared" si="15"/>
        <v>46248</v>
      </c>
      <c r="Q87" s="30">
        <f t="shared" si="15"/>
        <v>46249</v>
      </c>
      <c r="R87" s="30">
        <f t="shared" si="15"/>
        <v>46250</v>
      </c>
      <c r="S87" s="30">
        <f t="shared" si="15"/>
        <v>46251</v>
      </c>
      <c r="T87" s="30">
        <f t="shared" si="15"/>
        <v>46252</v>
      </c>
      <c r="U87" s="30">
        <f t="shared" si="15"/>
        <v>46253</v>
      </c>
      <c r="V87" s="30">
        <f t="shared" si="15"/>
        <v>46254</v>
      </c>
      <c r="W87" s="30">
        <f t="shared" si="15"/>
        <v>46255</v>
      </c>
      <c r="X87" s="30">
        <f t="shared" si="15"/>
        <v>46256</v>
      </c>
      <c r="Y87" s="30">
        <f t="shared" si="15"/>
        <v>46257</v>
      </c>
      <c r="Z87" s="30">
        <f t="shared" si="15"/>
        <v>46258</v>
      </c>
      <c r="AA87" s="30">
        <f t="shared" si="15"/>
        <v>46259</v>
      </c>
      <c r="AB87" s="30">
        <f t="shared" si="15"/>
        <v>46260</v>
      </c>
      <c r="AC87" s="30">
        <f t="shared" si="15"/>
        <v>46261</v>
      </c>
      <c r="AD87" s="30">
        <f t="shared" si="15"/>
        <v>46262</v>
      </c>
      <c r="AE87" s="30">
        <f t="shared" si="15"/>
        <v>46263</v>
      </c>
      <c r="AF87" s="30">
        <f t="shared" si="15"/>
        <v>46264</v>
      </c>
      <c r="AG87" s="30">
        <f t="shared" si="15"/>
        <v>46265</v>
      </c>
      <c r="AI87" s="95" t="s">
        <v>42</v>
      </c>
      <c r="AJ87" s="97" t="str">
        <f>_xlfn.LET(_xlpm.v,SUM(C88:AG88),IF(_xlpm.v=INT(_xlpm.v),TEXT(_xlpm.v,"0")&amp;" h",TEXT(_xlpm.v,"0.###")&amp;" h"))</f>
        <v>160 h</v>
      </c>
    </row>
    <row r="88" spans="1:36" outlineLevel="1" x14ac:dyDescent="0.45">
      <c r="A88" s="95" t="s">
        <v>38</v>
      </c>
      <c r="C88" s="94"/>
      <c r="D88" s="94"/>
      <c r="E88" s="94">
        <v>8</v>
      </c>
      <c r="F88" s="94">
        <v>8</v>
      </c>
      <c r="G88" s="94">
        <v>8</v>
      </c>
      <c r="H88" s="94">
        <v>8</v>
      </c>
      <c r="I88" s="94">
        <v>8</v>
      </c>
      <c r="J88" s="94"/>
      <c r="K88" s="94"/>
      <c r="L88" s="94">
        <v>8</v>
      </c>
      <c r="M88" s="94"/>
      <c r="N88" s="94">
        <v>8</v>
      </c>
      <c r="O88" s="94">
        <v>8</v>
      </c>
      <c r="P88" s="94">
        <v>8</v>
      </c>
      <c r="Q88" s="94"/>
      <c r="R88" s="94"/>
      <c r="S88" s="94">
        <v>8</v>
      </c>
      <c r="T88" s="94">
        <v>8</v>
      </c>
      <c r="U88" s="94">
        <v>8</v>
      </c>
      <c r="V88" s="94">
        <v>8</v>
      </c>
      <c r="W88" s="94">
        <v>8</v>
      </c>
      <c r="X88" s="94"/>
      <c r="Y88" s="94"/>
      <c r="Z88" s="94">
        <v>8</v>
      </c>
      <c r="AA88" s="94">
        <v>8</v>
      </c>
      <c r="AB88" s="94">
        <v>8</v>
      </c>
      <c r="AC88" s="94">
        <v>8</v>
      </c>
      <c r="AD88" s="94">
        <v>8</v>
      </c>
      <c r="AE88" s="94"/>
      <c r="AF88" s="94"/>
      <c r="AG88" s="94">
        <v>8</v>
      </c>
      <c r="AI88" s="29" t="s">
        <v>43</v>
      </c>
      <c r="AJ88" s="31">
        <f>COUNT(C89:AG89)</f>
        <v>20</v>
      </c>
    </row>
    <row r="89" spans="1:36" outlineLevel="1" x14ac:dyDescent="0.45">
      <c r="A89" s="29" t="s">
        <v>39</v>
      </c>
      <c r="C89" s="29"/>
      <c r="D89" s="29"/>
      <c r="E89" s="29">
        <v>8</v>
      </c>
      <c r="F89" s="29">
        <v>8</v>
      </c>
      <c r="G89" s="29">
        <v>8</v>
      </c>
      <c r="H89" s="29">
        <v>8</v>
      </c>
      <c r="I89" s="29">
        <v>8</v>
      </c>
      <c r="J89" s="29"/>
      <c r="K89" s="29"/>
      <c r="L89" s="29">
        <v>8</v>
      </c>
      <c r="M89" s="29"/>
      <c r="N89" s="29">
        <v>8</v>
      </c>
      <c r="O89" s="29">
        <v>8</v>
      </c>
      <c r="P89" s="29">
        <v>8</v>
      </c>
      <c r="Q89" s="29"/>
      <c r="R89" s="29"/>
      <c r="S89" s="29">
        <v>8</v>
      </c>
      <c r="T89" s="29">
        <v>8</v>
      </c>
      <c r="U89" s="29">
        <v>8</v>
      </c>
      <c r="V89" s="29">
        <v>8</v>
      </c>
      <c r="W89" s="29">
        <v>8</v>
      </c>
      <c r="X89" s="29"/>
      <c r="Y89" s="29"/>
      <c r="Z89" s="29">
        <v>8</v>
      </c>
      <c r="AA89" s="29">
        <v>8</v>
      </c>
      <c r="AB89" s="29">
        <v>8</v>
      </c>
      <c r="AC89" s="29">
        <v>8</v>
      </c>
      <c r="AD89" s="29">
        <v>8</v>
      </c>
      <c r="AE89" s="29"/>
      <c r="AF89" s="29"/>
      <c r="AG89" s="29">
        <v>8</v>
      </c>
      <c r="AI89" s="29" t="s">
        <v>44</v>
      </c>
      <c r="AJ89" s="32" t="str">
        <f>_xlfn.LET(_xlpm.v,SUM(C89:AG89),IF(_xlpm.v=INT(_xlpm.v),TEXT(_xlpm.v,"0")&amp;" h",TEXT(_xlpm.v,"0.###")&amp;" h"))</f>
        <v>160 h</v>
      </c>
    </row>
    <row r="90" spans="1:36" outlineLevel="1" x14ac:dyDescent="0.45">
      <c r="A90" s="29" t="s">
        <v>37</v>
      </c>
      <c r="C90" s="29"/>
      <c r="D90" s="29"/>
      <c r="E90" s="29" t="s">
        <v>22</v>
      </c>
      <c r="F90" s="29" t="s">
        <v>22</v>
      </c>
      <c r="G90" s="29" t="s">
        <v>22</v>
      </c>
      <c r="H90" s="29" t="s">
        <v>22</v>
      </c>
      <c r="I90" s="29" t="s">
        <v>22</v>
      </c>
      <c r="J90" s="29"/>
      <c r="K90" s="29"/>
      <c r="L90" s="29" t="s">
        <v>22</v>
      </c>
      <c r="M90" s="29"/>
      <c r="N90" s="29" t="s">
        <v>22</v>
      </c>
      <c r="O90" s="29" t="s">
        <v>22</v>
      </c>
      <c r="P90" s="29" t="s">
        <v>22</v>
      </c>
      <c r="Q90" s="29"/>
      <c r="R90" s="29"/>
      <c r="S90" s="29" t="s">
        <v>22</v>
      </c>
      <c r="T90" s="29" t="s">
        <v>22</v>
      </c>
      <c r="U90" s="29" t="s">
        <v>22</v>
      </c>
      <c r="V90" s="29" t="s">
        <v>22</v>
      </c>
      <c r="W90" s="29" t="s">
        <v>22</v>
      </c>
      <c r="X90" s="29"/>
      <c r="Y90" s="29"/>
      <c r="Z90" s="29" t="s">
        <v>22</v>
      </c>
      <c r="AA90" s="29" t="s">
        <v>22</v>
      </c>
      <c r="AB90" s="29" t="s">
        <v>22</v>
      </c>
      <c r="AC90" s="29" t="s">
        <v>22</v>
      </c>
      <c r="AD90" s="29" t="s">
        <v>22</v>
      </c>
      <c r="AE90" s="29"/>
      <c r="AF90" s="29"/>
      <c r="AG90" s="29" t="s">
        <v>22</v>
      </c>
      <c r="AI90" s="29" t="s">
        <v>45</v>
      </c>
      <c r="AJ90" s="31">
        <f>COUNTIF(C90:AG90,"出")</f>
        <v>0</v>
      </c>
    </row>
    <row r="91" spans="1:36" outlineLevel="1" x14ac:dyDescent="0.45">
      <c r="A91" s="29" t="s">
        <v>40</v>
      </c>
      <c r="C91" s="387"/>
      <c r="D91" s="387"/>
      <c r="E91" s="387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D91" s="387"/>
      <c r="AE91" s="387"/>
      <c r="AF91" s="387"/>
      <c r="AG91" s="387"/>
      <c r="AI91" s="29" t="s">
        <v>46</v>
      </c>
      <c r="AJ91" s="31">
        <f>COUNTIF(C90:AG90,"リ")</f>
        <v>20</v>
      </c>
    </row>
    <row r="92" spans="1:36" outlineLevel="1" x14ac:dyDescent="0.45">
      <c r="C92" s="387"/>
      <c r="D92" s="387"/>
      <c r="E92" s="387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7"/>
      <c r="S92" s="387"/>
      <c r="T92" s="387"/>
      <c r="U92" s="387"/>
      <c r="V92" s="387"/>
      <c r="W92" s="387"/>
      <c r="X92" s="387"/>
      <c r="Y92" s="387"/>
      <c r="Z92" s="387"/>
      <c r="AA92" s="387"/>
      <c r="AB92" s="387"/>
      <c r="AC92" s="387"/>
      <c r="AD92" s="387"/>
      <c r="AE92" s="387"/>
      <c r="AF92" s="387"/>
      <c r="AG92" s="387"/>
      <c r="AI92" s="29" t="s">
        <v>25</v>
      </c>
      <c r="AJ92" s="33">
        <f>AJ90/(AJ90+AJ91)</f>
        <v>0</v>
      </c>
    </row>
    <row r="93" spans="1:36" outlineLevel="1" x14ac:dyDescent="0.45">
      <c r="C93" s="387"/>
      <c r="D93" s="387"/>
      <c r="E93" s="387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D93" s="387"/>
      <c r="AE93" s="387"/>
      <c r="AF93" s="387"/>
      <c r="AG93" s="387"/>
    </row>
    <row r="94" spans="1:36" outlineLevel="1" x14ac:dyDescent="0.45">
      <c r="C94" s="387"/>
      <c r="D94" s="387"/>
      <c r="E94" s="387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7"/>
      <c r="S94" s="387"/>
      <c r="T94" s="387"/>
      <c r="U94" s="387"/>
      <c r="V94" s="387"/>
      <c r="W94" s="387"/>
      <c r="X94" s="387"/>
      <c r="Y94" s="387"/>
      <c r="Z94" s="387"/>
      <c r="AA94" s="387"/>
      <c r="AB94" s="387"/>
      <c r="AC94" s="387"/>
      <c r="AD94" s="387"/>
      <c r="AE94" s="387"/>
      <c r="AF94" s="387"/>
      <c r="AG94" s="387"/>
    </row>
    <row r="95" spans="1:36" outlineLevel="1" x14ac:dyDescent="0.45">
      <c r="C95" s="387"/>
      <c r="D95" s="387"/>
      <c r="E95" s="387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7"/>
      <c r="S95" s="387"/>
      <c r="T95" s="387"/>
      <c r="U95" s="387"/>
      <c r="V95" s="387"/>
      <c r="W95" s="387"/>
      <c r="X95" s="387"/>
      <c r="Y95" s="387"/>
      <c r="Z95" s="387"/>
      <c r="AA95" s="387"/>
      <c r="AB95" s="387"/>
      <c r="AC95" s="387"/>
      <c r="AD95" s="387"/>
      <c r="AE95" s="387"/>
      <c r="AF95" s="387"/>
      <c r="AG95" s="387"/>
    </row>
    <row r="96" spans="1:36" outlineLevel="1" x14ac:dyDescent="0.45"/>
    <row r="97" spans="1:36" x14ac:dyDescent="0.45">
      <c r="C97" s="314">
        <v>46266</v>
      </c>
      <c r="D97" s="304"/>
      <c r="E97" s="304"/>
      <c r="F97" s="304"/>
      <c r="G97" s="304"/>
      <c r="H97" s="304"/>
      <c r="I97" s="304"/>
      <c r="J97" s="304"/>
      <c r="K97" s="304"/>
      <c r="L97" s="304"/>
      <c r="M97" s="304"/>
      <c r="N97" s="304"/>
      <c r="O97" s="304"/>
      <c r="P97" s="304"/>
      <c r="Q97" s="304"/>
      <c r="R97" s="304"/>
      <c r="S97" s="304"/>
      <c r="T97" s="304"/>
      <c r="U97" s="304"/>
      <c r="V97" s="304"/>
      <c r="W97" s="304"/>
      <c r="X97" s="304"/>
      <c r="Y97" s="304"/>
      <c r="Z97" s="304"/>
      <c r="AA97" s="304"/>
      <c r="AB97" s="304"/>
      <c r="AC97" s="304"/>
      <c r="AD97" s="304"/>
      <c r="AE97" s="304"/>
      <c r="AF97" s="304"/>
      <c r="AG97" s="304"/>
    </row>
    <row r="98" spans="1:36" outlineLevel="1" x14ac:dyDescent="0.45">
      <c r="C98" s="29" t="str">
        <f t="shared" ref="C98:AG98" si="16">TEXT(C99,"aaa")</f>
        <v>火</v>
      </c>
      <c r="D98" s="29" t="str">
        <f t="shared" si="16"/>
        <v>水</v>
      </c>
      <c r="E98" s="29" t="str">
        <f t="shared" si="16"/>
        <v>木</v>
      </c>
      <c r="F98" s="29" t="str">
        <f t="shared" si="16"/>
        <v>金</v>
      </c>
      <c r="G98" s="29" t="str">
        <f t="shared" si="16"/>
        <v>土</v>
      </c>
      <c r="H98" s="29" t="str">
        <f t="shared" si="16"/>
        <v>日</v>
      </c>
      <c r="I98" s="29" t="str">
        <f t="shared" si="16"/>
        <v>月</v>
      </c>
      <c r="J98" s="29" t="str">
        <f t="shared" si="16"/>
        <v>火</v>
      </c>
      <c r="K98" s="29" t="str">
        <f t="shared" si="16"/>
        <v>水</v>
      </c>
      <c r="L98" s="29" t="str">
        <f t="shared" si="16"/>
        <v>木</v>
      </c>
      <c r="M98" s="29" t="str">
        <f t="shared" si="16"/>
        <v>金</v>
      </c>
      <c r="N98" s="29" t="str">
        <f t="shared" si="16"/>
        <v>土</v>
      </c>
      <c r="O98" s="29" t="str">
        <f t="shared" si="16"/>
        <v>日</v>
      </c>
      <c r="P98" s="29" t="str">
        <f t="shared" si="16"/>
        <v>月</v>
      </c>
      <c r="Q98" s="29" t="str">
        <f t="shared" si="16"/>
        <v>火</v>
      </c>
      <c r="R98" s="29" t="str">
        <f t="shared" si="16"/>
        <v>水</v>
      </c>
      <c r="S98" s="29" t="str">
        <f t="shared" si="16"/>
        <v>木</v>
      </c>
      <c r="T98" s="29" t="str">
        <f t="shared" si="16"/>
        <v>金</v>
      </c>
      <c r="U98" s="29" t="str">
        <f t="shared" si="16"/>
        <v>土</v>
      </c>
      <c r="V98" s="29" t="str">
        <f t="shared" si="16"/>
        <v>日</v>
      </c>
      <c r="W98" s="29" t="str">
        <f t="shared" si="16"/>
        <v>月</v>
      </c>
      <c r="X98" s="29" t="str">
        <f t="shared" si="16"/>
        <v>火</v>
      </c>
      <c r="Y98" s="29" t="str">
        <f t="shared" si="16"/>
        <v>水</v>
      </c>
      <c r="Z98" s="29" t="str">
        <f t="shared" si="16"/>
        <v>木</v>
      </c>
      <c r="AA98" s="29" t="str">
        <f t="shared" si="16"/>
        <v>金</v>
      </c>
      <c r="AB98" s="29" t="str">
        <f t="shared" si="16"/>
        <v>土</v>
      </c>
      <c r="AC98" s="29" t="str">
        <f t="shared" si="16"/>
        <v>日</v>
      </c>
      <c r="AD98" s="29" t="str">
        <f t="shared" si="16"/>
        <v>月</v>
      </c>
      <c r="AE98" s="29" t="str">
        <f t="shared" si="16"/>
        <v>火</v>
      </c>
      <c r="AF98" s="29" t="str">
        <f t="shared" si="16"/>
        <v>水</v>
      </c>
      <c r="AG98" s="29" t="str">
        <f t="shared" si="16"/>
        <v/>
      </c>
      <c r="AI98" s="95" t="s">
        <v>41</v>
      </c>
      <c r="AJ98" s="96">
        <f>COUNT(C100:AG100)</f>
        <v>19</v>
      </c>
    </row>
    <row r="99" spans="1:36" outlineLevel="1" x14ac:dyDescent="0.45">
      <c r="C99" s="30">
        <f>C97</f>
        <v>46266</v>
      </c>
      <c r="D99" s="30">
        <f t="shared" ref="D99:AG99" si="17">IF(C99="","",IF(C99+1&lt;=EOMONTH($C97,0),C99+1,""))</f>
        <v>46267</v>
      </c>
      <c r="E99" s="30">
        <f t="shared" si="17"/>
        <v>46268</v>
      </c>
      <c r="F99" s="30">
        <f t="shared" si="17"/>
        <v>46269</v>
      </c>
      <c r="G99" s="30">
        <f t="shared" si="17"/>
        <v>46270</v>
      </c>
      <c r="H99" s="30">
        <f t="shared" si="17"/>
        <v>46271</v>
      </c>
      <c r="I99" s="30">
        <f t="shared" si="17"/>
        <v>46272</v>
      </c>
      <c r="J99" s="30">
        <f t="shared" si="17"/>
        <v>46273</v>
      </c>
      <c r="K99" s="30">
        <f t="shared" si="17"/>
        <v>46274</v>
      </c>
      <c r="L99" s="30">
        <f t="shared" si="17"/>
        <v>46275</v>
      </c>
      <c r="M99" s="30">
        <f t="shared" si="17"/>
        <v>46276</v>
      </c>
      <c r="N99" s="30">
        <f t="shared" si="17"/>
        <v>46277</v>
      </c>
      <c r="O99" s="30">
        <f t="shared" si="17"/>
        <v>46278</v>
      </c>
      <c r="P99" s="30">
        <f t="shared" si="17"/>
        <v>46279</v>
      </c>
      <c r="Q99" s="30">
        <f t="shared" si="17"/>
        <v>46280</v>
      </c>
      <c r="R99" s="30">
        <f t="shared" si="17"/>
        <v>46281</v>
      </c>
      <c r="S99" s="30">
        <f t="shared" si="17"/>
        <v>46282</v>
      </c>
      <c r="T99" s="30">
        <f t="shared" si="17"/>
        <v>46283</v>
      </c>
      <c r="U99" s="30">
        <f t="shared" si="17"/>
        <v>46284</v>
      </c>
      <c r="V99" s="30">
        <f t="shared" si="17"/>
        <v>46285</v>
      </c>
      <c r="W99" s="30">
        <f t="shared" si="17"/>
        <v>46286</v>
      </c>
      <c r="X99" s="30">
        <f t="shared" si="17"/>
        <v>46287</v>
      </c>
      <c r="Y99" s="30">
        <f t="shared" si="17"/>
        <v>46288</v>
      </c>
      <c r="Z99" s="30">
        <f t="shared" si="17"/>
        <v>46289</v>
      </c>
      <c r="AA99" s="30">
        <f t="shared" si="17"/>
        <v>46290</v>
      </c>
      <c r="AB99" s="30">
        <f t="shared" si="17"/>
        <v>46291</v>
      </c>
      <c r="AC99" s="30">
        <f t="shared" si="17"/>
        <v>46292</v>
      </c>
      <c r="AD99" s="30">
        <f t="shared" si="17"/>
        <v>46293</v>
      </c>
      <c r="AE99" s="30">
        <f t="shared" si="17"/>
        <v>46294</v>
      </c>
      <c r="AF99" s="30">
        <f t="shared" si="17"/>
        <v>46295</v>
      </c>
      <c r="AG99" s="30" t="str">
        <f t="shared" si="17"/>
        <v/>
      </c>
      <c r="AI99" s="95" t="s">
        <v>42</v>
      </c>
      <c r="AJ99" s="97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5" t="s">
        <v>38</v>
      </c>
      <c r="C100" s="94">
        <v>8</v>
      </c>
      <c r="D100" s="94">
        <v>8</v>
      </c>
      <c r="E100" s="94">
        <v>8</v>
      </c>
      <c r="F100" s="94">
        <v>8</v>
      </c>
      <c r="G100" s="94"/>
      <c r="H100" s="94"/>
      <c r="I100" s="94">
        <v>8</v>
      </c>
      <c r="J100" s="94">
        <v>8</v>
      </c>
      <c r="K100" s="94">
        <v>8</v>
      </c>
      <c r="L100" s="94">
        <v>8</v>
      </c>
      <c r="M100" s="94">
        <v>8</v>
      </c>
      <c r="N100" s="94"/>
      <c r="O100" s="94"/>
      <c r="P100" s="94">
        <v>8</v>
      </c>
      <c r="Q100" s="94">
        <v>8</v>
      </c>
      <c r="R100" s="94">
        <v>8</v>
      </c>
      <c r="S100" s="94">
        <v>8</v>
      </c>
      <c r="T100" s="94">
        <v>8</v>
      </c>
      <c r="U100" s="94"/>
      <c r="V100" s="94"/>
      <c r="W100" s="94"/>
      <c r="X100" s="94"/>
      <c r="Y100" s="94"/>
      <c r="Z100" s="94">
        <v>8</v>
      </c>
      <c r="AA100" s="94">
        <v>8</v>
      </c>
      <c r="AB100" s="94"/>
      <c r="AC100" s="94"/>
      <c r="AD100" s="94">
        <v>8</v>
      </c>
      <c r="AE100" s="94">
        <v>8</v>
      </c>
      <c r="AF100" s="94">
        <v>8</v>
      </c>
      <c r="AG100" s="94"/>
      <c r="AI100" s="29" t="s">
        <v>43</v>
      </c>
      <c r="AJ100" s="31">
        <f>COUNT(C101:AG101)</f>
        <v>19</v>
      </c>
    </row>
    <row r="101" spans="1:36" outlineLevel="1" x14ac:dyDescent="0.45">
      <c r="A101" s="29" t="s">
        <v>39</v>
      </c>
      <c r="C101" s="29">
        <v>8</v>
      </c>
      <c r="D101" s="29">
        <v>8</v>
      </c>
      <c r="E101" s="29">
        <v>8</v>
      </c>
      <c r="F101" s="29">
        <v>8</v>
      </c>
      <c r="G101" s="29"/>
      <c r="H101" s="29"/>
      <c r="I101" s="29">
        <v>8</v>
      </c>
      <c r="J101" s="29">
        <v>8</v>
      </c>
      <c r="K101" s="29">
        <v>8</v>
      </c>
      <c r="L101" s="29">
        <v>8</v>
      </c>
      <c r="M101" s="29">
        <v>8</v>
      </c>
      <c r="N101" s="29"/>
      <c r="O101" s="29"/>
      <c r="P101" s="29">
        <v>8</v>
      </c>
      <c r="Q101" s="29">
        <v>8</v>
      </c>
      <c r="R101" s="29">
        <v>8</v>
      </c>
      <c r="S101" s="29">
        <v>8</v>
      </c>
      <c r="T101" s="29">
        <v>8</v>
      </c>
      <c r="U101" s="29"/>
      <c r="V101" s="29"/>
      <c r="W101" s="29"/>
      <c r="X101" s="29"/>
      <c r="Y101" s="29"/>
      <c r="Z101" s="29">
        <v>8</v>
      </c>
      <c r="AA101" s="29">
        <v>8</v>
      </c>
      <c r="AB101" s="29"/>
      <c r="AC101" s="29"/>
      <c r="AD101" s="29">
        <v>8</v>
      </c>
      <c r="AE101" s="29">
        <v>8</v>
      </c>
      <c r="AF101" s="29">
        <v>8</v>
      </c>
      <c r="AG101" s="29"/>
      <c r="AI101" s="29" t="s">
        <v>44</v>
      </c>
      <c r="AJ101" s="32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9" t="s">
        <v>37</v>
      </c>
      <c r="C102" s="29" t="s">
        <v>22</v>
      </c>
      <c r="D102" s="29" t="s">
        <v>22</v>
      </c>
      <c r="E102" s="29" t="s">
        <v>22</v>
      </c>
      <c r="F102" s="29" t="s">
        <v>22</v>
      </c>
      <c r="G102" s="29"/>
      <c r="H102" s="29"/>
      <c r="I102" s="29" t="s">
        <v>22</v>
      </c>
      <c r="J102" s="29" t="s">
        <v>22</v>
      </c>
      <c r="K102" s="29" t="s">
        <v>22</v>
      </c>
      <c r="L102" s="29" t="s">
        <v>22</v>
      </c>
      <c r="M102" s="29" t="s">
        <v>22</v>
      </c>
      <c r="N102" s="29"/>
      <c r="O102" s="29"/>
      <c r="P102" s="29" t="s">
        <v>22</v>
      </c>
      <c r="Q102" s="29" t="s">
        <v>22</v>
      </c>
      <c r="R102" s="29" t="s">
        <v>22</v>
      </c>
      <c r="S102" s="29" t="s">
        <v>22</v>
      </c>
      <c r="T102" s="29" t="s">
        <v>22</v>
      </c>
      <c r="U102" s="29"/>
      <c r="V102" s="29"/>
      <c r="W102" s="29"/>
      <c r="X102" s="29"/>
      <c r="Y102" s="29"/>
      <c r="Z102" s="29" t="s">
        <v>22</v>
      </c>
      <c r="AA102" s="29" t="s">
        <v>22</v>
      </c>
      <c r="AB102" s="29"/>
      <c r="AC102" s="29"/>
      <c r="AD102" s="29" t="s">
        <v>22</v>
      </c>
      <c r="AE102" s="29" t="s">
        <v>22</v>
      </c>
      <c r="AF102" s="29" t="s">
        <v>22</v>
      </c>
      <c r="AG102" s="29"/>
      <c r="AI102" s="29" t="s">
        <v>45</v>
      </c>
      <c r="AJ102" s="31">
        <f>COUNTIF(C102:AG102,"出")</f>
        <v>0</v>
      </c>
    </row>
    <row r="103" spans="1:36" outlineLevel="1" x14ac:dyDescent="0.45">
      <c r="A103" s="29" t="s">
        <v>40</v>
      </c>
      <c r="C103" s="387"/>
      <c r="D103" s="387"/>
      <c r="E103" s="387"/>
      <c r="F103" s="387"/>
      <c r="G103" s="387"/>
      <c r="H103" s="387"/>
      <c r="I103" s="387"/>
      <c r="J103" s="387"/>
      <c r="K103" s="387"/>
      <c r="L103" s="387"/>
      <c r="M103" s="387"/>
      <c r="N103" s="387"/>
      <c r="O103" s="387"/>
      <c r="P103" s="387"/>
      <c r="Q103" s="387"/>
      <c r="S103" s="387"/>
      <c r="T103" s="387"/>
      <c r="U103" s="387"/>
      <c r="V103" s="387"/>
      <c r="W103" s="387"/>
      <c r="X103" s="387"/>
      <c r="Y103" s="387"/>
      <c r="Z103" s="387"/>
      <c r="AA103" s="387"/>
      <c r="AB103" s="387"/>
      <c r="AC103" s="387"/>
      <c r="AD103" s="387"/>
      <c r="AE103" s="387"/>
      <c r="AF103" s="387"/>
      <c r="AG103" s="387"/>
      <c r="AI103" s="29" t="s">
        <v>46</v>
      </c>
      <c r="AJ103" s="31">
        <f>COUNTIF(C102:AG102,"リ")</f>
        <v>19</v>
      </c>
    </row>
    <row r="104" spans="1:36" outlineLevel="1" x14ac:dyDescent="0.45">
      <c r="C104" s="387"/>
      <c r="D104" s="387"/>
      <c r="E104" s="387"/>
      <c r="F104" s="387"/>
      <c r="G104" s="387"/>
      <c r="H104" s="387"/>
      <c r="I104" s="387"/>
      <c r="J104" s="387"/>
      <c r="K104" s="387"/>
      <c r="L104" s="387"/>
      <c r="M104" s="387"/>
      <c r="N104" s="387"/>
      <c r="O104" s="387"/>
      <c r="P104" s="387"/>
      <c r="Q104" s="387"/>
      <c r="S104" s="387"/>
      <c r="T104" s="387"/>
      <c r="U104" s="387"/>
      <c r="V104" s="387"/>
      <c r="W104" s="387"/>
      <c r="X104" s="387"/>
      <c r="Y104" s="387"/>
      <c r="Z104" s="387"/>
      <c r="AA104" s="387"/>
      <c r="AB104" s="387"/>
      <c r="AC104" s="387"/>
      <c r="AD104" s="387"/>
      <c r="AE104" s="387"/>
      <c r="AF104" s="387"/>
      <c r="AG104" s="387"/>
      <c r="AI104" s="29" t="s">
        <v>25</v>
      </c>
      <c r="AJ104" s="33">
        <f>AJ102/(AJ102+AJ103)</f>
        <v>0</v>
      </c>
    </row>
    <row r="105" spans="1:36" outlineLevel="1" x14ac:dyDescent="0.45">
      <c r="C105" s="387"/>
      <c r="D105" s="387"/>
      <c r="E105" s="387"/>
      <c r="F105" s="387"/>
      <c r="G105" s="387"/>
      <c r="H105" s="387"/>
      <c r="I105" s="387"/>
      <c r="J105" s="387"/>
      <c r="K105" s="387"/>
      <c r="L105" s="387"/>
      <c r="M105" s="387"/>
      <c r="N105" s="387"/>
      <c r="O105" s="387"/>
      <c r="P105" s="387"/>
      <c r="Q105" s="387"/>
      <c r="S105" s="387"/>
      <c r="T105" s="387"/>
      <c r="U105" s="387"/>
      <c r="V105" s="387"/>
      <c r="W105" s="387"/>
      <c r="X105" s="387"/>
      <c r="Y105" s="387"/>
      <c r="Z105" s="387"/>
      <c r="AA105" s="387"/>
      <c r="AB105" s="387"/>
      <c r="AC105" s="387"/>
      <c r="AD105" s="387"/>
      <c r="AE105" s="387"/>
      <c r="AF105" s="387"/>
      <c r="AG105" s="387"/>
    </row>
    <row r="106" spans="1:36" outlineLevel="1" x14ac:dyDescent="0.45">
      <c r="C106" s="387"/>
      <c r="D106" s="387"/>
      <c r="E106" s="387"/>
      <c r="F106" s="387"/>
      <c r="G106" s="387"/>
      <c r="H106" s="387"/>
      <c r="I106" s="387"/>
      <c r="J106" s="387"/>
      <c r="K106" s="387"/>
      <c r="L106" s="387"/>
      <c r="M106" s="387"/>
      <c r="N106" s="387"/>
      <c r="O106" s="387"/>
      <c r="P106" s="387"/>
      <c r="Q106" s="387"/>
      <c r="S106" s="387"/>
      <c r="T106" s="387"/>
      <c r="U106" s="387"/>
      <c r="V106" s="387"/>
      <c r="W106" s="387"/>
      <c r="X106" s="387"/>
      <c r="Y106" s="387"/>
      <c r="Z106" s="387"/>
      <c r="AA106" s="387"/>
      <c r="AB106" s="387"/>
      <c r="AC106" s="387"/>
      <c r="AD106" s="387"/>
      <c r="AE106" s="387"/>
      <c r="AF106" s="387"/>
      <c r="AG106" s="387"/>
    </row>
    <row r="107" spans="1:36" outlineLevel="1" x14ac:dyDescent="0.45">
      <c r="C107" s="387"/>
      <c r="D107" s="387"/>
      <c r="E107" s="387"/>
      <c r="F107" s="387"/>
      <c r="G107" s="387"/>
      <c r="H107" s="387"/>
      <c r="I107" s="387"/>
      <c r="J107" s="387"/>
      <c r="K107" s="387"/>
      <c r="L107" s="387"/>
      <c r="M107" s="387"/>
      <c r="N107" s="387"/>
      <c r="O107" s="387"/>
      <c r="P107" s="387"/>
      <c r="Q107" s="387"/>
      <c r="S107" s="387"/>
      <c r="T107" s="387"/>
      <c r="U107" s="387"/>
      <c r="V107" s="387"/>
      <c r="W107" s="387"/>
      <c r="X107" s="387"/>
      <c r="Y107" s="387"/>
      <c r="Z107" s="387"/>
      <c r="AA107" s="387"/>
      <c r="AB107" s="387"/>
      <c r="AC107" s="387"/>
      <c r="AD107" s="387"/>
      <c r="AE107" s="387"/>
      <c r="AF107" s="387"/>
      <c r="AG107" s="387"/>
    </row>
    <row r="108" spans="1:36" outlineLevel="1" x14ac:dyDescent="0.45"/>
    <row r="109" spans="1:36" x14ac:dyDescent="0.45">
      <c r="C109" s="314">
        <v>46296</v>
      </c>
      <c r="D109" s="304"/>
      <c r="E109" s="304"/>
      <c r="F109" s="304"/>
      <c r="G109" s="304"/>
      <c r="H109" s="304"/>
      <c r="I109" s="304"/>
      <c r="J109" s="304"/>
      <c r="K109" s="304"/>
      <c r="L109" s="304"/>
      <c r="M109" s="304"/>
      <c r="N109" s="304"/>
      <c r="O109" s="304"/>
      <c r="P109" s="304"/>
      <c r="Q109" s="304"/>
      <c r="R109" s="304"/>
      <c r="S109" s="304"/>
      <c r="T109" s="304"/>
      <c r="U109" s="304"/>
      <c r="V109" s="304"/>
      <c r="W109" s="304"/>
      <c r="X109" s="304"/>
      <c r="Y109" s="304"/>
      <c r="Z109" s="304"/>
      <c r="AA109" s="304"/>
      <c r="AB109" s="304"/>
      <c r="AC109" s="304"/>
      <c r="AD109" s="304"/>
      <c r="AE109" s="304"/>
      <c r="AF109" s="304"/>
      <c r="AG109" s="304"/>
    </row>
    <row r="110" spans="1:36" outlineLevel="1" x14ac:dyDescent="0.45">
      <c r="C110" s="29" t="str">
        <f t="shared" ref="C110:AG110" si="18">TEXT(C111,"aaa")</f>
        <v>木</v>
      </c>
      <c r="D110" s="29" t="str">
        <f t="shared" si="18"/>
        <v>金</v>
      </c>
      <c r="E110" s="29" t="str">
        <f t="shared" si="18"/>
        <v>土</v>
      </c>
      <c r="F110" s="29" t="str">
        <f t="shared" si="18"/>
        <v>日</v>
      </c>
      <c r="G110" s="29" t="str">
        <f t="shared" si="18"/>
        <v>月</v>
      </c>
      <c r="H110" s="29" t="str">
        <f t="shared" si="18"/>
        <v>火</v>
      </c>
      <c r="I110" s="29" t="str">
        <f t="shared" si="18"/>
        <v>水</v>
      </c>
      <c r="J110" s="29" t="str">
        <f t="shared" si="18"/>
        <v>木</v>
      </c>
      <c r="K110" s="29" t="str">
        <f t="shared" si="18"/>
        <v>金</v>
      </c>
      <c r="L110" s="29" t="str">
        <f t="shared" si="18"/>
        <v>土</v>
      </c>
      <c r="M110" s="29" t="str">
        <f t="shared" si="18"/>
        <v>日</v>
      </c>
      <c r="N110" s="29" t="str">
        <f t="shared" si="18"/>
        <v>月</v>
      </c>
      <c r="O110" s="29" t="str">
        <f t="shared" si="18"/>
        <v>火</v>
      </c>
      <c r="P110" s="29" t="str">
        <f t="shared" si="18"/>
        <v>水</v>
      </c>
      <c r="Q110" s="29" t="str">
        <f t="shared" si="18"/>
        <v>木</v>
      </c>
      <c r="R110" s="29" t="str">
        <f t="shared" si="18"/>
        <v>金</v>
      </c>
      <c r="S110" s="29" t="str">
        <f t="shared" si="18"/>
        <v>土</v>
      </c>
      <c r="T110" s="29" t="str">
        <f t="shared" si="18"/>
        <v>日</v>
      </c>
      <c r="U110" s="29" t="str">
        <f t="shared" si="18"/>
        <v>月</v>
      </c>
      <c r="V110" s="29" t="str">
        <f t="shared" si="18"/>
        <v>火</v>
      </c>
      <c r="W110" s="29" t="str">
        <f t="shared" si="18"/>
        <v>水</v>
      </c>
      <c r="X110" s="29" t="str">
        <f t="shared" si="18"/>
        <v>木</v>
      </c>
      <c r="Y110" s="29" t="str">
        <f t="shared" si="18"/>
        <v>金</v>
      </c>
      <c r="Z110" s="29" t="str">
        <f t="shared" si="18"/>
        <v>土</v>
      </c>
      <c r="AA110" s="29" t="str">
        <f t="shared" si="18"/>
        <v>日</v>
      </c>
      <c r="AB110" s="29" t="str">
        <f t="shared" si="18"/>
        <v>月</v>
      </c>
      <c r="AC110" s="29" t="str">
        <f t="shared" si="18"/>
        <v>火</v>
      </c>
      <c r="AD110" s="29" t="str">
        <f t="shared" si="18"/>
        <v>水</v>
      </c>
      <c r="AE110" s="29" t="str">
        <f t="shared" si="18"/>
        <v>木</v>
      </c>
      <c r="AF110" s="29" t="str">
        <f t="shared" si="18"/>
        <v>金</v>
      </c>
      <c r="AG110" s="29" t="str">
        <f t="shared" si="18"/>
        <v>土</v>
      </c>
      <c r="AI110" s="95" t="s">
        <v>41</v>
      </c>
      <c r="AJ110" s="96">
        <f>COUNT(C112:AG112)</f>
        <v>21</v>
      </c>
    </row>
    <row r="111" spans="1:36" outlineLevel="1" x14ac:dyDescent="0.45">
      <c r="C111" s="30">
        <f>C109</f>
        <v>46296</v>
      </c>
      <c r="D111" s="30">
        <f t="shared" ref="D111:AG111" si="19">IF(C111="","",IF(C111+1&lt;=EOMONTH($C109,0),C111+1,""))</f>
        <v>46297</v>
      </c>
      <c r="E111" s="30">
        <f t="shared" si="19"/>
        <v>46298</v>
      </c>
      <c r="F111" s="30">
        <f t="shared" si="19"/>
        <v>46299</v>
      </c>
      <c r="G111" s="30">
        <f t="shared" si="19"/>
        <v>46300</v>
      </c>
      <c r="H111" s="30">
        <f t="shared" si="19"/>
        <v>46301</v>
      </c>
      <c r="I111" s="30">
        <f t="shared" si="19"/>
        <v>46302</v>
      </c>
      <c r="J111" s="30">
        <f t="shared" si="19"/>
        <v>46303</v>
      </c>
      <c r="K111" s="30">
        <f t="shared" si="19"/>
        <v>46304</v>
      </c>
      <c r="L111" s="30">
        <f t="shared" si="19"/>
        <v>46305</v>
      </c>
      <c r="M111" s="30">
        <f t="shared" si="19"/>
        <v>46306</v>
      </c>
      <c r="N111" s="30">
        <f t="shared" si="19"/>
        <v>46307</v>
      </c>
      <c r="O111" s="30">
        <f t="shared" si="19"/>
        <v>46308</v>
      </c>
      <c r="P111" s="30">
        <f t="shared" si="19"/>
        <v>46309</v>
      </c>
      <c r="Q111" s="30">
        <f t="shared" si="19"/>
        <v>46310</v>
      </c>
      <c r="R111" s="30">
        <f t="shared" si="19"/>
        <v>46311</v>
      </c>
      <c r="S111" s="30">
        <f t="shared" si="19"/>
        <v>46312</v>
      </c>
      <c r="T111" s="30">
        <f t="shared" si="19"/>
        <v>46313</v>
      </c>
      <c r="U111" s="30">
        <f t="shared" si="19"/>
        <v>46314</v>
      </c>
      <c r="V111" s="30">
        <f t="shared" si="19"/>
        <v>46315</v>
      </c>
      <c r="W111" s="30">
        <f t="shared" si="19"/>
        <v>46316</v>
      </c>
      <c r="X111" s="30">
        <f t="shared" si="19"/>
        <v>46317</v>
      </c>
      <c r="Y111" s="30">
        <f t="shared" si="19"/>
        <v>46318</v>
      </c>
      <c r="Z111" s="30">
        <f t="shared" si="19"/>
        <v>46319</v>
      </c>
      <c r="AA111" s="30">
        <f t="shared" si="19"/>
        <v>46320</v>
      </c>
      <c r="AB111" s="30">
        <f t="shared" si="19"/>
        <v>46321</v>
      </c>
      <c r="AC111" s="30">
        <f t="shared" si="19"/>
        <v>46322</v>
      </c>
      <c r="AD111" s="30">
        <f t="shared" si="19"/>
        <v>46323</v>
      </c>
      <c r="AE111" s="30">
        <f t="shared" si="19"/>
        <v>46324</v>
      </c>
      <c r="AF111" s="30">
        <f t="shared" si="19"/>
        <v>46325</v>
      </c>
      <c r="AG111" s="30">
        <f t="shared" si="19"/>
        <v>46326</v>
      </c>
      <c r="AI111" s="95" t="s">
        <v>42</v>
      </c>
      <c r="AJ111" s="97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5" t="s">
        <v>38</v>
      </c>
      <c r="C112" s="94">
        <v>8</v>
      </c>
      <c r="D112" s="94">
        <v>8</v>
      </c>
      <c r="E112" s="94"/>
      <c r="F112" s="94"/>
      <c r="G112" s="94">
        <v>8</v>
      </c>
      <c r="H112" s="94">
        <v>8</v>
      </c>
      <c r="I112" s="94">
        <v>8</v>
      </c>
      <c r="J112" s="94">
        <v>8</v>
      </c>
      <c r="K112" s="94">
        <v>8</v>
      </c>
      <c r="L112" s="94"/>
      <c r="M112" s="94"/>
      <c r="N112" s="94"/>
      <c r="O112" s="94">
        <v>8</v>
      </c>
      <c r="P112" s="94">
        <v>8</v>
      </c>
      <c r="Q112" s="94">
        <v>8</v>
      </c>
      <c r="R112" s="94">
        <v>8</v>
      </c>
      <c r="S112" s="94"/>
      <c r="T112" s="94"/>
      <c r="U112" s="94">
        <v>8</v>
      </c>
      <c r="V112" s="94">
        <v>8</v>
      </c>
      <c r="W112" s="94">
        <v>8</v>
      </c>
      <c r="X112" s="94">
        <v>8</v>
      </c>
      <c r="Y112" s="94">
        <v>8</v>
      </c>
      <c r="Z112" s="94"/>
      <c r="AA112" s="94"/>
      <c r="AB112" s="94">
        <v>8</v>
      </c>
      <c r="AC112" s="94">
        <v>8</v>
      </c>
      <c r="AD112" s="94">
        <v>8</v>
      </c>
      <c r="AE112" s="94">
        <v>8</v>
      </c>
      <c r="AF112" s="94">
        <v>8</v>
      </c>
      <c r="AG112" s="94"/>
      <c r="AI112" s="29" t="s">
        <v>43</v>
      </c>
      <c r="AJ112" s="31">
        <f>COUNT(C113:AG113)</f>
        <v>21</v>
      </c>
    </row>
    <row r="113" spans="1:36" outlineLevel="1" x14ac:dyDescent="0.45">
      <c r="A113" s="29" t="s">
        <v>39</v>
      </c>
      <c r="C113" s="29">
        <v>8</v>
      </c>
      <c r="D113" s="29">
        <v>8</v>
      </c>
      <c r="E113" s="29"/>
      <c r="F113" s="29"/>
      <c r="G113" s="29">
        <v>8</v>
      </c>
      <c r="H113" s="29">
        <v>8</v>
      </c>
      <c r="I113" s="29">
        <v>8</v>
      </c>
      <c r="J113" s="29">
        <v>8</v>
      </c>
      <c r="K113" s="29">
        <v>8</v>
      </c>
      <c r="L113" s="29"/>
      <c r="M113" s="29"/>
      <c r="N113" s="29"/>
      <c r="O113" s="29">
        <v>8</v>
      </c>
      <c r="P113" s="29">
        <v>8</v>
      </c>
      <c r="Q113" s="29">
        <v>8</v>
      </c>
      <c r="R113" s="29">
        <v>8</v>
      </c>
      <c r="S113" s="29"/>
      <c r="T113" s="29"/>
      <c r="U113" s="29">
        <v>8</v>
      </c>
      <c r="V113" s="29">
        <v>8</v>
      </c>
      <c r="W113" s="29">
        <v>8</v>
      </c>
      <c r="X113" s="29">
        <v>8</v>
      </c>
      <c r="Y113" s="29">
        <v>8</v>
      </c>
      <c r="Z113" s="29"/>
      <c r="AA113" s="29"/>
      <c r="AB113" s="29">
        <v>8</v>
      </c>
      <c r="AC113" s="29">
        <v>8</v>
      </c>
      <c r="AD113" s="29">
        <v>8</v>
      </c>
      <c r="AE113" s="29">
        <v>8</v>
      </c>
      <c r="AF113" s="29">
        <v>8</v>
      </c>
      <c r="AG113" s="29"/>
      <c r="AI113" s="29" t="s">
        <v>44</v>
      </c>
      <c r="AJ113" s="32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9" t="s">
        <v>37</v>
      </c>
      <c r="C114" s="29" t="s">
        <v>22</v>
      </c>
      <c r="D114" s="29" t="s">
        <v>22</v>
      </c>
      <c r="E114" s="29"/>
      <c r="F114" s="29"/>
      <c r="G114" s="29" t="s">
        <v>22</v>
      </c>
      <c r="H114" s="29" t="s">
        <v>22</v>
      </c>
      <c r="I114" s="29" t="s">
        <v>22</v>
      </c>
      <c r="J114" s="29" t="s">
        <v>22</v>
      </c>
      <c r="K114" s="29" t="s">
        <v>22</v>
      </c>
      <c r="L114" s="29"/>
      <c r="M114" s="29"/>
      <c r="N114" s="29"/>
      <c r="O114" s="29" t="s">
        <v>22</v>
      </c>
      <c r="P114" s="29" t="s">
        <v>22</v>
      </c>
      <c r="Q114" s="29" t="s">
        <v>22</v>
      </c>
      <c r="R114" s="29" t="s">
        <v>22</v>
      </c>
      <c r="S114" s="29"/>
      <c r="T114" s="29"/>
      <c r="U114" s="29" t="s">
        <v>22</v>
      </c>
      <c r="V114" s="29" t="s">
        <v>22</v>
      </c>
      <c r="W114" s="29" t="s">
        <v>22</v>
      </c>
      <c r="X114" s="29" t="s">
        <v>22</v>
      </c>
      <c r="Y114" s="29" t="s">
        <v>22</v>
      </c>
      <c r="Z114" s="29"/>
      <c r="AA114" s="29"/>
      <c r="AB114" s="29" t="s">
        <v>22</v>
      </c>
      <c r="AC114" s="29" t="s">
        <v>22</v>
      </c>
      <c r="AD114" s="29" t="s">
        <v>22</v>
      </c>
      <c r="AE114" s="29" t="s">
        <v>22</v>
      </c>
      <c r="AF114" s="29" t="s">
        <v>22</v>
      </c>
      <c r="AG114" s="29"/>
      <c r="AI114" s="29" t="s">
        <v>45</v>
      </c>
      <c r="AJ114" s="31">
        <f>COUNTIF(C114:AG114,"出")</f>
        <v>0</v>
      </c>
    </row>
    <row r="115" spans="1:36" outlineLevel="1" x14ac:dyDescent="0.45">
      <c r="A115" s="29" t="s">
        <v>40</v>
      </c>
      <c r="C115" s="387"/>
      <c r="D115" s="387"/>
      <c r="E115" s="387"/>
      <c r="F115" s="387"/>
      <c r="G115" s="387"/>
      <c r="H115" s="387"/>
      <c r="I115" s="387"/>
      <c r="J115" s="387"/>
      <c r="K115" s="387"/>
      <c r="L115" s="387"/>
      <c r="M115" s="387"/>
      <c r="N115" s="387"/>
      <c r="O115" s="387"/>
      <c r="P115" s="387"/>
      <c r="Q115" s="387"/>
      <c r="S115" s="387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D115" s="387"/>
      <c r="AE115" s="387"/>
      <c r="AF115" s="387"/>
      <c r="AG115" s="387"/>
      <c r="AI115" s="29" t="s">
        <v>46</v>
      </c>
      <c r="AJ115" s="31">
        <f>COUNTIF(C114:AG114,"リ")</f>
        <v>21</v>
      </c>
    </row>
    <row r="116" spans="1:36" outlineLevel="1" x14ac:dyDescent="0.45">
      <c r="C116" s="387"/>
      <c r="D116" s="387"/>
      <c r="E116" s="387"/>
      <c r="F116" s="387"/>
      <c r="G116" s="387"/>
      <c r="H116" s="387"/>
      <c r="I116" s="387"/>
      <c r="J116" s="387"/>
      <c r="K116" s="387"/>
      <c r="L116" s="387"/>
      <c r="M116" s="387"/>
      <c r="N116" s="387"/>
      <c r="O116" s="387"/>
      <c r="P116" s="387"/>
      <c r="Q116" s="387"/>
      <c r="S116" s="387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D116" s="387"/>
      <c r="AE116" s="387"/>
      <c r="AF116" s="387"/>
      <c r="AG116" s="387"/>
      <c r="AI116" s="29" t="s">
        <v>25</v>
      </c>
      <c r="AJ116" s="33">
        <f>AJ114/(AJ114+AJ115)</f>
        <v>0</v>
      </c>
    </row>
    <row r="117" spans="1:36" outlineLevel="1" x14ac:dyDescent="0.45">
      <c r="C117" s="387"/>
      <c r="D117" s="387"/>
      <c r="E117" s="387"/>
      <c r="F117" s="387"/>
      <c r="G117" s="387"/>
      <c r="H117" s="387"/>
      <c r="I117" s="387"/>
      <c r="J117" s="387"/>
      <c r="K117" s="387"/>
      <c r="L117" s="387"/>
      <c r="M117" s="387"/>
      <c r="N117" s="387"/>
      <c r="O117" s="387"/>
      <c r="P117" s="387"/>
      <c r="Q117" s="387"/>
      <c r="S117" s="387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D117" s="387"/>
      <c r="AE117" s="387"/>
      <c r="AF117" s="387"/>
      <c r="AG117" s="387"/>
    </row>
    <row r="118" spans="1:36" outlineLevel="1" x14ac:dyDescent="0.45">
      <c r="C118" s="387"/>
      <c r="D118" s="387"/>
      <c r="E118" s="387"/>
      <c r="F118" s="387"/>
      <c r="G118" s="387"/>
      <c r="H118" s="387"/>
      <c r="I118" s="387"/>
      <c r="J118" s="387"/>
      <c r="K118" s="387"/>
      <c r="L118" s="387"/>
      <c r="M118" s="387"/>
      <c r="N118" s="387"/>
      <c r="O118" s="387"/>
      <c r="P118" s="387"/>
      <c r="Q118" s="387"/>
      <c r="S118" s="387"/>
      <c r="T118" s="387"/>
      <c r="U118" s="387"/>
      <c r="V118" s="387"/>
      <c r="W118" s="387"/>
      <c r="X118" s="387"/>
      <c r="Y118" s="387"/>
      <c r="Z118" s="387"/>
      <c r="AA118" s="387"/>
      <c r="AB118" s="387"/>
      <c r="AC118" s="387"/>
      <c r="AD118" s="387"/>
      <c r="AE118" s="387"/>
      <c r="AF118" s="387"/>
      <c r="AG118" s="387"/>
    </row>
    <row r="119" spans="1:36" outlineLevel="1" x14ac:dyDescent="0.45">
      <c r="C119" s="387"/>
      <c r="D119" s="387"/>
      <c r="E119" s="387"/>
      <c r="F119" s="387"/>
      <c r="G119" s="387"/>
      <c r="H119" s="387"/>
      <c r="I119" s="387"/>
      <c r="J119" s="387"/>
      <c r="K119" s="387"/>
      <c r="L119" s="387"/>
      <c r="M119" s="387"/>
      <c r="N119" s="387"/>
      <c r="O119" s="387"/>
      <c r="P119" s="387"/>
      <c r="Q119" s="387"/>
      <c r="S119" s="387"/>
      <c r="T119" s="387"/>
      <c r="U119" s="387"/>
      <c r="V119" s="387"/>
      <c r="W119" s="387"/>
      <c r="X119" s="387"/>
      <c r="Y119" s="387"/>
      <c r="Z119" s="387"/>
      <c r="AA119" s="387"/>
      <c r="AB119" s="387"/>
      <c r="AC119" s="387"/>
      <c r="AD119" s="387"/>
      <c r="AE119" s="387"/>
      <c r="AF119" s="387"/>
      <c r="AG119" s="387"/>
    </row>
    <row r="120" spans="1:36" outlineLevel="1" x14ac:dyDescent="0.45"/>
    <row r="121" spans="1:36" x14ac:dyDescent="0.45">
      <c r="C121" s="314">
        <v>46327</v>
      </c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4"/>
      <c r="P121" s="304"/>
      <c r="Q121" s="304"/>
      <c r="R121" s="304"/>
      <c r="S121" s="304"/>
      <c r="T121" s="304"/>
      <c r="U121" s="304"/>
      <c r="V121" s="304"/>
      <c r="W121" s="304"/>
      <c r="X121" s="304"/>
      <c r="Y121" s="304"/>
      <c r="Z121" s="304"/>
      <c r="AA121" s="304"/>
      <c r="AB121" s="304"/>
      <c r="AC121" s="304"/>
      <c r="AD121" s="304"/>
      <c r="AE121" s="304"/>
      <c r="AF121" s="304"/>
      <c r="AG121" s="304"/>
    </row>
    <row r="122" spans="1:36" outlineLevel="1" x14ac:dyDescent="0.45">
      <c r="C122" s="29" t="str">
        <f t="shared" ref="C122:AG122" si="20">TEXT(C123,"aaa")</f>
        <v>日</v>
      </c>
      <c r="D122" s="29" t="str">
        <f t="shared" si="20"/>
        <v>月</v>
      </c>
      <c r="E122" s="29" t="str">
        <f t="shared" si="20"/>
        <v>火</v>
      </c>
      <c r="F122" s="29" t="str">
        <f t="shared" si="20"/>
        <v>水</v>
      </c>
      <c r="G122" s="29" t="str">
        <f t="shared" si="20"/>
        <v>木</v>
      </c>
      <c r="H122" s="29" t="str">
        <f t="shared" si="20"/>
        <v>金</v>
      </c>
      <c r="I122" s="29" t="str">
        <f t="shared" si="20"/>
        <v>土</v>
      </c>
      <c r="J122" s="29" t="str">
        <f t="shared" si="20"/>
        <v>日</v>
      </c>
      <c r="K122" s="29" t="str">
        <f t="shared" si="20"/>
        <v>月</v>
      </c>
      <c r="L122" s="29" t="str">
        <f t="shared" si="20"/>
        <v>火</v>
      </c>
      <c r="M122" s="29" t="str">
        <f t="shared" si="20"/>
        <v>水</v>
      </c>
      <c r="N122" s="29" t="str">
        <f t="shared" si="20"/>
        <v>木</v>
      </c>
      <c r="O122" s="29" t="str">
        <f t="shared" si="20"/>
        <v>金</v>
      </c>
      <c r="P122" s="29" t="str">
        <f t="shared" si="20"/>
        <v>土</v>
      </c>
      <c r="Q122" s="29" t="str">
        <f t="shared" si="20"/>
        <v>日</v>
      </c>
      <c r="R122" s="29" t="str">
        <f t="shared" si="20"/>
        <v>月</v>
      </c>
      <c r="S122" s="29" t="str">
        <f t="shared" si="20"/>
        <v>火</v>
      </c>
      <c r="T122" s="29" t="str">
        <f t="shared" si="20"/>
        <v>水</v>
      </c>
      <c r="U122" s="29" t="str">
        <f t="shared" si="20"/>
        <v>木</v>
      </c>
      <c r="V122" s="29" t="str">
        <f t="shared" si="20"/>
        <v>金</v>
      </c>
      <c r="W122" s="29" t="str">
        <f t="shared" si="20"/>
        <v>土</v>
      </c>
      <c r="X122" s="29" t="str">
        <f t="shared" si="20"/>
        <v>日</v>
      </c>
      <c r="Y122" s="29" t="str">
        <f t="shared" si="20"/>
        <v>月</v>
      </c>
      <c r="Z122" s="29" t="str">
        <f t="shared" si="20"/>
        <v>火</v>
      </c>
      <c r="AA122" s="29" t="str">
        <f t="shared" si="20"/>
        <v>水</v>
      </c>
      <c r="AB122" s="29" t="str">
        <f t="shared" si="20"/>
        <v>木</v>
      </c>
      <c r="AC122" s="29" t="str">
        <f t="shared" si="20"/>
        <v>金</v>
      </c>
      <c r="AD122" s="29" t="str">
        <f t="shared" si="20"/>
        <v>土</v>
      </c>
      <c r="AE122" s="29" t="str">
        <f t="shared" si="20"/>
        <v>日</v>
      </c>
      <c r="AF122" s="29" t="str">
        <f t="shared" si="20"/>
        <v>月</v>
      </c>
      <c r="AG122" s="29" t="str">
        <f t="shared" si="20"/>
        <v/>
      </c>
      <c r="AI122" s="95" t="s">
        <v>41</v>
      </c>
      <c r="AJ122" s="96">
        <f>COUNT(C124:AG124)</f>
        <v>19</v>
      </c>
    </row>
    <row r="123" spans="1:36" outlineLevel="1" x14ac:dyDescent="0.45">
      <c r="C123" s="30">
        <f>C121</f>
        <v>46327</v>
      </c>
      <c r="D123" s="30">
        <f t="shared" ref="D123:AG123" si="21">IF(C123="","",IF(C123+1&lt;=EOMONTH($C121,0),C123+1,""))</f>
        <v>46328</v>
      </c>
      <c r="E123" s="30">
        <f t="shared" si="21"/>
        <v>46329</v>
      </c>
      <c r="F123" s="30">
        <f t="shared" si="21"/>
        <v>46330</v>
      </c>
      <c r="G123" s="30">
        <f t="shared" si="21"/>
        <v>46331</v>
      </c>
      <c r="H123" s="30">
        <f t="shared" si="21"/>
        <v>46332</v>
      </c>
      <c r="I123" s="30">
        <f t="shared" si="21"/>
        <v>46333</v>
      </c>
      <c r="J123" s="30">
        <f t="shared" si="21"/>
        <v>46334</v>
      </c>
      <c r="K123" s="30">
        <f t="shared" si="21"/>
        <v>46335</v>
      </c>
      <c r="L123" s="30">
        <f t="shared" si="21"/>
        <v>46336</v>
      </c>
      <c r="M123" s="30">
        <f t="shared" si="21"/>
        <v>46337</v>
      </c>
      <c r="N123" s="30">
        <f t="shared" si="21"/>
        <v>46338</v>
      </c>
      <c r="O123" s="30">
        <f t="shared" si="21"/>
        <v>46339</v>
      </c>
      <c r="P123" s="30">
        <f t="shared" si="21"/>
        <v>46340</v>
      </c>
      <c r="Q123" s="30">
        <f t="shared" si="21"/>
        <v>46341</v>
      </c>
      <c r="R123" s="30">
        <f t="shared" si="21"/>
        <v>46342</v>
      </c>
      <c r="S123" s="30">
        <f t="shared" si="21"/>
        <v>46343</v>
      </c>
      <c r="T123" s="30">
        <f t="shared" si="21"/>
        <v>46344</v>
      </c>
      <c r="U123" s="30">
        <f t="shared" si="21"/>
        <v>46345</v>
      </c>
      <c r="V123" s="30">
        <f t="shared" si="21"/>
        <v>46346</v>
      </c>
      <c r="W123" s="30">
        <f t="shared" si="21"/>
        <v>46347</v>
      </c>
      <c r="X123" s="30">
        <f t="shared" si="21"/>
        <v>46348</v>
      </c>
      <c r="Y123" s="30">
        <f t="shared" si="21"/>
        <v>46349</v>
      </c>
      <c r="Z123" s="30">
        <f t="shared" si="21"/>
        <v>46350</v>
      </c>
      <c r="AA123" s="30">
        <f t="shared" si="21"/>
        <v>46351</v>
      </c>
      <c r="AB123" s="30">
        <f t="shared" si="21"/>
        <v>46352</v>
      </c>
      <c r="AC123" s="30">
        <f t="shared" si="21"/>
        <v>46353</v>
      </c>
      <c r="AD123" s="30">
        <f t="shared" si="21"/>
        <v>46354</v>
      </c>
      <c r="AE123" s="30">
        <f t="shared" si="21"/>
        <v>46355</v>
      </c>
      <c r="AF123" s="30">
        <f t="shared" si="21"/>
        <v>46356</v>
      </c>
      <c r="AG123" s="30" t="str">
        <f t="shared" si="21"/>
        <v/>
      </c>
      <c r="AI123" s="95" t="s">
        <v>42</v>
      </c>
      <c r="AJ123" s="97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5" t="s">
        <v>38</v>
      </c>
      <c r="C124" s="94"/>
      <c r="D124" s="94">
        <v>8</v>
      </c>
      <c r="E124" s="94"/>
      <c r="F124" s="94">
        <v>8</v>
      </c>
      <c r="G124" s="94">
        <v>8</v>
      </c>
      <c r="H124" s="94">
        <v>8</v>
      </c>
      <c r="I124" s="94"/>
      <c r="J124" s="94"/>
      <c r="K124" s="94">
        <v>8</v>
      </c>
      <c r="L124" s="94">
        <v>8</v>
      </c>
      <c r="M124" s="94">
        <v>8</v>
      </c>
      <c r="N124" s="94">
        <v>8</v>
      </c>
      <c r="O124" s="94">
        <v>8</v>
      </c>
      <c r="P124" s="94"/>
      <c r="Q124" s="94"/>
      <c r="R124" s="94">
        <v>8</v>
      </c>
      <c r="S124" s="94">
        <v>8</v>
      </c>
      <c r="T124" s="94">
        <v>8</v>
      </c>
      <c r="U124" s="94">
        <v>8</v>
      </c>
      <c r="V124" s="94">
        <v>8</v>
      </c>
      <c r="W124" s="94"/>
      <c r="X124" s="94"/>
      <c r="Y124" s="94"/>
      <c r="Z124" s="94">
        <v>8</v>
      </c>
      <c r="AA124" s="94">
        <v>8</v>
      </c>
      <c r="AB124" s="94">
        <v>8</v>
      </c>
      <c r="AC124" s="94">
        <v>8</v>
      </c>
      <c r="AD124" s="94"/>
      <c r="AE124" s="94"/>
      <c r="AF124" s="94">
        <v>8</v>
      </c>
      <c r="AG124" s="94"/>
      <c r="AI124" s="29" t="s">
        <v>43</v>
      </c>
      <c r="AJ124" s="31">
        <f>COUNT(C125:AG125)</f>
        <v>19</v>
      </c>
    </row>
    <row r="125" spans="1:36" outlineLevel="1" x14ac:dyDescent="0.45">
      <c r="A125" s="29" t="s">
        <v>39</v>
      </c>
      <c r="C125" s="29"/>
      <c r="D125" s="29">
        <v>8</v>
      </c>
      <c r="E125" s="29"/>
      <c r="F125" s="29">
        <v>8</v>
      </c>
      <c r="G125" s="29">
        <v>8</v>
      </c>
      <c r="H125" s="29">
        <v>8</v>
      </c>
      <c r="I125" s="29"/>
      <c r="J125" s="29"/>
      <c r="K125" s="29">
        <v>8</v>
      </c>
      <c r="L125" s="29">
        <v>8</v>
      </c>
      <c r="M125" s="29">
        <v>8</v>
      </c>
      <c r="N125" s="29">
        <v>8</v>
      </c>
      <c r="O125" s="29">
        <v>8</v>
      </c>
      <c r="P125" s="29"/>
      <c r="Q125" s="29"/>
      <c r="R125" s="29">
        <v>8</v>
      </c>
      <c r="S125" s="29">
        <v>8</v>
      </c>
      <c r="T125" s="29">
        <v>8</v>
      </c>
      <c r="U125" s="29">
        <v>8</v>
      </c>
      <c r="V125" s="29">
        <v>8</v>
      </c>
      <c r="W125" s="29"/>
      <c r="X125" s="29"/>
      <c r="Y125" s="29"/>
      <c r="Z125" s="29">
        <v>8</v>
      </c>
      <c r="AA125" s="29">
        <v>8</v>
      </c>
      <c r="AB125" s="29">
        <v>8</v>
      </c>
      <c r="AC125" s="29">
        <v>8</v>
      </c>
      <c r="AD125" s="29"/>
      <c r="AE125" s="29"/>
      <c r="AF125" s="29">
        <v>8</v>
      </c>
      <c r="AG125" s="29"/>
      <c r="AI125" s="29" t="s">
        <v>44</v>
      </c>
      <c r="AJ125" s="32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9" t="s">
        <v>37</v>
      </c>
      <c r="C126" s="29"/>
      <c r="D126" s="29" t="s">
        <v>22</v>
      </c>
      <c r="E126" s="29"/>
      <c r="F126" s="29" t="s">
        <v>22</v>
      </c>
      <c r="G126" s="29" t="s">
        <v>22</v>
      </c>
      <c r="H126" s="29" t="s">
        <v>22</v>
      </c>
      <c r="I126" s="29"/>
      <c r="J126" s="29"/>
      <c r="K126" s="29" t="s">
        <v>22</v>
      </c>
      <c r="L126" s="29" t="s">
        <v>22</v>
      </c>
      <c r="M126" s="29" t="s">
        <v>22</v>
      </c>
      <c r="N126" s="29" t="s">
        <v>22</v>
      </c>
      <c r="O126" s="29" t="s">
        <v>22</v>
      </c>
      <c r="P126" s="29"/>
      <c r="Q126" s="29"/>
      <c r="R126" s="29" t="s">
        <v>22</v>
      </c>
      <c r="S126" s="29" t="s">
        <v>22</v>
      </c>
      <c r="T126" s="29" t="s">
        <v>22</v>
      </c>
      <c r="U126" s="29" t="s">
        <v>22</v>
      </c>
      <c r="V126" s="29" t="s">
        <v>22</v>
      </c>
      <c r="W126" s="29"/>
      <c r="X126" s="29"/>
      <c r="Y126" s="29"/>
      <c r="Z126" s="29" t="s">
        <v>22</v>
      </c>
      <c r="AA126" s="29" t="s">
        <v>22</v>
      </c>
      <c r="AB126" s="29" t="s">
        <v>22</v>
      </c>
      <c r="AC126" s="29" t="s">
        <v>22</v>
      </c>
      <c r="AD126" s="29"/>
      <c r="AE126" s="29"/>
      <c r="AF126" s="29" t="s">
        <v>22</v>
      </c>
      <c r="AG126" s="29"/>
      <c r="AI126" s="29" t="s">
        <v>45</v>
      </c>
      <c r="AJ126" s="31">
        <f>COUNTIF(C126:AG126,"出")</f>
        <v>0</v>
      </c>
    </row>
    <row r="127" spans="1:36" outlineLevel="1" x14ac:dyDescent="0.45">
      <c r="A127" s="29" t="s">
        <v>40</v>
      </c>
      <c r="C127" s="387"/>
      <c r="D127" s="387"/>
      <c r="E127" s="387"/>
      <c r="F127" s="387"/>
      <c r="G127" s="387"/>
      <c r="H127" s="387"/>
      <c r="I127" s="387"/>
      <c r="J127" s="387"/>
      <c r="K127" s="387"/>
      <c r="L127" s="387"/>
      <c r="M127" s="387"/>
      <c r="N127" s="387"/>
      <c r="O127" s="387"/>
      <c r="P127" s="387"/>
      <c r="Q127" s="387"/>
      <c r="S127" s="387"/>
      <c r="T127" s="387"/>
      <c r="U127" s="387"/>
      <c r="V127" s="387"/>
      <c r="W127" s="387"/>
      <c r="X127" s="387"/>
      <c r="Y127" s="387"/>
      <c r="Z127" s="387"/>
      <c r="AA127" s="387"/>
      <c r="AB127" s="387"/>
      <c r="AC127" s="387"/>
      <c r="AD127" s="387"/>
      <c r="AE127" s="387"/>
      <c r="AF127" s="387"/>
      <c r="AG127" s="387"/>
      <c r="AI127" s="29" t="s">
        <v>46</v>
      </c>
      <c r="AJ127" s="31">
        <f>COUNTIF(C126:AG126,"リ")</f>
        <v>19</v>
      </c>
    </row>
    <row r="128" spans="1:36" outlineLevel="1" x14ac:dyDescent="0.45">
      <c r="C128" s="387"/>
      <c r="D128" s="387"/>
      <c r="E128" s="387"/>
      <c r="F128" s="387"/>
      <c r="G128" s="387"/>
      <c r="H128" s="387"/>
      <c r="I128" s="387"/>
      <c r="J128" s="387"/>
      <c r="K128" s="387"/>
      <c r="L128" s="387"/>
      <c r="M128" s="387"/>
      <c r="N128" s="387"/>
      <c r="O128" s="387"/>
      <c r="P128" s="387"/>
      <c r="Q128" s="387"/>
      <c r="S128" s="387"/>
      <c r="T128" s="387"/>
      <c r="U128" s="387"/>
      <c r="V128" s="387"/>
      <c r="W128" s="387"/>
      <c r="X128" s="387"/>
      <c r="Y128" s="387"/>
      <c r="Z128" s="387"/>
      <c r="AA128" s="387"/>
      <c r="AB128" s="387"/>
      <c r="AC128" s="387"/>
      <c r="AD128" s="387"/>
      <c r="AE128" s="387"/>
      <c r="AF128" s="387"/>
      <c r="AG128" s="387"/>
      <c r="AI128" s="29" t="s">
        <v>25</v>
      </c>
      <c r="AJ128" s="33">
        <f>AJ126/(AJ126+AJ127)</f>
        <v>0</v>
      </c>
    </row>
    <row r="129" spans="1:36" outlineLevel="1" x14ac:dyDescent="0.45">
      <c r="C129" s="387"/>
      <c r="D129" s="387"/>
      <c r="E129" s="387"/>
      <c r="F129" s="387"/>
      <c r="G129" s="387"/>
      <c r="H129" s="387"/>
      <c r="I129" s="387"/>
      <c r="J129" s="387"/>
      <c r="K129" s="387"/>
      <c r="L129" s="387"/>
      <c r="M129" s="387"/>
      <c r="N129" s="387"/>
      <c r="O129" s="387"/>
      <c r="P129" s="387"/>
      <c r="Q129" s="387"/>
      <c r="S129" s="387"/>
      <c r="T129" s="387"/>
      <c r="U129" s="387"/>
      <c r="V129" s="387"/>
      <c r="W129" s="387"/>
      <c r="X129" s="387"/>
      <c r="Y129" s="387"/>
      <c r="Z129" s="387"/>
      <c r="AA129" s="387"/>
      <c r="AB129" s="387"/>
      <c r="AC129" s="387"/>
      <c r="AD129" s="387"/>
      <c r="AE129" s="387"/>
      <c r="AF129" s="387"/>
      <c r="AG129" s="387"/>
    </row>
    <row r="130" spans="1:36" outlineLevel="1" x14ac:dyDescent="0.45">
      <c r="C130" s="387"/>
      <c r="D130" s="387"/>
      <c r="E130" s="387"/>
      <c r="F130" s="387"/>
      <c r="G130" s="387"/>
      <c r="H130" s="387"/>
      <c r="I130" s="387"/>
      <c r="J130" s="387"/>
      <c r="K130" s="387"/>
      <c r="L130" s="387"/>
      <c r="M130" s="387"/>
      <c r="N130" s="387"/>
      <c r="O130" s="387"/>
      <c r="P130" s="387"/>
      <c r="Q130" s="387"/>
      <c r="S130" s="387"/>
      <c r="T130" s="387"/>
      <c r="U130" s="387"/>
      <c r="V130" s="387"/>
      <c r="W130" s="387"/>
      <c r="X130" s="387"/>
      <c r="Y130" s="387"/>
      <c r="Z130" s="387"/>
      <c r="AA130" s="387"/>
      <c r="AB130" s="387"/>
      <c r="AC130" s="387"/>
      <c r="AD130" s="387"/>
      <c r="AE130" s="387"/>
      <c r="AF130" s="387"/>
      <c r="AG130" s="387"/>
    </row>
    <row r="131" spans="1:36" outlineLevel="1" x14ac:dyDescent="0.45">
      <c r="C131" s="387"/>
      <c r="D131" s="387"/>
      <c r="E131" s="387"/>
      <c r="F131" s="387"/>
      <c r="G131" s="387"/>
      <c r="H131" s="387"/>
      <c r="I131" s="387"/>
      <c r="J131" s="387"/>
      <c r="K131" s="387"/>
      <c r="L131" s="387"/>
      <c r="M131" s="387"/>
      <c r="N131" s="387"/>
      <c r="O131" s="387"/>
      <c r="P131" s="387"/>
      <c r="Q131" s="387"/>
      <c r="S131" s="387"/>
      <c r="T131" s="387"/>
      <c r="U131" s="387"/>
      <c r="V131" s="387"/>
      <c r="W131" s="387"/>
      <c r="X131" s="387"/>
      <c r="Y131" s="387"/>
      <c r="Z131" s="387"/>
      <c r="AA131" s="387"/>
      <c r="AB131" s="387"/>
      <c r="AC131" s="387"/>
      <c r="AD131" s="387"/>
      <c r="AE131" s="387"/>
      <c r="AF131" s="387"/>
      <c r="AG131" s="387"/>
    </row>
    <row r="132" spans="1:36" outlineLevel="1" x14ac:dyDescent="0.45"/>
    <row r="133" spans="1:36" x14ac:dyDescent="0.45">
      <c r="C133" s="314">
        <v>46357</v>
      </c>
      <c r="D133" s="304"/>
      <c r="E133" s="304"/>
      <c r="F133" s="304"/>
      <c r="G133" s="304"/>
      <c r="H133" s="304"/>
      <c r="I133" s="304"/>
      <c r="J133" s="304"/>
      <c r="K133" s="304"/>
      <c r="L133" s="304"/>
      <c r="M133" s="304"/>
      <c r="N133" s="304"/>
      <c r="O133" s="304"/>
      <c r="P133" s="304"/>
      <c r="Q133" s="304"/>
      <c r="R133" s="304"/>
      <c r="S133" s="304"/>
      <c r="T133" s="304"/>
      <c r="U133" s="304"/>
      <c r="V133" s="304"/>
      <c r="W133" s="304"/>
      <c r="X133" s="304"/>
      <c r="Y133" s="304"/>
      <c r="Z133" s="304"/>
      <c r="AA133" s="304"/>
      <c r="AB133" s="304"/>
      <c r="AC133" s="304"/>
      <c r="AD133" s="304"/>
      <c r="AE133" s="304"/>
      <c r="AF133" s="304"/>
      <c r="AG133" s="304"/>
    </row>
    <row r="134" spans="1:36" outlineLevel="1" x14ac:dyDescent="0.45">
      <c r="C134" s="29" t="str">
        <f t="shared" ref="C134:AG134" si="22">TEXT(C135,"aaa")</f>
        <v>火</v>
      </c>
      <c r="D134" s="29" t="str">
        <f t="shared" si="22"/>
        <v>水</v>
      </c>
      <c r="E134" s="29" t="str">
        <f t="shared" si="22"/>
        <v>木</v>
      </c>
      <c r="F134" s="29" t="str">
        <f t="shared" si="22"/>
        <v>金</v>
      </c>
      <c r="G134" s="29" t="str">
        <f t="shared" si="22"/>
        <v>土</v>
      </c>
      <c r="H134" s="29" t="str">
        <f t="shared" si="22"/>
        <v>日</v>
      </c>
      <c r="I134" s="29" t="str">
        <f t="shared" si="22"/>
        <v>月</v>
      </c>
      <c r="J134" s="29" t="str">
        <f t="shared" si="22"/>
        <v>火</v>
      </c>
      <c r="K134" s="29" t="str">
        <f t="shared" si="22"/>
        <v>水</v>
      </c>
      <c r="L134" s="29" t="str">
        <f t="shared" si="22"/>
        <v>木</v>
      </c>
      <c r="M134" s="29" t="str">
        <f t="shared" si="22"/>
        <v>金</v>
      </c>
      <c r="N134" s="29" t="str">
        <f t="shared" si="22"/>
        <v>土</v>
      </c>
      <c r="O134" s="29" t="str">
        <f t="shared" si="22"/>
        <v>日</v>
      </c>
      <c r="P134" s="29" t="str">
        <f t="shared" si="22"/>
        <v>月</v>
      </c>
      <c r="Q134" s="29" t="str">
        <f t="shared" si="22"/>
        <v>火</v>
      </c>
      <c r="R134" s="29" t="str">
        <f t="shared" si="22"/>
        <v>水</v>
      </c>
      <c r="S134" s="29" t="str">
        <f t="shared" si="22"/>
        <v>木</v>
      </c>
      <c r="T134" s="29" t="str">
        <f t="shared" si="22"/>
        <v>金</v>
      </c>
      <c r="U134" s="29" t="str">
        <f t="shared" si="22"/>
        <v>土</v>
      </c>
      <c r="V134" s="29" t="str">
        <f t="shared" si="22"/>
        <v>日</v>
      </c>
      <c r="W134" s="29" t="str">
        <f t="shared" si="22"/>
        <v>月</v>
      </c>
      <c r="X134" s="29" t="str">
        <f t="shared" si="22"/>
        <v>火</v>
      </c>
      <c r="Y134" s="29" t="str">
        <f t="shared" si="22"/>
        <v>水</v>
      </c>
      <c r="Z134" s="29" t="str">
        <f t="shared" si="22"/>
        <v>木</v>
      </c>
      <c r="AA134" s="29" t="str">
        <f t="shared" si="22"/>
        <v>金</v>
      </c>
      <c r="AB134" s="29" t="str">
        <f t="shared" si="22"/>
        <v>土</v>
      </c>
      <c r="AC134" s="29" t="str">
        <f t="shared" si="22"/>
        <v>日</v>
      </c>
      <c r="AD134" s="29" t="str">
        <f t="shared" si="22"/>
        <v>月</v>
      </c>
      <c r="AE134" s="29" t="str">
        <f t="shared" si="22"/>
        <v>火</v>
      </c>
      <c r="AF134" s="29" t="str">
        <f t="shared" si="22"/>
        <v>水</v>
      </c>
      <c r="AG134" s="29" t="str">
        <f t="shared" si="22"/>
        <v>木</v>
      </c>
      <c r="AI134" s="95" t="s">
        <v>41</v>
      </c>
      <c r="AJ134" s="96">
        <f>COUNT(C136:AG136)</f>
        <v>20</v>
      </c>
    </row>
    <row r="135" spans="1:36" outlineLevel="1" x14ac:dyDescent="0.45">
      <c r="C135" s="30">
        <f>C133</f>
        <v>46357</v>
      </c>
      <c r="D135" s="30">
        <f t="shared" ref="D135:AG135" si="23">IF(C135="","",IF(C135+1&lt;=EOMONTH($C133,0),C135+1,""))</f>
        <v>46358</v>
      </c>
      <c r="E135" s="30">
        <f t="shared" si="23"/>
        <v>46359</v>
      </c>
      <c r="F135" s="30">
        <f t="shared" si="23"/>
        <v>46360</v>
      </c>
      <c r="G135" s="30">
        <f t="shared" si="23"/>
        <v>46361</v>
      </c>
      <c r="H135" s="30">
        <f t="shared" si="23"/>
        <v>46362</v>
      </c>
      <c r="I135" s="30">
        <f t="shared" si="23"/>
        <v>46363</v>
      </c>
      <c r="J135" s="30">
        <f t="shared" si="23"/>
        <v>46364</v>
      </c>
      <c r="K135" s="30">
        <f t="shared" si="23"/>
        <v>46365</v>
      </c>
      <c r="L135" s="30">
        <f t="shared" si="23"/>
        <v>46366</v>
      </c>
      <c r="M135" s="30">
        <f t="shared" si="23"/>
        <v>46367</v>
      </c>
      <c r="N135" s="30">
        <f t="shared" si="23"/>
        <v>46368</v>
      </c>
      <c r="O135" s="30">
        <f t="shared" si="23"/>
        <v>46369</v>
      </c>
      <c r="P135" s="30">
        <f t="shared" si="23"/>
        <v>46370</v>
      </c>
      <c r="Q135" s="30">
        <f t="shared" si="23"/>
        <v>46371</v>
      </c>
      <c r="R135" s="30">
        <f t="shared" si="23"/>
        <v>46372</v>
      </c>
      <c r="S135" s="30">
        <f t="shared" si="23"/>
        <v>46373</v>
      </c>
      <c r="T135" s="30">
        <f t="shared" si="23"/>
        <v>46374</v>
      </c>
      <c r="U135" s="30">
        <f t="shared" si="23"/>
        <v>46375</v>
      </c>
      <c r="V135" s="30">
        <f t="shared" si="23"/>
        <v>46376</v>
      </c>
      <c r="W135" s="30">
        <f t="shared" si="23"/>
        <v>46377</v>
      </c>
      <c r="X135" s="30">
        <f t="shared" si="23"/>
        <v>46378</v>
      </c>
      <c r="Y135" s="30">
        <f t="shared" si="23"/>
        <v>46379</v>
      </c>
      <c r="Z135" s="30">
        <f t="shared" si="23"/>
        <v>46380</v>
      </c>
      <c r="AA135" s="30">
        <f t="shared" si="23"/>
        <v>46381</v>
      </c>
      <c r="AB135" s="30">
        <f t="shared" si="23"/>
        <v>46382</v>
      </c>
      <c r="AC135" s="30">
        <f t="shared" si="23"/>
        <v>46383</v>
      </c>
      <c r="AD135" s="30">
        <f t="shared" si="23"/>
        <v>46384</v>
      </c>
      <c r="AE135" s="30">
        <f t="shared" si="23"/>
        <v>46385</v>
      </c>
      <c r="AF135" s="30">
        <f t="shared" si="23"/>
        <v>46386</v>
      </c>
      <c r="AG135" s="30">
        <f t="shared" si="23"/>
        <v>46387</v>
      </c>
      <c r="AI135" s="95" t="s">
        <v>42</v>
      </c>
      <c r="AJ135" s="97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5" t="s">
        <v>38</v>
      </c>
      <c r="C136" s="94">
        <v>8</v>
      </c>
      <c r="D136" s="94">
        <v>8</v>
      </c>
      <c r="E136" s="94">
        <v>8</v>
      </c>
      <c r="F136" s="94">
        <v>8</v>
      </c>
      <c r="G136" s="94"/>
      <c r="H136" s="94"/>
      <c r="I136" s="94">
        <v>8</v>
      </c>
      <c r="J136" s="94">
        <v>8</v>
      </c>
      <c r="K136" s="94">
        <v>8</v>
      </c>
      <c r="L136" s="94">
        <v>8</v>
      </c>
      <c r="M136" s="94">
        <v>8</v>
      </c>
      <c r="N136" s="94"/>
      <c r="O136" s="94"/>
      <c r="P136" s="94">
        <v>8</v>
      </c>
      <c r="Q136" s="94">
        <v>8</v>
      </c>
      <c r="R136" s="94">
        <v>8</v>
      </c>
      <c r="S136" s="94">
        <v>8</v>
      </c>
      <c r="T136" s="94">
        <v>8</v>
      </c>
      <c r="U136" s="94"/>
      <c r="V136" s="94"/>
      <c r="W136" s="94">
        <v>8</v>
      </c>
      <c r="X136" s="94">
        <v>8</v>
      </c>
      <c r="Y136" s="94">
        <v>8</v>
      </c>
      <c r="Z136" s="94">
        <v>8</v>
      </c>
      <c r="AA136" s="94">
        <v>8</v>
      </c>
      <c r="AB136" s="94"/>
      <c r="AC136" s="94"/>
      <c r="AD136" s="94">
        <v>8</v>
      </c>
      <c r="AE136" s="94"/>
      <c r="AF136" s="94"/>
      <c r="AG136" s="94"/>
      <c r="AI136" s="29" t="s">
        <v>43</v>
      </c>
      <c r="AJ136" s="31">
        <f>COUNT(C137:AG137)</f>
        <v>20</v>
      </c>
    </row>
    <row r="137" spans="1:36" outlineLevel="1" x14ac:dyDescent="0.45">
      <c r="A137" s="29" t="s">
        <v>39</v>
      </c>
      <c r="C137" s="29">
        <v>8</v>
      </c>
      <c r="D137" s="29">
        <v>8</v>
      </c>
      <c r="E137" s="29">
        <v>8</v>
      </c>
      <c r="F137" s="29">
        <v>8</v>
      </c>
      <c r="G137" s="29"/>
      <c r="H137" s="29"/>
      <c r="I137" s="29">
        <v>8</v>
      </c>
      <c r="J137" s="29">
        <v>8</v>
      </c>
      <c r="K137" s="29">
        <v>8</v>
      </c>
      <c r="L137" s="29">
        <v>8</v>
      </c>
      <c r="M137" s="29">
        <v>8</v>
      </c>
      <c r="N137" s="29"/>
      <c r="O137" s="29"/>
      <c r="P137" s="29">
        <v>8</v>
      </c>
      <c r="Q137" s="29">
        <v>8</v>
      </c>
      <c r="R137" s="29">
        <v>8</v>
      </c>
      <c r="S137" s="29">
        <v>8</v>
      </c>
      <c r="T137" s="29">
        <v>8</v>
      </c>
      <c r="U137" s="29"/>
      <c r="V137" s="29"/>
      <c r="W137" s="29">
        <v>8</v>
      </c>
      <c r="X137" s="29">
        <v>8</v>
      </c>
      <c r="Y137" s="29">
        <v>8</v>
      </c>
      <c r="Z137" s="29">
        <v>8</v>
      </c>
      <c r="AA137" s="29">
        <v>8</v>
      </c>
      <c r="AB137" s="29"/>
      <c r="AC137" s="29"/>
      <c r="AD137" s="29">
        <v>8</v>
      </c>
      <c r="AE137" s="29"/>
      <c r="AF137" s="29"/>
      <c r="AG137" s="29"/>
      <c r="AI137" s="29" t="s">
        <v>44</v>
      </c>
      <c r="AJ137" s="32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9" t="s">
        <v>37</v>
      </c>
      <c r="C138" s="29" t="s">
        <v>22</v>
      </c>
      <c r="D138" s="29" t="s">
        <v>22</v>
      </c>
      <c r="E138" s="29" t="s">
        <v>22</v>
      </c>
      <c r="F138" s="29" t="s">
        <v>22</v>
      </c>
      <c r="G138" s="29"/>
      <c r="H138" s="29"/>
      <c r="I138" s="29" t="s">
        <v>22</v>
      </c>
      <c r="J138" s="29" t="s">
        <v>22</v>
      </c>
      <c r="K138" s="29" t="s">
        <v>22</v>
      </c>
      <c r="L138" s="29" t="s">
        <v>22</v>
      </c>
      <c r="M138" s="29" t="s">
        <v>22</v>
      </c>
      <c r="N138" s="29"/>
      <c r="O138" s="29"/>
      <c r="P138" s="29" t="s">
        <v>22</v>
      </c>
      <c r="Q138" s="29" t="s">
        <v>22</v>
      </c>
      <c r="R138" s="29" t="s">
        <v>22</v>
      </c>
      <c r="S138" s="29" t="s">
        <v>22</v>
      </c>
      <c r="T138" s="29" t="s">
        <v>22</v>
      </c>
      <c r="U138" s="29"/>
      <c r="V138" s="29"/>
      <c r="W138" s="29" t="s">
        <v>22</v>
      </c>
      <c r="X138" s="29" t="s">
        <v>22</v>
      </c>
      <c r="Y138" s="29" t="s">
        <v>22</v>
      </c>
      <c r="Z138" s="29" t="s">
        <v>22</v>
      </c>
      <c r="AA138" s="29" t="s">
        <v>22</v>
      </c>
      <c r="AB138" s="29"/>
      <c r="AC138" s="29"/>
      <c r="AD138" s="29" t="s">
        <v>22</v>
      </c>
      <c r="AE138" s="29"/>
      <c r="AF138" s="29"/>
      <c r="AG138" s="29"/>
      <c r="AI138" s="29" t="s">
        <v>45</v>
      </c>
      <c r="AJ138" s="31">
        <f>COUNTIF(C138:AG138,"出")</f>
        <v>0</v>
      </c>
    </row>
    <row r="139" spans="1:36" outlineLevel="1" x14ac:dyDescent="0.45">
      <c r="A139" s="29" t="s">
        <v>40</v>
      </c>
      <c r="C139" s="387"/>
      <c r="D139" s="387"/>
      <c r="E139" s="387"/>
      <c r="F139" s="387"/>
      <c r="G139" s="387"/>
      <c r="H139" s="387"/>
      <c r="I139" s="387"/>
      <c r="J139" s="387"/>
      <c r="K139" s="387"/>
      <c r="L139" s="387"/>
      <c r="M139" s="387"/>
      <c r="N139" s="387"/>
      <c r="O139" s="387"/>
      <c r="P139" s="387"/>
      <c r="Q139" s="387"/>
      <c r="S139" s="387"/>
      <c r="T139" s="387"/>
      <c r="U139" s="387"/>
      <c r="V139" s="387"/>
      <c r="W139" s="387"/>
      <c r="X139" s="387"/>
      <c r="Y139" s="387"/>
      <c r="Z139" s="387"/>
      <c r="AA139" s="387"/>
      <c r="AB139" s="387"/>
      <c r="AC139" s="387"/>
      <c r="AD139" s="387"/>
      <c r="AE139" s="387"/>
      <c r="AF139" s="387"/>
      <c r="AG139" s="387"/>
      <c r="AI139" s="29" t="s">
        <v>46</v>
      </c>
      <c r="AJ139" s="31">
        <f>COUNTIF(C138:AG138,"リ")</f>
        <v>20</v>
      </c>
    </row>
    <row r="140" spans="1:36" outlineLevel="1" x14ac:dyDescent="0.45">
      <c r="C140" s="387"/>
      <c r="D140" s="387"/>
      <c r="E140" s="387"/>
      <c r="F140" s="387"/>
      <c r="G140" s="387"/>
      <c r="H140" s="387"/>
      <c r="I140" s="387"/>
      <c r="J140" s="387"/>
      <c r="K140" s="387"/>
      <c r="L140" s="387"/>
      <c r="M140" s="387"/>
      <c r="N140" s="387"/>
      <c r="O140" s="387"/>
      <c r="P140" s="387"/>
      <c r="Q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D140" s="387"/>
      <c r="AE140" s="387"/>
      <c r="AF140" s="387"/>
      <c r="AG140" s="387"/>
      <c r="AI140" s="29" t="s">
        <v>25</v>
      </c>
      <c r="AJ140" s="33">
        <f>AJ138/(AJ138+AJ139)</f>
        <v>0</v>
      </c>
    </row>
    <row r="141" spans="1:36" outlineLevel="1" x14ac:dyDescent="0.45">
      <c r="C141" s="387"/>
      <c r="D141" s="387"/>
      <c r="E141" s="387"/>
      <c r="F141" s="387"/>
      <c r="G141" s="387"/>
      <c r="H141" s="387"/>
      <c r="I141" s="387"/>
      <c r="J141" s="387"/>
      <c r="K141" s="387"/>
      <c r="L141" s="387"/>
      <c r="M141" s="387"/>
      <c r="N141" s="387"/>
      <c r="O141" s="387"/>
      <c r="P141" s="387"/>
      <c r="Q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D141" s="387"/>
      <c r="AE141" s="387"/>
      <c r="AF141" s="387"/>
      <c r="AG141" s="387"/>
    </row>
    <row r="142" spans="1:36" outlineLevel="1" x14ac:dyDescent="0.45">
      <c r="C142" s="387"/>
      <c r="D142" s="387"/>
      <c r="E142" s="387"/>
      <c r="F142" s="387"/>
      <c r="G142" s="387"/>
      <c r="H142" s="387"/>
      <c r="I142" s="387"/>
      <c r="J142" s="387"/>
      <c r="K142" s="387"/>
      <c r="L142" s="387"/>
      <c r="M142" s="387"/>
      <c r="N142" s="387"/>
      <c r="O142" s="387"/>
      <c r="P142" s="387"/>
      <c r="Q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E142" s="387"/>
      <c r="AF142" s="387"/>
      <c r="AG142" s="387"/>
    </row>
    <row r="143" spans="1:36" outlineLevel="1" x14ac:dyDescent="0.45">
      <c r="C143" s="387"/>
      <c r="D143" s="387"/>
      <c r="E143" s="387"/>
      <c r="F143" s="387"/>
      <c r="G143" s="387"/>
      <c r="H143" s="387"/>
      <c r="I143" s="387"/>
      <c r="J143" s="387"/>
      <c r="K143" s="387"/>
      <c r="L143" s="387"/>
      <c r="M143" s="387"/>
      <c r="N143" s="387"/>
      <c r="O143" s="387"/>
      <c r="P143" s="387"/>
      <c r="Q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D143" s="387"/>
      <c r="AE143" s="387"/>
      <c r="AF143" s="387"/>
      <c r="AG143" s="387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39" priority="1" stopIfTrue="1">
      <formula>C$3=""</formula>
    </cfRule>
  </conditionalFormatting>
  <conditionalFormatting sqref="C2:AG2">
    <cfRule type="expression" dxfId="238" priority="3" stopIfTrue="1">
      <formula>WEEKDAY(C3,2)=7</formula>
    </cfRule>
    <cfRule type="expression" dxfId="237" priority="4" stopIfTrue="1">
      <formula>WEEKDAY(C3,2)=6</formula>
    </cfRule>
  </conditionalFormatting>
  <conditionalFormatting sqref="C14:AG18">
    <cfRule type="expression" dxfId="236" priority="5" stopIfTrue="1">
      <formula>C$15=""</formula>
    </cfRule>
  </conditionalFormatting>
  <conditionalFormatting sqref="C14:AG14">
    <cfRule type="expression" dxfId="235" priority="7" stopIfTrue="1">
      <formula>WEEKDAY(C15,2)=7</formula>
    </cfRule>
    <cfRule type="expression" dxfId="234" priority="8" stopIfTrue="1">
      <formula>WEEKDAY(C15,2)=6</formula>
    </cfRule>
  </conditionalFormatting>
  <conditionalFormatting sqref="C26:AG30">
    <cfRule type="expression" dxfId="233" priority="9" stopIfTrue="1">
      <formula>C$27=""</formula>
    </cfRule>
  </conditionalFormatting>
  <conditionalFormatting sqref="C26:AG26">
    <cfRule type="expression" dxfId="232" priority="11" stopIfTrue="1">
      <formula>WEEKDAY(C27,2)=7</formula>
    </cfRule>
    <cfRule type="expression" dxfId="231" priority="12" stopIfTrue="1">
      <formula>WEEKDAY(C27,2)=6</formula>
    </cfRule>
  </conditionalFormatting>
  <conditionalFormatting sqref="C38:AG42">
    <cfRule type="expression" dxfId="230" priority="13" stopIfTrue="1">
      <formula>C$39=""</formula>
    </cfRule>
  </conditionalFormatting>
  <conditionalFormatting sqref="C38:AG38">
    <cfRule type="expression" dxfId="229" priority="15" stopIfTrue="1">
      <formula>WEEKDAY(C39,2)=7</formula>
    </cfRule>
    <cfRule type="expression" dxfId="228" priority="16" stopIfTrue="1">
      <formula>WEEKDAY(C39,2)=6</formula>
    </cfRule>
  </conditionalFormatting>
  <conditionalFormatting sqref="C50:AG54">
    <cfRule type="expression" dxfId="227" priority="17" stopIfTrue="1">
      <formula>C$51=""</formula>
    </cfRule>
  </conditionalFormatting>
  <conditionalFormatting sqref="C50:AG50">
    <cfRule type="expression" dxfId="226" priority="19" stopIfTrue="1">
      <formula>WEEKDAY(C51,2)=7</formula>
    </cfRule>
    <cfRule type="expression" dxfId="225" priority="20" stopIfTrue="1">
      <formula>WEEKDAY(C51,2)=6</formula>
    </cfRule>
  </conditionalFormatting>
  <conditionalFormatting sqref="C62:AG66">
    <cfRule type="expression" dxfId="224" priority="21" stopIfTrue="1">
      <formula>C$63=""</formula>
    </cfRule>
  </conditionalFormatting>
  <conditionalFormatting sqref="C62:AG62">
    <cfRule type="expression" dxfId="223" priority="23" stopIfTrue="1">
      <formula>WEEKDAY(C63,2)=7</formula>
    </cfRule>
    <cfRule type="expression" dxfId="222" priority="24" stopIfTrue="1">
      <formula>WEEKDAY(C63,2)=6</formula>
    </cfRule>
  </conditionalFormatting>
  <conditionalFormatting sqref="C74:AG78">
    <cfRule type="expression" dxfId="221" priority="25" stopIfTrue="1">
      <formula>C$75=""</formula>
    </cfRule>
  </conditionalFormatting>
  <conditionalFormatting sqref="C74:AG74">
    <cfRule type="expression" dxfId="220" priority="27" stopIfTrue="1">
      <formula>WEEKDAY(C75,2)=7</formula>
    </cfRule>
    <cfRule type="expression" dxfId="219" priority="28" stopIfTrue="1">
      <formula>WEEKDAY(C75,2)=6</formula>
    </cfRule>
  </conditionalFormatting>
  <conditionalFormatting sqref="C86:AG90">
    <cfRule type="expression" dxfId="218" priority="29" stopIfTrue="1">
      <formula>C$87=""</formula>
    </cfRule>
  </conditionalFormatting>
  <conditionalFormatting sqref="C86:AG86">
    <cfRule type="expression" dxfId="217" priority="31" stopIfTrue="1">
      <formula>WEEKDAY(C87,2)=7</formula>
    </cfRule>
    <cfRule type="expression" dxfId="216" priority="32" stopIfTrue="1">
      <formula>WEEKDAY(C87,2)=6</formula>
    </cfRule>
  </conditionalFormatting>
  <conditionalFormatting sqref="C98:AG102">
    <cfRule type="expression" dxfId="215" priority="33" stopIfTrue="1">
      <formula>C$99=""</formula>
    </cfRule>
  </conditionalFormatting>
  <conditionalFormatting sqref="C98:AG98">
    <cfRule type="expression" dxfId="214" priority="35" stopIfTrue="1">
      <formula>WEEKDAY(C99,2)=7</formula>
    </cfRule>
    <cfRule type="expression" dxfId="213" priority="36" stopIfTrue="1">
      <formula>WEEKDAY(C99,2)=6</formula>
    </cfRule>
  </conditionalFormatting>
  <conditionalFormatting sqref="C110:AG114">
    <cfRule type="expression" dxfId="212" priority="37" stopIfTrue="1">
      <formula>C$111=""</formula>
    </cfRule>
  </conditionalFormatting>
  <conditionalFormatting sqref="C110:AG110">
    <cfRule type="expression" dxfId="211" priority="39" stopIfTrue="1">
      <formula>WEEKDAY(C111,2)=7</formula>
    </cfRule>
    <cfRule type="expression" dxfId="210" priority="40" stopIfTrue="1">
      <formula>WEEKDAY(C111,2)=6</formula>
    </cfRule>
  </conditionalFormatting>
  <conditionalFormatting sqref="C122:AG126">
    <cfRule type="expression" dxfId="209" priority="41" stopIfTrue="1">
      <formula>C$123=""</formula>
    </cfRule>
  </conditionalFormatting>
  <conditionalFormatting sqref="C122:AG122">
    <cfRule type="expression" dxfId="208" priority="43" stopIfTrue="1">
      <formula>WEEKDAY(C123,2)=7</formula>
    </cfRule>
  </conditionalFormatting>
  <conditionalFormatting sqref="C122:AG122">
    <cfRule type="expression" dxfId="207" priority="44" stopIfTrue="1">
      <formula>WEEKDAY(C123,2)=6</formula>
    </cfRule>
  </conditionalFormatting>
  <conditionalFormatting sqref="C134:AG138">
    <cfRule type="expression" dxfId="206" priority="45" stopIfTrue="1">
      <formula>C$135=""</formula>
    </cfRule>
  </conditionalFormatting>
  <conditionalFormatting sqref="C134:AG134">
    <cfRule type="expression" dxfId="205" priority="47" stopIfTrue="1">
      <formula>WEEKDAY(C135,2)=7</formula>
    </cfRule>
  </conditionalFormatting>
  <conditionalFormatting sqref="C134:AG134">
    <cfRule type="expression" dxfId="204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D63BDE8-66B0-4745-8A9B-DB5FE270DA14}">
            <xm:f>COUNTIF(祝日!$B:$B,C3)&gt;0</xm:f>
            <x14:dxf>
              <fill>
                <patternFill>
                  <bgColor rgb="FFFF8C8C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73187FA-5E67-4449-8E6D-F9AF06772DC5}">
            <xm:f>COUNTIF(祝日!$B:$B,C15)&gt;0</xm:f>
            <x14:dxf>
              <fill>
                <patternFill>
                  <bgColor rgb="FFFF8C8C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65C7FA7-2618-49FC-B9D8-877C166DB6D1}">
            <xm:f>COUNTIF(祝日!$B:$B,C27)&gt;0</xm:f>
            <x14:dxf>
              <fill>
                <patternFill>
                  <bgColor rgb="FFFF8C8C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5E568B36-462C-4E1F-9589-38AD8C2B55E1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5C7398FD-CCA8-46F4-815B-F1571FCA5299}">
            <xm:f>COUNTIF(祝日!$B:$B,C51)&gt;0</xm:f>
            <x14:dxf>
              <fill>
                <patternFill>
                  <bgColor rgb="FFFF8C8C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C5166D8-8EC5-42DF-8C87-D89748B32CA2}">
            <xm:f>COUNTIF(祝日!$B:$B,C63)&gt;0</xm:f>
            <x14:dxf>
              <fill>
                <patternFill>
                  <bgColor rgb="FFFF8C8C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D9DC914-9D79-412F-88B0-EC260C1A51B4}">
            <xm:f>COUNTIF(祝日!$B:$B,C75)&gt;0</xm:f>
            <x14:dxf>
              <fill>
                <patternFill>
                  <bgColor rgb="FFFF8C8C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29ED6CC8-DE84-4FED-979C-1E020967F7ED}">
            <xm:f>COUNTIF(祝日!$B:$B,C87)&gt;0</xm:f>
            <x14:dxf>
              <fill>
                <patternFill>
                  <bgColor rgb="FFFF8C8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F08F83F-91A6-4290-A953-33C35C77C8D9}">
            <xm:f>COUNTIF(祝日!$B:$B,C99)&gt;0</xm:f>
            <x14:dxf>
              <fill>
                <patternFill>
                  <bgColor rgb="FFFF8C8C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97E5B772-82F5-4734-8754-C6021334F319}">
            <xm:f>COUNTIF(祝日!$B:$B,C111)&gt;0</xm:f>
            <x14:dxf>
              <fill>
                <patternFill>
                  <bgColor rgb="FFFF8C8C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82FD927E-637C-496B-A526-1637D9D77503}">
            <xm:f>COUNTIF(祝日!$B:$B,C123)&gt;0</xm:f>
            <x14:dxf>
              <fill>
                <patternFill>
                  <bgColor rgb="FFFF8C8C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97F3F55F-D878-4B9E-B4F1-E9474B1E8786}">
            <xm:f>COUNTIF(祝日!$B:$B,C135)&gt;0</xm:f>
            <x14:dxf>
              <fill>
                <patternFill>
                  <bgColor rgb="FFFF8C8C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5B42-FB31-4734-9F97-99ADDA01C2A4}">
  <sheetPr codeName="Sheet102"/>
  <dimension ref="A1:AJ144"/>
  <sheetViews>
    <sheetView showGridLines="0" workbookViewId="0"/>
  </sheetViews>
  <sheetFormatPr defaultRowHeight="18" outlineLevelRow="1" x14ac:dyDescent="0.45"/>
  <cols>
    <col min="1" max="1" width="3.69921875" style="87" customWidth="1"/>
    <col min="2" max="2" width="0.8984375" style="87" customWidth="1"/>
    <col min="3" max="33" width="3.69921875" style="87" customWidth="1"/>
    <col min="34" max="34" width="0.8984375" style="87" customWidth="1"/>
    <col min="35" max="36" width="8.69921875" style="87" customWidth="1"/>
    <col min="37" max="16384" width="8.796875" style="87"/>
  </cols>
  <sheetData>
    <row r="1" spans="1:36" x14ac:dyDescent="0.45">
      <c r="C1" s="320">
        <v>46023</v>
      </c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  <c r="S1" s="321"/>
      <c r="T1" s="321"/>
      <c r="U1" s="321"/>
      <c r="V1" s="321"/>
      <c r="W1" s="321"/>
      <c r="X1" s="321"/>
      <c r="Y1" s="321"/>
      <c r="Z1" s="321"/>
      <c r="AA1" s="321"/>
      <c r="AB1" s="321"/>
      <c r="AC1" s="321"/>
      <c r="AD1" s="321"/>
      <c r="AE1" s="321"/>
      <c r="AF1" s="321"/>
      <c r="AG1" s="321"/>
    </row>
    <row r="2" spans="1:36" outlineLevel="1" x14ac:dyDescent="0.45">
      <c r="C2" s="86" t="str">
        <f t="shared" ref="C2:AG2" si="0">TEXT(C3,"aaa")</f>
        <v>木</v>
      </c>
      <c r="D2" s="86" t="str">
        <f t="shared" si="0"/>
        <v>金</v>
      </c>
      <c r="E2" s="86" t="str">
        <f t="shared" si="0"/>
        <v>土</v>
      </c>
      <c r="F2" s="86" t="str">
        <f t="shared" si="0"/>
        <v>日</v>
      </c>
      <c r="G2" s="86" t="str">
        <f t="shared" si="0"/>
        <v>月</v>
      </c>
      <c r="H2" s="86" t="str">
        <f t="shared" si="0"/>
        <v>火</v>
      </c>
      <c r="I2" s="86" t="str">
        <f t="shared" si="0"/>
        <v>水</v>
      </c>
      <c r="J2" s="86" t="str">
        <f t="shared" si="0"/>
        <v>木</v>
      </c>
      <c r="K2" s="86" t="str">
        <f t="shared" si="0"/>
        <v>金</v>
      </c>
      <c r="L2" s="86" t="str">
        <f t="shared" si="0"/>
        <v>土</v>
      </c>
      <c r="M2" s="86" t="str">
        <f t="shared" si="0"/>
        <v>日</v>
      </c>
      <c r="N2" s="86" t="str">
        <f t="shared" si="0"/>
        <v>月</v>
      </c>
      <c r="O2" s="86" t="str">
        <f t="shared" si="0"/>
        <v>火</v>
      </c>
      <c r="P2" s="86" t="str">
        <f t="shared" si="0"/>
        <v>水</v>
      </c>
      <c r="Q2" s="86" t="str">
        <f t="shared" si="0"/>
        <v>木</v>
      </c>
      <c r="R2" s="86" t="str">
        <f t="shared" si="0"/>
        <v>金</v>
      </c>
      <c r="S2" s="86" t="str">
        <f t="shared" si="0"/>
        <v>土</v>
      </c>
      <c r="T2" s="86" t="str">
        <f t="shared" si="0"/>
        <v>日</v>
      </c>
      <c r="U2" s="86" t="str">
        <f t="shared" si="0"/>
        <v>月</v>
      </c>
      <c r="V2" s="86" t="str">
        <f t="shared" si="0"/>
        <v>火</v>
      </c>
      <c r="W2" s="86" t="str">
        <f t="shared" si="0"/>
        <v>水</v>
      </c>
      <c r="X2" s="86" t="str">
        <f t="shared" si="0"/>
        <v>木</v>
      </c>
      <c r="Y2" s="86" t="str">
        <f t="shared" si="0"/>
        <v>金</v>
      </c>
      <c r="Z2" s="86" t="str">
        <f t="shared" si="0"/>
        <v>土</v>
      </c>
      <c r="AA2" s="86" t="str">
        <f t="shared" si="0"/>
        <v>日</v>
      </c>
      <c r="AB2" s="86" t="str">
        <f t="shared" si="0"/>
        <v>月</v>
      </c>
      <c r="AC2" s="86" t="str">
        <f t="shared" si="0"/>
        <v>火</v>
      </c>
      <c r="AD2" s="86" t="str">
        <f t="shared" si="0"/>
        <v>水</v>
      </c>
      <c r="AE2" s="86" t="str">
        <f t="shared" si="0"/>
        <v>木</v>
      </c>
      <c r="AF2" s="86" t="str">
        <f t="shared" si="0"/>
        <v>金</v>
      </c>
      <c r="AG2" s="86" t="str">
        <f t="shared" si="0"/>
        <v>土</v>
      </c>
      <c r="AI2" s="19" t="s">
        <v>41</v>
      </c>
      <c r="AJ2" s="21">
        <f>COUNT(C4:AG4)</f>
        <v>19</v>
      </c>
    </row>
    <row r="3" spans="1:36" outlineLevel="1" x14ac:dyDescent="0.45">
      <c r="C3" s="89">
        <f>C1</f>
        <v>46023</v>
      </c>
      <c r="D3" s="89">
        <f t="shared" ref="D3:AG3" si="1">IF(C3="","",IF(C3+1&lt;=EOMONTH($C1,0),C3+1,""))</f>
        <v>46024</v>
      </c>
      <c r="E3" s="89">
        <f t="shared" si="1"/>
        <v>46025</v>
      </c>
      <c r="F3" s="89">
        <f t="shared" si="1"/>
        <v>46026</v>
      </c>
      <c r="G3" s="89">
        <f t="shared" si="1"/>
        <v>46027</v>
      </c>
      <c r="H3" s="89">
        <f t="shared" si="1"/>
        <v>46028</v>
      </c>
      <c r="I3" s="89">
        <f t="shared" si="1"/>
        <v>46029</v>
      </c>
      <c r="J3" s="89">
        <f t="shared" si="1"/>
        <v>46030</v>
      </c>
      <c r="K3" s="89">
        <f t="shared" si="1"/>
        <v>46031</v>
      </c>
      <c r="L3" s="89">
        <f t="shared" si="1"/>
        <v>46032</v>
      </c>
      <c r="M3" s="89">
        <f t="shared" si="1"/>
        <v>46033</v>
      </c>
      <c r="N3" s="89">
        <f t="shared" si="1"/>
        <v>46034</v>
      </c>
      <c r="O3" s="89">
        <f t="shared" si="1"/>
        <v>46035</v>
      </c>
      <c r="P3" s="89">
        <f t="shared" si="1"/>
        <v>46036</v>
      </c>
      <c r="Q3" s="89">
        <f t="shared" si="1"/>
        <v>46037</v>
      </c>
      <c r="R3" s="89">
        <f t="shared" si="1"/>
        <v>46038</v>
      </c>
      <c r="S3" s="89">
        <f t="shared" si="1"/>
        <v>46039</v>
      </c>
      <c r="T3" s="89">
        <f t="shared" si="1"/>
        <v>46040</v>
      </c>
      <c r="U3" s="89">
        <f t="shared" si="1"/>
        <v>46041</v>
      </c>
      <c r="V3" s="89">
        <f t="shared" si="1"/>
        <v>46042</v>
      </c>
      <c r="W3" s="89">
        <f t="shared" si="1"/>
        <v>46043</v>
      </c>
      <c r="X3" s="89">
        <f t="shared" si="1"/>
        <v>46044</v>
      </c>
      <c r="Y3" s="89">
        <f t="shared" si="1"/>
        <v>46045</v>
      </c>
      <c r="Z3" s="89">
        <f t="shared" si="1"/>
        <v>46046</v>
      </c>
      <c r="AA3" s="89">
        <f t="shared" si="1"/>
        <v>46047</v>
      </c>
      <c r="AB3" s="89">
        <f t="shared" si="1"/>
        <v>46048</v>
      </c>
      <c r="AC3" s="89">
        <f t="shared" si="1"/>
        <v>46049</v>
      </c>
      <c r="AD3" s="89">
        <f t="shared" si="1"/>
        <v>46050</v>
      </c>
      <c r="AE3" s="89">
        <f t="shared" si="1"/>
        <v>46051</v>
      </c>
      <c r="AF3" s="89">
        <f t="shared" si="1"/>
        <v>46052</v>
      </c>
      <c r="AG3" s="89">
        <f t="shared" si="1"/>
        <v>46053</v>
      </c>
      <c r="AI3" s="19" t="s">
        <v>42</v>
      </c>
      <c r="AJ3" s="20" t="str">
        <f>_xlfn.LET(_xlpm.v,SUM(C4:AG4),IF(_xlpm.v=INT(_xlpm.v),TEXT(_xlpm.v,"0")&amp;" h",TEXT(_xlpm.v,"0.###")&amp;" h"))</f>
        <v>152 h</v>
      </c>
    </row>
    <row r="4" spans="1:36" outlineLevel="1" x14ac:dyDescent="0.45">
      <c r="A4" s="19" t="s">
        <v>38</v>
      </c>
      <c r="C4" s="92"/>
      <c r="D4" s="92"/>
      <c r="E4" s="92"/>
      <c r="F4" s="92"/>
      <c r="G4" s="92">
        <v>8</v>
      </c>
      <c r="H4" s="92">
        <v>8</v>
      </c>
      <c r="I4" s="92">
        <v>8</v>
      </c>
      <c r="J4" s="92">
        <v>8</v>
      </c>
      <c r="K4" s="92">
        <v>8</v>
      </c>
      <c r="L4" s="92"/>
      <c r="M4" s="92"/>
      <c r="N4" s="92"/>
      <c r="O4" s="92">
        <v>8</v>
      </c>
      <c r="P4" s="92">
        <v>8</v>
      </c>
      <c r="Q4" s="92">
        <v>8</v>
      </c>
      <c r="R4" s="92">
        <v>8</v>
      </c>
      <c r="S4" s="92"/>
      <c r="T4" s="92"/>
      <c r="U4" s="92">
        <v>8</v>
      </c>
      <c r="V4" s="92">
        <v>8</v>
      </c>
      <c r="W4" s="92">
        <v>8</v>
      </c>
      <c r="X4" s="92">
        <v>8</v>
      </c>
      <c r="Y4" s="92">
        <v>8</v>
      </c>
      <c r="Z4" s="92"/>
      <c r="AA4" s="92"/>
      <c r="AB4" s="92">
        <v>8</v>
      </c>
      <c r="AC4" s="92">
        <v>8</v>
      </c>
      <c r="AD4" s="92">
        <v>8</v>
      </c>
      <c r="AE4" s="92">
        <v>8</v>
      </c>
      <c r="AF4" s="92">
        <v>8</v>
      </c>
      <c r="AG4" s="92"/>
      <c r="AI4" s="86" t="s">
        <v>43</v>
      </c>
      <c r="AJ4" s="90">
        <f>COUNT(C5:AG5)</f>
        <v>19</v>
      </c>
    </row>
    <row r="5" spans="1:36" outlineLevel="1" x14ac:dyDescent="0.45">
      <c r="A5" s="86" t="s">
        <v>39</v>
      </c>
      <c r="C5" s="86"/>
      <c r="D5" s="86"/>
      <c r="E5" s="86"/>
      <c r="F5" s="86"/>
      <c r="G5" s="86">
        <v>8</v>
      </c>
      <c r="H5" s="86">
        <v>8</v>
      </c>
      <c r="I5" s="86">
        <v>8</v>
      </c>
      <c r="J5" s="86">
        <v>8</v>
      </c>
      <c r="K5" s="86">
        <v>8</v>
      </c>
      <c r="L5" s="86"/>
      <c r="M5" s="86"/>
      <c r="N5" s="86"/>
      <c r="O5" s="86">
        <v>8</v>
      </c>
      <c r="P5" s="86">
        <v>8</v>
      </c>
      <c r="Q5" s="86">
        <v>8</v>
      </c>
      <c r="R5" s="86">
        <v>8</v>
      </c>
      <c r="S5" s="86"/>
      <c r="T5" s="86"/>
      <c r="U5" s="86">
        <v>8</v>
      </c>
      <c r="V5" s="86">
        <v>8</v>
      </c>
      <c r="W5" s="86">
        <v>8</v>
      </c>
      <c r="X5" s="86">
        <v>8</v>
      </c>
      <c r="Y5" s="86">
        <v>8</v>
      </c>
      <c r="Z5" s="86"/>
      <c r="AA5" s="86"/>
      <c r="AB5" s="86">
        <v>8</v>
      </c>
      <c r="AC5" s="86">
        <v>8</v>
      </c>
      <c r="AD5" s="86">
        <v>8</v>
      </c>
      <c r="AE5" s="86">
        <v>8</v>
      </c>
      <c r="AF5" s="86">
        <v>8</v>
      </c>
      <c r="AG5" s="86"/>
      <c r="AI5" s="86" t="s">
        <v>44</v>
      </c>
      <c r="AJ5" s="88" t="str">
        <f>_xlfn.LET(_xlpm.v,SUM(C5:AG5),IF(_xlpm.v=INT(_xlpm.v),TEXT(_xlpm.v,"0")&amp;" h",TEXT(_xlpm.v,"0.###")&amp;" h"))</f>
        <v>152 h</v>
      </c>
    </row>
    <row r="6" spans="1:36" outlineLevel="1" x14ac:dyDescent="0.45">
      <c r="A6" s="86" t="s">
        <v>37</v>
      </c>
      <c r="C6" s="86"/>
      <c r="D6" s="86"/>
      <c r="E6" s="86"/>
      <c r="F6" s="86"/>
      <c r="G6" s="86" t="s">
        <v>22</v>
      </c>
      <c r="H6" s="86" t="s">
        <v>22</v>
      </c>
      <c r="I6" s="86" t="s">
        <v>22</v>
      </c>
      <c r="J6" s="86" t="s">
        <v>22</v>
      </c>
      <c r="K6" s="86" t="s">
        <v>22</v>
      </c>
      <c r="L6" s="86"/>
      <c r="M6" s="86"/>
      <c r="N6" s="86"/>
      <c r="O6" s="86" t="s">
        <v>22</v>
      </c>
      <c r="P6" s="86" t="s">
        <v>22</v>
      </c>
      <c r="Q6" s="86" t="s">
        <v>22</v>
      </c>
      <c r="R6" s="86" t="s">
        <v>22</v>
      </c>
      <c r="S6" s="86"/>
      <c r="T6" s="86"/>
      <c r="U6" s="86" t="s">
        <v>22</v>
      </c>
      <c r="V6" s="86" t="s">
        <v>22</v>
      </c>
      <c r="W6" s="86" t="s">
        <v>22</v>
      </c>
      <c r="X6" s="86" t="s">
        <v>22</v>
      </c>
      <c r="Y6" s="86" t="s">
        <v>22</v>
      </c>
      <c r="Z6" s="86"/>
      <c r="AA6" s="86"/>
      <c r="AB6" s="86" t="s">
        <v>22</v>
      </c>
      <c r="AC6" s="86" t="s">
        <v>22</v>
      </c>
      <c r="AD6" s="86" t="s">
        <v>22</v>
      </c>
      <c r="AE6" s="86" t="s">
        <v>22</v>
      </c>
      <c r="AF6" s="86" t="s">
        <v>22</v>
      </c>
      <c r="AG6" s="86"/>
      <c r="AI6" s="86" t="s">
        <v>45</v>
      </c>
      <c r="AJ6" s="90">
        <f>COUNTIF(C6:AG6,"出")</f>
        <v>0</v>
      </c>
    </row>
    <row r="7" spans="1:36" outlineLevel="1" x14ac:dyDescent="0.45">
      <c r="A7" s="86" t="s">
        <v>40</v>
      </c>
      <c r="C7" s="388"/>
      <c r="D7" s="388"/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388"/>
      <c r="Q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I7" s="86" t="s">
        <v>46</v>
      </c>
      <c r="AJ7" s="90">
        <f>COUNTIF(C6:AG6,"リ")</f>
        <v>19</v>
      </c>
    </row>
    <row r="8" spans="1:36" outlineLevel="1" x14ac:dyDescent="0.45"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I8" s="86" t="s">
        <v>25</v>
      </c>
      <c r="AJ8" s="91">
        <f>AJ6/(AJ6+AJ7)</f>
        <v>0</v>
      </c>
    </row>
    <row r="9" spans="1:36" outlineLevel="1" x14ac:dyDescent="0.45">
      <c r="C9" s="388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8"/>
      <c r="O9" s="388"/>
      <c r="P9" s="388"/>
      <c r="Q9" s="388"/>
      <c r="S9" s="388"/>
      <c r="T9" s="388"/>
      <c r="U9" s="388"/>
      <c r="V9" s="388"/>
      <c r="W9" s="388"/>
      <c r="X9" s="388"/>
      <c r="Y9" s="388"/>
      <c r="Z9" s="388"/>
      <c r="AA9" s="388"/>
      <c r="AB9" s="388"/>
      <c r="AC9" s="388"/>
      <c r="AD9" s="388"/>
      <c r="AE9" s="388"/>
      <c r="AF9" s="388"/>
      <c r="AG9" s="388"/>
    </row>
    <row r="10" spans="1:36" outlineLevel="1" x14ac:dyDescent="0.45">
      <c r="C10" s="388"/>
      <c r="D10" s="388"/>
      <c r="E10" s="388"/>
      <c r="F10" s="388"/>
      <c r="G10" s="388"/>
      <c r="H10" s="388"/>
      <c r="I10" s="388"/>
      <c r="J10" s="388"/>
      <c r="K10" s="388"/>
      <c r="L10" s="388"/>
      <c r="M10" s="388"/>
      <c r="N10" s="388"/>
      <c r="O10" s="388"/>
      <c r="P10" s="388"/>
      <c r="Q10" s="388"/>
      <c r="S10" s="388"/>
      <c r="T10" s="388"/>
      <c r="U10" s="388"/>
      <c r="V10" s="388"/>
      <c r="W10" s="388"/>
      <c r="X10" s="388"/>
      <c r="Y10" s="388"/>
      <c r="Z10" s="388"/>
      <c r="AA10" s="388"/>
      <c r="AB10" s="388"/>
      <c r="AC10" s="388"/>
      <c r="AD10" s="388"/>
      <c r="AE10" s="388"/>
      <c r="AF10" s="388"/>
      <c r="AG10" s="388"/>
    </row>
    <row r="11" spans="1:36" outlineLevel="1" x14ac:dyDescent="0.45">
      <c r="C11" s="388"/>
      <c r="D11" s="388"/>
      <c r="E11" s="388"/>
      <c r="F11" s="388"/>
      <c r="G11" s="388"/>
      <c r="H11" s="388"/>
      <c r="I11" s="388"/>
      <c r="J11" s="388"/>
      <c r="K11" s="388"/>
      <c r="L11" s="388"/>
      <c r="M11" s="388"/>
      <c r="N11" s="388"/>
      <c r="O11" s="388"/>
      <c r="P11" s="388"/>
      <c r="Q11" s="388"/>
      <c r="S11" s="388"/>
      <c r="T11" s="388"/>
      <c r="U11" s="388"/>
      <c r="V11" s="388"/>
      <c r="W11" s="388"/>
      <c r="X11" s="388"/>
      <c r="Y11" s="388"/>
      <c r="Z11" s="388"/>
      <c r="AA11" s="388"/>
      <c r="AB11" s="388"/>
      <c r="AC11" s="388"/>
      <c r="AD11" s="388"/>
      <c r="AE11" s="388"/>
      <c r="AF11" s="388"/>
      <c r="AG11" s="388"/>
    </row>
    <row r="12" spans="1:36" outlineLevel="1" x14ac:dyDescent="0.45"/>
    <row r="13" spans="1:36" x14ac:dyDescent="0.45">
      <c r="C13" s="331">
        <v>46054</v>
      </c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1"/>
      <c r="S13" s="321"/>
      <c r="T13" s="321"/>
      <c r="U13" s="321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G13" s="321"/>
    </row>
    <row r="14" spans="1:36" outlineLevel="1" x14ac:dyDescent="0.45">
      <c r="C14" s="86" t="str">
        <f t="shared" ref="C14:AG14" si="2">TEXT(C15,"aaa")</f>
        <v>日</v>
      </c>
      <c r="D14" s="86" t="str">
        <f t="shared" si="2"/>
        <v>月</v>
      </c>
      <c r="E14" s="86" t="str">
        <f t="shared" si="2"/>
        <v>火</v>
      </c>
      <c r="F14" s="86" t="str">
        <f t="shared" si="2"/>
        <v>水</v>
      </c>
      <c r="G14" s="86" t="str">
        <f t="shared" si="2"/>
        <v>木</v>
      </c>
      <c r="H14" s="86" t="str">
        <f t="shared" si="2"/>
        <v>金</v>
      </c>
      <c r="I14" s="86" t="str">
        <f t="shared" si="2"/>
        <v>土</v>
      </c>
      <c r="J14" s="86" t="str">
        <f t="shared" si="2"/>
        <v>日</v>
      </c>
      <c r="K14" s="86" t="str">
        <f t="shared" si="2"/>
        <v>月</v>
      </c>
      <c r="L14" s="86" t="str">
        <f t="shared" si="2"/>
        <v>火</v>
      </c>
      <c r="M14" s="86" t="str">
        <f t="shared" si="2"/>
        <v>水</v>
      </c>
      <c r="N14" s="86" t="str">
        <f t="shared" si="2"/>
        <v>木</v>
      </c>
      <c r="O14" s="86" t="str">
        <f t="shared" si="2"/>
        <v>金</v>
      </c>
      <c r="P14" s="86" t="str">
        <f t="shared" si="2"/>
        <v>土</v>
      </c>
      <c r="Q14" s="86" t="str">
        <f t="shared" si="2"/>
        <v>日</v>
      </c>
      <c r="R14" s="86" t="str">
        <f t="shared" si="2"/>
        <v>月</v>
      </c>
      <c r="S14" s="86" t="str">
        <f t="shared" si="2"/>
        <v>火</v>
      </c>
      <c r="T14" s="86" t="str">
        <f t="shared" si="2"/>
        <v>水</v>
      </c>
      <c r="U14" s="86" t="str">
        <f t="shared" si="2"/>
        <v>木</v>
      </c>
      <c r="V14" s="86" t="str">
        <f t="shared" si="2"/>
        <v>金</v>
      </c>
      <c r="W14" s="86" t="str">
        <f t="shared" si="2"/>
        <v>土</v>
      </c>
      <c r="X14" s="86" t="str">
        <f t="shared" si="2"/>
        <v>日</v>
      </c>
      <c r="Y14" s="86" t="str">
        <f t="shared" si="2"/>
        <v>月</v>
      </c>
      <c r="Z14" s="86" t="str">
        <f t="shared" si="2"/>
        <v>火</v>
      </c>
      <c r="AA14" s="86" t="str">
        <f t="shared" si="2"/>
        <v>水</v>
      </c>
      <c r="AB14" s="86" t="str">
        <f t="shared" si="2"/>
        <v>木</v>
      </c>
      <c r="AC14" s="86" t="str">
        <f t="shared" si="2"/>
        <v>金</v>
      </c>
      <c r="AD14" s="86" t="str">
        <f t="shared" si="2"/>
        <v>土</v>
      </c>
      <c r="AE14" s="86" t="str">
        <f t="shared" si="2"/>
        <v/>
      </c>
      <c r="AF14" s="86" t="str">
        <f t="shared" si="2"/>
        <v/>
      </c>
      <c r="AG14" s="86" t="str">
        <f t="shared" si="2"/>
        <v/>
      </c>
      <c r="AI14" s="19" t="s">
        <v>41</v>
      </c>
      <c r="AJ14" s="21">
        <f>COUNT(C16:AG16)</f>
        <v>18</v>
      </c>
    </row>
    <row r="15" spans="1:36" outlineLevel="1" x14ac:dyDescent="0.45">
      <c r="C15" s="89">
        <f>C13</f>
        <v>46054</v>
      </c>
      <c r="D15" s="89">
        <f t="shared" ref="D15:AG15" si="3">IF(C15="","",IF(C15+1&lt;=EOMONTH($C13,0),C15+1,""))</f>
        <v>46055</v>
      </c>
      <c r="E15" s="89">
        <f t="shared" si="3"/>
        <v>46056</v>
      </c>
      <c r="F15" s="89">
        <f t="shared" si="3"/>
        <v>46057</v>
      </c>
      <c r="G15" s="89">
        <f t="shared" si="3"/>
        <v>46058</v>
      </c>
      <c r="H15" s="89">
        <f t="shared" si="3"/>
        <v>46059</v>
      </c>
      <c r="I15" s="89">
        <f t="shared" si="3"/>
        <v>46060</v>
      </c>
      <c r="J15" s="89">
        <f t="shared" si="3"/>
        <v>46061</v>
      </c>
      <c r="K15" s="89">
        <f t="shared" si="3"/>
        <v>46062</v>
      </c>
      <c r="L15" s="89">
        <f t="shared" si="3"/>
        <v>46063</v>
      </c>
      <c r="M15" s="89">
        <f t="shared" si="3"/>
        <v>46064</v>
      </c>
      <c r="N15" s="89">
        <f t="shared" si="3"/>
        <v>46065</v>
      </c>
      <c r="O15" s="89">
        <f t="shared" si="3"/>
        <v>46066</v>
      </c>
      <c r="P15" s="89">
        <f t="shared" si="3"/>
        <v>46067</v>
      </c>
      <c r="Q15" s="89">
        <f t="shared" si="3"/>
        <v>46068</v>
      </c>
      <c r="R15" s="89">
        <f t="shared" si="3"/>
        <v>46069</v>
      </c>
      <c r="S15" s="89">
        <f t="shared" si="3"/>
        <v>46070</v>
      </c>
      <c r="T15" s="89">
        <f t="shared" si="3"/>
        <v>46071</v>
      </c>
      <c r="U15" s="89">
        <f t="shared" si="3"/>
        <v>46072</v>
      </c>
      <c r="V15" s="89">
        <f t="shared" si="3"/>
        <v>46073</v>
      </c>
      <c r="W15" s="89">
        <f t="shared" si="3"/>
        <v>46074</v>
      </c>
      <c r="X15" s="89">
        <f t="shared" si="3"/>
        <v>46075</v>
      </c>
      <c r="Y15" s="89">
        <f t="shared" si="3"/>
        <v>46076</v>
      </c>
      <c r="Z15" s="89">
        <f t="shared" si="3"/>
        <v>46077</v>
      </c>
      <c r="AA15" s="89">
        <f t="shared" si="3"/>
        <v>46078</v>
      </c>
      <c r="AB15" s="89">
        <f t="shared" si="3"/>
        <v>46079</v>
      </c>
      <c r="AC15" s="89">
        <f t="shared" si="3"/>
        <v>46080</v>
      </c>
      <c r="AD15" s="89">
        <f t="shared" si="3"/>
        <v>46081</v>
      </c>
      <c r="AE15" s="89" t="str">
        <f t="shared" si="3"/>
        <v/>
      </c>
      <c r="AF15" s="89" t="str">
        <f t="shared" si="3"/>
        <v/>
      </c>
      <c r="AG15" s="89" t="str">
        <f t="shared" si="3"/>
        <v/>
      </c>
      <c r="AI15" s="19" t="s">
        <v>42</v>
      </c>
      <c r="AJ15" s="20" t="str">
        <f>_xlfn.LET(_xlpm.v,SUM(C16:AG16),IF(_xlpm.v=INT(_xlpm.v),TEXT(_xlpm.v,"0")&amp;" h",TEXT(_xlpm.v,"0.###")&amp;" h"))</f>
        <v>144 h</v>
      </c>
    </row>
    <row r="16" spans="1:36" outlineLevel="1" x14ac:dyDescent="0.45">
      <c r="A16" s="19" t="s">
        <v>38</v>
      </c>
      <c r="C16" s="92"/>
      <c r="D16" s="92">
        <v>8</v>
      </c>
      <c r="E16" s="92">
        <v>8</v>
      </c>
      <c r="F16" s="92">
        <v>8</v>
      </c>
      <c r="G16" s="92">
        <v>8</v>
      </c>
      <c r="H16" s="92">
        <v>8</v>
      </c>
      <c r="I16" s="92"/>
      <c r="J16" s="92"/>
      <c r="K16" s="92">
        <v>8</v>
      </c>
      <c r="L16" s="92">
        <v>8</v>
      </c>
      <c r="M16" s="92"/>
      <c r="N16" s="92">
        <v>8</v>
      </c>
      <c r="O16" s="92">
        <v>8</v>
      </c>
      <c r="P16" s="92"/>
      <c r="Q16" s="92"/>
      <c r="R16" s="92">
        <v>8</v>
      </c>
      <c r="S16" s="92">
        <v>8</v>
      </c>
      <c r="T16" s="92">
        <v>8</v>
      </c>
      <c r="U16" s="92">
        <v>8</v>
      </c>
      <c r="V16" s="92">
        <v>8</v>
      </c>
      <c r="W16" s="92"/>
      <c r="X16" s="92"/>
      <c r="Y16" s="92"/>
      <c r="Z16" s="92">
        <v>8</v>
      </c>
      <c r="AA16" s="92">
        <v>8</v>
      </c>
      <c r="AB16" s="92">
        <v>8</v>
      </c>
      <c r="AC16" s="92">
        <v>8</v>
      </c>
      <c r="AD16" s="92"/>
      <c r="AE16" s="92"/>
      <c r="AF16" s="92"/>
      <c r="AG16" s="92"/>
      <c r="AI16" s="86" t="s">
        <v>43</v>
      </c>
      <c r="AJ16" s="90">
        <f>COUNT(C17:AG17)</f>
        <v>18</v>
      </c>
    </row>
    <row r="17" spans="1:36" outlineLevel="1" x14ac:dyDescent="0.45">
      <c r="A17" s="86" t="s">
        <v>39</v>
      </c>
      <c r="C17" s="86"/>
      <c r="D17" s="86">
        <v>8</v>
      </c>
      <c r="E17" s="86">
        <v>8</v>
      </c>
      <c r="F17" s="86">
        <v>8</v>
      </c>
      <c r="G17" s="86">
        <v>8</v>
      </c>
      <c r="H17" s="86">
        <v>8</v>
      </c>
      <c r="I17" s="86"/>
      <c r="J17" s="86"/>
      <c r="K17" s="86">
        <v>8</v>
      </c>
      <c r="L17" s="86">
        <v>8</v>
      </c>
      <c r="M17" s="86"/>
      <c r="N17" s="86">
        <v>8</v>
      </c>
      <c r="O17" s="86">
        <v>8</v>
      </c>
      <c r="P17" s="86"/>
      <c r="Q17" s="86"/>
      <c r="R17" s="86">
        <v>8</v>
      </c>
      <c r="S17" s="86">
        <v>8</v>
      </c>
      <c r="T17" s="86">
        <v>8</v>
      </c>
      <c r="U17" s="86">
        <v>8</v>
      </c>
      <c r="V17" s="86">
        <v>8</v>
      </c>
      <c r="W17" s="86"/>
      <c r="X17" s="86"/>
      <c r="Y17" s="86"/>
      <c r="Z17" s="86">
        <v>8</v>
      </c>
      <c r="AA17" s="86">
        <v>8</v>
      </c>
      <c r="AB17" s="86">
        <v>8</v>
      </c>
      <c r="AC17" s="86">
        <v>8</v>
      </c>
      <c r="AD17" s="86"/>
      <c r="AE17" s="86"/>
      <c r="AF17" s="86"/>
      <c r="AG17" s="86"/>
      <c r="AI17" s="86" t="s">
        <v>44</v>
      </c>
      <c r="AJ17" s="88" t="str">
        <f>_xlfn.LET(_xlpm.v,SUM(C17:AG17),IF(_xlpm.v=INT(_xlpm.v),TEXT(_xlpm.v,"0")&amp;" h",TEXT(_xlpm.v,"0.###")&amp;" h"))</f>
        <v>144 h</v>
      </c>
    </row>
    <row r="18" spans="1:36" outlineLevel="1" x14ac:dyDescent="0.45">
      <c r="A18" s="86" t="s">
        <v>37</v>
      </c>
      <c r="C18" s="86"/>
      <c r="D18" s="86" t="s">
        <v>22</v>
      </c>
      <c r="E18" s="86" t="s">
        <v>22</v>
      </c>
      <c r="F18" s="86" t="s">
        <v>22</v>
      </c>
      <c r="G18" s="86" t="s">
        <v>22</v>
      </c>
      <c r="H18" s="86" t="s">
        <v>22</v>
      </c>
      <c r="I18" s="86"/>
      <c r="J18" s="86"/>
      <c r="K18" s="86" t="s">
        <v>22</v>
      </c>
      <c r="L18" s="86" t="s">
        <v>22</v>
      </c>
      <c r="M18" s="86"/>
      <c r="N18" s="86" t="s">
        <v>22</v>
      </c>
      <c r="O18" s="86" t="s">
        <v>22</v>
      </c>
      <c r="P18" s="86"/>
      <c r="Q18" s="86"/>
      <c r="R18" s="86" t="s">
        <v>22</v>
      </c>
      <c r="S18" s="86" t="s">
        <v>22</v>
      </c>
      <c r="T18" s="86" t="s">
        <v>22</v>
      </c>
      <c r="U18" s="86" t="s">
        <v>22</v>
      </c>
      <c r="V18" s="86" t="s">
        <v>22</v>
      </c>
      <c r="W18" s="86"/>
      <c r="X18" s="86"/>
      <c r="Y18" s="86"/>
      <c r="Z18" s="86" t="s">
        <v>22</v>
      </c>
      <c r="AA18" s="86" t="s">
        <v>22</v>
      </c>
      <c r="AB18" s="86" t="s">
        <v>22</v>
      </c>
      <c r="AC18" s="86" t="s">
        <v>22</v>
      </c>
      <c r="AD18" s="86"/>
      <c r="AE18" s="86"/>
      <c r="AF18" s="86"/>
      <c r="AG18" s="86"/>
      <c r="AI18" s="86" t="s">
        <v>45</v>
      </c>
      <c r="AJ18" s="90">
        <f>COUNTIF(C18:AG18,"出")</f>
        <v>0</v>
      </c>
    </row>
    <row r="19" spans="1:36" outlineLevel="1" x14ac:dyDescent="0.45">
      <c r="A19" s="86" t="s">
        <v>40</v>
      </c>
      <c r="C19" s="388"/>
      <c r="D19" s="388"/>
      <c r="E19" s="388"/>
      <c r="F19" s="388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S19" s="388"/>
      <c r="T19" s="388"/>
      <c r="U19" s="388"/>
      <c r="V19" s="388"/>
      <c r="W19" s="388"/>
      <c r="X19" s="388"/>
      <c r="Y19" s="388"/>
      <c r="Z19" s="388"/>
      <c r="AA19" s="388"/>
      <c r="AB19" s="388"/>
      <c r="AC19" s="388"/>
      <c r="AD19" s="388"/>
      <c r="AE19" s="388"/>
      <c r="AF19" s="388"/>
      <c r="AG19" s="388"/>
      <c r="AI19" s="86" t="s">
        <v>46</v>
      </c>
      <c r="AJ19" s="90">
        <f>COUNTIF(C18:AG18,"リ")</f>
        <v>18</v>
      </c>
    </row>
    <row r="20" spans="1:36" outlineLevel="1" x14ac:dyDescent="0.45">
      <c r="C20" s="388"/>
      <c r="D20" s="388"/>
      <c r="E20" s="388"/>
      <c r="F20" s="388"/>
      <c r="G20" s="388"/>
      <c r="H20" s="388"/>
      <c r="I20" s="388"/>
      <c r="J20" s="388"/>
      <c r="K20" s="388"/>
      <c r="L20" s="388"/>
      <c r="M20" s="388"/>
      <c r="N20" s="388"/>
      <c r="O20" s="388"/>
      <c r="P20" s="388"/>
      <c r="Q20" s="388"/>
      <c r="S20" s="388"/>
      <c r="T20" s="388"/>
      <c r="U20" s="388"/>
      <c r="V20" s="388"/>
      <c r="W20" s="388"/>
      <c r="X20" s="388"/>
      <c r="Y20" s="388"/>
      <c r="Z20" s="388"/>
      <c r="AA20" s="388"/>
      <c r="AB20" s="388"/>
      <c r="AC20" s="388"/>
      <c r="AD20" s="388"/>
      <c r="AE20" s="388"/>
      <c r="AF20" s="388"/>
      <c r="AG20" s="388"/>
      <c r="AI20" s="86" t="s">
        <v>25</v>
      </c>
      <c r="AJ20" s="91">
        <f>AJ18/(AJ18+AJ19)</f>
        <v>0</v>
      </c>
    </row>
    <row r="21" spans="1:36" outlineLevel="1" x14ac:dyDescent="0.45">
      <c r="C21" s="388"/>
      <c r="D21" s="388"/>
      <c r="E21" s="388"/>
      <c r="F21" s="388"/>
      <c r="G21" s="388"/>
      <c r="H21" s="388"/>
      <c r="I21" s="388"/>
      <c r="J21" s="388"/>
      <c r="K21" s="388"/>
      <c r="L21" s="388"/>
      <c r="M21" s="388"/>
      <c r="N21" s="388"/>
      <c r="O21" s="388"/>
      <c r="P21" s="388"/>
      <c r="Q21" s="388"/>
      <c r="S21" s="388"/>
      <c r="T21" s="388"/>
      <c r="U21" s="388"/>
      <c r="V21" s="388"/>
      <c r="W21" s="388"/>
      <c r="X21" s="388"/>
      <c r="Y21" s="388"/>
      <c r="Z21" s="388"/>
      <c r="AA21" s="388"/>
      <c r="AB21" s="388"/>
      <c r="AC21" s="388"/>
      <c r="AD21" s="388"/>
      <c r="AE21" s="388"/>
      <c r="AF21" s="388"/>
      <c r="AG21" s="388"/>
    </row>
    <row r="22" spans="1:36" outlineLevel="1" x14ac:dyDescent="0.45">
      <c r="C22" s="388"/>
      <c r="D22" s="388"/>
      <c r="E22" s="388"/>
      <c r="F22" s="388"/>
      <c r="G22" s="388"/>
      <c r="H22" s="388"/>
      <c r="I22" s="388"/>
      <c r="J22" s="388"/>
      <c r="K22" s="388"/>
      <c r="L22" s="388"/>
      <c r="M22" s="388"/>
      <c r="N22" s="388"/>
      <c r="O22" s="388"/>
      <c r="P22" s="388"/>
      <c r="Q22" s="388"/>
      <c r="S22" s="388"/>
      <c r="T22" s="388"/>
      <c r="U22" s="388"/>
      <c r="V22" s="388"/>
      <c r="W22" s="388"/>
      <c r="X22" s="388"/>
      <c r="Y22" s="388"/>
      <c r="Z22" s="388"/>
      <c r="AA22" s="388"/>
      <c r="AB22" s="388"/>
      <c r="AC22" s="388"/>
      <c r="AD22" s="388"/>
      <c r="AE22" s="388"/>
      <c r="AF22" s="388"/>
      <c r="AG22" s="388"/>
    </row>
    <row r="23" spans="1:36" outlineLevel="1" x14ac:dyDescent="0.45">
      <c r="C23" s="388"/>
      <c r="D23" s="388"/>
      <c r="E23" s="388"/>
      <c r="F23" s="388"/>
      <c r="G23" s="388"/>
      <c r="H23" s="388"/>
      <c r="I23" s="388"/>
      <c r="J23" s="388"/>
      <c r="K23" s="388"/>
      <c r="L23" s="388"/>
      <c r="M23" s="388"/>
      <c r="N23" s="388"/>
      <c r="O23" s="388"/>
      <c r="P23" s="388"/>
      <c r="Q23" s="388"/>
      <c r="S23" s="388"/>
      <c r="T23" s="388"/>
      <c r="U23" s="388"/>
      <c r="V23" s="388"/>
      <c r="W23" s="388"/>
      <c r="X23" s="388"/>
      <c r="Y23" s="388"/>
      <c r="Z23" s="388"/>
      <c r="AA23" s="388"/>
      <c r="AB23" s="388"/>
      <c r="AC23" s="388"/>
      <c r="AD23" s="388"/>
      <c r="AE23" s="388"/>
      <c r="AF23" s="388"/>
      <c r="AG23" s="388"/>
    </row>
    <row r="24" spans="1:36" outlineLevel="1" x14ac:dyDescent="0.45"/>
    <row r="25" spans="1:36" x14ac:dyDescent="0.45">
      <c r="C25" s="331">
        <v>46082</v>
      </c>
      <c r="D25" s="321"/>
      <c r="E25" s="321"/>
      <c r="F25" s="321"/>
      <c r="G25" s="321"/>
      <c r="H25" s="321"/>
      <c r="I25" s="321"/>
      <c r="J25" s="321"/>
      <c r="K25" s="321"/>
      <c r="L25" s="321"/>
      <c r="M25" s="321"/>
      <c r="N25" s="321"/>
      <c r="O25" s="321"/>
      <c r="P25" s="321"/>
      <c r="Q25" s="321"/>
      <c r="R25" s="321"/>
      <c r="S25" s="321"/>
      <c r="T25" s="321"/>
      <c r="U25" s="321"/>
      <c r="V25" s="321"/>
      <c r="W25" s="321"/>
      <c r="X25" s="321"/>
      <c r="Y25" s="321"/>
      <c r="Z25" s="321"/>
      <c r="AA25" s="321"/>
      <c r="AB25" s="321"/>
      <c r="AC25" s="321"/>
      <c r="AD25" s="321"/>
      <c r="AE25" s="321"/>
      <c r="AF25" s="321"/>
      <c r="AG25" s="321"/>
    </row>
    <row r="26" spans="1:36" outlineLevel="1" x14ac:dyDescent="0.45">
      <c r="C26" s="86" t="str">
        <f t="shared" ref="C26:AG26" si="4">TEXT(C27,"aaa")</f>
        <v>日</v>
      </c>
      <c r="D26" s="86" t="str">
        <f t="shared" si="4"/>
        <v>月</v>
      </c>
      <c r="E26" s="86" t="str">
        <f t="shared" si="4"/>
        <v>火</v>
      </c>
      <c r="F26" s="86" t="str">
        <f t="shared" si="4"/>
        <v>水</v>
      </c>
      <c r="G26" s="86" t="str">
        <f t="shared" si="4"/>
        <v>木</v>
      </c>
      <c r="H26" s="86" t="str">
        <f t="shared" si="4"/>
        <v>金</v>
      </c>
      <c r="I26" s="86" t="str">
        <f t="shared" si="4"/>
        <v>土</v>
      </c>
      <c r="J26" s="86" t="str">
        <f t="shared" si="4"/>
        <v>日</v>
      </c>
      <c r="K26" s="86" t="str">
        <f t="shared" si="4"/>
        <v>月</v>
      </c>
      <c r="L26" s="86" t="str">
        <f t="shared" si="4"/>
        <v>火</v>
      </c>
      <c r="M26" s="86" t="str">
        <f t="shared" si="4"/>
        <v>水</v>
      </c>
      <c r="N26" s="86" t="str">
        <f t="shared" si="4"/>
        <v>木</v>
      </c>
      <c r="O26" s="86" t="str">
        <f t="shared" si="4"/>
        <v>金</v>
      </c>
      <c r="P26" s="86" t="str">
        <f t="shared" si="4"/>
        <v>土</v>
      </c>
      <c r="Q26" s="86" t="str">
        <f t="shared" si="4"/>
        <v>日</v>
      </c>
      <c r="R26" s="86" t="str">
        <f t="shared" si="4"/>
        <v>月</v>
      </c>
      <c r="S26" s="86" t="str">
        <f t="shared" si="4"/>
        <v>火</v>
      </c>
      <c r="T26" s="86" t="str">
        <f t="shared" si="4"/>
        <v>水</v>
      </c>
      <c r="U26" s="86" t="str">
        <f t="shared" si="4"/>
        <v>木</v>
      </c>
      <c r="V26" s="86" t="str">
        <f t="shared" si="4"/>
        <v>金</v>
      </c>
      <c r="W26" s="86" t="str">
        <f t="shared" si="4"/>
        <v>土</v>
      </c>
      <c r="X26" s="86" t="str">
        <f t="shared" si="4"/>
        <v>日</v>
      </c>
      <c r="Y26" s="86" t="str">
        <f t="shared" si="4"/>
        <v>月</v>
      </c>
      <c r="Z26" s="86" t="str">
        <f t="shared" si="4"/>
        <v>火</v>
      </c>
      <c r="AA26" s="86" t="str">
        <f t="shared" si="4"/>
        <v>水</v>
      </c>
      <c r="AB26" s="86" t="str">
        <f t="shared" si="4"/>
        <v>木</v>
      </c>
      <c r="AC26" s="86" t="str">
        <f t="shared" si="4"/>
        <v>金</v>
      </c>
      <c r="AD26" s="86" t="str">
        <f t="shared" si="4"/>
        <v>土</v>
      </c>
      <c r="AE26" s="86" t="str">
        <f t="shared" si="4"/>
        <v>日</v>
      </c>
      <c r="AF26" s="86" t="str">
        <f t="shared" si="4"/>
        <v>月</v>
      </c>
      <c r="AG26" s="86" t="str">
        <f t="shared" si="4"/>
        <v>火</v>
      </c>
      <c r="AI26" s="19" t="s">
        <v>41</v>
      </c>
      <c r="AJ26" s="21">
        <f>COUNT(C28:AG28)</f>
        <v>21</v>
      </c>
    </row>
    <row r="27" spans="1:36" outlineLevel="1" x14ac:dyDescent="0.45">
      <c r="C27" s="89">
        <f>C25</f>
        <v>46082</v>
      </c>
      <c r="D27" s="89">
        <f t="shared" ref="D27:AG27" si="5">IF(C27="","",IF(C27+1&lt;=EOMONTH($C25,0),C27+1,""))</f>
        <v>46083</v>
      </c>
      <c r="E27" s="89">
        <f t="shared" si="5"/>
        <v>46084</v>
      </c>
      <c r="F27" s="89">
        <f t="shared" si="5"/>
        <v>46085</v>
      </c>
      <c r="G27" s="89">
        <f t="shared" si="5"/>
        <v>46086</v>
      </c>
      <c r="H27" s="89">
        <f t="shared" si="5"/>
        <v>46087</v>
      </c>
      <c r="I27" s="89">
        <f t="shared" si="5"/>
        <v>46088</v>
      </c>
      <c r="J27" s="89">
        <f t="shared" si="5"/>
        <v>46089</v>
      </c>
      <c r="K27" s="89">
        <f t="shared" si="5"/>
        <v>46090</v>
      </c>
      <c r="L27" s="89">
        <f t="shared" si="5"/>
        <v>46091</v>
      </c>
      <c r="M27" s="89">
        <f t="shared" si="5"/>
        <v>46092</v>
      </c>
      <c r="N27" s="89">
        <f t="shared" si="5"/>
        <v>46093</v>
      </c>
      <c r="O27" s="89">
        <f t="shared" si="5"/>
        <v>46094</v>
      </c>
      <c r="P27" s="89">
        <f t="shared" si="5"/>
        <v>46095</v>
      </c>
      <c r="Q27" s="89">
        <f t="shared" si="5"/>
        <v>46096</v>
      </c>
      <c r="R27" s="89">
        <f t="shared" si="5"/>
        <v>46097</v>
      </c>
      <c r="S27" s="89">
        <f t="shared" si="5"/>
        <v>46098</v>
      </c>
      <c r="T27" s="89">
        <f t="shared" si="5"/>
        <v>46099</v>
      </c>
      <c r="U27" s="89">
        <f t="shared" si="5"/>
        <v>46100</v>
      </c>
      <c r="V27" s="89">
        <f t="shared" si="5"/>
        <v>46101</v>
      </c>
      <c r="W27" s="89">
        <f t="shared" si="5"/>
        <v>46102</v>
      </c>
      <c r="X27" s="89">
        <f t="shared" si="5"/>
        <v>46103</v>
      </c>
      <c r="Y27" s="89">
        <f t="shared" si="5"/>
        <v>46104</v>
      </c>
      <c r="Z27" s="89">
        <f t="shared" si="5"/>
        <v>46105</v>
      </c>
      <c r="AA27" s="89">
        <f t="shared" si="5"/>
        <v>46106</v>
      </c>
      <c r="AB27" s="89">
        <f t="shared" si="5"/>
        <v>46107</v>
      </c>
      <c r="AC27" s="89">
        <f t="shared" si="5"/>
        <v>46108</v>
      </c>
      <c r="AD27" s="89">
        <f t="shared" si="5"/>
        <v>46109</v>
      </c>
      <c r="AE27" s="89">
        <f t="shared" si="5"/>
        <v>46110</v>
      </c>
      <c r="AF27" s="89">
        <f t="shared" si="5"/>
        <v>46111</v>
      </c>
      <c r="AG27" s="89">
        <f t="shared" si="5"/>
        <v>46112</v>
      </c>
      <c r="AI27" s="19" t="s">
        <v>42</v>
      </c>
      <c r="AJ27" s="20" t="str">
        <f>_xlfn.LET(_xlpm.v,SUM(C28:AG28),IF(_xlpm.v=INT(_xlpm.v),TEXT(_xlpm.v,"0")&amp;" h",TEXT(_xlpm.v,"0.###")&amp;" h"))</f>
        <v>168 h</v>
      </c>
    </row>
    <row r="28" spans="1:36" outlineLevel="1" x14ac:dyDescent="0.45">
      <c r="A28" s="19" t="s">
        <v>38</v>
      </c>
      <c r="C28" s="92"/>
      <c r="D28" s="92">
        <v>8</v>
      </c>
      <c r="E28" s="92">
        <v>8</v>
      </c>
      <c r="F28" s="92">
        <v>8</v>
      </c>
      <c r="G28" s="92">
        <v>8</v>
      </c>
      <c r="H28" s="92">
        <v>8</v>
      </c>
      <c r="I28" s="92"/>
      <c r="J28" s="92"/>
      <c r="K28" s="92">
        <v>8</v>
      </c>
      <c r="L28" s="92">
        <v>8</v>
      </c>
      <c r="M28" s="92">
        <v>8</v>
      </c>
      <c r="N28" s="92">
        <v>8</v>
      </c>
      <c r="O28" s="92">
        <v>8</v>
      </c>
      <c r="P28" s="92"/>
      <c r="Q28" s="92"/>
      <c r="R28" s="92">
        <v>8</v>
      </c>
      <c r="S28" s="92">
        <v>8</v>
      </c>
      <c r="T28" s="92">
        <v>8</v>
      </c>
      <c r="U28" s="92">
        <v>8</v>
      </c>
      <c r="V28" s="92"/>
      <c r="W28" s="92"/>
      <c r="X28" s="92"/>
      <c r="Y28" s="92">
        <v>8</v>
      </c>
      <c r="Z28" s="92">
        <v>8</v>
      </c>
      <c r="AA28" s="92">
        <v>8</v>
      </c>
      <c r="AB28" s="92">
        <v>8</v>
      </c>
      <c r="AC28" s="92">
        <v>8</v>
      </c>
      <c r="AD28" s="92"/>
      <c r="AE28" s="92"/>
      <c r="AF28" s="92">
        <v>8</v>
      </c>
      <c r="AG28" s="92">
        <v>8</v>
      </c>
      <c r="AI28" s="86" t="s">
        <v>43</v>
      </c>
      <c r="AJ28" s="90">
        <f>COUNT(C29:AG29)</f>
        <v>21</v>
      </c>
    </row>
    <row r="29" spans="1:36" outlineLevel="1" x14ac:dyDescent="0.45">
      <c r="A29" s="86" t="s">
        <v>39</v>
      </c>
      <c r="C29" s="86"/>
      <c r="D29" s="86">
        <v>8</v>
      </c>
      <c r="E29" s="86">
        <v>8</v>
      </c>
      <c r="F29" s="86">
        <v>8</v>
      </c>
      <c r="G29" s="86">
        <v>8</v>
      </c>
      <c r="H29" s="86">
        <v>8</v>
      </c>
      <c r="I29" s="86"/>
      <c r="J29" s="86"/>
      <c r="K29" s="86">
        <v>8</v>
      </c>
      <c r="L29" s="86">
        <v>8</v>
      </c>
      <c r="M29" s="86">
        <v>8</v>
      </c>
      <c r="N29" s="86">
        <v>8</v>
      </c>
      <c r="O29" s="86">
        <v>8</v>
      </c>
      <c r="P29" s="86"/>
      <c r="Q29" s="86"/>
      <c r="R29" s="86">
        <v>8</v>
      </c>
      <c r="S29" s="86">
        <v>8</v>
      </c>
      <c r="T29" s="86">
        <v>8</v>
      </c>
      <c r="U29" s="86">
        <v>8</v>
      </c>
      <c r="V29" s="86"/>
      <c r="W29" s="86"/>
      <c r="X29" s="86"/>
      <c r="Y29" s="86">
        <v>8</v>
      </c>
      <c r="Z29" s="86">
        <v>8</v>
      </c>
      <c r="AA29" s="86">
        <v>8</v>
      </c>
      <c r="AB29" s="86">
        <v>8</v>
      </c>
      <c r="AC29" s="86">
        <v>8</v>
      </c>
      <c r="AD29" s="86"/>
      <c r="AE29" s="86"/>
      <c r="AF29" s="86">
        <v>8</v>
      </c>
      <c r="AG29" s="86">
        <v>8</v>
      </c>
      <c r="AI29" s="86" t="s">
        <v>44</v>
      </c>
      <c r="AJ29" s="88" t="str">
        <f>_xlfn.LET(_xlpm.v,SUM(C29:AG29),IF(_xlpm.v=INT(_xlpm.v),TEXT(_xlpm.v,"0")&amp;" h",TEXT(_xlpm.v,"0.###")&amp;" h"))</f>
        <v>168 h</v>
      </c>
    </row>
    <row r="30" spans="1:36" outlineLevel="1" x14ac:dyDescent="0.45">
      <c r="A30" s="86" t="s">
        <v>37</v>
      </c>
      <c r="C30" s="86"/>
      <c r="D30" s="86" t="s">
        <v>22</v>
      </c>
      <c r="E30" s="86" t="s">
        <v>22</v>
      </c>
      <c r="F30" s="86" t="s">
        <v>22</v>
      </c>
      <c r="G30" s="86" t="s">
        <v>22</v>
      </c>
      <c r="H30" s="86" t="s">
        <v>22</v>
      </c>
      <c r="I30" s="86"/>
      <c r="J30" s="86"/>
      <c r="K30" s="86" t="s">
        <v>22</v>
      </c>
      <c r="L30" s="86" t="s">
        <v>22</v>
      </c>
      <c r="M30" s="86" t="s">
        <v>22</v>
      </c>
      <c r="N30" s="86" t="s">
        <v>22</v>
      </c>
      <c r="O30" s="86" t="s">
        <v>22</v>
      </c>
      <c r="P30" s="86"/>
      <c r="Q30" s="86"/>
      <c r="R30" s="86" t="s">
        <v>22</v>
      </c>
      <c r="S30" s="86" t="s">
        <v>22</v>
      </c>
      <c r="T30" s="86" t="s">
        <v>22</v>
      </c>
      <c r="U30" s="86" t="s">
        <v>22</v>
      </c>
      <c r="V30" s="86"/>
      <c r="W30" s="86"/>
      <c r="X30" s="86"/>
      <c r="Y30" s="86" t="s">
        <v>22</v>
      </c>
      <c r="Z30" s="86" t="s">
        <v>22</v>
      </c>
      <c r="AA30" s="86" t="s">
        <v>22</v>
      </c>
      <c r="AB30" s="86" t="s">
        <v>22</v>
      </c>
      <c r="AC30" s="86" t="s">
        <v>22</v>
      </c>
      <c r="AD30" s="86"/>
      <c r="AE30" s="86"/>
      <c r="AF30" s="86" t="s">
        <v>22</v>
      </c>
      <c r="AG30" s="86" t="s">
        <v>22</v>
      </c>
      <c r="AI30" s="86" t="s">
        <v>45</v>
      </c>
      <c r="AJ30" s="90">
        <f>COUNTIF(C30:AG30,"出")</f>
        <v>0</v>
      </c>
    </row>
    <row r="31" spans="1:36" outlineLevel="1" x14ac:dyDescent="0.45">
      <c r="A31" s="86" t="s">
        <v>40</v>
      </c>
      <c r="C31" s="388"/>
      <c r="D31" s="388"/>
      <c r="E31" s="388"/>
      <c r="F31" s="388"/>
      <c r="G31" s="388"/>
      <c r="H31" s="388"/>
      <c r="I31" s="388"/>
      <c r="J31" s="388"/>
      <c r="K31" s="388"/>
      <c r="L31" s="388"/>
      <c r="M31" s="388"/>
      <c r="N31" s="388"/>
      <c r="O31" s="388"/>
      <c r="P31" s="388"/>
      <c r="Q31" s="388"/>
      <c r="S31" s="388"/>
      <c r="T31" s="388"/>
      <c r="U31" s="388"/>
      <c r="V31" s="388"/>
      <c r="W31" s="388"/>
      <c r="X31" s="388"/>
      <c r="Y31" s="388"/>
      <c r="Z31" s="388"/>
      <c r="AA31" s="388"/>
      <c r="AB31" s="388"/>
      <c r="AC31" s="388"/>
      <c r="AD31" s="388"/>
      <c r="AE31" s="388"/>
      <c r="AF31" s="388"/>
      <c r="AG31" s="388"/>
      <c r="AI31" s="86" t="s">
        <v>46</v>
      </c>
      <c r="AJ31" s="90">
        <f>COUNTIF(C30:AG30,"リ")</f>
        <v>21</v>
      </c>
    </row>
    <row r="32" spans="1:36" outlineLevel="1" x14ac:dyDescent="0.45">
      <c r="C32" s="388"/>
      <c r="D32" s="388"/>
      <c r="E32" s="388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388"/>
      <c r="Q32" s="388"/>
      <c r="S32" s="388"/>
      <c r="T32" s="388"/>
      <c r="U32" s="388"/>
      <c r="V32" s="388"/>
      <c r="W32" s="388"/>
      <c r="X32" s="388"/>
      <c r="Y32" s="388"/>
      <c r="Z32" s="388"/>
      <c r="AA32" s="388"/>
      <c r="AB32" s="388"/>
      <c r="AC32" s="388"/>
      <c r="AD32" s="388"/>
      <c r="AE32" s="388"/>
      <c r="AF32" s="388"/>
      <c r="AG32" s="388"/>
      <c r="AI32" s="86" t="s">
        <v>25</v>
      </c>
      <c r="AJ32" s="91">
        <f>AJ30/(AJ30+AJ31)</f>
        <v>0</v>
      </c>
    </row>
    <row r="33" spans="1:36" outlineLevel="1" x14ac:dyDescent="0.45">
      <c r="C33" s="388"/>
      <c r="D33" s="388"/>
      <c r="E33" s="388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388"/>
      <c r="Q33" s="388"/>
      <c r="S33" s="388"/>
      <c r="T33" s="388"/>
      <c r="U33" s="388"/>
      <c r="V33" s="388"/>
      <c r="W33" s="388"/>
      <c r="X33" s="388"/>
      <c r="Y33" s="388"/>
      <c r="Z33" s="388"/>
      <c r="AA33" s="388"/>
      <c r="AB33" s="388"/>
      <c r="AC33" s="388"/>
      <c r="AD33" s="388"/>
      <c r="AE33" s="388"/>
      <c r="AF33" s="388"/>
      <c r="AG33" s="388"/>
    </row>
    <row r="34" spans="1:36" outlineLevel="1" x14ac:dyDescent="0.45">
      <c r="C34" s="388"/>
      <c r="D34" s="388"/>
      <c r="E34" s="388"/>
      <c r="F34" s="388"/>
      <c r="G34" s="388"/>
      <c r="H34" s="388"/>
      <c r="I34" s="388"/>
      <c r="J34" s="388"/>
      <c r="K34" s="388"/>
      <c r="L34" s="388"/>
      <c r="M34" s="388"/>
      <c r="N34" s="388"/>
      <c r="O34" s="388"/>
      <c r="P34" s="388"/>
      <c r="Q34" s="388"/>
      <c r="S34" s="388"/>
      <c r="T34" s="388"/>
      <c r="U34" s="388"/>
      <c r="V34" s="388"/>
      <c r="W34" s="388"/>
      <c r="X34" s="388"/>
      <c r="Y34" s="388"/>
      <c r="Z34" s="388"/>
      <c r="AA34" s="388"/>
      <c r="AB34" s="388"/>
      <c r="AC34" s="388"/>
      <c r="AD34" s="388"/>
      <c r="AE34" s="388"/>
      <c r="AF34" s="388"/>
      <c r="AG34" s="388"/>
    </row>
    <row r="35" spans="1:36" outlineLevel="1" x14ac:dyDescent="0.45">
      <c r="C35" s="388"/>
      <c r="D35" s="388"/>
      <c r="E35" s="388"/>
      <c r="F35" s="388"/>
      <c r="G35" s="388"/>
      <c r="H35" s="388"/>
      <c r="I35" s="388"/>
      <c r="J35" s="388"/>
      <c r="K35" s="388"/>
      <c r="L35" s="388"/>
      <c r="M35" s="388"/>
      <c r="N35" s="388"/>
      <c r="O35" s="388"/>
      <c r="P35" s="388"/>
      <c r="Q35" s="388"/>
      <c r="S35" s="388"/>
      <c r="T35" s="388"/>
      <c r="U35" s="388"/>
      <c r="V35" s="388"/>
      <c r="W35" s="388"/>
      <c r="X35" s="388"/>
      <c r="Y35" s="388"/>
      <c r="Z35" s="388"/>
      <c r="AA35" s="388"/>
      <c r="AB35" s="388"/>
      <c r="AC35" s="388"/>
      <c r="AD35" s="388"/>
      <c r="AE35" s="388"/>
      <c r="AF35" s="388"/>
      <c r="AG35" s="388"/>
    </row>
    <row r="36" spans="1:36" outlineLevel="1" x14ac:dyDescent="0.45"/>
    <row r="37" spans="1:36" x14ac:dyDescent="0.45">
      <c r="C37" s="331">
        <v>46113</v>
      </c>
      <c r="D37" s="321"/>
      <c r="E37" s="321"/>
      <c r="F37" s="321"/>
      <c r="G37" s="321"/>
      <c r="H37" s="321"/>
      <c r="I37" s="321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</row>
    <row r="38" spans="1:36" outlineLevel="1" x14ac:dyDescent="0.45">
      <c r="C38" s="86" t="str">
        <f t="shared" ref="C38:AG38" si="6">TEXT(C39,"aaa")</f>
        <v>水</v>
      </c>
      <c r="D38" s="86" t="str">
        <f t="shared" si="6"/>
        <v>木</v>
      </c>
      <c r="E38" s="86" t="str">
        <f t="shared" si="6"/>
        <v>金</v>
      </c>
      <c r="F38" s="86" t="str">
        <f t="shared" si="6"/>
        <v>土</v>
      </c>
      <c r="G38" s="86" t="str">
        <f t="shared" si="6"/>
        <v>日</v>
      </c>
      <c r="H38" s="86" t="str">
        <f t="shared" si="6"/>
        <v>月</v>
      </c>
      <c r="I38" s="86" t="str">
        <f t="shared" si="6"/>
        <v>火</v>
      </c>
      <c r="J38" s="86" t="str">
        <f t="shared" si="6"/>
        <v>水</v>
      </c>
      <c r="K38" s="86" t="str">
        <f t="shared" si="6"/>
        <v>木</v>
      </c>
      <c r="L38" s="86" t="str">
        <f t="shared" si="6"/>
        <v>金</v>
      </c>
      <c r="M38" s="86" t="str">
        <f t="shared" si="6"/>
        <v>土</v>
      </c>
      <c r="N38" s="86" t="str">
        <f t="shared" si="6"/>
        <v>日</v>
      </c>
      <c r="O38" s="86" t="str">
        <f t="shared" si="6"/>
        <v>月</v>
      </c>
      <c r="P38" s="86" t="str">
        <f t="shared" si="6"/>
        <v>火</v>
      </c>
      <c r="Q38" s="86" t="str">
        <f t="shared" si="6"/>
        <v>水</v>
      </c>
      <c r="R38" s="86" t="str">
        <f t="shared" si="6"/>
        <v>木</v>
      </c>
      <c r="S38" s="86" t="str">
        <f t="shared" si="6"/>
        <v>金</v>
      </c>
      <c r="T38" s="86" t="str">
        <f t="shared" si="6"/>
        <v>土</v>
      </c>
      <c r="U38" s="86" t="str">
        <f t="shared" si="6"/>
        <v>日</v>
      </c>
      <c r="V38" s="86" t="str">
        <f t="shared" si="6"/>
        <v>月</v>
      </c>
      <c r="W38" s="86" t="str">
        <f t="shared" si="6"/>
        <v>火</v>
      </c>
      <c r="X38" s="86" t="str">
        <f t="shared" si="6"/>
        <v>水</v>
      </c>
      <c r="Y38" s="86" t="str">
        <f t="shared" si="6"/>
        <v>木</v>
      </c>
      <c r="Z38" s="86" t="str">
        <f t="shared" si="6"/>
        <v>金</v>
      </c>
      <c r="AA38" s="86" t="str">
        <f t="shared" si="6"/>
        <v>土</v>
      </c>
      <c r="AB38" s="86" t="str">
        <f t="shared" si="6"/>
        <v>日</v>
      </c>
      <c r="AC38" s="86" t="str">
        <f t="shared" si="6"/>
        <v>月</v>
      </c>
      <c r="AD38" s="86" t="str">
        <f t="shared" si="6"/>
        <v>火</v>
      </c>
      <c r="AE38" s="86" t="str">
        <f t="shared" si="6"/>
        <v>水</v>
      </c>
      <c r="AF38" s="86" t="str">
        <f t="shared" si="6"/>
        <v>木</v>
      </c>
      <c r="AG38" s="86" t="str">
        <f t="shared" si="6"/>
        <v/>
      </c>
      <c r="AI38" s="19" t="s">
        <v>41</v>
      </c>
      <c r="AJ38" s="21">
        <f>COUNT(C40:AG40)</f>
        <v>21</v>
      </c>
    </row>
    <row r="39" spans="1:36" outlineLevel="1" x14ac:dyDescent="0.45">
      <c r="C39" s="89">
        <f>C37</f>
        <v>46113</v>
      </c>
      <c r="D39" s="89">
        <f t="shared" ref="D39:AG39" si="7">IF(C39="","",IF(C39+1&lt;=EOMONTH($C37,0),C39+1,""))</f>
        <v>46114</v>
      </c>
      <c r="E39" s="89">
        <f t="shared" si="7"/>
        <v>46115</v>
      </c>
      <c r="F39" s="89">
        <f t="shared" si="7"/>
        <v>46116</v>
      </c>
      <c r="G39" s="89">
        <f t="shared" si="7"/>
        <v>46117</v>
      </c>
      <c r="H39" s="89">
        <f t="shared" si="7"/>
        <v>46118</v>
      </c>
      <c r="I39" s="89">
        <f t="shared" si="7"/>
        <v>46119</v>
      </c>
      <c r="J39" s="89">
        <f t="shared" si="7"/>
        <v>46120</v>
      </c>
      <c r="K39" s="89">
        <f t="shared" si="7"/>
        <v>46121</v>
      </c>
      <c r="L39" s="89">
        <f t="shared" si="7"/>
        <v>46122</v>
      </c>
      <c r="M39" s="89">
        <f t="shared" si="7"/>
        <v>46123</v>
      </c>
      <c r="N39" s="89">
        <f t="shared" si="7"/>
        <v>46124</v>
      </c>
      <c r="O39" s="89">
        <f t="shared" si="7"/>
        <v>46125</v>
      </c>
      <c r="P39" s="89">
        <f t="shared" si="7"/>
        <v>46126</v>
      </c>
      <c r="Q39" s="89">
        <f t="shared" si="7"/>
        <v>46127</v>
      </c>
      <c r="R39" s="89">
        <f t="shared" si="7"/>
        <v>46128</v>
      </c>
      <c r="S39" s="89">
        <f t="shared" si="7"/>
        <v>46129</v>
      </c>
      <c r="T39" s="89">
        <f t="shared" si="7"/>
        <v>46130</v>
      </c>
      <c r="U39" s="89">
        <f t="shared" si="7"/>
        <v>46131</v>
      </c>
      <c r="V39" s="89">
        <f t="shared" si="7"/>
        <v>46132</v>
      </c>
      <c r="W39" s="89">
        <f t="shared" si="7"/>
        <v>46133</v>
      </c>
      <c r="X39" s="89">
        <f t="shared" si="7"/>
        <v>46134</v>
      </c>
      <c r="Y39" s="89">
        <f t="shared" si="7"/>
        <v>46135</v>
      </c>
      <c r="Z39" s="89">
        <f t="shared" si="7"/>
        <v>46136</v>
      </c>
      <c r="AA39" s="89">
        <f t="shared" si="7"/>
        <v>46137</v>
      </c>
      <c r="AB39" s="89">
        <f t="shared" si="7"/>
        <v>46138</v>
      </c>
      <c r="AC39" s="89">
        <f t="shared" si="7"/>
        <v>46139</v>
      </c>
      <c r="AD39" s="89">
        <f t="shared" si="7"/>
        <v>46140</v>
      </c>
      <c r="AE39" s="89">
        <f t="shared" si="7"/>
        <v>46141</v>
      </c>
      <c r="AF39" s="89">
        <f t="shared" si="7"/>
        <v>46142</v>
      </c>
      <c r="AG39" s="89" t="str">
        <f t="shared" si="7"/>
        <v/>
      </c>
      <c r="AI39" s="19" t="s">
        <v>42</v>
      </c>
      <c r="AJ39" s="20" t="str">
        <f>_xlfn.LET(_xlpm.v,SUM(C40:AG40),IF(_xlpm.v=INT(_xlpm.v),TEXT(_xlpm.v,"0")&amp;" h",TEXT(_xlpm.v,"0.###")&amp;" h"))</f>
        <v>168 h</v>
      </c>
    </row>
    <row r="40" spans="1:36" outlineLevel="1" x14ac:dyDescent="0.45">
      <c r="A40" s="19" t="s">
        <v>38</v>
      </c>
      <c r="C40" s="92">
        <v>8</v>
      </c>
      <c r="D40" s="92">
        <v>8</v>
      </c>
      <c r="E40" s="92">
        <v>8</v>
      </c>
      <c r="F40" s="92"/>
      <c r="G40" s="92"/>
      <c r="H40" s="92">
        <v>8</v>
      </c>
      <c r="I40" s="92">
        <v>8</v>
      </c>
      <c r="J40" s="92">
        <v>8</v>
      </c>
      <c r="K40" s="92">
        <v>8</v>
      </c>
      <c r="L40" s="92">
        <v>8</v>
      </c>
      <c r="M40" s="92"/>
      <c r="N40" s="92"/>
      <c r="O40" s="92">
        <v>8</v>
      </c>
      <c r="P40" s="92">
        <v>8</v>
      </c>
      <c r="Q40" s="92">
        <v>8</v>
      </c>
      <c r="R40" s="92">
        <v>8</v>
      </c>
      <c r="S40" s="92">
        <v>8</v>
      </c>
      <c r="T40" s="92"/>
      <c r="U40" s="92"/>
      <c r="V40" s="92">
        <v>8</v>
      </c>
      <c r="W40" s="92">
        <v>8</v>
      </c>
      <c r="X40" s="92">
        <v>8</v>
      </c>
      <c r="Y40" s="92">
        <v>8</v>
      </c>
      <c r="Z40" s="92">
        <v>8</v>
      </c>
      <c r="AA40" s="92"/>
      <c r="AB40" s="92"/>
      <c r="AC40" s="92">
        <v>8</v>
      </c>
      <c r="AD40" s="92">
        <v>8</v>
      </c>
      <c r="AE40" s="92"/>
      <c r="AF40" s="92">
        <v>8</v>
      </c>
      <c r="AG40" s="92"/>
      <c r="AI40" s="86" t="s">
        <v>43</v>
      </c>
      <c r="AJ40" s="90">
        <f>COUNT(C41:AG41)</f>
        <v>21</v>
      </c>
    </row>
    <row r="41" spans="1:36" outlineLevel="1" x14ac:dyDescent="0.45">
      <c r="A41" s="86" t="s">
        <v>39</v>
      </c>
      <c r="C41" s="86">
        <v>8</v>
      </c>
      <c r="D41" s="86">
        <v>8</v>
      </c>
      <c r="E41" s="86">
        <v>8</v>
      </c>
      <c r="F41" s="86"/>
      <c r="G41" s="86"/>
      <c r="H41" s="86">
        <v>8</v>
      </c>
      <c r="I41" s="86">
        <v>8</v>
      </c>
      <c r="J41" s="86">
        <v>8</v>
      </c>
      <c r="K41" s="86">
        <v>8</v>
      </c>
      <c r="L41" s="86">
        <v>8</v>
      </c>
      <c r="M41" s="86"/>
      <c r="N41" s="86"/>
      <c r="O41" s="86">
        <v>8</v>
      </c>
      <c r="P41" s="86">
        <v>8</v>
      </c>
      <c r="Q41" s="86">
        <v>8</v>
      </c>
      <c r="R41" s="86">
        <v>8</v>
      </c>
      <c r="S41" s="86">
        <v>8</v>
      </c>
      <c r="T41" s="86"/>
      <c r="U41" s="86"/>
      <c r="V41" s="86">
        <v>8</v>
      </c>
      <c r="W41" s="86">
        <v>8</v>
      </c>
      <c r="X41" s="86">
        <v>8</v>
      </c>
      <c r="Y41" s="86">
        <v>8</v>
      </c>
      <c r="Z41" s="86">
        <v>8</v>
      </c>
      <c r="AA41" s="86"/>
      <c r="AB41" s="86"/>
      <c r="AC41" s="86">
        <v>8</v>
      </c>
      <c r="AD41" s="86">
        <v>8</v>
      </c>
      <c r="AE41" s="86"/>
      <c r="AF41" s="86">
        <v>8</v>
      </c>
      <c r="AG41" s="86"/>
      <c r="AI41" s="86" t="s">
        <v>44</v>
      </c>
      <c r="AJ41" s="88" t="str">
        <f>_xlfn.LET(_xlpm.v,SUM(C41:AG41),IF(_xlpm.v=INT(_xlpm.v),TEXT(_xlpm.v,"0")&amp;" h",TEXT(_xlpm.v,"0.###")&amp;" h"))</f>
        <v>168 h</v>
      </c>
    </row>
    <row r="42" spans="1:36" outlineLevel="1" x14ac:dyDescent="0.45">
      <c r="A42" s="86" t="s">
        <v>37</v>
      </c>
      <c r="C42" s="86" t="s">
        <v>22</v>
      </c>
      <c r="D42" s="86" t="s">
        <v>22</v>
      </c>
      <c r="E42" s="86" t="s">
        <v>22</v>
      </c>
      <c r="F42" s="86"/>
      <c r="G42" s="86"/>
      <c r="H42" s="86" t="s">
        <v>22</v>
      </c>
      <c r="I42" s="86" t="s">
        <v>22</v>
      </c>
      <c r="J42" s="86" t="s">
        <v>22</v>
      </c>
      <c r="K42" s="86" t="s">
        <v>22</v>
      </c>
      <c r="L42" s="86" t="s">
        <v>22</v>
      </c>
      <c r="M42" s="86"/>
      <c r="N42" s="86"/>
      <c r="O42" s="86" t="s">
        <v>22</v>
      </c>
      <c r="P42" s="86" t="s">
        <v>22</v>
      </c>
      <c r="Q42" s="86" t="s">
        <v>22</v>
      </c>
      <c r="R42" s="86" t="s">
        <v>22</v>
      </c>
      <c r="S42" s="86" t="s">
        <v>22</v>
      </c>
      <c r="T42" s="86"/>
      <c r="U42" s="86"/>
      <c r="V42" s="86" t="s">
        <v>22</v>
      </c>
      <c r="W42" s="86" t="s">
        <v>22</v>
      </c>
      <c r="X42" s="86" t="s">
        <v>22</v>
      </c>
      <c r="Y42" s="86" t="s">
        <v>22</v>
      </c>
      <c r="Z42" s="86" t="s">
        <v>22</v>
      </c>
      <c r="AA42" s="86"/>
      <c r="AB42" s="86"/>
      <c r="AC42" s="86" t="s">
        <v>22</v>
      </c>
      <c r="AD42" s="86" t="s">
        <v>22</v>
      </c>
      <c r="AE42" s="86"/>
      <c r="AF42" s="86" t="s">
        <v>22</v>
      </c>
      <c r="AG42" s="86"/>
      <c r="AI42" s="86" t="s">
        <v>45</v>
      </c>
      <c r="AJ42" s="90">
        <f>COUNTIF(C42:AG42,"出")</f>
        <v>0</v>
      </c>
    </row>
    <row r="43" spans="1:36" outlineLevel="1" x14ac:dyDescent="0.45">
      <c r="A43" s="86" t="s">
        <v>40</v>
      </c>
      <c r="C43" s="388"/>
      <c r="D43" s="388"/>
      <c r="E43" s="388"/>
      <c r="F43" s="388"/>
      <c r="G43" s="388"/>
      <c r="H43" s="388"/>
      <c r="I43" s="388"/>
      <c r="J43" s="388"/>
      <c r="K43" s="388"/>
      <c r="L43" s="388"/>
      <c r="M43" s="388"/>
      <c r="N43" s="388"/>
      <c r="O43" s="388"/>
      <c r="P43" s="388"/>
      <c r="Q43" s="388"/>
      <c r="S43" s="388"/>
      <c r="T43" s="388"/>
      <c r="U43" s="388"/>
      <c r="V43" s="388"/>
      <c r="W43" s="388"/>
      <c r="X43" s="388"/>
      <c r="Y43" s="388"/>
      <c r="Z43" s="388"/>
      <c r="AA43" s="388"/>
      <c r="AB43" s="388"/>
      <c r="AC43" s="388"/>
      <c r="AD43" s="388"/>
      <c r="AE43" s="388"/>
      <c r="AF43" s="388"/>
      <c r="AG43" s="388"/>
      <c r="AI43" s="86" t="s">
        <v>46</v>
      </c>
      <c r="AJ43" s="90">
        <f>COUNTIF(C42:AG42,"リ")</f>
        <v>21</v>
      </c>
    </row>
    <row r="44" spans="1:36" outlineLevel="1" x14ac:dyDescent="0.45">
      <c r="C44" s="388"/>
      <c r="D44" s="388"/>
      <c r="E44" s="388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388"/>
      <c r="Q44" s="388"/>
      <c r="S44" s="388"/>
      <c r="T44" s="388"/>
      <c r="U44" s="388"/>
      <c r="V44" s="388"/>
      <c r="W44" s="388"/>
      <c r="X44" s="388"/>
      <c r="Y44" s="388"/>
      <c r="Z44" s="388"/>
      <c r="AA44" s="388"/>
      <c r="AB44" s="388"/>
      <c r="AC44" s="388"/>
      <c r="AD44" s="388"/>
      <c r="AE44" s="388"/>
      <c r="AF44" s="388"/>
      <c r="AG44" s="388"/>
      <c r="AI44" s="86" t="s">
        <v>25</v>
      </c>
      <c r="AJ44" s="91">
        <f>AJ42/(AJ42+AJ43)</f>
        <v>0</v>
      </c>
    </row>
    <row r="45" spans="1:36" outlineLevel="1" x14ac:dyDescent="0.45">
      <c r="C45" s="388"/>
      <c r="D45" s="388"/>
      <c r="E45" s="388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388"/>
      <c r="Q45" s="388"/>
      <c r="S45" s="388"/>
      <c r="T45" s="388"/>
      <c r="U45" s="388"/>
      <c r="V45" s="388"/>
      <c r="W45" s="388"/>
      <c r="X45" s="388"/>
      <c r="Y45" s="388"/>
      <c r="Z45" s="388"/>
      <c r="AA45" s="388"/>
      <c r="AB45" s="388"/>
      <c r="AC45" s="388"/>
      <c r="AD45" s="388"/>
      <c r="AE45" s="388"/>
      <c r="AF45" s="388"/>
      <c r="AG45" s="388"/>
    </row>
    <row r="46" spans="1:36" outlineLevel="1" x14ac:dyDescent="0.45">
      <c r="C46" s="388"/>
      <c r="D46" s="388"/>
      <c r="E46" s="388"/>
      <c r="F46" s="388"/>
      <c r="G46" s="388"/>
      <c r="H46" s="388"/>
      <c r="I46" s="388"/>
      <c r="J46" s="388"/>
      <c r="K46" s="388"/>
      <c r="L46" s="388"/>
      <c r="M46" s="388"/>
      <c r="N46" s="388"/>
      <c r="O46" s="388"/>
      <c r="P46" s="388"/>
      <c r="Q46" s="388"/>
      <c r="S46" s="388"/>
      <c r="T46" s="388"/>
      <c r="U46" s="388"/>
      <c r="V46" s="388"/>
      <c r="W46" s="388"/>
      <c r="X46" s="388"/>
      <c r="Y46" s="388"/>
      <c r="Z46" s="388"/>
      <c r="AA46" s="388"/>
      <c r="AB46" s="388"/>
      <c r="AC46" s="388"/>
      <c r="AD46" s="388"/>
      <c r="AE46" s="388"/>
      <c r="AF46" s="388"/>
      <c r="AG46" s="388"/>
    </row>
    <row r="47" spans="1:36" outlineLevel="1" x14ac:dyDescent="0.45">
      <c r="C47" s="388"/>
      <c r="D47" s="388"/>
      <c r="E47" s="388"/>
      <c r="F47" s="388"/>
      <c r="G47" s="388"/>
      <c r="H47" s="388"/>
      <c r="I47" s="388"/>
      <c r="J47" s="388"/>
      <c r="K47" s="388"/>
      <c r="L47" s="388"/>
      <c r="M47" s="388"/>
      <c r="N47" s="388"/>
      <c r="O47" s="388"/>
      <c r="P47" s="388"/>
      <c r="Q47" s="388"/>
      <c r="S47" s="388"/>
      <c r="T47" s="388"/>
      <c r="U47" s="388"/>
      <c r="V47" s="388"/>
      <c r="W47" s="388"/>
      <c r="X47" s="388"/>
      <c r="Y47" s="388"/>
      <c r="Z47" s="388"/>
      <c r="AA47" s="388"/>
      <c r="AB47" s="388"/>
      <c r="AC47" s="388"/>
      <c r="AD47" s="388"/>
      <c r="AE47" s="388"/>
      <c r="AF47" s="388"/>
      <c r="AG47" s="388"/>
    </row>
    <row r="48" spans="1:36" outlineLevel="1" x14ac:dyDescent="0.45"/>
    <row r="49" spans="1:36" x14ac:dyDescent="0.45">
      <c r="C49" s="331">
        <v>46143</v>
      </c>
      <c r="D49" s="321"/>
      <c r="E49" s="321"/>
      <c r="F49" s="321"/>
      <c r="G49" s="321"/>
      <c r="H49" s="321"/>
      <c r="I49" s="321"/>
      <c r="J49" s="321"/>
      <c r="K49" s="321"/>
      <c r="L49" s="321"/>
      <c r="M49" s="321"/>
      <c r="N49" s="321"/>
      <c r="O49" s="321"/>
      <c r="P49" s="321"/>
      <c r="Q49" s="321"/>
      <c r="R49" s="321"/>
      <c r="S49" s="321"/>
      <c r="T49" s="321"/>
      <c r="U49" s="321"/>
      <c r="V49" s="321"/>
      <c r="W49" s="321"/>
      <c r="X49" s="321"/>
      <c r="Y49" s="321"/>
      <c r="Z49" s="321"/>
      <c r="AA49" s="321"/>
      <c r="AB49" s="321"/>
      <c r="AC49" s="321"/>
      <c r="AD49" s="321"/>
      <c r="AE49" s="321"/>
      <c r="AF49" s="321"/>
      <c r="AG49" s="321"/>
    </row>
    <row r="50" spans="1:36" outlineLevel="1" x14ac:dyDescent="0.45">
      <c r="C50" s="86" t="str">
        <f t="shared" ref="C50:AG50" si="8">TEXT(C51,"aaa")</f>
        <v>金</v>
      </c>
      <c r="D50" s="86" t="str">
        <f t="shared" si="8"/>
        <v>土</v>
      </c>
      <c r="E50" s="86" t="str">
        <f t="shared" si="8"/>
        <v>日</v>
      </c>
      <c r="F50" s="86" t="str">
        <f t="shared" si="8"/>
        <v>月</v>
      </c>
      <c r="G50" s="86" t="str">
        <f t="shared" si="8"/>
        <v>火</v>
      </c>
      <c r="H50" s="86" t="str">
        <f t="shared" si="8"/>
        <v>水</v>
      </c>
      <c r="I50" s="86" t="str">
        <f t="shared" si="8"/>
        <v>木</v>
      </c>
      <c r="J50" s="86" t="str">
        <f t="shared" si="8"/>
        <v>金</v>
      </c>
      <c r="K50" s="86" t="str">
        <f t="shared" si="8"/>
        <v>土</v>
      </c>
      <c r="L50" s="86" t="str">
        <f t="shared" si="8"/>
        <v>日</v>
      </c>
      <c r="M50" s="86" t="str">
        <f t="shared" si="8"/>
        <v>月</v>
      </c>
      <c r="N50" s="86" t="str">
        <f t="shared" si="8"/>
        <v>火</v>
      </c>
      <c r="O50" s="86" t="str">
        <f t="shared" si="8"/>
        <v>水</v>
      </c>
      <c r="P50" s="86" t="str">
        <f t="shared" si="8"/>
        <v>木</v>
      </c>
      <c r="Q50" s="86" t="str">
        <f t="shared" si="8"/>
        <v>金</v>
      </c>
      <c r="R50" s="86" t="str">
        <f t="shared" si="8"/>
        <v>土</v>
      </c>
      <c r="S50" s="86" t="str">
        <f t="shared" si="8"/>
        <v>日</v>
      </c>
      <c r="T50" s="86" t="str">
        <f t="shared" si="8"/>
        <v>月</v>
      </c>
      <c r="U50" s="86" t="str">
        <f t="shared" si="8"/>
        <v>火</v>
      </c>
      <c r="V50" s="86" t="str">
        <f t="shared" si="8"/>
        <v>水</v>
      </c>
      <c r="W50" s="86" t="str">
        <f t="shared" si="8"/>
        <v>木</v>
      </c>
      <c r="X50" s="86" t="str">
        <f t="shared" si="8"/>
        <v>金</v>
      </c>
      <c r="Y50" s="86" t="str">
        <f t="shared" si="8"/>
        <v>土</v>
      </c>
      <c r="Z50" s="86" t="str">
        <f t="shared" si="8"/>
        <v>日</v>
      </c>
      <c r="AA50" s="86" t="str">
        <f t="shared" si="8"/>
        <v>月</v>
      </c>
      <c r="AB50" s="86" t="str">
        <f t="shared" si="8"/>
        <v>火</v>
      </c>
      <c r="AC50" s="86" t="str">
        <f t="shared" si="8"/>
        <v>水</v>
      </c>
      <c r="AD50" s="86" t="str">
        <f t="shared" si="8"/>
        <v>木</v>
      </c>
      <c r="AE50" s="86" t="str">
        <f t="shared" si="8"/>
        <v>金</v>
      </c>
      <c r="AF50" s="86" t="str">
        <f t="shared" si="8"/>
        <v>土</v>
      </c>
      <c r="AG50" s="86" t="str">
        <f t="shared" si="8"/>
        <v>日</v>
      </c>
      <c r="AI50" s="19" t="s">
        <v>41</v>
      </c>
      <c r="AJ50" s="21">
        <f>COUNT(C52:AG52)</f>
        <v>18</v>
      </c>
    </row>
    <row r="51" spans="1:36" outlineLevel="1" x14ac:dyDescent="0.45">
      <c r="C51" s="89">
        <f>C49</f>
        <v>46143</v>
      </c>
      <c r="D51" s="89">
        <f t="shared" ref="D51:AG51" si="9">IF(C51="","",IF(C51+1&lt;=EOMONTH($C49,0),C51+1,""))</f>
        <v>46144</v>
      </c>
      <c r="E51" s="89">
        <f t="shared" si="9"/>
        <v>46145</v>
      </c>
      <c r="F51" s="89">
        <f t="shared" si="9"/>
        <v>46146</v>
      </c>
      <c r="G51" s="89">
        <f t="shared" si="9"/>
        <v>46147</v>
      </c>
      <c r="H51" s="89">
        <f t="shared" si="9"/>
        <v>46148</v>
      </c>
      <c r="I51" s="89">
        <f t="shared" si="9"/>
        <v>46149</v>
      </c>
      <c r="J51" s="89">
        <f t="shared" si="9"/>
        <v>46150</v>
      </c>
      <c r="K51" s="89">
        <f t="shared" si="9"/>
        <v>46151</v>
      </c>
      <c r="L51" s="89">
        <f t="shared" si="9"/>
        <v>46152</v>
      </c>
      <c r="M51" s="89">
        <f t="shared" si="9"/>
        <v>46153</v>
      </c>
      <c r="N51" s="89">
        <f t="shared" si="9"/>
        <v>46154</v>
      </c>
      <c r="O51" s="89">
        <f t="shared" si="9"/>
        <v>46155</v>
      </c>
      <c r="P51" s="89">
        <f t="shared" si="9"/>
        <v>46156</v>
      </c>
      <c r="Q51" s="89">
        <f t="shared" si="9"/>
        <v>46157</v>
      </c>
      <c r="R51" s="89">
        <f t="shared" si="9"/>
        <v>46158</v>
      </c>
      <c r="S51" s="89">
        <f t="shared" si="9"/>
        <v>46159</v>
      </c>
      <c r="T51" s="89">
        <f t="shared" si="9"/>
        <v>46160</v>
      </c>
      <c r="U51" s="89">
        <f t="shared" si="9"/>
        <v>46161</v>
      </c>
      <c r="V51" s="89">
        <f t="shared" si="9"/>
        <v>46162</v>
      </c>
      <c r="W51" s="89">
        <f t="shared" si="9"/>
        <v>46163</v>
      </c>
      <c r="X51" s="89">
        <f t="shared" si="9"/>
        <v>46164</v>
      </c>
      <c r="Y51" s="89">
        <f t="shared" si="9"/>
        <v>46165</v>
      </c>
      <c r="Z51" s="89">
        <f t="shared" si="9"/>
        <v>46166</v>
      </c>
      <c r="AA51" s="89">
        <f t="shared" si="9"/>
        <v>46167</v>
      </c>
      <c r="AB51" s="89">
        <f t="shared" si="9"/>
        <v>46168</v>
      </c>
      <c r="AC51" s="89">
        <f t="shared" si="9"/>
        <v>46169</v>
      </c>
      <c r="AD51" s="89">
        <f t="shared" si="9"/>
        <v>46170</v>
      </c>
      <c r="AE51" s="89">
        <f t="shared" si="9"/>
        <v>46171</v>
      </c>
      <c r="AF51" s="89">
        <f t="shared" si="9"/>
        <v>46172</v>
      </c>
      <c r="AG51" s="89">
        <f t="shared" si="9"/>
        <v>46173</v>
      </c>
      <c r="AI51" s="19" t="s">
        <v>42</v>
      </c>
      <c r="AJ51" s="20" t="str">
        <f>_xlfn.LET(_xlpm.v,SUM(C52:AG52),IF(_xlpm.v=INT(_xlpm.v),TEXT(_xlpm.v,"0")&amp;" h",TEXT(_xlpm.v,"0.###")&amp;" h"))</f>
        <v>144 h</v>
      </c>
    </row>
    <row r="52" spans="1:36" outlineLevel="1" x14ac:dyDescent="0.45">
      <c r="A52" s="19" t="s">
        <v>38</v>
      </c>
      <c r="C52" s="92">
        <v>8</v>
      </c>
      <c r="D52" s="92"/>
      <c r="E52" s="92"/>
      <c r="F52" s="92"/>
      <c r="G52" s="92"/>
      <c r="H52" s="92"/>
      <c r="I52" s="92">
        <v>8</v>
      </c>
      <c r="J52" s="92">
        <v>8</v>
      </c>
      <c r="K52" s="92"/>
      <c r="L52" s="92"/>
      <c r="M52" s="92">
        <v>8</v>
      </c>
      <c r="N52" s="92">
        <v>8</v>
      </c>
      <c r="O52" s="92">
        <v>8</v>
      </c>
      <c r="P52" s="92">
        <v>8</v>
      </c>
      <c r="Q52" s="92">
        <v>8</v>
      </c>
      <c r="R52" s="92"/>
      <c r="S52" s="92"/>
      <c r="T52" s="92">
        <v>8</v>
      </c>
      <c r="U52" s="92">
        <v>8</v>
      </c>
      <c r="V52" s="92">
        <v>8</v>
      </c>
      <c r="W52" s="92">
        <v>8</v>
      </c>
      <c r="X52" s="92">
        <v>8</v>
      </c>
      <c r="Y52" s="92"/>
      <c r="Z52" s="92"/>
      <c r="AA52" s="92">
        <v>8</v>
      </c>
      <c r="AB52" s="92">
        <v>8</v>
      </c>
      <c r="AC52" s="92">
        <v>8</v>
      </c>
      <c r="AD52" s="92">
        <v>8</v>
      </c>
      <c r="AE52" s="92">
        <v>8</v>
      </c>
      <c r="AF52" s="92"/>
      <c r="AG52" s="92"/>
      <c r="AI52" s="86" t="s">
        <v>43</v>
      </c>
      <c r="AJ52" s="90">
        <f>COUNT(C53:AG53)</f>
        <v>18</v>
      </c>
    </row>
    <row r="53" spans="1:36" outlineLevel="1" x14ac:dyDescent="0.45">
      <c r="A53" s="86" t="s">
        <v>39</v>
      </c>
      <c r="C53" s="86">
        <v>8</v>
      </c>
      <c r="D53" s="86"/>
      <c r="E53" s="86"/>
      <c r="F53" s="86"/>
      <c r="G53" s="86"/>
      <c r="H53" s="86"/>
      <c r="I53" s="86">
        <v>8</v>
      </c>
      <c r="J53" s="86">
        <v>8</v>
      </c>
      <c r="K53" s="86"/>
      <c r="L53" s="86"/>
      <c r="M53" s="86">
        <v>8</v>
      </c>
      <c r="N53" s="86">
        <v>8</v>
      </c>
      <c r="O53" s="86">
        <v>8</v>
      </c>
      <c r="P53" s="86">
        <v>8</v>
      </c>
      <c r="Q53" s="86">
        <v>8</v>
      </c>
      <c r="R53" s="86"/>
      <c r="S53" s="86"/>
      <c r="T53" s="86">
        <v>8</v>
      </c>
      <c r="U53" s="86">
        <v>8</v>
      </c>
      <c r="V53" s="86">
        <v>8</v>
      </c>
      <c r="W53" s="86">
        <v>8</v>
      </c>
      <c r="X53" s="86">
        <v>8</v>
      </c>
      <c r="Y53" s="86"/>
      <c r="Z53" s="86"/>
      <c r="AA53" s="86">
        <v>8</v>
      </c>
      <c r="AB53" s="86">
        <v>8</v>
      </c>
      <c r="AC53" s="86">
        <v>8</v>
      </c>
      <c r="AD53" s="86">
        <v>8</v>
      </c>
      <c r="AE53" s="86">
        <v>8</v>
      </c>
      <c r="AF53" s="86"/>
      <c r="AG53" s="86"/>
      <c r="AI53" s="86" t="s">
        <v>44</v>
      </c>
      <c r="AJ53" s="88" t="str">
        <f>_xlfn.LET(_xlpm.v,SUM(C53:AG53),IF(_xlpm.v=INT(_xlpm.v),TEXT(_xlpm.v,"0")&amp;" h",TEXT(_xlpm.v,"0.###")&amp;" h"))</f>
        <v>144 h</v>
      </c>
    </row>
    <row r="54" spans="1:36" outlineLevel="1" x14ac:dyDescent="0.45">
      <c r="A54" s="86" t="s">
        <v>37</v>
      </c>
      <c r="C54" s="86" t="s">
        <v>22</v>
      </c>
      <c r="D54" s="86"/>
      <c r="E54" s="86"/>
      <c r="F54" s="86"/>
      <c r="G54" s="86"/>
      <c r="H54" s="86"/>
      <c r="I54" s="86" t="s">
        <v>22</v>
      </c>
      <c r="J54" s="86" t="s">
        <v>22</v>
      </c>
      <c r="K54" s="86"/>
      <c r="L54" s="86"/>
      <c r="M54" s="86" t="s">
        <v>22</v>
      </c>
      <c r="N54" s="86" t="s">
        <v>22</v>
      </c>
      <c r="O54" s="86" t="s">
        <v>22</v>
      </c>
      <c r="P54" s="86" t="s">
        <v>22</v>
      </c>
      <c r="Q54" s="86" t="s">
        <v>22</v>
      </c>
      <c r="R54" s="86"/>
      <c r="S54" s="86"/>
      <c r="T54" s="86" t="s">
        <v>22</v>
      </c>
      <c r="U54" s="86" t="s">
        <v>22</v>
      </c>
      <c r="V54" s="86" t="s">
        <v>22</v>
      </c>
      <c r="W54" s="86" t="s">
        <v>22</v>
      </c>
      <c r="X54" s="86" t="s">
        <v>22</v>
      </c>
      <c r="Y54" s="86"/>
      <c r="Z54" s="86"/>
      <c r="AA54" s="86" t="s">
        <v>22</v>
      </c>
      <c r="AB54" s="86" t="s">
        <v>22</v>
      </c>
      <c r="AC54" s="86" t="s">
        <v>22</v>
      </c>
      <c r="AD54" s="86" t="s">
        <v>22</v>
      </c>
      <c r="AE54" s="86" t="s">
        <v>22</v>
      </c>
      <c r="AF54" s="86"/>
      <c r="AG54" s="86"/>
      <c r="AI54" s="86" t="s">
        <v>45</v>
      </c>
      <c r="AJ54" s="90">
        <f>COUNTIF(C54:AG54,"出")</f>
        <v>0</v>
      </c>
    </row>
    <row r="55" spans="1:36" outlineLevel="1" x14ac:dyDescent="0.45">
      <c r="A55" s="86" t="s">
        <v>40</v>
      </c>
      <c r="C55" s="388"/>
      <c r="D55" s="388"/>
      <c r="E55" s="388"/>
      <c r="F55" s="388"/>
      <c r="G55" s="388"/>
      <c r="H55" s="388"/>
      <c r="I55" s="388"/>
      <c r="J55" s="388"/>
      <c r="K55" s="388"/>
      <c r="L55" s="388"/>
      <c r="M55" s="388"/>
      <c r="N55" s="388"/>
      <c r="O55" s="388"/>
      <c r="P55" s="388"/>
      <c r="Q55" s="388"/>
      <c r="S55" s="388"/>
      <c r="T55" s="388"/>
      <c r="U55" s="388"/>
      <c r="V55" s="388"/>
      <c r="W55" s="388"/>
      <c r="X55" s="388"/>
      <c r="Y55" s="388"/>
      <c r="Z55" s="388"/>
      <c r="AA55" s="388"/>
      <c r="AB55" s="388"/>
      <c r="AC55" s="388"/>
      <c r="AD55" s="388"/>
      <c r="AE55" s="388"/>
      <c r="AF55" s="388"/>
      <c r="AG55" s="388"/>
      <c r="AI55" s="86" t="s">
        <v>46</v>
      </c>
      <c r="AJ55" s="90">
        <f>COUNTIF(C54:AG54,"リ")</f>
        <v>18</v>
      </c>
    </row>
    <row r="56" spans="1:36" outlineLevel="1" x14ac:dyDescent="0.45">
      <c r="C56" s="388"/>
      <c r="D56" s="388"/>
      <c r="E56" s="388"/>
      <c r="F56" s="388"/>
      <c r="G56" s="388"/>
      <c r="H56" s="388"/>
      <c r="I56" s="388"/>
      <c r="J56" s="388"/>
      <c r="K56" s="388"/>
      <c r="L56" s="388"/>
      <c r="M56" s="388"/>
      <c r="N56" s="388"/>
      <c r="O56" s="388"/>
      <c r="P56" s="388"/>
      <c r="Q56" s="388"/>
      <c r="S56" s="388"/>
      <c r="T56" s="388"/>
      <c r="U56" s="388"/>
      <c r="V56" s="388"/>
      <c r="W56" s="388"/>
      <c r="X56" s="388"/>
      <c r="Y56" s="388"/>
      <c r="Z56" s="388"/>
      <c r="AA56" s="388"/>
      <c r="AB56" s="388"/>
      <c r="AC56" s="388"/>
      <c r="AD56" s="388"/>
      <c r="AE56" s="388"/>
      <c r="AF56" s="388"/>
      <c r="AG56" s="388"/>
      <c r="AI56" s="86" t="s">
        <v>25</v>
      </c>
      <c r="AJ56" s="91">
        <f>AJ54/(AJ54+AJ55)</f>
        <v>0</v>
      </c>
    </row>
    <row r="57" spans="1:36" outlineLevel="1" x14ac:dyDescent="0.45">
      <c r="C57" s="388"/>
      <c r="D57" s="388"/>
      <c r="E57" s="388"/>
      <c r="F57" s="388"/>
      <c r="G57" s="388"/>
      <c r="H57" s="388"/>
      <c r="I57" s="388"/>
      <c r="J57" s="388"/>
      <c r="K57" s="388"/>
      <c r="L57" s="388"/>
      <c r="M57" s="388"/>
      <c r="N57" s="388"/>
      <c r="O57" s="388"/>
      <c r="P57" s="388"/>
      <c r="Q57" s="388"/>
      <c r="S57" s="388"/>
      <c r="T57" s="388"/>
      <c r="U57" s="388"/>
      <c r="V57" s="388"/>
      <c r="W57" s="388"/>
      <c r="X57" s="388"/>
      <c r="Y57" s="388"/>
      <c r="Z57" s="388"/>
      <c r="AA57" s="388"/>
      <c r="AB57" s="388"/>
      <c r="AC57" s="388"/>
      <c r="AD57" s="388"/>
      <c r="AE57" s="388"/>
      <c r="AF57" s="388"/>
      <c r="AG57" s="388"/>
    </row>
    <row r="58" spans="1:36" outlineLevel="1" x14ac:dyDescent="0.45">
      <c r="C58" s="388"/>
      <c r="D58" s="388"/>
      <c r="E58" s="388"/>
      <c r="F58" s="388"/>
      <c r="G58" s="388"/>
      <c r="H58" s="388"/>
      <c r="I58" s="388"/>
      <c r="J58" s="388"/>
      <c r="K58" s="388"/>
      <c r="L58" s="388"/>
      <c r="M58" s="388"/>
      <c r="N58" s="388"/>
      <c r="O58" s="388"/>
      <c r="P58" s="388"/>
      <c r="Q58" s="388"/>
      <c r="S58" s="388"/>
      <c r="T58" s="388"/>
      <c r="U58" s="388"/>
      <c r="V58" s="388"/>
      <c r="W58" s="388"/>
      <c r="X58" s="388"/>
      <c r="Y58" s="388"/>
      <c r="Z58" s="388"/>
      <c r="AA58" s="388"/>
      <c r="AB58" s="388"/>
      <c r="AC58" s="388"/>
      <c r="AD58" s="388"/>
      <c r="AE58" s="388"/>
      <c r="AF58" s="388"/>
      <c r="AG58" s="388"/>
    </row>
    <row r="59" spans="1:36" outlineLevel="1" x14ac:dyDescent="0.45">
      <c r="C59" s="388"/>
      <c r="D59" s="388"/>
      <c r="E59" s="388"/>
      <c r="F59" s="388"/>
      <c r="G59" s="388"/>
      <c r="H59" s="388"/>
      <c r="I59" s="388"/>
      <c r="J59" s="388"/>
      <c r="K59" s="388"/>
      <c r="L59" s="388"/>
      <c r="M59" s="388"/>
      <c r="N59" s="388"/>
      <c r="O59" s="388"/>
      <c r="P59" s="388"/>
      <c r="Q59" s="388"/>
      <c r="S59" s="388"/>
      <c r="T59" s="388"/>
      <c r="U59" s="388"/>
      <c r="V59" s="388"/>
      <c r="W59" s="388"/>
      <c r="X59" s="388"/>
      <c r="Y59" s="388"/>
      <c r="Z59" s="388"/>
      <c r="AA59" s="388"/>
      <c r="AB59" s="388"/>
      <c r="AC59" s="388"/>
      <c r="AD59" s="388"/>
      <c r="AE59" s="388"/>
      <c r="AF59" s="388"/>
      <c r="AG59" s="388"/>
    </row>
    <row r="60" spans="1:36" outlineLevel="1" x14ac:dyDescent="0.45"/>
    <row r="61" spans="1:36" x14ac:dyDescent="0.45">
      <c r="C61" s="331">
        <v>46174</v>
      </c>
      <c r="D61" s="321"/>
      <c r="E61" s="321"/>
      <c r="F61" s="321"/>
      <c r="G61" s="321"/>
      <c r="H61" s="321"/>
      <c r="I61" s="321"/>
      <c r="J61" s="321"/>
      <c r="K61" s="321"/>
      <c r="L61" s="321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</row>
    <row r="62" spans="1:36" outlineLevel="1" x14ac:dyDescent="0.45">
      <c r="C62" s="86" t="str">
        <f t="shared" ref="C62:AG62" si="10">TEXT(C63,"aaa")</f>
        <v>月</v>
      </c>
      <c r="D62" s="86" t="str">
        <f t="shared" si="10"/>
        <v>火</v>
      </c>
      <c r="E62" s="86" t="str">
        <f t="shared" si="10"/>
        <v>水</v>
      </c>
      <c r="F62" s="86" t="str">
        <f t="shared" si="10"/>
        <v>木</v>
      </c>
      <c r="G62" s="86" t="str">
        <f t="shared" si="10"/>
        <v>金</v>
      </c>
      <c r="H62" s="86" t="str">
        <f t="shared" si="10"/>
        <v>土</v>
      </c>
      <c r="I62" s="86" t="str">
        <f t="shared" si="10"/>
        <v>日</v>
      </c>
      <c r="J62" s="86" t="str">
        <f t="shared" si="10"/>
        <v>月</v>
      </c>
      <c r="K62" s="86" t="str">
        <f t="shared" si="10"/>
        <v>火</v>
      </c>
      <c r="L62" s="86" t="str">
        <f t="shared" si="10"/>
        <v>水</v>
      </c>
      <c r="M62" s="86" t="str">
        <f t="shared" si="10"/>
        <v>木</v>
      </c>
      <c r="N62" s="86" t="str">
        <f t="shared" si="10"/>
        <v>金</v>
      </c>
      <c r="O62" s="86" t="str">
        <f t="shared" si="10"/>
        <v>土</v>
      </c>
      <c r="P62" s="86" t="str">
        <f t="shared" si="10"/>
        <v>日</v>
      </c>
      <c r="Q62" s="86" t="str">
        <f t="shared" si="10"/>
        <v>月</v>
      </c>
      <c r="R62" s="86" t="str">
        <f t="shared" si="10"/>
        <v>火</v>
      </c>
      <c r="S62" s="86" t="str">
        <f t="shared" si="10"/>
        <v>水</v>
      </c>
      <c r="T62" s="86" t="str">
        <f t="shared" si="10"/>
        <v>木</v>
      </c>
      <c r="U62" s="86" t="str">
        <f t="shared" si="10"/>
        <v>金</v>
      </c>
      <c r="V62" s="86" t="str">
        <f t="shared" si="10"/>
        <v>土</v>
      </c>
      <c r="W62" s="86" t="str">
        <f t="shared" si="10"/>
        <v>日</v>
      </c>
      <c r="X62" s="86" t="str">
        <f t="shared" si="10"/>
        <v>月</v>
      </c>
      <c r="Y62" s="86" t="str">
        <f t="shared" si="10"/>
        <v>火</v>
      </c>
      <c r="Z62" s="86" t="str">
        <f t="shared" si="10"/>
        <v>水</v>
      </c>
      <c r="AA62" s="86" t="str">
        <f t="shared" si="10"/>
        <v>木</v>
      </c>
      <c r="AB62" s="86" t="str">
        <f t="shared" si="10"/>
        <v>金</v>
      </c>
      <c r="AC62" s="86" t="str">
        <f t="shared" si="10"/>
        <v>土</v>
      </c>
      <c r="AD62" s="86" t="str">
        <f t="shared" si="10"/>
        <v>日</v>
      </c>
      <c r="AE62" s="86" t="str">
        <f t="shared" si="10"/>
        <v>月</v>
      </c>
      <c r="AF62" s="86" t="str">
        <f t="shared" si="10"/>
        <v>火</v>
      </c>
      <c r="AG62" s="86" t="str">
        <f t="shared" si="10"/>
        <v/>
      </c>
      <c r="AI62" s="19" t="s">
        <v>41</v>
      </c>
      <c r="AJ62" s="21">
        <f>COUNT(C64:AG64)</f>
        <v>22</v>
      </c>
    </row>
    <row r="63" spans="1:36" outlineLevel="1" x14ac:dyDescent="0.45">
      <c r="C63" s="89">
        <f>C61</f>
        <v>46174</v>
      </c>
      <c r="D63" s="89">
        <f t="shared" ref="D63:AG63" si="11">IF(C63="","",IF(C63+1&lt;=EOMONTH($C61,0),C63+1,""))</f>
        <v>46175</v>
      </c>
      <c r="E63" s="89">
        <f t="shared" si="11"/>
        <v>46176</v>
      </c>
      <c r="F63" s="89">
        <f t="shared" si="11"/>
        <v>46177</v>
      </c>
      <c r="G63" s="89">
        <f t="shared" si="11"/>
        <v>46178</v>
      </c>
      <c r="H63" s="89">
        <f t="shared" si="11"/>
        <v>46179</v>
      </c>
      <c r="I63" s="89">
        <f t="shared" si="11"/>
        <v>46180</v>
      </c>
      <c r="J63" s="89">
        <f t="shared" si="11"/>
        <v>46181</v>
      </c>
      <c r="K63" s="89">
        <f t="shared" si="11"/>
        <v>46182</v>
      </c>
      <c r="L63" s="89">
        <f t="shared" si="11"/>
        <v>46183</v>
      </c>
      <c r="M63" s="89">
        <f t="shared" si="11"/>
        <v>46184</v>
      </c>
      <c r="N63" s="89">
        <f t="shared" si="11"/>
        <v>46185</v>
      </c>
      <c r="O63" s="89">
        <f t="shared" si="11"/>
        <v>46186</v>
      </c>
      <c r="P63" s="89">
        <f t="shared" si="11"/>
        <v>46187</v>
      </c>
      <c r="Q63" s="89">
        <f t="shared" si="11"/>
        <v>46188</v>
      </c>
      <c r="R63" s="89">
        <f t="shared" si="11"/>
        <v>46189</v>
      </c>
      <c r="S63" s="89">
        <f t="shared" si="11"/>
        <v>46190</v>
      </c>
      <c r="T63" s="89">
        <f t="shared" si="11"/>
        <v>46191</v>
      </c>
      <c r="U63" s="89">
        <f t="shared" si="11"/>
        <v>46192</v>
      </c>
      <c r="V63" s="89">
        <f t="shared" si="11"/>
        <v>46193</v>
      </c>
      <c r="W63" s="89">
        <f t="shared" si="11"/>
        <v>46194</v>
      </c>
      <c r="X63" s="89">
        <f t="shared" si="11"/>
        <v>46195</v>
      </c>
      <c r="Y63" s="89">
        <f t="shared" si="11"/>
        <v>46196</v>
      </c>
      <c r="Z63" s="89">
        <f t="shared" si="11"/>
        <v>46197</v>
      </c>
      <c r="AA63" s="89">
        <f t="shared" si="11"/>
        <v>46198</v>
      </c>
      <c r="AB63" s="89">
        <f t="shared" si="11"/>
        <v>46199</v>
      </c>
      <c r="AC63" s="89">
        <f t="shared" si="11"/>
        <v>46200</v>
      </c>
      <c r="AD63" s="89">
        <f t="shared" si="11"/>
        <v>46201</v>
      </c>
      <c r="AE63" s="89">
        <f t="shared" si="11"/>
        <v>46202</v>
      </c>
      <c r="AF63" s="89">
        <f t="shared" si="11"/>
        <v>46203</v>
      </c>
      <c r="AG63" s="89" t="str">
        <f t="shared" si="11"/>
        <v/>
      </c>
      <c r="AI63" s="19" t="s">
        <v>42</v>
      </c>
      <c r="AJ63" s="20" t="str">
        <f>_xlfn.LET(_xlpm.v,SUM(C64:AG64),IF(_xlpm.v=INT(_xlpm.v),TEXT(_xlpm.v,"0")&amp;" h",TEXT(_xlpm.v,"0.###")&amp;" h"))</f>
        <v>176 h</v>
      </c>
    </row>
    <row r="64" spans="1:36" outlineLevel="1" x14ac:dyDescent="0.45">
      <c r="A64" s="19" t="s">
        <v>38</v>
      </c>
      <c r="C64" s="92">
        <v>8</v>
      </c>
      <c r="D64" s="92">
        <v>8</v>
      </c>
      <c r="E64" s="92">
        <v>8</v>
      </c>
      <c r="F64" s="92">
        <v>8</v>
      </c>
      <c r="G64" s="92">
        <v>8</v>
      </c>
      <c r="H64" s="92"/>
      <c r="I64" s="92"/>
      <c r="J64" s="92">
        <v>8</v>
      </c>
      <c r="K64" s="92">
        <v>8</v>
      </c>
      <c r="L64" s="92">
        <v>8</v>
      </c>
      <c r="M64" s="92">
        <v>8</v>
      </c>
      <c r="N64" s="92">
        <v>8</v>
      </c>
      <c r="O64" s="92"/>
      <c r="P64" s="92"/>
      <c r="Q64" s="92">
        <v>8</v>
      </c>
      <c r="R64" s="92">
        <v>8</v>
      </c>
      <c r="S64" s="92">
        <v>8</v>
      </c>
      <c r="T64" s="92">
        <v>8</v>
      </c>
      <c r="U64" s="92">
        <v>8</v>
      </c>
      <c r="V64" s="92"/>
      <c r="W64" s="92"/>
      <c r="X64" s="92">
        <v>8</v>
      </c>
      <c r="Y64" s="92">
        <v>8</v>
      </c>
      <c r="Z64" s="92">
        <v>8</v>
      </c>
      <c r="AA64" s="92">
        <v>8</v>
      </c>
      <c r="AB64" s="92">
        <v>8</v>
      </c>
      <c r="AC64" s="92"/>
      <c r="AD64" s="92"/>
      <c r="AE64" s="92">
        <v>8</v>
      </c>
      <c r="AF64" s="92">
        <v>8</v>
      </c>
      <c r="AG64" s="92"/>
      <c r="AI64" s="86" t="s">
        <v>43</v>
      </c>
      <c r="AJ64" s="90">
        <f>COUNT(C65:AG65)</f>
        <v>22</v>
      </c>
    </row>
    <row r="65" spans="1:36" outlineLevel="1" x14ac:dyDescent="0.45">
      <c r="A65" s="86" t="s">
        <v>39</v>
      </c>
      <c r="C65" s="86">
        <v>8</v>
      </c>
      <c r="D65" s="86">
        <v>8</v>
      </c>
      <c r="E65" s="86">
        <v>8</v>
      </c>
      <c r="F65" s="86">
        <v>8</v>
      </c>
      <c r="G65" s="86">
        <v>8</v>
      </c>
      <c r="H65" s="86"/>
      <c r="I65" s="86"/>
      <c r="J65" s="86">
        <v>8</v>
      </c>
      <c r="K65" s="86">
        <v>8</v>
      </c>
      <c r="L65" s="86">
        <v>8</v>
      </c>
      <c r="M65" s="86">
        <v>8</v>
      </c>
      <c r="N65" s="86">
        <v>8</v>
      </c>
      <c r="O65" s="86"/>
      <c r="P65" s="86"/>
      <c r="Q65" s="86">
        <v>8</v>
      </c>
      <c r="R65" s="86">
        <v>8</v>
      </c>
      <c r="S65" s="86">
        <v>8</v>
      </c>
      <c r="T65" s="86">
        <v>8</v>
      </c>
      <c r="U65" s="86">
        <v>8</v>
      </c>
      <c r="V65" s="86"/>
      <c r="W65" s="86"/>
      <c r="X65" s="86">
        <v>8</v>
      </c>
      <c r="Y65" s="86">
        <v>8</v>
      </c>
      <c r="Z65" s="86">
        <v>8</v>
      </c>
      <c r="AA65" s="86">
        <v>8</v>
      </c>
      <c r="AB65" s="86">
        <v>8</v>
      </c>
      <c r="AC65" s="86"/>
      <c r="AD65" s="86"/>
      <c r="AE65" s="86">
        <v>8</v>
      </c>
      <c r="AF65" s="86">
        <v>8</v>
      </c>
      <c r="AG65" s="86"/>
      <c r="AI65" s="86" t="s">
        <v>44</v>
      </c>
      <c r="AJ65" s="88" t="str">
        <f>_xlfn.LET(_xlpm.v,SUM(C65:AG65),IF(_xlpm.v=INT(_xlpm.v),TEXT(_xlpm.v,"0")&amp;" h",TEXT(_xlpm.v,"0.###")&amp;" h"))</f>
        <v>176 h</v>
      </c>
    </row>
    <row r="66" spans="1:36" outlineLevel="1" x14ac:dyDescent="0.45">
      <c r="A66" s="86" t="s">
        <v>37</v>
      </c>
      <c r="C66" s="86" t="s">
        <v>22</v>
      </c>
      <c r="D66" s="86" t="s">
        <v>22</v>
      </c>
      <c r="E66" s="86" t="s">
        <v>22</v>
      </c>
      <c r="F66" s="86" t="s">
        <v>22</v>
      </c>
      <c r="G66" s="86" t="s">
        <v>22</v>
      </c>
      <c r="H66" s="86"/>
      <c r="I66" s="86"/>
      <c r="J66" s="86" t="s">
        <v>22</v>
      </c>
      <c r="K66" s="86" t="s">
        <v>22</v>
      </c>
      <c r="L66" s="86" t="s">
        <v>22</v>
      </c>
      <c r="M66" s="86" t="s">
        <v>22</v>
      </c>
      <c r="N66" s="86" t="s">
        <v>22</v>
      </c>
      <c r="O66" s="86"/>
      <c r="P66" s="86"/>
      <c r="Q66" s="86" t="s">
        <v>22</v>
      </c>
      <c r="R66" s="86" t="s">
        <v>22</v>
      </c>
      <c r="S66" s="86" t="s">
        <v>22</v>
      </c>
      <c r="T66" s="86" t="s">
        <v>22</v>
      </c>
      <c r="U66" s="86" t="s">
        <v>22</v>
      </c>
      <c r="V66" s="86"/>
      <c r="W66" s="86"/>
      <c r="X66" s="86" t="s">
        <v>22</v>
      </c>
      <c r="Y66" s="86" t="s">
        <v>22</v>
      </c>
      <c r="Z66" s="86" t="s">
        <v>22</v>
      </c>
      <c r="AA66" s="86" t="s">
        <v>22</v>
      </c>
      <c r="AB66" s="86" t="s">
        <v>22</v>
      </c>
      <c r="AC66" s="86"/>
      <c r="AD66" s="86"/>
      <c r="AE66" s="86" t="s">
        <v>22</v>
      </c>
      <c r="AF66" s="86" t="s">
        <v>22</v>
      </c>
      <c r="AG66" s="86"/>
      <c r="AI66" s="86" t="s">
        <v>45</v>
      </c>
      <c r="AJ66" s="90">
        <f>COUNTIF(C66:AG66,"出")</f>
        <v>0</v>
      </c>
    </row>
    <row r="67" spans="1:36" outlineLevel="1" x14ac:dyDescent="0.45">
      <c r="A67" s="86" t="s">
        <v>40</v>
      </c>
      <c r="C67" s="388"/>
      <c r="D67" s="388"/>
      <c r="E67" s="388"/>
      <c r="F67" s="388"/>
      <c r="G67" s="388"/>
      <c r="H67" s="388"/>
      <c r="I67" s="388"/>
      <c r="J67" s="388"/>
      <c r="K67" s="388"/>
      <c r="L67" s="388"/>
      <c r="M67" s="388"/>
      <c r="N67" s="388"/>
      <c r="O67" s="388"/>
      <c r="P67" s="388"/>
      <c r="Q67" s="388"/>
      <c r="S67" s="388"/>
      <c r="T67" s="388"/>
      <c r="U67" s="388"/>
      <c r="V67" s="388"/>
      <c r="W67" s="388"/>
      <c r="X67" s="388"/>
      <c r="Y67" s="388"/>
      <c r="Z67" s="388"/>
      <c r="AA67" s="388"/>
      <c r="AB67" s="388"/>
      <c r="AC67" s="388"/>
      <c r="AD67" s="388"/>
      <c r="AE67" s="388"/>
      <c r="AF67" s="388"/>
      <c r="AG67" s="388"/>
      <c r="AI67" s="86" t="s">
        <v>46</v>
      </c>
      <c r="AJ67" s="90">
        <f>COUNTIF(C66:AG66,"リ")</f>
        <v>22</v>
      </c>
    </row>
    <row r="68" spans="1:36" outlineLevel="1" x14ac:dyDescent="0.45">
      <c r="C68" s="388"/>
      <c r="D68" s="388"/>
      <c r="E68" s="388"/>
      <c r="F68" s="388"/>
      <c r="G68" s="388"/>
      <c r="H68" s="388"/>
      <c r="I68" s="388"/>
      <c r="J68" s="388"/>
      <c r="K68" s="388"/>
      <c r="L68" s="388"/>
      <c r="M68" s="388"/>
      <c r="N68" s="388"/>
      <c r="O68" s="388"/>
      <c r="P68" s="388"/>
      <c r="Q68" s="388"/>
      <c r="S68" s="388"/>
      <c r="T68" s="388"/>
      <c r="U68" s="388"/>
      <c r="V68" s="388"/>
      <c r="W68" s="388"/>
      <c r="X68" s="388"/>
      <c r="Y68" s="388"/>
      <c r="Z68" s="388"/>
      <c r="AA68" s="388"/>
      <c r="AB68" s="388"/>
      <c r="AC68" s="388"/>
      <c r="AD68" s="388"/>
      <c r="AE68" s="388"/>
      <c r="AF68" s="388"/>
      <c r="AG68" s="388"/>
      <c r="AI68" s="86" t="s">
        <v>25</v>
      </c>
      <c r="AJ68" s="91">
        <f>AJ66/(AJ66+AJ67)</f>
        <v>0</v>
      </c>
    </row>
    <row r="69" spans="1:36" outlineLevel="1" x14ac:dyDescent="0.45">
      <c r="C69" s="388"/>
      <c r="D69" s="388"/>
      <c r="E69" s="388"/>
      <c r="F69" s="388"/>
      <c r="G69" s="388"/>
      <c r="H69" s="388"/>
      <c r="I69" s="388"/>
      <c r="J69" s="388"/>
      <c r="K69" s="388"/>
      <c r="L69" s="388"/>
      <c r="M69" s="388"/>
      <c r="N69" s="388"/>
      <c r="O69" s="388"/>
      <c r="P69" s="388"/>
      <c r="Q69" s="388"/>
      <c r="S69" s="388"/>
      <c r="T69" s="388"/>
      <c r="U69" s="388"/>
      <c r="V69" s="388"/>
      <c r="W69" s="388"/>
      <c r="X69" s="388"/>
      <c r="Y69" s="388"/>
      <c r="Z69" s="388"/>
      <c r="AA69" s="388"/>
      <c r="AB69" s="388"/>
      <c r="AC69" s="388"/>
      <c r="AD69" s="388"/>
      <c r="AE69" s="388"/>
      <c r="AF69" s="388"/>
      <c r="AG69" s="388"/>
    </row>
    <row r="70" spans="1:36" outlineLevel="1" x14ac:dyDescent="0.45">
      <c r="C70" s="388"/>
      <c r="D70" s="388"/>
      <c r="E70" s="388"/>
      <c r="F70" s="388"/>
      <c r="G70" s="388"/>
      <c r="H70" s="388"/>
      <c r="I70" s="388"/>
      <c r="J70" s="388"/>
      <c r="K70" s="388"/>
      <c r="L70" s="388"/>
      <c r="M70" s="388"/>
      <c r="N70" s="388"/>
      <c r="O70" s="388"/>
      <c r="P70" s="388"/>
      <c r="Q70" s="388"/>
      <c r="S70" s="388"/>
      <c r="T70" s="388"/>
      <c r="U70" s="388"/>
      <c r="V70" s="388"/>
      <c r="W70" s="388"/>
      <c r="X70" s="388"/>
      <c r="Y70" s="388"/>
      <c r="Z70" s="388"/>
      <c r="AA70" s="388"/>
      <c r="AB70" s="388"/>
      <c r="AC70" s="388"/>
      <c r="AD70" s="388"/>
      <c r="AE70" s="388"/>
      <c r="AF70" s="388"/>
      <c r="AG70" s="388"/>
    </row>
    <row r="71" spans="1:36" outlineLevel="1" x14ac:dyDescent="0.45">
      <c r="C71" s="388"/>
      <c r="D71" s="388"/>
      <c r="E71" s="388"/>
      <c r="F71" s="388"/>
      <c r="G71" s="388"/>
      <c r="H71" s="388"/>
      <c r="I71" s="388"/>
      <c r="J71" s="388"/>
      <c r="K71" s="388"/>
      <c r="L71" s="388"/>
      <c r="M71" s="388"/>
      <c r="N71" s="388"/>
      <c r="O71" s="388"/>
      <c r="P71" s="388"/>
      <c r="Q71" s="388"/>
      <c r="S71" s="388"/>
      <c r="T71" s="388"/>
      <c r="U71" s="388"/>
      <c r="V71" s="388"/>
      <c r="W71" s="388"/>
      <c r="X71" s="388"/>
      <c r="Y71" s="388"/>
      <c r="Z71" s="388"/>
      <c r="AA71" s="388"/>
      <c r="AB71" s="388"/>
      <c r="AC71" s="388"/>
      <c r="AD71" s="388"/>
      <c r="AE71" s="388"/>
      <c r="AF71" s="388"/>
      <c r="AG71" s="388"/>
    </row>
    <row r="72" spans="1:36" outlineLevel="1" x14ac:dyDescent="0.45"/>
    <row r="73" spans="1:36" x14ac:dyDescent="0.45">
      <c r="C73" s="331">
        <v>46204</v>
      </c>
      <c r="D73" s="321"/>
      <c r="E73" s="321"/>
      <c r="F73" s="321"/>
      <c r="G73" s="321"/>
      <c r="H73" s="321"/>
      <c r="I73" s="321"/>
      <c r="J73" s="321"/>
      <c r="K73" s="321"/>
      <c r="L73" s="321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</row>
    <row r="74" spans="1:36" outlineLevel="1" x14ac:dyDescent="0.45">
      <c r="C74" s="86" t="str">
        <f t="shared" ref="C74:AG74" si="12">TEXT(C75,"aaa")</f>
        <v>水</v>
      </c>
      <c r="D74" s="86" t="str">
        <f t="shared" si="12"/>
        <v>木</v>
      </c>
      <c r="E74" s="86" t="str">
        <f t="shared" si="12"/>
        <v>金</v>
      </c>
      <c r="F74" s="86" t="str">
        <f t="shared" si="12"/>
        <v>土</v>
      </c>
      <c r="G74" s="86" t="str">
        <f t="shared" si="12"/>
        <v>日</v>
      </c>
      <c r="H74" s="86" t="str">
        <f t="shared" si="12"/>
        <v>月</v>
      </c>
      <c r="I74" s="86" t="str">
        <f t="shared" si="12"/>
        <v>火</v>
      </c>
      <c r="J74" s="86" t="str">
        <f t="shared" si="12"/>
        <v>水</v>
      </c>
      <c r="K74" s="86" t="str">
        <f t="shared" si="12"/>
        <v>木</v>
      </c>
      <c r="L74" s="86" t="str">
        <f t="shared" si="12"/>
        <v>金</v>
      </c>
      <c r="M74" s="86" t="str">
        <f t="shared" si="12"/>
        <v>土</v>
      </c>
      <c r="N74" s="86" t="str">
        <f t="shared" si="12"/>
        <v>日</v>
      </c>
      <c r="O74" s="86" t="str">
        <f t="shared" si="12"/>
        <v>月</v>
      </c>
      <c r="P74" s="86" t="str">
        <f t="shared" si="12"/>
        <v>火</v>
      </c>
      <c r="Q74" s="86" t="str">
        <f t="shared" si="12"/>
        <v>水</v>
      </c>
      <c r="R74" s="86" t="str">
        <f t="shared" si="12"/>
        <v>木</v>
      </c>
      <c r="S74" s="86" t="str">
        <f t="shared" si="12"/>
        <v>金</v>
      </c>
      <c r="T74" s="86" t="str">
        <f t="shared" si="12"/>
        <v>土</v>
      </c>
      <c r="U74" s="86" t="str">
        <f t="shared" si="12"/>
        <v>日</v>
      </c>
      <c r="V74" s="86" t="str">
        <f t="shared" si="12"/>
        <v>月</v>
      </c>
      <c r="W74" s="86" t="str">
        <f t="shared" si="12"/>
        <v>火</v>
      </c>
      <c r="X74" s="86" t="str">
        <f t="shared" si="12"/>
        <v>水</v>
      </c>
      <c r="Y74" s="86" t="str">
        <f t="shared" si="12"/>
        <v>木</v>
      </c>
      <c r="Z74" s="86" t="str">
        <f t="shared" si="12"/>
        <v>金</v>
      </c>
      <c r="AA74" s="86" t="str">
        <f t="shared" si="12"/>
        <v>土</v>
      </c>
      <c r="AB74" s="86" t="str">
        <f t="shared" si="12"/>
        <v>日</v>
      </c>
      <c r="AC74" s="86" t="str">
        <f t="shared" si="12"/>
        <v>月</v>
      </c>
      <c r="AD74" s="86" t="str">
        <f t="shared" si="12"/>
        <v>火</v>
      </c>
      <c r="AE74" s="86" t="str">
        <f t="shared" si="12"/>
        <v>水</v>
      </c>
      <c r="AF74" s="86" t="str">
        <f t="shared" si="12"/>
        <v>木</v>
      </c>
      <c r="AG74" s="86" t="str">
        <f t="shared" si="12"/>
        <v>金</v>
      </c>
      <c r="AI74" s="19" t="s">
        <v>41</v>
      </c>
      <c r="AJ74" s="21">
        <f>COUNT(C76:AG76)</f>
        <v>22</v>
      </c>
    </row>
    <row r="75" spans="1:36" outlineLevel="1" x14ac:dyDescent="0.45">
      <c r="C75" s="89">
        <f>C73</f>
        <v>46204</v>
      </c>
      <c r="D75" s="89">
        <f t="shared" ref="D75:AG75" si="13">IF(C75="","",IF(C75+1&lt;=EOMONTH($C73,0),C75+1,""))</f>
        <v>46205</v>
      </c>
      <c r="E75" s="89">
        <f t="shared" si="13"/>
        <v>46206</v>
      </c>
      <c r="F75" s="89">
        <f t="shared" si="13"/>
        <v>46207</v>
      </c>
      <c r="G75" s="89">
        <f t="shared" si="13"/>
        <v>46208</v>
      </c>
      <c r="H75" s="89">
        <f t="shared" si="13"/>
        <v>46209</v>
      </c>
      <c r="I75" s="89">
        <f t="shared" si="13"/>
        <v>46210</v>
      </c>
      <c r="J75" s="89">
        <f t="shared" si="13"/>
        <v>46211</v>
      </c>
      <c r="K75" s="89">
        <f t="shared" si="13"/>
        <v>46212</v>
      </c>
      <c r="L75" s="89">
        <f t="shared" si="13"/>
        <v>46213</v>
      </c>
      <c r="M75" s="89">
        <f t="shared" si="13"/>
        <v>46214</v>
      </c>
      <c r="N75" s="89">
        <f t="shared" si="13"/>
        <v>46215</v>
      </c>
      <c r="O75" s="89">
        <f t="shared" si="13"/>
        <v>46216</v>
      </c>
      <c r="P75" s="89">
        <f t="shared" si="13"/>
        <v>46217</v>
      </c>
      <c r="Q75" s="89">
        <f t="shared" si="13"/>
        <v>46218</v>
      </c>
      <c r="R75" s="89">
        <f t="shared" si="13"/>
        <v>46219</v>
      </c>
      <c r="S75" s="89">
        <f t="shared" si="13"/>
        <v>46220</v>
      </c>
      <c r="T75" s="89">
        <f t="shared" si="13"/>
        <v>46221</v>
      </c>
      <c r="U75" s="89">
        <f t="shared" si="13"/>
        <v>46222</v>
      </c>
      <c r="V75" s="89">
        <f t="shared" si="13"/>
        <v>46223</v>
      </c>
      <c r="W75" s="89">
        <f t="shared" si="13"/>
        <v>46224</v>
      </c>
      <c r="X75" s="89">
        <f t="shared" si="13"/>
        <v>46225</v>
      </c>
      <c r="Y75" s="89">
        <f t="shared" si="13"/>
        <v>46226</v>
      </c>
      <c r="Z75" s="89">
        <f t="shared" si="13"/>
        <v>46227</v>
      </c>
      <c r="AA75" s="89">
        <f t="shared" si="13"/>
        <v>46228</v>
      </c>
      <c r="AB75" s="89">
        <f t="shared" si="13"/>
        <v>46229</v>
      </c>
      <c r="AC75" s="89">
        <f t="shared" si="13"/>
        <v>46230</v>
      </c>
      <c r="AD75" s="89">
        <f t="shared" si="13"/>
        <v>46231</v>
      </c>
      <c r="AE75" s="89">
        <f t="shared" si="13"/>
        <v>46232</v>
      </c>
      <c r="AF75" s="89">
        <f t="shared" si="13"/>
        <v>46233</v>
      </c>
      <c r="AG75" s="89">
        <f t="shared" si="13"/>
        <v>46234</v>
      </c>
      <c r="AI75" s="19" t="s">
        <v>42</v>
      </c>
      <c r="AJ75" s="20" t="str">
        <f>_xlfn.LET(_xlpm.v,SUM(C76:AG76),IF(_xlpm.v=INT(_xlpm.v),TEXT(_xlpm.v,"0")&amp;" h",TEXT(_xlpm.v,"0.###")&amp;" h"))</f>
        <v>176 h</v>
      </c>
    </row>
    <row r="76" spans="1:36" outlineLevel="1" x14ac:dyDescent="0.45">
      <c r="A76" s="19" t="s">
        <v>38</v>
      </c>
      <c r="C76" s="92">
        <v>8</v>
      </c>
      <c r="D76" s="92">
        <v>8</v>
      </c>
      <c r="E76" s="92">
        <v>8</v>
      </c>
      <c r="F76" s="92"/>
      <c r="G76" s="92"/>
      <c r="H76" s="92">
        <v>8</v>
      </c>
      <c r="I76" s="92">
        <v>8</v>
      </c>
      <c r="J76" s="92">
        <v>8</v>
      </c>
      <c r="K76" s="92">
        <v>8</v>
      </c>
      <c r="L76" s="92">
        <v>8</v>
      </c>
      <c r="M76" s="92"/>
      <c r="N76" s="92"/>
      <c r="O76" s="92">
        <v>8</v>
      </c>
      <c r="P76" s="92">
        <v>8</v>
      </c>
      <c r="Q76" s="92">
        <v>8</v>
      </c>
      <c r="R76" s="92">
        <v>8</v>
      </c>
      <c r="S76" s="92">
        <v>8</v>
      </c>
      <c r="T76" s="92"/>
      <c r="U76" s="92"/>
      <c r="V76" s="92"/>
      <c r="W76" s="92">
        <v>8</v>
      </c>
      <c r="X76" s="92">
        <v>8</v>
      </c>
      <c r="Y76" s="92">
        <v>8</v>
      </c>
      <c r="Z76" s="92">
        <v>8</v>
      </c>
      <c r="AA76" s="92"/>
      <c r="AB76" s="92"/>
      <c r="AC76" s="92">
        <v>8</v>
      </c>
      <c r="AD76" s="92">
        <v>8</v>
      </c>
      <c r="AE76" s="92">
        <v>8</v>
      </c>
      <c r="AF76" s="92">
        <v>8</v>
      </c>
      <c r="AG76" s="92">
        <v>8</v>
      </c>
      <c r="AI76" s="86" t="s">
        <v>43</v>
      </c>
      <c r="AJ76" s="90">
        <f>COUNT(C77:AG77)</f>
        <v>22</v>
      </c>
    </row>
    <row r="77" spans="1:36" outlineLevel="1" x14ac:dyDescent="0.45">
      <c r="A77" s="86" t="s">
        <v>39</v>
      </c>
      <c r="C77" s="86">
        <v>8</v>
      </c>
      <c r="D77" s="86">
        <v>8</v>
      </c>
      <c r="E77" s="86">
        <v>8</v>
      </c>
      <c r="F77" s="86"/>
      <c r="G77" s="86"/>
      <c r="H77" s="86">
        <v>8</v>
      </c>
      <c r="I77" s="86">
        <v>8</v>
      </c>
      <c r="J77" s="86">
        <v>8</v>
      </c>
      <c r="K77" s="86">
        <v>8</v>
      </c>
      <c r="L77" s="86">
        <v>8</v>
      </c>
      <c r="M77" s="86"/>
      <c r="N77" s="86"/>
      <c r="O77" s="86">
        <v>8</v>
      </c>
      <c r="P77" s="86">
        <v>8</v>
      </c>
      <c r="Q77" s="86">
        <v>8</v>
      </c>
      <c r="R77" s="86">
        <v>8</v>
      </c>
      <c r="S77" s="86">
        <v>8</v>
      </c>
      <c r="T77" s="86"/>
      <c r="U77" s="86"/>
      <c r="V77" s="86"/>
      <c r="W77" s="86">
        <v>8</v>
      </c>
      <c r="X77" s="86">
        <v>8</v>
      </c>
      <c r="Y77" s="86">
        <v>8</v>
      </c>
      <c r="Z77" s="86">
        <v>8</v>
      </c>
      <c r="AA77" s="86"/>
      <c r="AB77" s="86"/>
      <c r="AC77" s="86">
        <v>8</v>
      </c>
      <c r="AD77" s="86">
        <v>8</v>
      </c>
      <c r="AE77" s="86">
        <v>8</v>
      </c>
      <c r="AF77" s="86">
        <v>8</v>
      </c>
      <c r="AG77" s="86">
        <v>8</v>
      </c>
      <c r="AI77" s="86" t="s">
        <v>44</v>
      </c>
      <c r="AJ77" s="88" t="str">
        <f>_xlfn.LET(_xlpm.v,SUM(C77:AG77),IF(_xlpm.v=INT(_xlpm.v),TEXT(_xlpm.v,"0")&amp;" h",TEXT(_xlpm.v,"0.###")&amp;" h"))</f>
        <v>176 h</v>
      </c>
    </row>
    <row r="78" spans="1:36" outlineLevel="1" x14ac:dyDescent="0.45">
      <c r="A78" s="86" t="s">
        <v>37</v>
      </c>
      <c r="C78" s="86" t="s">
        <v>22</v>
      </c>
      <c r="D78" s="86" t="s">
        <v>22</v>
      </c>
      <c r="E78" s="86" t="s">
        <v>22</v>
      </c>
      <c r="F78" s="86"/>
      <c r="G78" s="86"/>
      <c r="H78" s="86" t="s">
        <v>22</v>
      </c>
      <c r="I78" s="86" t="s">
        <v>22</v>
      </c>
      <c r="J78" s="86" t="s">
        <v>22</v>
      </c>
      <c r="K78" s="86" t="s">
        <v>22</v>
      </c>
      <c r="L78" s="86" t="s">
        <v>22</v>
      </c>
      <c r="M78" s="86"/>
      <c r="N78" s="86"/>
      <c r="O78" s="86" t="s">
        <v>22</v>
      </c>
      <c r="P78" s="86" t="s">
        <v>22</v>
      </c>
      <c r="Q78" s="86" t="s">
        <v>22</v>
      </c>
      <c r="R78" s="86" t="s">
        <v>22</v>
      </c>
      <c r="S78" s="86" t="s">
        <v>22</v>
      </c>
      <c r="T78" s="86"/>
      <c r="U78" s="86"/>
      <c r="V78" s="86"/>
      <c r="W78" s="86" t="s">
        <v>22</v>
      </c>
      <c r="X78" s="86" t="s">
        <v>22</v>
      </c>
      <c r="Y78" s="86" t="s">
        <v>22</v>
      </c>
      <c r="Z78" s="86" t="s">
        <v>22</v>
      </c>
      <c r="AA78" s="86"/>
      <c r="AB78" s="86"/>
      <c r="AC78" s="86" t="s">
        <v>22</v>
      </c>
      <c r="AD78" s="86" t="s">
        <v>22</v>
      </c>
      <c r="AE78" s="86" t="s">
        <v>22</v>
      </c>
      <c r="AF78" s="86" t="s">
        <v>22</v>
      </c>
      <c r="AG78" s="86" t="s">
        <v>22</v>
      </c>
      <c r="AI78" s="86" t="s">
        <v>45</v>
      </c>
      <c r="AJ78" s="90">
        <f>COUNTIF(C78:AG78,"出")</f>
        <v>0</v>
      </c>
    </row>
    <row r="79" spans="1:36" outlineLevel="1" x14ac:dyDescent="0.45">
      <c r="A79" s="86" t="s">
        <v>40</v>
      </c>
      <c r="C79" s="388"/>
      <c r="D79" s="388"/>
      <c r="E79" s="388"/>
      <c r="F79" s="388"/>
      <c r="G79" s="388"/>
      <c r="H79" s="388"/>
      <c r="I79" s="388"/>
      <c r="J79" s="388"/>
      <c r="K79" s="388"/>
      <c r="L79" s="388"/>
      <c r="M79" s="388"/>
      <c r="N79" s="388"/>
      <c r="O79" s="388"/>
      <c r="P79" s="388"/>
      <c r="Q79" s="388"/>
      <c r="S79" s="388"/>
      <c r="T79" s="388"/>
      <c r="U79" s="388"/>
      <c r="V79" s="388"/>
      <c r="W79" s="388"/>
      <c r="X79" s="388"/>
      <c r="Y79" s="388"/>
      <c r="Z79" s="388"/>
      <c r="AA79" s="388"/>
      <c r="AB79" s="388"/>
      <c r="AC79" s="388"/>
      <c r="AD79" s="388"/>
      <c r="AE79" s="388"/>
      <c r="AF79" s="388"/>
      <c r="AG79" s="388"/>
      <c r="AI79" s="86" t="s">
        <v>46</v>
      </c>
      <c r="AJ79" s="90">
        <f>COUNTIF(C78:AG78,"リ")</f>
        <v>22</v>
      </c>
    </row>
    <row r="80" spans="1:36" outlineLevel="1" x14ac:dyDescent="0.45">
      <c r="C80" s="388"/>
      <c r="D80" s="388"/>
      <c r="E80" s="388"/>
      <c r="F80" s="388"/>
      <c r="G80" s="388"/>
      <c r="H80" s="388"/>
      <c r="I80" s="388"/>
      <c r="J80" s="388"/>
      <c r="K80" s="388"/>
      <c r="L80" s="388"/>
      <c r="M80" s="388"/>
      <c r="N80" s="388"/>
      <c r="O80" s="388"/>
      <c r="P80" s="388"/>
      <c r="Q80" s="388"/>
      <c r="S80" s="388"/>
      <c r="T80" s="388"/>
      <c r="U80" s="388"/>
      <c r="V80" s="388"/>
      <c r="W80" s="388"/>
      <c r="X80" s="388"/>
      <c r="Y80" s="388"/>
      <c r="Z80" s="388"/>
      <c r="AA80" s="388"/>
      <c r="AB80" s="388"/>
      <c r="AC80" s="388"/>
      <c r="AD80" s="388"/>
      <c r="AE80" s="388"/>
      <c r="AF80" s="388"/>
      <c r="AG80" s="388"/>
      <c r="AI80" s="86" t="s">
        <v>25</v>
      </c>
      <c r="AJ80" s="91">
        <f>AJ78/(AJ78+AJ79)</f>
        <v>0</v>
      </c>
    </row>
    <row r="81" spans="1:36" outlineLevel="1" x14ac:dyDescent="0.45">
      <c r="C81" s="388"/>
      <c r="D81" s="388"/>
      <c r="E81" s="388"/>
      <c r="F81" s="388"/>
      <c r="G81" s="388"/>
      <c r="H81" s="388"/>
      <c r="I81" s="388"/>
      <c r="J81" s="388"/>
      <c r="K81" s="388"/>
      <c r="L81" s="388"/>
      <c r="M81" s="388"/>
      <c r="N81" s="388"/>
      <c r="O81" s="388"/>
      <c r="P81" s="388"/>
      <c r="Q81" s="388"/>
      <c r="S81" s="388"/>
      <c r="T81" s="388"/>
      <c r="U81" s="388"/>
      <c r="V81" s="388"/>
      <c r="W81" s="388"/>
      <c r="X81" s="388"/>
      <c r="Y81" s="388"/>
      <c r="Z81" s="388"/>
      <c r="AA81" s="388"/>
      <c r="AB81" s="388"/>
      <c r="AC81" s="388"/>
      <c r="AD81" s="388"/>
      <c r="AE81" s="388"/>
      <c r="AF81" s="388"/>
      <c r="AG81" s="388"/>
    </row>
    <row r="82" spans="1:36" outlineLevel="1" x14ac:dyDescent="0.45">
      <c r="C82" s="388"/>
      <c r="D82" s="388"/>
      <c r="E82" s="388"/>
      <c r="F82" s="388"/>
      <c r="G82" s="388"/>
      <c r="H82" s="388"/>
      <c r="I82" s="388"/>
      <c r="J82" s="388"/>
      <c r="K82" s="388"/>
      <c r="L82" s="388"/>
      <c r="M82" s="388"/>
      <c r="N82" s="388"/>
      <c r="O82" s="388"/>
      <c r="P82" s="388"/>
      <c r="Q82" s="388"/>
      <c r="S82" s="388"/>
      <c r="T82" s="388"/>
      <c r="U82" s="388"/>
      <c r="V82" s="388"/>
      <c r="W82" s="388"/>
      <c r="X82" s="388"/>
      <c r="Y82" s="388"/>
      <c r="Z82" s="388"/>
      <c r="AA82" s="388"/>
      <c r="AB82" s="388"/>
      <c r="AC82" s="388"/>
      <c r="AD82" s="388"/>
      <c r="AE82" s="388"/>
      <c r="AF82" s="388"/>
      <c r="AG82" s="388"/>
    </row>
    <row r="83" spans="1:36" outlineLevel="1" x14ac:dyDescent="0.45">
      <c r="C83" s="388"/>
      <c r="D83" s="388"/>
      <c r="E83" s="388"/>
      <c r="F83" s="388"/>
      <c r="G83" s="388"/>
      <c r="H83" s="388"/>
      <c r="I83" s="388"/>
      <c r="J83" s="388"/>
      <c r="K83" s="388"/>
      <c r="L83" s="388"/>
      <c r="M83" s="388"/>
      <c r="N83" s="388"/>
      <c r="O83" s="388"/>
      <c r="P83" s="388"/>
      <c r="Q83" s="388"/>
      <c r="S83" s="388"/>
      <c r="T83" s="388"/>
      <c r="U83" s="388"/>
      <c r="V83" s="388"/>
      <c r="W83" s="388"/>
      <c r="X83" s="388"/>
      <c r="Y83" s="388"/>
      <c r="Z83" s="388"/>
      <c r="AA83" s="388"/>
      <c r="AB83" s="388"/>
      <c r="AC83" s="388"/>
      <c r="AD83" s="388"/>
      <c r="AE83" s="388"/>
      <c r="AF83" s="388"/>
      <c r="AG83" s="388"/>
    </row>
    <row r="84" spans="1:36" outlineLevel="1" x14ac:dyDescent="0.45"/>
    <row r="85" spans="1:36" x14ac:dyDescent="0.45">
      <c r="C85" s="331">
        <v>46235</v>
      </c>
      <c r="D85" s="321"/>
      <c r="E85" s="321"/>
      <c r="F85" s="321"/>
      <c r="G85" s="321"/>
      <c r="H85" s="321"/>
      <c r="I85" s="321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</row>
    <row r="86" spans="1:36" outlineLevel="1" x14ac:dyDescent="0.45">
      <c r="C86" s="86" t="str">
        <f t="shared" ref="C86:AG86" si="14">TEXT(C87,"aaa")</f>
        <v>土</v>
      </c>
      <c r="D86" s="86" t="str">
        <f t="shared" si="14"/>
        <v>日</v>
      </c>
      <c r="E86" s="86" t="str">
        <f t="shared" si="14"/>
        <v>月</v>
      </c>
      <c r="F86" s="86" t="str">
        <f t="shared" si="14"/>
        <v>火</v>
      </c>
      <c r="G86" s="86" t="str">
        <f t="shared" si="14"/>
        <v>水</v>
      </c>
      <c r="H86" s="86" t="str">
        <f t="shared" si="14"/>
        <v>木</v>
      </c>
      <c r="I86" s="86" t="str">
        <f t="shared" si="14"/>
        <v>金</v>
      </c>
      <c r="J86" s="86" t="str">
        <f t="shared" si="14"/>
        <v>土</v>
      </c>
      <c r="K86" s="86" t="str">
        <f t="shared" si="14"/>
        <v>日</v>
      </c>
      <c r="L86" s="86" t="str">
        <f t="shared" si="14"/>
        <v>月</v>
      </c>
      <c r="M86" s="86" t="str">
        <f t="shared" si="14"/>
        <v>火</v>
      </c>
      <c r="N86" s="86" t="str">
        <f t="shared" si="14"/>
        <v>水</v>
      </c>
      <c r="O86" s="86" t="str">
        <f t="shared" si="14"/>
        <v>木</v>
      </c>
      <c r="P86" s="86" t="str">
        <f t="shared" si="14"/>
        <v>金</v>
      </c>
      <c r="Q86" s="86" t="str">
        <f t="shared" si="14"/>
        <v>土</v>
      </c>
      <c r="R86" s="86" t="str">
        <f t="shared" si="14"/>
        <v>日</v>
      </c>
      <c r="S86" s="86" t="str">
        <f t="shared" si="14"/>
        <v>月</v>
      </c>
      <c r="T86" s="86" t="str">
        <f t="shared" si="14"/>
        <v>火</v>
      </c>
      <c r="U86" s="86" t="str">
        <f t="shared" si="14"/>
        <v>水</v>
      </c>
      <c r="V86" s="86" t="str">
        <f t="shared" si="14"/>
        <v>木</v>
      </c>
      <c r="W86" s="86" t="str">
        <f t="shared" si="14"/>
        <v>金</v>
      </c>
      <c r="X86" s="86" t="str">
        <f t="shared" si="14"/>
        <v>土</v>
      </c>
      <c r="Y86" s="86" t="str">
        <f t="shared" si="14"/>
        <v>日</v>
      </c>
      <c r="Z86" s="86" t="str">
        <f t="shared" si="14"/>
        <v>月</v>
      </c>
      <c r="AA86" s="86" t="str">
        <f t="shared" si="14"/>
        <v>火</v>
      </c>
      <c r="AB86" s="86" t="str">
        <f t="shared" si="14"/>
        <v>水</v>
      </c>
      <c r="AC86" s="86" t="str">
        <f t="shared" si="14"/>
        <v>木</v>
      </c>
      <c r="AD86" s="86" t="str">
        <f t="shared" si="14"/>
        <v>金</v>
      </c>
      <c r="AE86" s="86" t="str">
        <f t="shared" si="14"/>
        <v>土</v>
      </c>
      <c r="AF86" s="86" t="str">
        <f t="shared" si="14"/>
        <v>日</v>
      </c>
      <c r="AG86" s="86" t="str">
        <f t="shared" si="14"/>
        <v>月</v>
      </c>
      <c r="AI86" s="19" t="s">
        <v>41</v>
      </c>
      <c r="AJ86" s="21">
        <f>COUNT(C88:AG88)</f>
        <v>20</v>
      </c>
    </row>
    <row r="87" spans="1:36" outlineLevel="1" x14ac:dyDescent="0.45">
      <c r="C87" s="89">
        <f>C85</f>
        <v>46235</v>
      </c>
      <c r="D87" s="89">
        <f t="shared" ref="D87:AG87" si="15">IF(C87="","",IF(C87+1&lt;=EOMONTH($C85,0),C87+1,""))</f>
        <v>46236</v>
      </c>
      <c r="E87" s="89">
        <f t="shared" si="15"/>
        <v>46237</v>
      </c>
      <c r="F87" s="89">
        <f t="shared" si="15"/>
        <v>46238</v>
      </c>
      <c r="G87" s="89">
        <f t="shared" si="15"/>
        <v>46239</v>
      </c>
      <c r="H87" s="89">
        <f t="shared" si="15"/>
        <v>46240</v>
      </c>
      <c r="I87" s="89">
        <f t="shared" si="15"/>
        <v>46241</v>
      </c>
      <c r="J87" s="89">
        <f t="shared" si="15"/>
        <v>46242</v>
      </c>
      <c r="K87" s="89">
        <f t="shared" si="15"/>
        <v>46243</v>
      </c>
      <c r="L87" s="89">
        <f t="shared" si="15"/>
        <v>46244</v>
      </c>
      <c r="M87" s="89">
        <f t="shared" si="15"/>
        <v>46245</v>
      </c>
      <c r="N87" s="89">
        <f t="shared" si="15"/>
        <v>46246</v>
      </c>
      <c r="O87" s="89">
        <f t="shared" si="15"/>
        <v>46247</v>
      </c>
      <c r="P87" s="89">
        <f t="shared" si="15"/>
        <v>46248</v>
      </c>
      <c r="Q87" s="89">
        <f t="shared" si="15"/>
        <v>46249</v>
      </c>
      <c r="R87" s="89">
        <f t="shared" si="15"/>
        <v>46250</v>
      </c>
      <c r="S87" s="89">
        <f t="shared" si="15"/>
        <v>46251</v>
      </c>
      <c r="T87" s="89">
        <f t="shared" si="15"/>
        <v>46252</v>
      </c>
      <c r="U87" s="89">
        <f t="shared" si="15"/>
        <v>46253</v>
      </c>
      <c r="V87" s="89">
        <f t="shared" si="15"/>
        <v>46254</v>
      </c>
      <c r="W87" s="89">
        <f t="shared" si="15"/>
        <v>46255</v>
      </c>
      <c r="X87" s="89">
        <f t="shared" si="15"/>
        <v>46256</v>
      </c>
      <c r="Y87" s="89">
        <f t="shared" si="15"/>
        <v>46257</v>
      </c>
      <c r="Z87" s="89">
        <f t="shared" si="15"/>
        <v>46258</v>
      </c>
      <c r="AA87" s="89">
        <f t="shared" si="15"/>
        <v>46259</v>
      </c>
      <c r="AB87" s="89">
        <f t="shared" si="15"/>
        <v>46260</v>
      </c>
      <c r="AC87" s="89">
        <f t="shared" si="15"/>
        <v>46261</v>
      </c>
      <c r="AD87" s="89">
        <f t="shared" si="15"/>
        <v>46262</v>
      </c>
      <c r="AE87" s="89">
        <f t="shared" si="15"/>
        <v>46263</v>
      </c>
      <c r="AF87" s="89">
        <f t="shared" si="15"/>
        <v>46264</v>
      </c>
      <c r="AG87" s="89">
        <f t="shared" si="15"/>
        <v>46265</v>
      </c>
      <c r="AI87" s="19" t="s">
        <v>42</v>
      </c>
      <c r="AJ87" s="20" t="str">
        <f>_xlfn.LET(_xlpm.v,SUM(C88:AG88),IF(_xlpm.v=INT(_xlpm.v),TEXT(_xlpm.v,"0")&amp;" h",TEXT(_xlpm.v,"0.###")&amp;" h"))</f>
        <v>160 h</v>
      </c>
    </row>
    <row r="88" spans="1:36" outlineLevel="1" x14ac:dyDescent="0.45">
      <c r="A88" s="19" t="s">
        <v>38</v>
      </c>
      <c r="C88" s="92"/>
      <c r="D88" s="92"/>
      <c r="E88" s="92">
        <v>8</v>
      </c>
      <c r="F88" s="92">
        <v>8</v>
      </c>
      <c r="G88" s="92">
        <v>8</v>
      </c>
      <c r="H88" s="92">
        <v>8</v>
      </c>
      <c r="I88" s="92">
        <v>8</v>
      </c>
      <c r="J88" s="92"/>
      <c r="K88" s="92"/>
      <c r="L88" s="92">
        <v>8</v>
      </c>
      <c r="M88" s="92"/>
      <c r="N88" s="92">
        <v>8</v>
      </c>
      <c r="O88" s="92">
        <v>8</v>
      </c>
      <c r="P88" s="92">
        <v>8</v>
      </c>
      <c r="Q88" s="92"/>
      <c r="R88" s="92"/>
      <c r="S88" s="92">
        <v>8</v>
      </c>
      <c r="T88" s="92">
        <v>8</v>
      </c>
      <c r="U88" s="92">
        <v>8</v>
      </c>
      <c r="V88" s="92">
        <v>8</v>
      </c>
      <c r="W88" s="92">
        <v>8</v>
      </c>
      <c r="X88" s="92"/>
      <c r="Y88" s="92"/>
      <c r="Z88" s="92">
        <v>8</v>
      </c>
      <c r="AA88" s="92">
        <v>8</v>
      </c>
      <c r="AB88" s="92">
        <v>8</v>
      </c>
      <c r="AC88" s="92">
        <v>8</v>
      </c>
      <c r="AD88" s="92">
        <v>8</v>
      </c>
      <c r="AE88" s="92"/>
      <c r="AF88" s="92"/>
      <c r="AG88" s="92">
        <v>8</v>
      </c>
      <c r="AI88" s="86" t="s">
        <v>43</v>
      </c>
      <c r="AJ88" s="90">
        <f>COUNT(C89:AG89)</f>
        <v>20</v>
      </c>
    </row>
    <row r="89" spans="1:36" outlineLevel="1" x14ac:dyDescent="0.45">
      <c r="A89" s="86" t="s">
        <v>39</v>
      </c>
      <c r="C89" s="86"/>
      <c r="D89" s="86"/>
      <c r="E89" s="86">
        <v>8</v>
      </c>
      <c r="F89" s="86">
        <v>8</v>
      </c>
      <c r="G89" s="86">
        <v>8</v>
      </c>
      <c r="H89" s="86">
        <v>8</v>
      </c>
      <c r="I89" s="86">
        <v>8</v>
      </c>
      <c r="J89" s="86"/>
      <c r="K89" s="86"/>
      <c r="L89" s="86">
        <v>8</v>
      </c>
      <c r="M89" s="86"/>
      <c r="N89" s="86">
        <v>8</v>
      </c>
      <c r="O89" s="86">
        <v>8</v>
      </c>
      <c r="P89" s="86">
        <v>8</v>
      </c>
      <c r="Q89" s="86"/>
      <c r="R89" s="86"/>
      <c r="S89" s="86">
        <v>8</v>
      </c>
      <c r="T89" s="86">
        <v>8</v>
      </c>
      <c r="U89" s="86">
        <v>8</v>
      </c>
      <c r="V89" s="86">
        <v>8</v>
      </c>
      <c r="W89" s="86">
        <v>8</v>
      </c>
      <c r="X89" s="86"/>
      <c r="Y89" s="86"/>
      <c r="Z89" s="86">
        <v>8</v>
      </c>
      <c r="AA89" s="86">
        <v>8</v>
      </c>
      <c r="AB89" s="86">
        <v>8</v>
      </c>
      <c r="AC89" s="86">
        <v>8</v>
      </c>
      <c r="AD89" s="86">
        <v>8</v>
      </c>
      <c r="AE89" s="86"/>
      <c r="AF89" s="86"/>
      <c r="AG89" s="86">
        <v>8</v>
      </c>
      <c r="AI89" s="86" t="s">
        <v>44</v>
      </c>
      <c r="AJ89" s="88" t="str">
        <f>_xlfn.LET(_xlpm.v,SUM(C89:AG89),IF(_xlpm.v=INT(_xlpm.v),TEXT(_xlpm.v,"0")&amp;" h",TEXT(_xlpm.v,"0.###")&amp;" h"))</f>
        <v>160 h</v>
      </c>
    </row>
    <row r="90" spans="1:36" outlineLevel="1" x14ac:dyDescent="0.45">
      <c r="A90" s="86" t="s">
        <v>37</v>
      </c>
      <c r="C90" s="86"/>
      <c r="D90" s="86"/>
      <c r="E90" s="86" t="s">
        <v>22</v>
      </c>
      <c r="F90" s="86" t="s">
        <v>22</v>
      </c>
      <c r="G90" s="86" t="s">
        <v>22</v>
      </c>
      <c r="H90" s="86" t="s">
        <v>22</v>
      </c>
      <c r="I90" s="86" t="s">
        <v>22</v>
      </c>
      <c r="J90" s="86"/>
      <c r="K90" s="86"/>
      <c r="L90" s="86" t="s">
        <v>22</v>
      </c>
      <c r="M90" s="86"/>
      <c r="N90" s="86" t="s">
        <v>22</v>
      </c>
      <c r="O90" s="86" t="s">
        <v>22</v>
      </c>
      <c r="P90" s="86" t="s">
        <v>22</v>
      </c>
      <c r="Q90" s="86"/>
      <c r="R90" s="86"/>
      <c r="S90" s="86" t="s">
        <v>22</v>
      </c>
      <c r="T90" s="86" t="s">
        <v>22</v>
      </c>
      <c r="U90" s="86" t="s">
        <v>22</v>
      </c>
      <c r="V90" s="86" t="s">
        <v>22</v>
      </c>
      <c r="W90" s="86" t="s">
        <v>22</v>
      </c>
      <c r="X90" s="86"/>
      <c r="Y90" s="86"/>
      <c r="Z90" s="86" t="s">
        <v>22</v>
      </c>
      <c r="AA90" s="86" t="s">
        <v>22</v>
      </c>
      <c r="AB90" s="86" t="s">
        <v>22</v>
      </c>
      <c r="AC90" s="86" t="s">
        <v>22</v>
      </c>
      <c r="AD90" s="86" t="s">
        <v>22</v>
      </c>
      <c r="AE90" s="86"/>
      <c r="AF90" s="86"/>
      <c r="AG90" s="86" t="s">
        <v>22</v>
      </c>
      <c r="AI90" s="86" t="s">
        <v>45</v>
      </c>
      <c r="AJ90" s="90">
        <f>COUNTIF(C90:AG90,"出")</f>
        <v>0</v>
      </c>
    </row>
    <row r="91" spans="1:36" outlineLevel="1" x14ac:dyDescent="0.45">
      <c r="A91" s="86" t="s">
        <v>40</v>
      </c>
      <c r="C91" s="388"/>
      <c r="D91" s="388"/>
      <c r="E91" s="388"/>
      <c r="F91" s="388"/>
      <c r="G91" s="388"/>
      <c r="H91" s="388"/>
      <c r="I91" s="388"/>
      <c r="J91" s="388"/>
      <c r="K91" s="388"/>
      <c r="L91" s="388"/>
      <c r="M91" s="388"/>
      <c r="N91" s="388"/>
      <c r="O91" s="388"/>
      <c r="P91" s="388"/>
      <c r="Q91" s="388"/>
      <c r="S91" s="388"/>
      <c r="T91" s="388"/>
      <c r="U91" s="388"/>
      <c r="V91" s="388"/>
      <c r="W91" s="388"/>
      <c r="X91" s="388"/>
      <c r="Y91" s="388"/>
      <c r="Z91" s="388"/>
      <c r="AA91" s="388"/>
      <c r="AB91" s="388"/>
      <c r="AC91" s="388"/>
      <c r="AD91" s="388"/>
      <c r="AE91" s="388"/>
      <c r="AF91" s="388"/>
      <c r="AG91" s="388"/>
      <c r="AI91" s="86" t="s">
        <v>46</v>
      </c>
      <c r="AJ91" s="90">
        <f>COUNTIF(C90:AG90,"リ")</f>
        <v>20</v>
      </c>
    </row>
    <row r="92" spans="1:36" outlineLevel="1" x14ac:dyDescent="0.45">
      <c r="C92" s="388"/>
      <c r="D92" s="388"/>
      <c r="E92" s="388"/>
      <c r="F92" s="388"/>
      <c r="G92" s="388"/>
      <c r="H92" s="388"/>
      <c r="I92" s="388"/>
      <c r="J92" s="388"/>
      <c r="K92" s="388"/>
      <c r="L92" s="388"/>
      <c r="M92" s="388"/>
      <c r="N92" s="388"/>
      <c r="O92" s="388"/>
      <c r="P92" s="388"/>
      <c r="Q92" s="388"/>
      <c r="S92" s="388"/>
      <c r="T92" s="388"/>
      <c r="U92" s="388"/>
      <c r="V92" s="388"/>
      <c r="W92" s="388"/>
      <c r="X92" s="388"/>
      <c r="Y92" s="388"/>
      <c r="Z92" s="388"/>
      <c r="AA92" s="388"/>
      <c r="AB92" s="388"/>
      <c r="AC92" s="388"/>
      <c r="AD92" s="388"/>
      <c r="AE92" s="388"/>
      <c r="AF92" s="388"/>
      <c r="AG92" s="388"/>
      <c r="AI92" s="86" t="s">
        <v>25</v>
      </c>
      <c r="AJ92" s="91">
        <f>AJ90/(AJ90+AJ91)</f>
        <v>0</v>
      </c>
    </row>
    <row r="93" spans="1:36" outlineLevel="1" x14ac:dyDescent="0.45">
      <c r="C93" s="388"/>
      <c r="D93" s="388"/>
      <c r="E93" s="388"/>
      <c r="F93" s="388"/>
      <c r="G93" s="388"/>
      <c r="H93" s="388"/>
      <c r="I93" s="388"/>
      <c r="J93" s="388"/>
      <c r="K93" s="388"/>
      <c r="L93" s="388"/>
      <c r="M93" s="388"/>
      <c r="N93" s="388"/>
      <c r="O93" s="388"/>
      <c r="P93" s="388"/>
      <c r="Q93" s="388"/>
      <c r="S93" s="388"/>
      <c r="T93" s="388"/>
      <c r="U93" s="388"/>
      <c r="V93" s="388"/>
      <c r="W93" s="388"/>
      <c r="X93" s="388"/>
      <c r="Y93" s="388"/>
      <c r="Z93" s="388"/>
      <c r="AA93" s="388"/>
      <c r="AB93" s="388"/>
      <c r="AC93" s="388"/>
      <c r="AD93" s="388"/>
      <c r="AE93" s="388"/>
      <c r="AF93" s="388"/>
      <c r="AG93" s="388"/>
    </row>
    <row r="94" spans="1:36" outlineLevel="1" x14ac:dyDescent="0.45">
      <c r="C94" s="388"/>
      <c r="D94" s="388"/>
      <c r="E94" s="388"/>
      <c r="F94" s="388"/>
      <c r="G94" s="388"/>
      <c r="H94" s="388"/>
      <c r="I94" s="388"/>
      <c r="J94" s="388"/>
      <c r="K94" s="388"/>
      <c r="L94" s="388"/>
      <c r="M94" s="388"/>
      <c r="N94" s="388"/>
      <c r="O94" s="388"/>
      <c r="P94" s="388"/>
      <c r="Q94" s="388"/>
      <c r="S94" s="388"/>
      <c r="T94" s="388"/>
      <c r="U94" s="388"/>
      <c r="V94" s="388"/>
      <c r="W94" s="388"/>
      <c r="X94" s="388"/>
      <c r="Y94" s="388"/>
      <c r="Z94" s="388"/>
      <c r="AA94" s="388"/>
      <c r="AB94" s="388"/>
      <c r="AC94" s="388"/>
      <c r="AD94" s="388"/>
      <c r="AE94" s="388"/>
      <c r="AF94" s="388"/>
      <c r="AG94" s="388"/>
    </row>
    <row r="95" spans="1:36" outlineLevel="1" x14ac:dyDescent="0.45">
      <c r="C95" s="388"/>
      <c r="D95" s="388"/>
      <c r="E95" s="388"/>
      <c r="F95" s="388"/>
      <c r="G95" s="388"/>
      <c r="H95" s="388"/>
      <c r="I95" s="388"/>
      <c r="J95" s="388"/>
      <c r="K95" s="388"/>
      <c r="L95" s="388"/>
      <c r="M95" s="388"/>
      <c r="N95" s="388"/>
      <c r="O95" s="388"/>
      <c r="P95" s="388"/>
      <c r="Q95" s="388"/>
      <c r="S95" s="388"/>
      <c r="T95" s="388"/>
      <c r="U95" s="388"/>
      <c r="V95" s="388"/>
      <c r="W95" s="388"/>
      <c r="X95" s="388"/>
      <c r="Y95" s="388"/>
      <c r="Z95" s="388"/>
      <c r="AA95" s="388"/>
      <c r="AB95" s="388"/>
      <c r="AC95" s="388"/>
      <c r="AD95" s="388"/>
      <c r="AE95" s="388"/>
      <c r="AF95" s="388"/>
      <c r="AG95" s="388"/>
    </row>
    <row r="96" spans="1:36" outlineLevel="1" x14ac:dyDescent="0.45"/>
    <row r="97" spans="1:36" x14ac:dyDescent="0.45">
      <c r="C97" s="331">
        <v>46266</v>
      </c>
      <c r="D97" s="321"/>
      <c r="E97" s="321"/>
      <c r="F97" s="321"/>
      <c r="G97" s="321"/>
      <c r="H97" s="321"/>
      <c r="I97" s="321"/>
      <c r="J97" s="321"/>
      <c r="K97" s="321"/>
      <c r="L97" s="321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</row>
    <row r="98" spans="1:36" outlineLevel="1" x14ac:dyDescent="0.45">
      <c r="C98" s="86" t="str">
        <f t="shared" ref="C98:AG98" si="16">TEXT(C99,"aaa")</f>
        <v>火</v>
      </c>
      <c r="D98" s="86" t="str">
        <f t="shared" si="16"/>
        <v>水</v>
      </c>
      <c r="E98" s="86" t="str">
        <f t="shared" si="16"/>
        <v>木</v>
      </c>
      <c r="F98" s="86" t="str">
        <f t="shared" si="16"/>
        <v>金</v>
      </c>
      <c r="G98" s="86" t="str">
        <f t="shared" si="16"/>
        <v>土</v>
      </c>
      <c r="H98" s="86" t="str">
        <f t="shared" si="16"/>
        <v>日</v>
      </c>
      <c r="I98" s="86" t="str">
        <f t="shared" si="16"/>
        <v>月</v>
      </c>
      <c r="J98" s="86" t="str">
        <f t="shared" si="16"/>
        <v>火</v>
      </c>
      <c r="K98" s="86" t="str">
        <f t="shared" si="16"/>
        <v>水</v>
      </c>
      <c r="L98" s="86" t="str">
        <f t="shared" si="16"/>
        <v>木</v>
      </c>
      <c r="M98" s="86" t="str">
        <f t="shared" si="16"/>
        <v>金</v>
      </c>
      <c r="N98" s="86" t="str">
        <f t="shared" si="16"/>
        <v>土</v>
      </c>
      <c r="O98" s="86" t="str">
        <f t="shared" si="16"/>
        <v>日</v>
      </c>
      <c r="P98" s="86" t="str">
        <f t="shared" si="16"/>
        <v>月</v>
      </c>
      <c r="Q98" s="86" t="str">
        <f t="shared" si="16"/>
        <v>火</v>
      </c>
      <c r="R98" s="86" t="str">
        <f t="shared" si="16"/>
        <v>水</v>
      </c>
      <c r="S98" s="86" t="str">
        <f t="shared" si="16"/>
        <v>木</v>
      </c>
      <c r="T98" s="86" t="str">
        <f t="shared" si="16"/>
        <v>金</v>
      </c>
      <c r="U98" s="86" t="str">
        <f t="shared" si="16"/>
        <v>土</v>
      </c>
      <c r="V98" s="86" t="str">
        <f t="shared" si="16"/>
        <v>日</v>
      </c>
      <c r="W98" s="86" t="str">
        <f t="shared" si="16"/>
        <v>月</v>
      </c>
      <c r="X98" s="86" t="str">
        <f t="shared" si="16"/>
        <v>火</v>
      </c>
      <c r="Y98" s="86" t="str">
        <f t="shared" si="16"/>
        <v>水</v>
      </c>
      <c r="Z98" s="86" t="str">
        <f t="shared" si="16"/>
        <v>木</v>
      </c>
      <c r="AA98" s="86" t="str">
        <f t="shared" si="16"/>
        <v>金</v>
      </c>
      <c r="AB98" s="86" t="str">
        <f t="shared" si="16"/>
        <v>土</v>
      </c>
      <c r="AC98" s="86" t="str">
        <f t="shared" si="16"/>
        <v>日</v>
      </c>
      <c r="AD98" s="86" t="str">
        <f t="shared" si="16"/>
        <v>月</v>
      </c>
      <c r="AE98" s="86" t="str">
        <f t="shared" si="16"/>
        <v>火</v>
      </c>
      <c r="AF98" s="86" t="str">
        <f t="shared" si="16"/>
        <v>水</v>
      </c>
      <c r="AG98" s="86" t="str">
        <f t="shared" si="16"/>
        <v/>
      </c>
      <c r="AI98" s="19" t="s">
        <v>41</v>
      </c>
      <c r="AJ98" s="21">
        <f>COUNT(C100:AG100)</f>
        <v>19</v>
      </c>
    </row>
    <row r="99" spans="1:36" outlineLevel="1" x14ac:dyDescent="0.45">
      <c r="C99" s="89">
        <f>C97</f>
        <v>46266</v>
      </c>
      <c r="D99" s="89">
        <f t="shared" ref="D99:AG99" si="17">IF(C99="","",IF(C99+1&lt;=EOMONTH($C97,0),C99+1,""))</f>
        <v>46267</v>
      </c>
      <c r="E99" s="89">
        <f t="shared" si="17"/>
        <v>46268</v>
      </c>
      <c r="F99" s="89">
        <f t="shared" si="17"/>
        <v>46269</v>
      </c>
      <c r="G99" s="89">
        <f t="shared" si="17"/>
        <v>46270</v>
      </c>
      <c r="H99" s="89">
        <f t="shared" si="17"/>
        <v>46271</v>
      </c>
      <c r="I99" s="89">
        <f t="shared" si="17"/>
        <v>46272</v>
      </c>
      <c r="J99" s="89">
        <f t="shared" si="17"/>
        <v>46273</v>
      </c>
      <c r="K99" s="89">
        <f t="shared" si="17"/>
        <v>46274</v>
      </c>
      <c r="L99" s="89">
        <f t="shared" si="17"/>
        <v>46275</v>
      </c>
      <c r="M99" s="89">
        <f t="shared" si="17"/>
        <v>46276</v>
      </c>
      <c r="N99" s="89">
        <f t="shared" si="17"/>
        <v>46277</v>
      </c>
      <c r="O99" s="89">
        <f t="shared" si="17"/>
        <v>46278</v>
      </c>
      <c r="P99" s="89">
        <f t="shared" si="17"/>
        <v>46279</v>
      </c>
      <c r="Q99" s="89">
        <f t="shared" si="17"/>
        <v>46280</v>
      </c>
      <c r="R99" s="89">
        <f t="shared" si="17"/>
        <v>46281</v>
      </c>
      <c r="S99" s="89">
        <f t="shared" si="17"/>
        <v>46282</v>
      </c>
      <c r="T99" s="89">
        <f t="shared" si="17"/>
        <v>46283</v>
      </c>
      <c r="U99" s="89">
        <f t="shared" si="17"/>
        <v>46284</v>
      </c>
      <c r="V99" s="89">
        <f t="shared" si="17"/>
        <v>46285</v>
      </c>
      <c r="W99" s="89">
        <f t="shared" si="17"/>
        <v>46286</v>
      </c>
      <c r="X99" s="89">
        <f t="shared" si="17"/>
        <v>46287</v>
      </c>
      <c r="Y99" s="89">
        <f t="shared" si="17"/>
        <v>46288</v>
      </c>
      <c r="Z99" s="89">
        <f t="shared" si="17"/>
        <v>46289</v>
      </c>
      <c r="AA99" s="89">
        <f t="shared" si="17"/>
        <v>46290</v>
      </c>
      <c r="AB99" s="89">
        <f t="shared" si="17"/>
        <v>46291</v>
      </c>
      <c r="AC99" s="89">
        <f t="shared" si="17"/>
        <v>46292</v>
      </c>
      <c r="AD99" s="89">
        <f t="shared" si="17"/>
        <v>46293</v>
      </c>
      <c r="AE99" s="89">
        <f t="shared" si="17"/>
        <v>46294</v>
      </c>
      <c r="AF99" s="89">
        <f t="shared" si="17"/>
        <v>46295</v>
      </c>
      <c r="AG99" s="89" t="str">
        <f t="shared" si="17"/>
        <v/>
      </c>
      <c r="AI99" s="19" t="s">
        <v>42</v>
      </c>
      <c r="AJ99" s="2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9" t="s">
        <v>38</v>
      </c>
      <c r="C100" s="92">
        <v>8</v>
      </c>
      <c r="D100" s="92">
        <v>8</v>
      </c>
      <c r="E100" s="92">
        <v>8</v>
      </c>
      <c r="F100" s="92">
        <v>8</v>
      </c>
      <c r="G100" s="92"/>
      <c r="H100" s="92"/>
      <c r="I100" s="92">
        <v>8</v>
      </c>
      <c r="J100" s="92">
        <v>8</v>
      </c>
      <c r="K100" s="92">
        <v>8</v>
      </c>
      <c r="L100" s="92">
        <v>8</v>
      </c>
      <c r="M100" s="92">
        <v>8</v>
      </c>
      <c r="N100" s="92"/>
      <c r="O100" s="92"/>
      <c r="P100" s="92">
        <v>8</v>
      </c>
      <c r="Q100" s="92">
        <v>8</v>
      </c>
      <c r="R100" s="92">
        <v>8</v>
      </c>
      <c r="S100" s="92">
        <v>8</v>
      </c>
      <c r="T100" s="92">
        <v>8</v>
      </c>
      <c r="U100" s="92"/>
      <c r="V100" s="92"/>
      <c r="W100" s="92"/>
      <c r="X100" s="92"/>
      <c r="Y100" s="92"/>
      <c r="Z100" s="92">
        <v>8</v>
      </c>
      <c r="AA100" s="92">
        <v>8</v>
      </c>
      <c r="AB100" s="92"/>
      <c r="AC100" s="92"/>
      <c r="AD100" s="92">
        <v>8</v>
      </c>
      <c r="AE100" s="92">
        <v>8</v>
      </c>
      <c r="AF100" s="92">
        <v>8</v>
      </c>
      <c r="AG100" s="92"/>
      <c r="AI100" s="86" t="s">
        <v>43</v>
      </c>
      <c r="AJ100" s="90">
        <f>COUNT(C101:AG101)</f>
        <v>19</v>
      </c>
    </row>
    <row r="101" spans="1:36" outlineLevel="1" x14ac:dyDescent="0.45">
      <c r="A101" s="86" t="s">
        <v>39</v>
      </c>
      <c r="C101" s="86">
        <v>8</v>
      </c>
      <c r="D101" s="86">
        <v>8</v>
      </c>
      <c r="E101" s="86">
        <v>8</v>
      </c>
      <c r="F101" s="86">
        <v>8</v>
      </c>
      <c r="G101" s="86"/>
      <c r="H101" s="86"/>
      <c r="I101" s="86">
        <v>8</v>
      </c>
      <c r="J101" s="86">
        <v>8</v>
      </c>
      <c r="K101" s="86">
        <v>8</v>
      </c>
      <c r="L101" s="86">
        <v>8</v>
      </c>
      <c r="M101" s="86">
        <v>8</v>
      </c>
      <c r="N101" s="86"/>
      <c r="O101" s="86"/>
      <c r="P101" s="86">
        <v>8</v>
      </c>
      <c r="Q101" s="86">
        <v>8</v>
      </c>
      <c r="R101" s="86">
        <v>8</v>
      </c>
      <c r="S101" s="86">
        <v>8</v>
      </c>
      <c r="T101" s="86">
        <v>8</v>
      </c>
      <c r="U101" s="86"/>
      <c r="V101" s="86"/>
      <c r="W101" s="86"/>
      <c r="X101" s="86"/>
      <c r="Y101" s="86"/>
      <c r="Z101" s="86">
        <v>8</v>
      </c>
      <c r="AA101" s="86">
        <v>8</v>
      </c>
      <c r="AB101" s="86"/>
      <c r="AC101" s="86"/>
      <c r="AD101" s="86">
        <v>8</v>
      </c>
      <c r="AE101" s="86">
        <v>8</v>
      </c>
      <c r="AF101" s="86">
        <v>8</v>
      </c>
      <c r="AG101" s="86"/>
      <c r="AI101" s="86" t="s">
        <v>44</v>
      </c>
      <c r="AJ101" s="88" t="str">
        <f>_xlfn.LET(_xlpm.v,SUM(C101:AG101),IF(_xlpm.v=INT(_xlpm.v),TEXT(_xlpm.v,"0")&amp;" h",TEXT(_xlpm.v,"0.###")&amp;" h"))</f>
        <v>152 h</v>
      </c>
    </row>
    <row r="102" spans="1:36" outlineLevel="1" x14ac:dyDescent="0.45">
      <c r="A102" s="86" t="s">
        <v>37</v>
      </c>
      <c r="C102" s="86" t="s">
        <v>22</v>
      </c>
      <c r="D102" s="86" t="s">
        <v>22</v>
      </c>
      <c r="E102" s="86" t="s">
        <v>22</v>
      </c>
      <c r="F102" s="86" t="s">
        <v>22</v>
      </c>
      <c r="G102" s="86"/>
      <c r="H102" s="86"/>
      <c r="I102" s="86" t="s">
        <v>22</v>
      </c>
      <c r="J102" s="86" t="s">
        <v>22</v>
      </c>
      <c r="K102" s="86" t="s">
        <v>22</v>
      </c>
      <c r="L102" s="86" t="s">
        <v>22</v>
      </c>
      <c r="M102" s="86" t="s">
        <v>22</v>
      </c>
      <c r="N102" s="86"/>
      <c r="O102" s="86"/>
      <c r="P102" s="86" t="s">
        <v>22</v>
      </c>
      <c r="Q102" s="86" t="s">
        <v>22</v>
      </c>
      <c r="R102" s="86" t="s">
        <v>22</v>
      </c>
      <c r="S102" s="86" t="s">
        <v>22</v>
      </c>
      <c r="T102" s="86" t="s">
        <v>22</v>
      </c>
      <c r="U102" s="86"/>
      <c r="V102" s="86"/>
      <c r="W102" s="86"/>
      <c r="X102" s="86"/>
      <c r="Y102" s="86"/>
      <c r="Z102" s="86" t="s">
        <v>22</v>
      </c>
      <c r="AA102" s="86" t="s">
        <v>22</v>
      </c>
      <c r="AB102" s="86"/>
      <c r="AC102" s="86"/>
      <c r="AD102" s="86" t="s">
        <v>22</v>
      </c>
      <c r="AE102" s="86" t="s">
        <v>22</v>
      </c>
      <c r="AF102" s="86" t="s">
        <v>22</v>
      </c>
      <c r="AG102" s="86"/>
      <c r="AI102" s="86" t="s">
        <v>45</v>
      </c>
      <c r="AJ102" s="90">
        <f>COUNTIF(C102:AG102,"出")</f>
        <v>0</v>
      </c>
    </row>
    <row r="103" spans="1:36" outlineLevel="1" x14ac:dyDescent="0.45">
      <c r="A103" s="86" t="s">
        <v>40</v>
      </c>
      <c r="C103" s="388"/>
      <c r="D103" s="388"/>
      <c r="E103" s="388"/>
      <c r="F103" s="388"/>
      <c r="G103" s="388"/>
      <c r="H103" s="388"/>
      <c r="I103" s="388"/>
      <c r="J103" s="388"/>
      <c r="K103" s="388"/>
      <c r="L103" s="388"/>
      <c r="M103" s="388"/>
      <c r="N103" s="388"/>
      <c r="O103" s="388"/>
      <c r="P103" s="388"/>
      <c r="Q103" s="388"/>
      <c r="S103" s="388"/>
      <c r="T103" s="388"/>
      <c r="U103" s="388"/>
      <c r="V103" s="388"/>
      <c r="W103" s="388"/>
      <c r="X103" s="388"/>
      <c r="Y103" s="388"/>
      <c r="Z103" s="388"/>
      <c r="AA103" s="388"/>
      <c r="AB103" s="388"/>
      <c r="AC103" s="388"/>
      <c r="AD103" s="388"/>
      <c r="AE103" s="388"/>
      <c r="AF103" s="388"/>
      <c r="AG103" s="388"/>
      <c r="AI103" s="86" t="s">
        <v>46</v>
      </c>
      <c r="AJ103" s="90">
        <f>COUNTIF(C102:AG102,"リ")</f>
        <v>19</v>
      </c>
    </row>
    <row r="104" spans="1:36" outlineLevel="1" x14ac:dyDescent="0.45">
      <c r="C104" s="388"/>
      <c r="D104" s="388"/>
      <c r="E104" s="388"/>
      <c r="F104" s="388"/>
      <c r="G104" s="388"/>
      <c r="H104" s="388"/>
      <c r="I104" s="388"/>
      <c r="J104" s="388"/>
      <c r="K104" s="388"/>
      <c r="L104" s="388"/>
      <c r="M104" s="388"/>
      <c r="N104" s="388"/>
      <c r="O104" s="388"/>
      <c r="P104" s="388"/>
      <c r="Q104" s="388"/>
      <c r="S104" s="388"/>
      <c r="T104" s="388"/>
      <c r="U104" s="388"/>
      <c r="V104" s="388"/>
      <c r="W104" s="388"/>
      <c r="X104" s="388"/>
      <c r="Y104" s="388"/>
      <c r="Z104" s="388"/>
      <c r="AA104" s="388"/>
      <c r="AB104" s="388"/>
      <c r="AC104" s="388"/>
      <c r="AD104" s="388"/>
      <c r="AE104" s="388"/>
      <c r="AF104" s="388"/>
      <c r="AG104" s="388"/>
      <c r="AI104" s="86" t="s">
        <v>25</v>
      </c>
      <c r="AJ104" s="91">
        <f>AJ102/(AJ102+AJ103)</f>
        <v>0</v>
      </c>
    </row>
    <row r="105" spans="1:36" outlineLevel="1" x14ac:dyDescent="0.45">
      <c r="C105" s="388"/>
      <c r="D105" s="388"/>
      <c r="E105" s="388"/>
      <c r="F105" s="388"/>
      <c r="G105" s="388"/>
      <c r="H105" s="388"/>
      <c r="I105" s="388"/>
      <c r="J105" s="388"/>
      <c r="K105" s="388"/>
      <c r="L105" s="388"/>
      <c r="M105" s="388"/>
      <c r="N105" s="388"/>
      <c r="O105" s="388"/>
      <c r="P105" s="388"/>
      <c r="Q105" s="388"/>
      <c r="S105" s="388"/>
      <c r="T105" s="388"/>
      <c r="U105" s="388"/>
      <c r="V105" s="388"/>
      <c r="W105" s="388"/>
      <c r="X105" s="388"/>
      <c r="Y105" s="388"/>
      <c r="Z105" s="388"/>
      <c r="AA105" s="388"/>
      <c r="AB105" s="388"/>
      <c r="AC105" s="388"/>
      <c r="AD105" s="388"/>
      <c r="AE105" s="388"/>
      <c r="AF105" s="388"/>
      <c r="AG105" s="388"/>
    </row>
    <row r="106" spans="1:36" outlineLevel="1" x14ac:dyDescent="0.45">
      <c r="C106" s="388"/>
      <c r="D106" s="388"/>
      <c r="E106" s="388"/>
      <c r="F106" s="388"/>
      <c r="G106" s="388"/>
      <c r="H106" s="388"/>
      <c r="I106" s="388"/>
      <c r="J106" s="388"/>
      <c r="K106" s="388"/>
      <c r="L106" s="388"/>
      <c r="M106" s="388"/>
      <c r="N106" s="388"/>
      <c r="O106" s="388"/>
      <c r="P106" s="388"/>
      <c r="Q106" s="388"/>
      <c r="S106" s="388"/>
      <c r="T106" s="388"/>
      <c r="U106" s="388"/>
      <c r="V106" s="388"/>
      <c r="W106" s="388"/>
      <c r="X106" s="388"/>
      <c r="Y106" s="388"/>
      <c r="Z106" s="388"/>
      <c r="AA106" s="388"/>
      <c r="AB106" s="388"/>
      <c r="AC106" s="388"/>
      <c r="AD106" s="388"/>
      <c r="AE106" s="388"/>
      <c r="AF106" s="388"/>
      <c r="AG106" s="388"/>
    </row>
    <row r="107" spans="1:36" outlineLevel="1" x14ac:dyDescent="0.45">
      <c r="C107" s="388"/>
      <c r="D107" s="388"/>
      <c r="E107" s="388"/>
      <c r="F107" s="388"/>
      <c r="G107" s="388"/>
      <c r="H107" s="388"/>
      <c r="I107" s="388"/>
      <c r="J107" s="388"/>
      <c r="K107" s="388"/>
      <c r="L107" s="388"/>
      <c r="M107" s="388"/>
      <c r="N107" s="388"/>
      <c r="O107" s="388"/>
      <c r="P107" s="388"/>
      <c r="Q107" s="388"/>
      <c r="S107" s="388"/>
      <c r="T107" s="388"/>
      <c r="U107" s="388"/>
      <c r="V107" s="388"/>
      <c r="W107" s="388"/>
      <c r="X107" s="388"/>
      <c r="Y107" s="388"/>
      <c r="Z107" s="388"/>
      <c r="AA107" s="388"/>
      <c r="AB107" s="388"/>
      <c r="AC107" s="388"/>
      <c r="AD107" s="388"/>
      <c r="AE107" s="388"/>
      <c r="AF107" s="388"/>
      <c r="AG107" s="388"/>
    </row>
    <row r="108" spans="1:36" outlineLevel="1" x14ac:dyDescent="0.45"/>
    <row r="109" spans="1:36" x14ac:dyDescent="0.45">
      <c r="C109" s="331">
        <v>46296</v>
      </c>
      <c r="D109" s="321"/>
      <c r="E109" s="321"/>
      <c r="F109" s="321"/>
      <c r="G109" s="321"/>
      <c r="H109" s="321"/>
      <c r="I109" s="321"/>
      <c r="J109" s="321"/>
      <c r="K109" s="321"/>
      <c r="L109" s="321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</row>
    <row r="110" spans="1:36" outlineLevel="1" x14ac:dyDescent="0.45">
      <c r="C110" s="86" t="str">
        <f t="shared" ref="C110:AG110" si="18">TEXT(C111,"aaa")</f>
        <v>木</v>
      </c>
      <c r="D110" s="86" t="str">
        <f t="shared" si="18"/>
        <v>金</v>
      </c>
      <c r="E110" s="86" t="str">
        <f t="shared" si="18"/>
        <v>土</v>
      </c>
      <c r="F110" s="86" t="str">
        <f t="shared" si="18"/>
        <v>日</v>
      </c>
      <c r="G110" s="86" t="str">
        <f t="shared" si="18"/>
        <v>月</v>
      </c>
      <c r="H110" s="86" t="str">
        <f t="shared" si="18"/>
        <v>火</v>
      </c>
      <c r="I110" s="86" t="str">
        <f t="shared" si="18"/>
        <v>水</v>
      </c>
      <c r="J110" s="86" t="str">
        <f t="shared" si="18"/>
        <v>木</v>
      </c>
      <c r="K110" s="86" t="str">
        <f t="shared" si="18"/>
        <v>金</v>
      </c>
      <c r="L110" s="86" t="str">
        <f t="shared" si="18"/>
        <v>土</v>
      </c>
      <c r="M110" s="86" t="str">
        <f t="shared" si="18"/>
        <v>日</v>
      </c>
      <c r="N110" s="86" t="str">
        <f t="shared" si="18"/>
        <v>月</v>
      </c>
      <c r="O110" s="86" t="str">
        <f t="shared" si="18"/>
        <v>火</v>
      </c>
      <c r="P110" s="86" t="str">
        <f t="shared" si="18"/>
        <v>水</v>
      </c>
      <c r="Q110" s="86" t="str">
        <f t="shared" si="18"/>
        <v>木</v>
      </c>
      <c r="R110" s="86" t="str">
        <f t="shared" si="18"/>
        <v>金</v>
      </c>
      <c r="S110" s="86" t="str">
        <f t="shared" si="18"/>
        <v>土</v>
      </c>
      <c r="T110" s="86" t="str">
        <f t="shared" si="18"/>
        <v>日</v>
      </c>
      <c r="U110" s="86" t="str">
        <f t="shared" si="18"/>
        <v>月</v>
      </c>
      <c r="V110" s="86" t="str">
        <f t="shared" si="18"/>
        <v>火</v>
      </c>
      <c r="W110" s="86" t="str">
        <f t="shared" si="18"/>
        <v>水</v>
      </c>
      <c r="X110" s="86" t="str">
        <f t="shared" si="18"/>
        <v>木</v>
      </c>
      <c r="Y110" s="86" t="str">
        <f t="shared" si="18"/>
        <v>金</v>
      </c>
      <c r="Z110" s="86" t="str">
        <f t="shared" si="18"/>
        <v>土</v>
      </c>
      <c r="AA110" s="86" t="str">
        <f t="shared" si="18"/>
        <v>日</v>
      </c>
      <c r="AB110" s="86" t="str">
        <f t="shared" si="18"/>
        <v>月</v>
      </c>
      <c r="AC110" s="86" t="str">
        <f t="shared" si="18"/>
        <v>火</v>
      </c>
      <c r="AD110" s="86" t="str">
        <f t="shared" si="18"/>
        <v>水</v>
      </c>
      <c r="AE110" s="86" t="str">
        <f t="shared" si="18"/>
        <v>木</v>
      </c>
      <c r="AF110" s="86" t="str">
        <f t="shared" si="18"/>
        <v>金</v>
      </c>
      <c r="AG110" s="86" t="str">
        <f t="shared" si="18"/>
        <v>土</v>
      </c>
      <c r="AI110" s="19" t="s">
        <v>41</v>
      </c>
      <c r="AJ110" s="21">
        <f>COUNT(C112:AG112)</f>
        <v>21</v>
      </c>
    </row>
    <row r="111" spans="1:36" outlineLevel="1" x14ac:dyDescent="0.45">
      <c r="C111" s="89">
        <f>C109</f>
        <v>46296</v>
      </c>
      <c r="D111" s="89">
        <f t="shared" ref="D111:AG111" si="19">IF(C111="","",IF(C111+1&lt;=EOMONTH($C109,0),C111+1,""))</f>
        <v>46297</v>
      </c>
      <c r="E111" s="89">
        <f t="shared" si="19"/>
        <v>46298</v>
      </c>
      <c r="F111" s="89">
        <f t="shared" si="19"/>
        <v>46299</v>
      </c>
      <c r="G111" s="89">
        <f t="shared" si="19"/>
        <v>46300</v>
      </c>
      <c r="H111" s="89">
        <f t="shared" si="19"/>
        <v>46301</v>
      </c>
      <c r="I111" s="89">
        <f t="shared" si="19"/>
        <v>46302</v>
      </c>
      <c r="J111" s="89">
        <f t="shared" si="19"/>
        <v>46303</v>
      </c>
      <c r="K111" s="89">
        <f t="shared" si="19"/>
        <v>46304</v>
      </c>
      <c r="L111" s="89">
        <f t="shared" si="19"/>
        <v>46305</v>
      </c>
      <c r="M111" s="89">
        <f t="shared" si="19"/>
        <v>46306</v>
      </c>
      <c r="N111" s="89">
        <f t="shared" si="19"/>
        <v>46307</v>
      </c>
      <c r="O111" s="89">
        <f t="shared" si="19"/>
        <v>46308</v>
      </c>
      <c r="P111" s="89">
        <f t="shared" si="19"/>
        <v>46309</v>
      </c>
      <c r="Q111" s="89">
        <f t="shared" si="19"/>
        <v>46310</v>
      </c>
      <c r="R111" s="89">
        <f t="shared" si="19"/>
        <v>46311</v>
      </c>
      <c r="S111" s="89">
        <f t="shared" si="19"/>
        <v>46312</v>
      </c>
      <c r="T111" s="89">
        <f t="shared" si="19"/>
        <v>46313</v>
      </c>
      <c r="U111" s="89">
        <f t="shared" si="19"/>
        <v>46314</v>
      </c>
      <c r="V111" s="89">
        <f t="shared" si="19"/>
        <v>46315</v>
      </c>
      <c r="W111" s="89">
        <f t="shared" si="19"/>
        <v>46316</v>
      </c>
      <c r="X111" s="89">
        <f t="shared" si="19"/>
        <v>46317</v>
      </c>
      <c r="Y111" s="89">
        <f t="shared" si="19"/>
        <v>46318</v>
      </c>
      <c r="Z111" s="89">
        <f t="shared" si="19"/>
        <v>46319</v>
      </c>
      <c r="AA111" s="89">
        <f t="shared" si="19"/>
        <v>46320</v>
      </c>
      <c r="AB111" s="89">
        <f t="shared" si="19"/>
        <v>46321</v>
      </c>
      <c r="AC111" s="89">
        <f t="shared" si="19"/>
        <v>46322</v>
      </c>
      <c r="AD111" s="89">
        <f t="shared" si="19"/>
        <v>46323</v>
      </c>
      <c r="AE111" s="89">
        <f t="shared" si="19"/>
        <v>46324</v>
      </c>
      <c r="AF111" s="89">
        <f t="shared" si="19"/>
        <v>46325</v>
      </c>
      <c r="AG111" s="89">
        <f t="shared" si="19"/>
        <v>46326</v>
      </c>
      <c r="AI111" s="19" t="s">
        <v>42</v>
      </c>
      <c r="AJ111" s="2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9" t="s">
        <v>38</v>
      </c>
      <c r="C112" s="92">
        <v>8</v>
      </c>
      <c r="D112" s="92">
        <v>8</v>
      </c>
      <c r="E112" s="92"/>
      <c r="F112" s="92"/>
      <c r="G112" s="92">
        <v>8</v>
      </c>
      <c r="H112" s="92">
        <v>8</v>
      </c>
      <c r="I112" s="92">
        <v>8</v>
      </c>
      <c r="J112" s="92">
        <v>8</v>
      </c>
      <c r="K112" s="92">
        <v>8</v>
      </c>
      <c r="L112" s="92"/>
      <c r="M112" s="92"/>
      <c r="N112" s="92"/>
      <c r="O112" s="92">
        <v>8</v>
      </c>
      <c r="P112" s="92">
        <v>8</v>
      </c>
      <c r="Q112" s="92">
        <v>8</v>
      </c>
      <c r="R112" s="92">
        <v>8</v>
      </c>
      <c r="S112" s="92"/>
      <c r="T112" s="92"/>
      <c r="U112" s="92">
        <v>8</v>
      </c>
      <c r="V112" s="92">
        <v>8</v>
      </c>
      <c r="W112" s="92">
        <v>8</v>
      </c>
      <c r="X112" s="92">
        <v>8</v>
      </c>
      <c r="Y112" s="92">
        <v>8</v>
      </c>
      <c r="Z112" s="92"/>
      <c r="AA112" s="92"/>
      <c r="AB112" s="92">
        <v>8</v>
      </c>
      <c r="AC112" s="92">
        <v>8</v>
      </c>
      <c r="AD112" s="92">
        <v>8</v>
      </c>
      <c r="AE112" s="92">
        <v>8</v>
      </c>
      <c r="AF112" s="92">
        <v>8</v>
      </c>
      <c r="AG112" s="92"/>
      <c r="AI112" s="86" t="s">
        <v>43</v>
      </c>
      <c r="AJ112" s="90">
        <f>COUNT(C113:AG113)</f>
        <v>21</v>
      </c>
    </row>
    <row r="113" spans="1:36" outlineLevel="1" x14ac:dyDescent="0.45">
      <c r="A113" s="86" t="s">
        <v>39</v>
      </c>
      <c r="C113" s="86">
        <v>8</v>
      </c>
      <c r="D113" s="86">
        <v>8</v>
      </c>
      <c r="E113" s="86"/>
      <c r="F113" s="86"/>
      <c r="G113" s="86">
        <v>8</v>
      </c>
      <c r="H113" s="86">
        <v>8</v>
      </c>
      <c r="I113" s="86">
        <v>8</v>
      </c>
      <c r="J113" s="86">
        <v>8</v>
      </c>
      <c r="K113" s="86">
        <v>8</v>
      </c>
      <c r="L113" s="86"/>
      <c r="M113" s="86"/>
      <c r="N113" s="86"/>
      <c r="O113" s="86">
        <v>8</v>
      </c>
      <c r="P113" s="86">
        <v>8</v>
      </c>
      <c r="Q113" s="86">
        <v>8</v>
      </c>
      <c r="R113" s="86">
        <v>8</v>
      </c>
      <c r="S113" s="86"/>
      <c r="T113" s="86"/>
      <c r="U113" s="86">
        <v>8</v>
      </c>
      <c r="V113" s="86">
        <v>8</v>
      </c>
      <c r="W113" s="86">
        <v>8</v>
      </c>
      <c r="X113" s="86">
        <v>8</v>
      </c>
      <c r="Y113" s="86">
        <v>8</v>
      </c>
      <c r="Z113" s="86"/>
      <c r="AA113" s="86"/>
      <c r="AB113" s="86">
        <v>8</v>
      </c>
      <c r="AC113" s="86">
        <v>8</v>
      </c>
      <c r="AD113" s="86">
        <v>8</v>
      </c>
      <c r="AE113" s="86">
        <v>8</v>
      </c>
      <c r="AF113" s="86">
        <v>8</v>
      </c>
      <c r="AG113" s="86"/>
      <c r="AI113" s="86" t="s">
        <v>44</v>
      </c>
      <c r="AJ113" s="88" t="str">
        <f>_xlfn.LET(_xlpm.v,SUM(C113:AG113),IF(_xlpm.v=INT(_xlpm.v),TEXT(_xlpm.v,"0")&amp;" h",TEXT(_xlpm.v,"0.###")&amp;" h"))</f>
        <v>168 h</v>
      </c>
    </row>
    <row r="114" spans="1:36" outlineLevel="1" x14ac:dyDescent="0.45">
      <c r="A114" s="86" t="s">
        <v>37</v>
      </c>
      <c r="C114" s="86" t="s">
        <v>22</v>
      </c>
      <c r="D114" s="86" t="s">
        <v>22</v>
      </c>
      <c r="E114" s="86"/>
      <c r="F114" s="86"/>
      <c r="G114" s="86" t="s">
        <v>22</v>
      </c>
      <c r="H114" s="86" t="s">
        <v>22</v>
      </c>
      <c r="I114" s="86" t="s">
        <v>22</v>
      </c>
      <c r="J114" s="86" t="s">
        <v>22</v>
      </c>
      <c r="K114" s="86" t="s">
        <v>22</v>
      </c>
      <c r="L114" s="86"/>
      <c r="M114" s="86"/>
      <c r="N114" s="86"/>
      <c r="O114" s="86" t="s">
        <v>22</v>
      </c>
      <c r="P114" s="86" t="s">
        <v>22</v>
      </c>
      <c r="Q114" s="86" t="s">
        <v>22</v>
      </c>
      <c r="R114" s="86" t="s">
        <v>22</v>
      </c>
      <c r="S114" s="86"/>
      <c r="T114" s="86"/>
      <c r="U114" s="86" t="s">
        <v>22</v>
      </c>
      <c r="V114" s="86" t="s">
        <v>22</v>
      </c>
      <c r="W114" s="86" t="s">
        <v>22</v>
      </c>
      <c r="X114" s="86" t="s">
        <v>22</v>
      </c>
      <c r="Y114" s="86" t="s">
        <v>22</v>
      </c>
      <c r="Z114" s="86"/>
      <c r="AA114" s="86"/>
      <c r="AB114" s="86" t="s">
        <v>22</v>
      </c>
      <c r="AC114" s="86" t="s">
        <v>22</v>
      </c>
      <c r="AD114" s="86" t="s">
        <v>22</v>
      </c>
      <c r="AE114" s="86" t="s">
        <v>22</v>
      </c>
      <c r="AF114" s="86" t="s">
        <v>22</v>
      </c>
      <c r="AG114" s="86"/>
      <c r="AI114" s="86" t="s">
        <v>45</v>
      </c>
      <c r="AJ114" s="90">
        <f>COUNTIF(C114:AG114,"出")</f>
        <v>0</v>
      </c>
    </row>
    <row r="115" spans="1:36" outlineLevel="1" x14ac:dyDescent="0.45">
      <c r="A115" s="86" t="s">
        <v>40</v>
      </c>
      <c r="C115" s="388"/>
      <c r="D115" s="388"/>
      <c r="E115" s="388"/>
      <c r="F115" s="388"/>
      <c r="G115" s="388"/>
      <c r="H115" s="388"/>
      <c r="I115" s="388"/>
      <c r="J115" s="388"/>
      <c r="K115" s="388"/>
      <c r="L115" s="388"/>
      <c r="M115" s="388"/>
      <c r="N115" s="388"/>
      <c r="O115" s="388"/>
      <c r="P115" s="388"/>
      <c r="Q115" s="388"/>
      <c r="S115" s="388"/>
      <c r="T115" s="388"/>
      <c r="U115" s="388"/>
      <c r="V115" s="388"/>
      <c r="W115" s="388"/>
      <c r="X115" s="388"/>
      <c r="Y115" s="388"/>
      <c r="Z115" s="388"/>
      <c r="AA115" s="388"/>
      <c r="AB115" s="388"/>
      <c r="AC115" s="388"/>
      <c r="AD115" s="388"/>
      <c r="AE115" s="388"/>
      <c r="AF115" s="388"/>
      <c r="AG115" s="388"/>
      <c r="AI115" s="86" t="s">
        <v>46</v>
      </c>
      <c r="AJ115" s="90">
        <f>COUNTIF(C114:AG114,"リ")</f>
        <v>21</v>
      </c>
    </row>
    <row r="116" spans="1:36" outlineLevel="1" x14ac:dyDescent="0.45">
      <c r="C116" s="388"/>
      <c r="D116" s="388"/>
      <c r="E116" s="388"/>
      <c r="F116" s="388"/>
      <c r="G116" s="388"/>
      <c r="H116" s="388"/>
      <c r="I116" s="388"/>
      <c r="J116" s="388"/>
      <c r="K116" s="388"/>
      <c r="L116" s="388"/>
      <c r="M116" s="388"/>
      <c r="N116" s="388"/>
      <c r="O116" s="388"/>
      <c r="P116" s="388"/>
      <c r="Q116" s="388"/>
      <c r="S116" s="388"/>
      <c r="T116" s="388"/>
      <c r="U116" s="388"/>
      <c r="V116" s="388"/>
      <c r="W116" s="388"/>
      <c r="X116" s="388"/>
      <c r="Y116" s="388"/>
      <c r="Z116" s="388"/>
      <c r="AA116" s="388"/>
      <c r="AB116" s="388"/>
      <c r="AC116" s="388"/>
      <c r="AD116" s="388"/>
      <c r="AE116" s="388"/>
      <c r="AF116" s="388"/>
      <c r="AG116" s="388"/>
      <c r="AI116" s="86" t="s">
        <v>25</v>
      </c>
      <c r="AJ116" s="91">
        <f>AJ114/(AJ114+AJ115)</f>
        <v>0</v>
      </c>
    </row>
    <row r="117" spans="1:36" outlineLevel="1" x14ac:dyDescent="0.45">
      <c r="C117" s="388"/>
      <c r="D117" s="388"/>
      <c r="E117" s="388"/>
      <c r="F117" s="388"/>
      <c r="G117" s="388"/>
      <c r="H117" s="388"/>
      <c r="I117" s="388"/>
      <c r="J117" s="388"/>
      <c r="K117" s="388"/>
      <c r="L117" s="388"/>
      <c r="M117" s="388"/>
      <c r="N117" s="388"/>
      <c r="O117" s="388"/>
      <c r="P117" s="388"/>
      <c r="Q117" s="388"/>
      <c r="S117" s="388"/>
      <c r="T117" s="388"/>
      <c r="U117" s="388"/>
      <c r="V117" s="388"/>
      <c r="W117" s="388"/>
      <c r="X117" s="388"/>
      <c r="Y117" s="388"/>
      <c r="Z117" s="388"/>
      <c r="AA117" s="388"/>
      <c r="AB117" s="388"/>
      <c r="AC117" s="388"/>
      <c r="AD117" s="388"/>
      <c r="AE117" s="388"/>
      <c r="AF117" s="388"/>
      <c r="AG117" s="388"/>
    </row>
    <row r="118" spans="1:36" outlineLevel="1" x14ac:dyDescent="0.45">
      <c r="C118" s="388"/>
      <c r="D118" s="388"/>
      <c r="E118" s="388"/>
      <c r="F118" s="388"/>
      <c r="G118" s="388"/>
      <c r="H118" s="388"/>
      <c r="I118" s="388"/>
      <c r="J118" s="388"/>
      <c r="K118" s="388"/>
      <c r="L118" s="388"/>
      <c r="M118" s="388"/>
      <c r="N118" s="388"/>
      <c r="O118" s="388"/>
      <c r="P118" s="388"/>
      <c r="Q118" s="388"/>
      <c r="S118" s="388"/>
      <c r="T118" s="388"/>
      <c r="U118" s="388"/>
      <c r="V118" s="388"/>
      <c r="W118" s="388"/>
      <c r="X118" s="388"/>
      <c r="Y118" s="388"/>
      <c r="Z118" s="388"/>
      <c r="AA118" s="388"/>
      <c r="AB118" s="388"/>
      <c r="AC118" s="388"/>
      <c r="AD118" s="388"/>
      <c r="AE118" s="388"/>
      <c r="AF118" s="388"/>
      <c r="AG118" s="388"/>
    </row>
    <row r="119" spans="1:36" outlineLevel="1" x14ac:dyDescent="0.45">
      <c r="C119" s="388"/>
      <c r="D119" s="388"/>
      <c r="E119" s="388"/>
      <c r="F119" s="388"/>
      <c r="G119" s="388"/>
      <c r="H119" s="388"/>
      <c r="I119" s="388"/>
      <c r="J119" s="388"/>
      <c r="K119" s="388"/>
      <c r="L119" s="388"/>
      <c r="M119" s="388"/>
      <c r="N119" s="388"/>
      <c r="O119" s="388"/>
      <c r="P119" s="388"/>
      <c r="Q119" s="388"/>
      <c r="S119" s="388"/>
      <c r="T119" s="388"/>
      <c r="U119" s="388"/>
      <c r="V119" s="388"/>
      <c r="W119" s="388"/>
      <c r="X119" s="388"/>
      <c r="Y119" s="388"/>
      <c r="Z119" s="388"/>
      <c r="AA119" s="388"/>
      <c r="AB119" s="388"/>
      <c r="AC119" s="388"/>
      <c r="AD119" s="388"/>
      <c r="AE119" s="388"/>
      <c r="AF119" s="388"/>
      <c r="AG119" s="388"/>
    </row>
    <row r="120" spans="1:36" outlineLevel="1" x14ac:dyDescent="0.45"/>
    <row r="121" spans="1:36" x14ac:dyDescent="0.45">
      <c r="C121" s="331">
        <v>46327</v>
      </c>
      <c r="D121" s="321"/>
      <c r="E121" s="321"/>
      <c r="F121" s="321"/>
      <c r="G121" s="321"/>
      <c r="H121" s="321"/>
      <c r="I121" s="321"/>
      <c r="J121" s="321"/>
      <c r="K121" s="321"/>
      <c r="L121" s="321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</row>
    <row r="122" spans="1:36" outlineLevel="1" x14ac:dyDescent="0.45">
      <c r="C122" s="86" t="str">
        <f t="shared" ref="C122:AG122" si="20">TEXT(C123,"aaa")</f>
        <v>日</v>
      </c>
      <c r="D122" s="86" t="str">
        <f t="shared" si="20"/>
        <v>月</v>
      </c>
      <c r="E122" s="86" t="str">
        <f t="shared" si="20"/>
        <v>火</v>
      </c>
      <c r="F122" s="86" t="str">
        <f t="shared" si="20"/>
        <v>水</v>
      </c>
      <c r="G122" s="86" t="str">
        <f t="shared" si="20"/>
        <v>木</v>
      </c>
      <c r="H122" s="86" t="str">
        <f t="shared" si="20"/>
        <v>金</v>
      </c>
      <c r="I122" s="86" t="str">
        <f t="shared" si="20"/>
        <v>土</v>
      </c>
      <c r="J122" s="86" t="str">
        <f t="shared" si="20"/>
        <v>日</v>
      </c>
      <c r="K122" s="86" t="str">
        <f t="shared" si="20"/>
        <v>月</v>
      </c>
      <c r="L122" s="86" t="str">
        <f t="shared" si="20"/>
        <v>火</v>
      </c>
      <c r="M122" s="86" t="str">
        <f t="shared" si="20"/>
        <v>水</v>
      </c>
      <c r="N122" s="86" t="str">
        <f t="shared" si="20"/>
        <v>木</v>
      </c>
      <c r="O122" s="86" t="str">
        <f t="shared" si="20"/>
        <v>金</v>
      </c>
      <c r="P122" s="86" t="str">
        <f t="shared" si="20"/>
        <v>土</v>
      </c>
      <c r="Q122" s="86" t="str">
        <f t="shared" si="20"/>
        <v>日</v>
      </c>
      <c r="R122" s="86" t="str">
        <f t="shared" si="20"/>
        <v>月</v>
      </c>
      <c r="S122" s="86" t="str">
        <f t="shared" si="20"/>
        <v>火</v>
      </c>
      <c r="T122" s="86" t="str">
        <f t="shared" si="20"/>
        <v>水</v>
      </c>
      <c r="U122" s="86" t="str">
        <f t="shared" si="20"/>
        <v>木</v>
      </c>
      <c r="V122" s="86" t="str">
        <f t="shared" si="20"/>
        <v>金</v>
      </c>
      <c r="W122" s="86" t="str">
        <f t="shared" si="20"/>
        <v>土</v>
      </c>
      <c r="X122" s="86" t="str">
        <f t="shared" si="20"/>
        <v>日</v>
      </c>
      <c r="Y122" s="86" t="str">
        <f t="shared" si="20"/>
        <v>月</v>
      </c>
      <c r="Z122" s="86" t="str">
        <f t="shared" si="20"/>
        <v>火</v>
      </c>
      <c r="AA122" s="86" t="str">
        <f t="shared" si="20"/>
        <v>水</v>
      </c>
      <c r="AB122" s="86" t="str">
        <f t="shared" si="20"/>
        <v>木</v>
      </c>
      <c r="AC122" s="86" t="str">
        <f t="shared" si="20"/>
        <v>金</v>
      </c>
      <c r="AD122" s="86" t="str">
        <f t="shared" si="20"/>
        <v>土</v>
      </c>
      <c r="AE122" s="86" t="str">
        <f t="shared" si="20"/>
        <v>日</v>
      </c>
      <c r="AF122" s="86" t="str">
        <f t="shared" si="20"/>
        <v>月</v>
      </c>
      <c r="AG122" s="86" t="str">
        <f t="shared" si="20"/>
        <v/>
      </c>
      <c r="AI122" s="19" t="s">
        <v>41</v>
      </c>
      <c r="AJ122" s="21">
        <f>COUNT(C124:AG124)</f>
        <v>19</v>
      </c>
    </row>
    <row r="123" spans="1:36" outlineLevel="1" x14ac:dyDescent="0.45">
      <c r="C123" s="89">
        <f>C121</f>
        <v>46327</v>
      </c>
      <c r="D123" s="89">
        <f t="shared" ref="D123:AG123" si="21">IF(C123="","",IF(C123+1&lt;=EOMONTH($C121,0),C123+1,""))</f>
        <v>46328</v>
      </c>
      <c r="E123" s="89">
        <f t="shared" si="21"/>
        <v>46329</v>
      </c>
      <c r="F123" s="89">
        <f t="shared" si="21"/>
        <v>46330</v>
      </c>
      <c r="G123" s="89">
        <f t="shared" si="21"/>
        <v>46331</v>
      </c>
      <c r="H123" s="89">
        <f t="shared" si="21"/>
        <v>46332</v>
      </c>
      <c r="I123" s="89">
        <f t="shared" si="21"/>
        <v>46333</v>
      </c>
      <c r="J123" s="89">
        <f t="shared" si="21"/>
        <v>46334</v>
      </c>
      <c r="K123" s="89">
        <f t="shared" si="21"/>
        <v>46335</v>
      </c>
      <c r="L123" s="89">
        <f t="shared" si="21"/>
        <v>46336</v>
      </c>
      <c r="M123" s="89">
        <f t="shared" si="21"/>
        <v>46337</v>
      </c>
      <c r="N123" s="89">
        <f t="shared" si="21"/>
        <v>46338</v>
      </c>
      <c r="O123" s="89">
        <f t="shared" si="21"/>
        <v>46339</v>
      </c>
      <c r="P123" s="89">
        <f t="shared" si="21"/>
        <v>46340</v>
      </c>
      <c r="Q123" s="89">
        <f t="shared" si="21"/>
        <v>46341</v>
      </c>
      <c r="R123" s="89">
        <f t="shared" si="21"/>
        <v>46342</v>
      </c>
      <c r="S123" s="89">
        <f t="shared" si="21"/>
        <v>46343</v>
      </c>
      <c r="T123" s="89">
        <f t="shared" si="21"/>
        <v>46344</v>
      </c>
      <c r="U123" s="89">
        <f t="shared" si="21"/>
        <v>46345</v>
      </c>
      <c r="V123" s="89">
        <f t="shared" si="21"/>
        <v>46346</v>
      </c>
      <c r="W123" s="89">
        <f t="shared" si="21"/>
        <v>46347</v>
      </c>
      <c r="X123" s="89">
        <f t="shared" si="21"/>
        <v>46348</v>
      </c>
      <c r="Y123" s="89">
        <f t="shared" si="21"/>
        <v>46349</v>
      </c>
      <c r="Z123" s="89">
        <f t="shared" si="21"/>
        <v>46350</v>
      </c>
      <c r="AA123" s="89">
        <f t="shared" si="21"/>
        <v>46351</v>
      </c>
      <c r="AB123" s="89">
        <f t="shared" si="21"/>
        <v>46352</v>
      </c>
      <c r="AC123" s="89">
        <f t="shared" si="21"/>
        <v>46353</v>
      </c>
      <c r="AD123" s="89">
        <f t="shared" si="21"/>
        <v>46354</v>
      </c>
      <c r="AE123" s="89">
        <f t="shared" si="21"/>
        <v>46355</v>
      </c>
      <c r="AF123" s="89">
        <f t="shared" si="21"/>
        <v>46356</v>
      </c>
      <c r="AG123" s="89" t="str">
        <f t="shared" si="21"/>
        <v/>
      </c>
      <c r="AI123" s="19" t="s">
        <v>42</v>
      </c>
      <c r="AJ123" s="2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9" t="s">
        <v>38</v>
      </c>
      <c r="C124" s="92"/>
      <c r="D124" s="92">
        <v>8</v>
      </c>
      <c r="E124" s="92"/>
      <c r="F124" s="92">
        <v>8</v>
      </c>
      <c r="G124" s="92">
        <v>8</v>
      </c>
      <c r="H124" s="92">
        <v>8</v>
      </c>
      <c r="I124" s="92"/>
      <c r="J124" s="92"/>
      <c r="K124" s="92">
        <v>8</v>
      </c>
      <c r="L124" s="92">
        <v>8</v>
      </c>
      <c r="M124" s="92">
        <v>8</v>
      </c>
      <c r="N124" s="92">
        <v>8</v>
      </c>
      <c r="O124" s="92">
        <v>8</v>
      </c>
      <c r="P124" s="92"/>
      <c r="Q124" s="92"/>
      <c r="R124" s="92">
        <v>8</v>
      </c>
      <c r="S124" s="92">
        <v>8</v>
      </c>
      <c r="T124" s="92">
        <v>8</v>
      </c>
      <c r="U124" s="92">
        <v>8</v>
      </c>
      <c r="V124" s="92">
        <v>8</v>
      </c>
      <c r="W124" s="92"/>
      <c r="X124" s="92"/>
      <c r="Y124" s="92"/>
      <c r="Z124" s="92">
        <v>8</v>
      </c>
      <c r="AA124" s="92">
        <v>8</v>
      </c>
      <c r="AB124" s="92">
        <v>8</v>
      </c>
      <c r="AC124" s="92">
        <v>8</v>
      </c>
      <c r="AD124" s="92"/>
      <c r="AE124" s="92"/>
      <c r="AF124" s="92">
        <v>8</v>
      </c>
      <c r="AG124" s="92"/>
      <c r="AI124" s="86" t="s">
        <v>43</v>
      </c>
      <c r="AJ124" s="90">
        <f>COUNT(C125:AG125)</f>
        <v>19</v>
      </c>
    </row>
    <row r="125" spans="1:36" outlineLevel="1" x14ac:dyDescent="0.45">
      <c r="A125" s="86" t="s">
        <v>39</v>
      </c>
      <c r="C125" s="86"/>
      <c r="D125" s="86">
        <v>8</v>
      </c>
      <c r="E125" s="86"/>
      <c r="F125" s="86">
        <v>8</v>
      </c>
      <c r="G125" s="86">
        <v>8</v>
      </c>
      <c r="H125" s="86">
        <v>8</v>
      </c>
      <c r="I125" s="86"/>
      <c r="J125" s="86"/>
      <c r="K125" s="86">
        <v>8</v>
      </c>
      <c r="L125" s="86">
        <v>8</v>
      </c>
      <c r="M125" s="86">
        <v>8</v>
      </c>
      <c r="N125" s="86">
        <v>8</v>
      </c>
      <c r="O125" s="86">
        <v>8</v>
      </c>
      <c r="P125" s="86"/>
      <c r="Q125" s="86"/>
      <c r="R125" s="86">
        <v>8</v>
      </c>
      <c r="S125" s="86">
        <v>8</v>
      </c>
      <c r="T125" s="86">
        <v>8</v>
      </c>
      <c r="U125" s="86">
        <v>8</v>
      </c>
      <c r="V125" s="86">
        <v>8</v>
      </c>
      <c r="W125" s="86"/>
      <c r="X125" s="86"/>
      <c r="Y125" s="86"/>
      <c r="Z125" s="86">
        <v>8</v>
      </c>
      <c r="AA125" s="86">
        <v>8</v>
      </c>
      <c r="AB125" s="86">
        <v>8</v>
      </c>
      <c r="AC125" s="86">
        <v>8</v>
      </c>
      <c r="AD125" s="86"/>
      <c r="AE125" s="86"/>
      <c r="AF125" s="86">
        <v>8</v>
      </c>
      <c r="AG125" s="86"/>
      <c r="AI125" s="86" t="s">
        <v>44</v>
      </c>
      <c r="AJ125" s="88" t="str">
        <f>_xlfn.LET(_xlpm.v,SUM(C125:AG125),IF(_xlpm.v=INT(_xlpm.v),TEXT(_xlpm.v,"0")&amp;" h",TEXT(_xlpm.v,"0.###")&amp;" h"))</f>
        <v>152 h</v>
      </c>
    </row>
    <row r="126" spans="1:36" outlineLevel="1" x14ac:dyDescent="0.45">
      <c r="A126" s="86" t="s">
        <v>37</v>
      </c>
      <c r="C126" s="86"/>
      <c r="D126" s="86" t="s">
        <v>22</v>
      </c>
      <c r="E126" s="86"/>
      <c r="F126" s="86" t="s">
        <v>22</v>
      </c>
      <c r="G126" s="86" t="s">
        <v>22</v>
      </c>
      <c r="H126" s="86" t="s">
        <v>22</v>
      </c>
      <c r="I126" s="86"/>
      <c r="J126" s="86"/>
      <c r="K126" s="86" t="s">
        <v>22</v>
      </c>
      <c r="L126" s="86" t="s">
        <v>22</v>
      </c>
      <c r="M126" s="86" t="s">
        <v>22</v>
      </c>
      <c r="N126" s="86" t="s">
        <v>22</v>
      </c>
      <c r="O126" s="86" t="s">
        <v>22</v>
      </c>
      <c r="P126" s="86"/>
      <c r="Q126" s="86"/>
      <c r="R126" s="86" t="s">
        <v>22</v>
      </c>
      <c r="S126" s="86" t="s">
        <v>22</v>
      </c>
      <c r="T126" s="86" t="s">
        <v>22</v>
      </c>
      <c r="U126" s="86" t="s">
        <v>22</v>
      </c>
      <c r="V126" s="86" t="s">
        <v>22</v>
      </c>
      <c r="W126" s="86"/>
      <c r="X126" s="86"/>
      <c r="Y126" s="86"/>
      <c r="Z126" s="86" t="s">
        <v>22</v>
      </c>
      <c r="AA126" s="86" t="s">
        <v>22</v>
      </c>
      <c r="AB126" s="86" t="s">
        <v>22</v>
      </c>
      <c r="AC126" s="86" t="s">
        <v>22</v>
      </c>
      <c r="AD126" s="86"/>
      <c r="AE126" s="86"/>
      <c r="AF126" s="86" t="s">
        <v>22</v>
      </c>
      <c r="AG126" s="86"/>
      <c r="AI126" s="86" t="s">
        <v>45</v>
      </c>
      <c r="AJ126" s="90">
        <f>COUNTIF(C126:AG126,"出")</f>
        <v>0</v>
      </c>
    </row>
    <row r="127" spans="1:36" outlineLevel="1" x14ac:dyDescent="0.45">
      <c r="A127" s="86" t="s">
        <v>40</v>
      </c>
      <c r="C127" s="388"/>
      <c r="D127" s="388"/>
      <c r="E127" s="388"/>
      <c r="F127" s="388"/>
      <c r="G127" s="388"/>
      <c r="H127" s="388"/>
      <c r="I127" s="388"/>
      <c r="J127" s="388"/>
      <c r="K127" s="388"/>
      <c r="L127" s="388"/>
      <c r="M127" s="388"/>
      <c r="N127" s="388"/>
      <c r="O127" s="388"/>
      <c r="P127" s="388"/>
      <c r="Q127" s="388"/>
      <c r="S127" s="388"/>
      <c r="T127" s="388"/>
      <c r="U127" s="388"/>
      <c r="V127" s="388"/>
      <c r="W127" s="388"/>
      <c r="X127" s="388"/>
      <c r="Y127" s="388"/>
      <c r="Z127" s="388"/>
      <c r="AA127" s="388"/>
      <c r="AB127" s="388"/>
      <c r="AC127" s="388"/>
      <c r="AD127" s="388"/>
      <c r="AE127" s="388"/>
      <c r="AF127" s="388"/>
      <c r="AG127" s="388"/>
      <c r="AI127" s="86" t="s">
        <v>46</v>
      </c>
      <c r="AJ127" s="90">
        <f>COUNTIF(C126:AG126,"リ")</f>
        <v>19</v>
      </c>
    </row>
    <row r="128" spans="1:36" outlineLevel="1" x14ac:dyDescent="0.45">
      <c r="C128" s="388"/>
      <c r="D128" s="388"/>
      <c r="E128" s="388"/>
      <c r="F128" s="388"/>
      <c r="G128" s="388"/>
      <c r="H128" s="388"/>
      <c r="I128" s="388"/>
      <c r="J128" s="388"/>
      <c r="K128" s="388"/>
      <c r="L128" s="388"/>
      <c r="M128" s="388"/>
      <c r="N128" s="388"/>
      <c r="O128" s="388"/>
      <c r="P128" s="388"/>
      <c r="Q128" s="388"/>
      <c r="S128" s="388"/>
      <c r="T128" s="388"/>
      <c r="U128" s="388"/>
      <c r="V128" s="388"/>
      <c r="W128" s="388"/>
      <c r="X128" s="388"/>
      <c r="Y128" s="388"/>
      <c r="Z128" s="388"/>
      <c r="AA128" s="388"/>
      <c r="AB128" s="388"/>
      <c r="AC128" s="388"/>
      <c r="AD128" s="388"/>
      <c r="AE128" s="388"/>
      <c r="AF128" s="388"/>
      <c r="AG128" s="388"/>
      <c r="AI128" s="86" t="s">
        <v>25</v>
      </c>
      <c r="AJ128" s="91">
        <f>AJ126/(AJ126+AJ127)</f>
        <v>0</v>
      </c>
    </row>
    <row r="129" spans="1:36" outlineLevel="1" x14ac:dyDescent="0.45">
      <c r="C129" s="388"/>
      <c r="D129" s="388"/>
      <c r="E129" s="388"/>
      <c r="F129" s="388"/>
      <c r="G129" s="388"/>
      <c r="H129" s="388"/>
      <c r="I129" s="388"/>
      <c r="J129" s="388"/>
      <c r="K129" s="388"/>
      <c r="L129" s="388"/>
      <c r="M129" s="388"/>
      <c r="N129" s="388"/>
      <c r="O129" s="388"/>
      <c r="P129" s="388"/>
      <c r="Q129" s="388"/>
      <c r="S129" s="388"/>
      <c r="T129" s="388"/>
      <c r="U129" s="388"/>
      <c r="V129" s="388"/>
      <c r="W129" s="388"/>
      <c r="X129" s="388"/>
      <c r="Y129" s="388"/>
      <c r="Z129" s="388"/>
      <c r="AA129" s="388"/>
      <c r="AB129" s="388"/>
      <c r="AC129" s="388"/>
      <c r="AD129" s="388"/>
      <c r="AE129" s="388"/>
      <c r="AF129" s="388"/>
      <c r="AG129" s="388"/>
    </row>
    <row r="130" spans="1:36" outlineLevel="1" x14ac:dyDescent="0.45">
      <c r="C130" s="388"/>
      <c r="D130" s="388"/>
      <c r="E130" s="388"/>
      <c r="F130" s="388"/>
      <c r="G130" s="388"/>
      <c r="H130" s="388"/>
      <c r="I130" s="388"/>
      <c r="J130" s="388"/>
      <c r="K130" s="388"/>
      <c r="L130" s="388"/>
      <c r="M130" s="388"/>
      <c r="N130" s="388"/>
      <c r="O130" s="388"/>
      <c r="P130" s="388"/>
      <c r="Q130" s="388"/>
      <c r="S130" s="388"/>
      <c r="T130" s="388"/>
      <c r="U130" s="388"/>
      <c r="V130" s="388"/>
      <c r="W130" s="388"/>
      <c r="X130" s="388"/>
      <c r="Y130" s="388"/>
      <c r="Z130" s="388"/>
      <c r="AA130" s="388"/>
      <c r="AB130" s="388"/>
      <c r="AC130" s="388"/>
      <c r="AD130" s="388"/>
      <c r="AE130" s="388"/>
      <c r="AF130" s="388"/>
      <c r="AG130" s="388"/>
    </row>
    <row r="131" spans="1:36" outlineLevel="1" x14ac:dyDescent="0.45">
      <c r="C131" s="388"/>
      <c r="D131" s="388"/>
      <c r="E131" s="388"/>
      <c r="F131" s="388"/>
      <c r="G131" s="388"/>
      <c r="H131" s="388"/>
      <c r="I131" s="388"/>
      <c r="J131" s="388"/>
      <c r="K131" s="388"/>
      <c r="L131" s="388"/>
      <c r="M131" s="388"/>
      <c r="N131" s="388"/>
      <c r="O131" s="388"/>
      <c r="P131" s="388"/>
      <c r="Q131" s="388"/>
      <c r="S131" s="388"/>
      <c r="T131" s="388"/>
      <c r="U131" s="388"/>
      <c r="V131" s="388"/>
      <c r="W131" s="388"/>
      <c r="X131" s="388"/>
      <c r="Y131" s="388"/>
      <c r="Z131" s="388"/>
      <c r="AA131" s="388"/>
      <c r="AB131" s="388"/>
      <c r="AC131" s="388"/>
      <c r="AD131" s="388"/>
      <c r="AE131" s="388"/>
      <c r="AF131" s="388"/>
      <c r="AG131" s="388"/>
    </row>
    <row r="132" spans="1:36" outlineLevel="1" x14ac:dyDescent="0.45"/>
    <row r="133" spans="1:36" x14ac:dyDescent="0.45">
      <c r="C133" s="331">
        <v>46357</v>
      </c>
      <c r="D133" s="321"/>
      <c r="E133" s="321"/>
      <c r="F133" s="321"/>
      <c r="G133" s="321"/>
      <c r="H133" s="321"/>
      <c r="I133" s="321"/>
      <c r="J133" s="321"/>
      <c r="K133" s="321"/>
      <c r="L133" s="321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</row>
    <row r="134" spans="1:36" outlineLevel="1" x14ac:dyDescent="0.45">
      <c r="C134" s="86" t="str">
        <f t="shared" ref="C134:AG134" si="22">TEXT(C135,"aaa")</f>
        <v>火</v>
      </c>
      <c r="D134" s="86" t="str">
        <f t="shared" si="22"/>
        <v>水</v>
      </c>
      <c r="E134" s="86" t="str">
        <f t="shared" si="22"/>
        <v>木</v>
      </c>
      <c r="F134" s="86" t="str">
        <f t="shared" si="22"/>
        <v>金</v>
      </c>
      <c r="G134" s="86" t="str">
        <f t="shared" si="22"/>
        <v>土</v>
      </c>
      <c r="H134" s="86" t="str">
        <f t="shared" si="22"/>
        <v>日</v>
      </c>
      <c r="I134" s="86" t="str">
        <f t="shared" si="22"/>
        <v>月</v>
      </c>
      <c r="J134" s="86" t="str">
        <f t="shared" si="22"/>
        <v>火</v>
      </c>
      <c r="K134" s="86" t="str">
        <f t="shared" si="22"/>
        <v>水</v>
      </c>
      <c r="L134" s="86" t="str">
        <f t="shared" si="22"/>
        <v>木</v>
      </c>
      <c r="M134" s="86" t="str">
        <f t="shared" si="22"/>
        <v>金</v>
      </c>
      <c r="N134" s="86" t="str">
        <f t="shared" si="22"/>
        <v>土</v>
      </c>
      <c r="O134" s="86" t="str">
        <f t="shared" si="22"/>
        <v>日</v>
      </c>
      <c r="P134" s="86" t="str">
        <f t="shared" si="22"/>
        <v>月</v>
      </c>
      <c r="Q134" s="86" t="str">
        <f t="shared" si="22"/>
        <v>火</v>
      </c>
      <c r="R134" s="86" t="str">
        <f t="shared" si="22"/>
        <v>水</v>
      </c>
      <c r="S134" s="86" t="str">
        <f t="shared" si="22"/>
        <v>木</v>
      </c>
      <c r="T134" s="86" t="str">
        <f t="shared" si="22"/>
        <v>金</v>
      </c>
      <c r="U134" s="86" t="str">
        <f t="shared" si="22"/>
        <v>土</v>
      </c>
      <c r="V134" s="86" t="str">
        <f t="shared" si="22"/>
        <v>日</v>
      </c>
      <c r="W134" s="86" t="str">
        <f t="shared" si="22"/>
        <v>月</v>
      </c>
      <c r="X134" s="86" t="str">
        <f t="shared" si="22"/>
        <v>火</v>
      </c>
      <c r="Y134" s="86" t="str">
        <f t="shared" si="22"/>
        <v>水</v>
      </c>
      <c r="Z134" s="86" t="str">
        <f t="shared" si="22"/>
        <v>木</v>
      </c>
      <c r="AA134" s="86" t="str">
        <f t="shared" si="22"/>
        <v>金</v>
      </c>
      <c r="AB134" s="86" t="str">
        <f t="shared" si="22"/>
        <v>土</v>
      </c>
      <c r="AC134" s="86" t="str">
        <f t="shared" si="22"/>
        <v>日</v>
      </c>
      <c r="AD134" s="86" t="str">
        <f t="shared" si="22"/>
        <v>月</v>
      </c>
      <c r="AE134" s="86" t="str">
        <f t="shared" si="22"/>
        <v>火</v>
      </c>
      <c r="AF134" s="86" t="str">
        <f t="shared" si="22"/>
        <v>水</v>
      </c>
      <c r="AG134" s="86" t="str">
        <f t="shared" si="22"/>
        <v>木</v>
      </c>
      <c r="AI134" s="19" t="s">
        <v>41</v>
      </c>
      <c r="AJ134" s="21">
        <f>COUNT(C136:AG136)</f>
        <v>20</v>
      </c>
    </row>
    <row r="135" spans="1:36" outlineLevel="1" x14ac:dyDescent="0.45">
      <c r="C135" s="89">
        <f>C133</f>
        <v>46357</v>
      </c>
      <c r="D135" s="89">
        <f t="shared" ref="D135:AG135" si="23">IF(C135="","",IF(C135+1&lt;=EOMONTH($C133,0),C135+1,""))</f>
        <v>46358</v>
      </c>
      <c r="E135" s="89">
        <f t="shared" si="23"/>
        <v>46359</v>
      </c>
      <c r="F135" s="89">
        <f t="shared" si="23"/>
        <v>46360</v>
      </c>
      <c r="G135" s="89">
        <f t="shared" si="23"/>
        <v>46361</v>
      </c>
      <c r="H135" s="89">
        <f t="shared" si="23"/>
        <v>46362</v>
      </c>
      <c r="I135" s="89">
        <f t="shared" si="23"/>
        <v>46363</v>
      </c>
      <c r="J135" s="89">
        <f t="shared" si="23"/>
        <v>46364</v>
      </c>
      <c r="K135" s="89">
        <f t="shared" si="23"/>
        <v>46365</v>
      </c>
      <c r="L135" s="89">
        <f t="shared" si="23"/>
        <v>46366</v>
      </c>
      <c r="M135" s="89">
        <f t="shared" si="23"/>
        <v>46367</v>
      </c>
      <c r="N135" s="89">
        <f t="shared" si="23"/>
        <v>46368</v>
      </c>
      <c r="O135" s="89">
        <f t="shared" si="23"/>
        <v>46369</v>
      </c>
      <c r="P135" s="89">
        <f t="shared" si="23"/>
        <v>46370</v>
      </c>
      <c r="Q135" s="89">
        <f t="shared" si="23"/>
        <v>46371</v>
      </c>
      <c r="R135" s="89">
        <f t="shared" si="23"/>
        <v>46372</v>
      </c>
      <c r="S135" s="89">
        <f t="shared" si="23"/>
        <v>46373</v>
      </c>
      <c r="T135" s="89">
        <f t="shared" si="23"/>
        <v>46374</v>
      </c>
      <c r="U135" s="89">
        <f t="shared" si="23"/>
        <v>46375</v>
      </c>
      <c r="V135" s="89">
        <f t="shared" si="23"/>
        <v>46376</v>
      </c>
      <c r="W135" s="89">
        <f t="shared" si="23"/>
        <v>46377</v>
      </c>
      <c r="X135" s="89">
        <f t="shared" si="23"/>
        <v>46378</v>
      </c>
      <c r="Y135" s="89">
        <f t="shared" si="23"/>
        <v>46379</v>
      </c>
      <c r="Z135" s="89">
        <f t="shared" si="23"/>
        <v>46380</v>
      </c>
      <c r="AA135" s="89">
        <f t="shared" si="23"/>
        <v>46381</v>
      </c>
      <c r="AB135" s="89">
        <f t="shared" si="23"/>
        <v>46382</v>
      </c>
      <c r="AC135" s="89">
        <f t="shared" si="23"/>
        <v>46383</v>
      </c>
      <c r="AD135" s="89">
        <f t="shared" si="23"/>
        <v>46384</v>
      </c>
      <c r="AE135" s="89">
        <f t="shared" si="23"/>
        <v>46385</v>
      </c>
      <c r="AF135" s="89">
        <f t="shared" si="23"/>
        <v>46386</v>
      </c>
      <c r="AG135" s="89">
        <f t="shared" si="23"/>
        <v>46387</v>
      </c>
      <c r="AI135" s="19" t="s">
        <v>42</v>
      </c>
      <c r="AJ135" s="2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9" t="s">
        <v>38</v>
      </c>
      <c r="C136" s="92">
        <v>8</v>
      </c>
      <c r="D136" s="92">
        <v>8</v>
      </c>
      <c r="E136" s="92">
        <v>8</v>
      </c>
      <c r="F136" s="92">
        <v>8</v>
      </c>
      <c r="G136" s="92"/>
      <c r="H136" s="92"/>
      <c r="I136" s="92">
        <v>8</v>
      </c>
      <c r="J136" s="92">
        <v>8</v>
      </c>
      <c r="K136" s="92">
        <v>8</v>
      </c>
      <c r="L136" s="92">
        <v>8</v>
      </c>
      <c r="M136" s="92">
        <v>8</v>
      </c>
      <c r="N136" s="92"/>
      <c r="O136" s="92"/>
      <c r="P136" s="92">
        <v>8</v>
      </c>
      <c r="Q136" s="92">
        <v>8</v>
      </c>
      <c r="R136" s="92">
        <v>8</v>
      </c>
      <c r="S136" s="92">
        <v>8</v>
      </c>
      <c r="T136" s="92">
        <v>8</v>
      </c>
      <c r="U136" s="92"/>
      <c r="V136" s="92"/>
      <c r="W136" s="92">
        <v>8</v>
      </c>
      <c r="X136" s="92">
        <v>8</v>
      </c>
      <c r="Y136" s="92">
        <v>8</v>
      </c>
      <c r="Z136" s="92">
        <v>8</v>
      </c>
      <c r="AA136" s="92">
        <v>8</v>
      </c>
      <c r="AB136" s="92"/>
      <c r="AC136" s="92"/>
      <c r="AD136" s="92">
        <v>8</v>
      </c>
      <c r="AE136" s="92"/>
      <c r="AF136" s="92"/>
      <c r="AG136" s="92"/>
      <c r="AI136" s="86" t="s">
        <v>43</v>
      </c>
      <c r="AJ136" s="90">
        <f>COUNT(C137:AG137)</f>
        <v>20</v>
      </c>
    </row>
    <row r="137" spans="1:36" outlineLevel="1" x14ac:dyDescent="0.45">
      <c r="A137" s="86" t="s">
        <v>39</v>
      </c>
      <c r="C137" s="86">
        <v>8</v>
      </c>
      <c r="D137" s="86">
        <v>8</v>
      </c>
      <c r="E137" s="86">
        <v>8</v>
      </c>
      <c r="F137" s="86">
        <v>8</v>
      </c>
      <c r="G137" s="86"/>
      <c r="H137" s="86"/>
      <c r="I137" s="86">
        <v>8</v>
      </c>
      <c r="J137" s="86">
        <v>8</v>
      </c>
      <c r="K137" s="86">
        <v>8</v>
      </c>
      <c r="L137" s="86">
        <v>8</v>
      </c>
      <c r="M137" s="86">
        <v>8</v>
      </c>
      <c r="N137" s="86"/>
      <c r="O137" s="86"/>
      <c r="P137" s="86">
        <v>8</v>
      </c>
      <c r="Q137" s="86">
        <v>8</v>
      </c>
      <c r="R137" s="86">
        <v>8</v>
      </c>
      <c r="S137" s="86">
        <v>8</v>
      </c>
      <c r="T137" s="86">
        <v>8</v>
      </c>
      <c r="U137" s="86"/>
      <c r="V137" s="86"/>
      <c r="W137" s="86">
        <v>8</v>
      </c>
      <c r="X137" s="86">
        <v>8</v>
      </c>
      <c r="Y137" s="86">
        <v>8</v>
      </c>
      <c r="Z137" s="86">
        <v>8</v>
      </c>
      <c r="AA137" s="86">
        <v>8</v>
      </c>
      <c r="AB137" s="86"/>
      <c r="AC137" s="86"/>
      <c r="AD137" s="86">
        <v>8</v>
      </c>
      <c r="AE137" s="86"/>
      <c r="AF137" s="86"/>
      <c r="AG137" s="86"/>
      <c r="AI137" s="86" t="s">
        <v>44</v>
      </c>
      <c r="AJ137" s="88" t="str">
        <f>_xlfn.LET(_xlpm.v,SUM(C137:AG137),IF(_xlpm.v=INT(_xlpm.v),TEXT(_xlpm.v,"0")&amp;" h",TEXT(_xlpm.v,"0.###")&amp;" h"))</f>
        <v>160 h</v>
      </c>
    </row>
    <row r="138" spans="1:36" outlineLevel="1" x14ac:dyDescent="0.45">
      <c r="A138" s="86" t="s">
        <v>37</v>
      </c>
      <c r="C138" s="86" t="s">
        <v>22</v>
      </c>
      <c r="D138" s="86" t="s">
        <v>22</v>
      </c>
      <c r="E138" s="86" t="s">
        <v>22</v>
      </c>
      <c r="F138" s="86" t="s">
        <v>22</v>
      </c>
      <c r="G138" s="86"/>
      <c r="H138" s="86"/>
      <c r="I138" s="86" t="s">
        <v>22</v>
      </c>
      <c r="J138" s="86" t="s">
        <v>22</v>
      </c>
      <c r="K138" s="86" t="s">
        <v>22</v>
      </c>
      <c r="L138" s="86" t="s">
        <v>22</v>
      </c>
      <c r="M138" s="86" t="s">
        <v>22</v>
      </c>
      <c r="N138" s="86"/>
      <c r="O138" s="86"/>
      <c r="P138" s="86" t="s">
        <v>22</v>
      </c>
      <c r="Q138" s="86" t="s">
        <v>22</v>
      </c>
      <c r="R138" s="86" t="s">
        <v>22</v>
      </c>
      <c r="S138" s="86" t="s">
        <v>22</v>
      </c>
      <c r="T138" s="86" t="s">
        <v>22</v>
      </c>
      <c r="U138" s="86"/>
      <c r="V138" s="86"/>
      <c r="W138" s="86" t="s">
        <v>22</v>
      </c>
      <c r="X138" s="86" t="s">
        <v>22</v>
      </c>
      <c r="Y138" s="86" t="s">
        <v>22</v>
      </c>
      <c r="Z138" s="86" t="s">
        <v>22</v>
      </c>
      <c r="AA138" s="86" t="s">
        <v>22</v>
      </c>
      <c r="AB138" s="86"/>
      <c r="AC138" s="86"/>
      <c r="AD138" s="86" t="s">
        <v>22</v>
      </c>
      <c r="AE138" s="86"/>
      <c r="AF138" s="86"/>
      <c r="AG138" s="86"/>
      <c r="AI138" s="86" t="s">
        <v>45</v>
      </c>
      <c r="AJ138" s="90">
        <f>COUNTIF(C138:AG138,"出")</f>
        <v>0</v>
      </c>
    </row>
    <row r="139" spans="1:36" outlineLevel="1" x14ac:dyDescent="0.45">
      <c r="A139" s="86" t="s">
        <v>40</v>
      </c>
      <c r="C139" s="388"/>
      <c r="D139" s="388"/>
      <c r="E139" s="388"/>
      <c r="F139" s="388"/>
      <c r="G139" s="388"/>
      <c r="H139" s="388"/>
      <c r="I139" s="388"/>
      <c r="J139" s="388"/>
      <c r="K139" s="388"/>
      <c r="L139" s="388"/>
      <c r="M139" s="388"/>
      <c r="N139" s="388"/>
      <c r="O139" s="388"/>
      <c r="P139" s="388"/>
      <c r="Q139" s="388"/>
      <c r="S139" s="388"/>
      <c r="T139" s="388"/>
      <c r="U139" s="388"/>
      <c r="V139" s="388"/>
      <c r="W139" s="388"/>
      <c r="X139" s="388"/>
      <c r="Y139" s="388"/>
      <c r="Z139" s="388"/>
      <c r="AA139" s="388"/>
      <c r="AB139" s="388"/>
      <c r="AC139" s="388"/>
      <c r="AD139" s="388"/>
      <c r="AE139" s="388"/>
      <c r="AF139" s="388"/>
      <c r="AG139" s="388"/>
      <c r="AI139" s="86" t="s">
        <v>46</v>
      </c>
      <c r="AJ139" s="90">
        <f>COUNTIF(C138:AG138,"リ")</f>
        <v>20</v>
      </c>
    </row>
    <row r="140" spans="1:36" outlineLevel="1" x14ac:dyDescent="0.45">
      <c r="C140" s="388"/>
      <c r="D140" s="388"/>
      <c r="E140" s="388"/>
      <c r="F140" s="388"/>
      <c r="G140" s="388"/>
      <c r="H140" s="388"/>
      <c r="I140" s="388"/>
      <c r="J140" s="388"/>
      <c r="K140" s="388"/>
      <c r="L140" s="388"/>
      <c r="M140" s="388"/>
      <c r="N140" s="388"/>
      <c r="O140" s="388"/>
      <c r="P140" s="388"/>
      <c r="Q140" s="388"/>
      <c r="S140" s="388"/>
      <c r="T140" s="388"/>
      <c r="U140" s="388"/>
      <c r="V140" s="388"/>
      <c r="W140" s="388"/>
      <c r="X140" s="388"/>
      <c r="Y140" s="388"/>
      <c r="Z140" s="388"/>
      <c r="AA140" s="388"/>
      <c r="AB140" s="388"/>
      <c r="AC140" s="388"/>
      <c r="AD140" s="388"/>
      <c r="AE140" s="388"/>
      <c r="AF140" s="388"/>
      <c r="AG140" s="388"/>
      <c r="AI140" s="86" t="s">
        <v>25</v>
      </c>
      <c r="AJ140" s="91">
        <f>AJ138/(AJ138+AJ139)</f>
        <v>0</v>
      </c>
    </row>
    <row r="141" spans="1:36" outlineLevel="1" x14ac:dyDescent="0.45">
      <c r="C141" s="388"/>
      <c r="D141" s="388"/>
      <c r="E141" s="388"/>
      <c r="F141" s="388"/>
      <c r="G141" s="388"/>
      <c r="H141" s="388"/>
      <c r="I141" s="388"/>
      <c r="J141" s="388"/>
      <c r="K141" s="388"/>
      <c r="L141" s="388"/>
      <c r="M141" s="388"/>
      <c r="N141" s="388"/>
      <c r="O141" s="388"/>
      <c r="P141" s="388"/>
      <c r="Q141" s="388"/>
      <c r="S141" s="388"/>
      <c r="T141" s="388"/>
      <c r="U141" s="388"/>
      <c r="V141" s="388"/>
      <c r="W141" s="388"/>
      <c r="X141" s="388"/>
      <c r="Y141" s="388"/>
      <c r="Z141" s="388"/>
      <c r="AA141" s="388"/>
      <c r="AB141" s="388"/>
      <c r="AC141" s="388"/>
      <c r="AD141" s="388"/>
      <c r="AE141" s="388"/>
      <c r="AF141" s="388"/>
      <c r="AG141" s="388"/>
    </row>
    <row r="142" spans="1:36" outlineLevel="1" x14ac:dyDescent="0.45">
      <c r="C142" s="388"/>
      <c r="D142" s="388"/>
      <c r="E142" s="388"/>
      <c r="F142" s="388"/>
      <c r="G142" s="388"/>
      <c r="H142" s="388"/>
      <c r="I142" s="388"/>
      <c r="J142" s="388"/>
      <c r="K142" s="388"/>
      <c r="L142" s="388"/>
      <c r="M142" s="388"/>
      <c r="N142" s="388"/>
      <c r="O142" s="388"/>
      <c r="P142" s="388"/>
      <c r="Q142" s="388"/>
      <c r="S142" s="388"/>
      <c r="T142" s="388"/>
      <c r="U142" s="388"/>
      <c r="V142" s="388"/>
      <c r="W142" s="388"/>
      <c r="X142" s="388"/>
      <c r="Y142" s="388"/>
      <c r="Z142" s="388"/>
      <c r="AA142" s="388"/>
      <c r="AB142" s="388"/>
      <c r="AC142" s="388"/>
      <c r="AD142" s="388"/>
      <c r="AE142" s="388"/>
      <c r="AF142" s="388"/>
      <c r="AG142" s="388"/>
    </row>
    <row r="143" spans="1:36" outlineLevel="1" x14ac:dyDescent="0.45">
      <c r="C143" s="388"/>
      <c r="D143" s="388"/>
      <c r="E143" s="388"/>
      <c r="F143" s="388"/>
      <c r="G143" s="388"/>
      <c r="H143" s="388"/>
      <c r="I143" s="388"/>
      <c r="J143" s="388"/>
      <c r="K143" s="388"/>
      <c r="L143" s="388"/>
      <c r="M143" s="388"/>
      <c r="N143" s="388"/>
      <c r="O143" s="388"/>
      <c r="P143" s="388"/>
      <c r="Q143" s="388"/>
      <c r="S143" s="388"/>
      <c r="T143" s="388"/>
      <c r="U143" s="388"/>
      <c r="V143" s="388"/>
      <c r="W143" s="388"/>
      <c r="X143" s="388"/>
      <c r="Y143" s="388"/>
      <c r="Z143" s="388"/>
      <c r="AA143" s="388"/>
      <c r="AB143" s="388"/>
      <c r="AC143" s="388"/>
      <c r="AD143" s="388"/>
      <c r="AE143" s="388"/>
      <c r="AF143" s="388"/>
      <c r="AG143" s="388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91" priority="1" stopIfTrue="1">
      <formula>C$3=""</formula>
    </cfRule>
  </conditionalFormatting>
  <conditionalFormatting sqref="C2:AG2">
    <cfRule type="expression" dxfId="190" priority="3" stopIfTrue="1">
      <formula>WEEKDAY(C3,2)=7</formula>
    </cfRule>
    <cfRule type="expression" dxfId="189" priority="4" stopIfTrue="1">
      <formula>WEEKDAY(C3,2)=6</formula>
    </cfRule>
  </conditionalFormatting>
  <conditionalFormatting sqref="C14:AG18">
    <cfRule type="expression" dxfId="188" priority="5" stopIfTrue="1">
      <formula>C$15=""</formula>
    </cfRule>
  </conditionalFormatting>
  <conditionalFormatting sqref="C14:AG14">
    <cfRule type="expression" dxfId="187" priority="7" stopIfTrue="1">
      <formula>WEEKDAY(C15,2)=7</formula>
    </cfRule>
    <cfRule type="expression" dxfId="186" priority="8" stopIfTrue="1">
      <formula>WEEKDAY(C15,2)=6</formula>
    </cfRule>
  </conditionalFormatting>
  <conditionalFormatting sqref="C26:AG30">
    <cfRule type="expression" dxfId="185" priority="9" stopIfTrue="1">
      <formula>C$27=""</formula>
    </cfRule>
  </conditionalFormatting>
  <conditionalFormatting sqref="C26:AG26">
    <cfRule type="expression" dxfId="184" priority="11" stopIfTrue="1">
      <formula>WEEKDAY(C27,2)=7</formula>
    </cfRule>
    <cfRule type="expression" dxfId="183" priority="12" stopIfTrue="1">
      <formula>WEEKDAY(C27,2)=6</formula>
    </cfRule>
  </conditionalFormatting>
  <conditionalFormatting sqref="C38:AG42">
    <cfRule type="expression" dxfId="182" priority="13" stopIfTrue="1">
      <formula>C$39=""</formula>
    </cfRule>
  </conditionalFormatting>
  <conditionalFormatting sqref="C38:AG38">
    <cfRule type="expression" dxfId="181" priority="15" stopIfTrue="1">
      <formula>WEEKDAY(C39,2)=7</formula>
    </cfRule>
    <cfRule type="expression" dxfId="180" priority="16" stopIfTrue="1">
      <formula>WEEKDAY(C39,2)=6</formula>
    </cfRule>
  </conditionalFormatting>
  <conditionalFormatting sqref="C50:AG54">
    <cfRule type="expression" dxfId="179" priority="17" stopIfTrue="1">
      <formula>C$51=""</formula>
    </cfRule>
  </conditionalFormatting>
  <conditionalFormatting sqref="C50:AG50">
    <cfRule type="expression" dxfId="178" priority="19" stopIfTrue="1">
      <formula>WEEKDAY(C51,2)=7</formula>
    </cfRule>
    <cfRule type="expression" dxfId="177" priority="20" stopIfTrue="1">
      <formula>WEEKDAY(C51,2)=6</formula>
    </cfRule>
  </conditionalFormatting>
  <conditionalFormatting sqref="C62:AG66">
    <cfRule type="expression" dxfId="176" priority="21" stopIfTrue="1">
      <formula>C$63=""</formula>
    </cfRule>
  </conditionalFormatting>
  <conditionalFormatting sqref="C62:AG62">
    <cfRule type="expression" dxfId="175" priority="23" stopIfTrue="1">
      <formula>WEEKDAY(C63,2)=7</formula>
    </cfRule>
    <cfRule type="expression" dxfId="174" priority="24" stopIfTrue="1">
      <formula>WEEKDAY(C63,2)=6</formula>
    </cfRule>
  </conditionalFormatting>
  <conditionalFormatting sqref="C74:AG78">
    <cfRule type="expression" dxfId="173" priority="25" stopIfTrue="1">
      <formula>C$75=""</formula>
    </cfRule>
  </conditionalFormatting>
  <conditionalFormatting sqref="C74:AG74">
    <cfRule type="expression" dxfId="172" priority="27" stopIfTrue="1">
      <formula>WEEKDAY(C75,2)=7</formula>
    </cfRule>
    <cfRule type="expression" dxfId="171" priority="28" stopIfTrue="1">
      <formula>WEEKDAY(C75,2)=6</formula>
    </cfRule>
  </conditionalFormatting>
  <conditionalFormatting sqref="C86:AG90">
    <cfRule type="expression" dxfId="170" priority="29" stopIfTrue="1">
      <formula>C$87=""</formula>
    </cfRule>
  </conditionalFormatting>
  <conditionalFormatting sqref="C86:AG86">
    <cfRule type="expression" dxfId="169" priority="31" stopIfTrue="1">
      <formula>WEEKDAY(C87,2)=7</formula>
    </cfRule>
    <cfRule type="expression" dxfId="168" priority="32" stopIfTrue="1">
      <formula>WEEKDAY(C87,2)=6</formula>
    </cfRule>
  </conditionalFormatting>
  <conditionalFormatting sqref="C98:AG102">
    <cfRule type="expression" dxfId="167" priority="33" stopIfTrue="1">
      <formula>C$99=""</formula>
    </cfRule>
  </conditionalFormatting>
  <conditionalFormatting sqref="C98:AG98">
    <cfRule type="expression" dxfId="166" priority="35" stopIfTrue="1">
      <formula>WEEKDAY(C99,2)=7</formula>
    </cfRule>
    <cfRule type="expression" dxfId="165" priority="36" stopIfTrue="1">
      <formula>WEEKDAY(C99,2)=6</formula>
    </cfRule>
  </conditionalFormatting>
  <conditionalFormatting sqref="C110:AG114">
    <cfRule type="expression" dxfId="164" priority="37" stopIfTrue="1">
      <formula>C$111=""</formula>
    </cfRule>
  </conditionalFormatting>
  <conditionalFormatting sqref="C110:AG110">
    <cfRule type="expression" dxfId="163" priority="39" stopIfTrue="1">
      <formula>WEEKDAY(C111,2)=7</formula>
    </cfRule>
    <cfRule type="expression" dxfId="162" priority="40" stopIfTrue="1">
      <formula>WEEKDAY(C111,2)=6</formula>
    </cfRule>
  </conditionalFormatting>
  <conditionalFormatting sqref="C122:AG126">
    <cfRule type="expression" dxfId="161" priority="41" stopIfTrue="1">
      <formula>C$123=""</formula>
    </cfRule>
  </conditionalFormatting>
  <conditionalFormatting sqref="C122:AG122">
    <cfRule type="expression" dxfId="160" priority="43" stopIfTrue="1">
      <formula>WEEKDAY(C123,2)=7</formula>
    </cfRule>
  </conditionalFormatting>
  <conditionalFormatting sqref="C122:AG122">
    <cfRule type="expression" dxfId="159" priority="44" stopIfTrue="1">
      <formula>WEEKDAY(C123,2)=6</formula>
    </cfRule>
  </conditionalFormatting>
  <conditionalFormatting sqref="C134:AG138">
    <cfRule type="expression" dxfId="158" priority="45" stopIfTrue="1">
      <formula>C$135=""</formula>
    </cfRule>
  </conditionalFormatting>
  <conditionalFormatting sqref="C134:AG134">
    <cfRule type="expression" dxfId="157" priority="47" stopIfTrue="1">
      <formula>WEEKDAY(C135,2)=7</formula>
    </cfRule>
  </conditionalFormatting>
  <conditionalFormatting sqref="C134:AG134">
    <cfRule type="expression" dxfId="156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06FF4DB-E2DB-493A-875C-239FA6B6C866}">
            <xm:f>COUNTIF(祝日!$B:$B,C3)&gt;0</xm:f>
            <x14:dxf>
              <fill>
                <patternFill>
                  <bgColor rgb="FFF25123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6D220813-9CFB-4ED9-84F1-A491EFBDA2C7}">
            <xm:f>COUNTIF(祝日!$B:$B,C15)&gt;0</xm:f>
            <x14:dxf>
              <fill>
                <patternFill>
                  <bgColor rgb="FFF25123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7D150E5-9126-4364-89C1-D7A01BEB0859}">
            <xm:f>COUNTIF(祝日!$B:$B,C27)&gt;0</xm:f>
            <x14:dxf>
              <fill>
                <patternFill>
                  <bgColor rgb="FFF25123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377EF7A5-1768-4AB3-B2D1-A9FF3C3E2E4F}">
            <xm:f>COUNTIF(祝日!$B:$B,C39)&gt;0</xm:f>
            <x14:dxf>
              <fill>
                <patternFill>
                  <bgColor rgb="FFF25123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AEE43B3D-0E6D-479A-BF37-5404A6370745}">
            <xm:f>COUNTIF(祝日!$B:$B,C51)&gt;0</xm:f>
            <x14:dxf>
              <fill>
                <patternFill>
                  <bgColor rgb="FFF25123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9DC92069-4459-4C01-9FC0-8090B906F23B}">
            <xm:f>COUNTIF(祝日!$B:$B,C63)&gt;0</xm:f>
            <x14:dxf>
              <fill>
                <patternFill>
                  <bgColor rgb="FFF25123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7180964-2BF4-4C8E-8C08-3ED75C633CB1}">
            <xm:f>COUNTIF(祝日!$B:$B,C75)&gt;0</xm:f>
            <x14:dxf>
              <fill>
                <patternFill>
                  <bgColor rgb="FFF25123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37F750E0-D973-4E84-B334-6BEAF19D1F27}">
            <xm:f>COUNTIF(祝日!$B:$B,C87)&gt;0</xm:f>
            <x14:dxf>
              <fill>
                <patternFill>
                  <bgColor rgb="FFF25123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C6B54B22-0287-463B-AD00-BEF75085BC44}">
            <xm:f>COUNTIF(祝日!$B:$B,C99)&gt;0</xm:f>
            <x14:dxf>
              <fill>
                <patternFill>
                  <bgColor rgb="FFF25123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CFA198D-81A2-45E0-BABC-5B5D2BA86483}">
            <xm:f>COUNTIF(祝日!$B:$B,C111)&gt;0</xm:f>
            <x14:dxf>
              <fill>
                <patternFill>
                  <bgColor rgb="FFF25123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AD1D893A-6022-4639-A122-81C47AB03797}">
            <xm:f>COUNTIF(祝日!$B:$B,C123)&gt;0</xm:f>
            <x14:dxf>
              <fill>
                <patternFill>
                  <bgColor rgb="FFF25123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018CC13D-598F-4734-9C4D-18F94E166B4B}">
            <xm:f>COUNTIF(祝日!$B:$B,C135)&gt;0</xm:f>
            <x14:dxf>
              <fill>
                <patternFill>
                  <bgColor rgb="FFF25123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89D89-97FA-413E-A74A-7183FF7D865F}">
  <sheetPr codeName="Sheet101"/>
  <dimension ref="A1:AJ144"/>
  <sheetViews>
    <sheetView showGridLines="0" workbookViewId="0"/>
  </sheetViews>
  <sheetFormatPr defaultRowHeight="18" outlineLevelRow="1" x14ac:dyDescent="0.45"/>
  <cols>
    <col min="1" max="1" width="3.69921875" style="111" customWidth="1"/>
    <col min="2" max="2" width="0.8984375" style="111" customWidth="1"/>
    <col min="3" max="33" width="3.69921875" style="111" customWidth="1"/>
    <col min="34" max="34" width="0.8984375" style="111" customWidth="1"/>
    <col min="35" max="36" width="8.69921875" style="111" customWidth="1"/>
    <col min="37" max="16384" width="8.796875" style="111"/>
  </cols>
  <sheetData>
    <row r="1" spans="1:36" x14ac:dyDescent="0.45">
      <c r="C1" s="338">
        <v>46023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39"/>
      <c r="AC1" s="339"/>
      <c r="AD1" s="339"/>
      <c r="AE1" s="339"/>
      <c r="AF1" s="339"/>
      <c r="AG1" s="339"/>
    </row>
    <row r="2" spans="1:36" outlineLevel="1" x14ac:dyDescent="0.45">
      <c r="C2" s="113" t="str">
        <f t="shared" ref="C2:AG2" si="0">TEXT(C3,"aaa")</f>
        <v>木</v>
      </c>
      <c r="D2" s="113" t="str">
        <f t="shared" si="0"/>
        <v>金</v>
      </c>
      <c r="E2" s="113" t="str">
        <f t="shared" si="0"/>
        <v>土</v>
      </c>
      <c r="F2" s="113" t="str">
        <f t="shared" si="0"/>
        <v>日</v>
      </c>
      <c r="G2" s="113" t="str">
        <f t="shared" si="0"/>
        <v>月</v>
      </c>
      <c r="H2" s="113" t="str">
        <f t="shared" si="0"/>
        <v>火</v>
      </c>
      <c r="I2" s="113" t="str">
        <f t="shared" si="0"/>
        <v>水</v>
      </c>
      <c r="J2" s="113" t="str">
        <f t="shared" si="0"/>
        <v>木</v>
      </c>
      <c r="K2" s="113" t="str">
        <f t="shared" si="0"/>
        <v>金</v>
      </c>
      <c r="L2" s="113" t="str">
        <f t="shared" si="0"/>
        <v>土</v>
      </c>
      <c r="M2" s="113" t="str">
        <f t="shared" si="0"/>
        <v>日</v>
      </c>
      <c r="N2" s="113" t="str">
        <f t="shared" si="0"/>
        <v>月</v>
      </c>
      <c r="O2" s="113" t="str">
        <f t="shared" si="0"/>
        <v>火</v>
      </c>
      <c r="P2" s="113" t="str">
        <f t="shared" si="0"/>
        <v>水</v>
      </c>
      <c r="Q2" s="113" t="str">
        <f t="shared" si="0"/>
        <v>木</v>
      </c>
      <c r="R2" s="113" t="str">
        <f t="shared" si="0"/>
        <v>金</v>
      </c>
      <c r="S2" s="113" t="str">
        <f t="shared" si="0"/>
        <v>土</v>
      </c>
      <c r="T2" s="113" t="str">
        <f t="shared" si="0"/>
        <v>日</v>
      </c>
      <c r="U2" s="113" t="str">
        <f t="shared" si="0"/>
        <v>月</v>
      </c>
      <c r="V2" s="113" t="str">
        <f t="shared" si="0"/>
        <v>火</v>
      </c>
      <c r="W2" s="113" t="str">
        <f t="shared" si="0"/>
        <v>水</v>
      </c>
      <c r="X2" s="113" t="str">
        <f t="shared" si="0"/>
        <v>木</v>
      </c>
      <c r="Y2" s="113" t="str">
        <f t="shared" si="0"/>
        <v>金</v>
      </c>
      <c r="Z2" s="113" t="str">
        <f t="shared" si="0"/>
        <v>土</v>
      </c>
      <c r="AA2" s="113" t="str">
        <f t="shared" si="0"/>
        <v>日</v>
      </c>
      <c r="AB2" s="113" t="str">
        <f t="shared" si="0"/>
        <v>月</v>
      </c>
      <c r="AC2" s="113" t="str">
        <f t="shared" si="0"/>
        <v>火</v>
      </c>
      <c r="AD2" s="113" t="str">
        <f t="shared" si="0"/>
        <v>水</v>
      </c>
      <c r="AE2" s="113" t="str">
        <f t="shared" si="0"/>
        <v>木</v>
      </c>
      <c r="AF2" s="113" t="str">
        <f t="shared" si="0"/>
        <v>金</v>
      </c>
      <c r="AG2" s="113" t="str">
        <f t="shared" si="0"/>
        <v>土</v>
      </c>
      <c r="AI2" s="112" t="s">
        <v>41</v>
      </c>
      <c r="AJ2" s="117">
        <f>COUNT(C4:AG4)</f>
        <v>19</v>
      </c>
    </row>
    <row r="3" spans="1:36" outlineLevel="1" x14ac:dyDescent="0.45">
      <c r="C3" s="116">
        <f>C1</f>
        <v>46023</v>
      </c>
      <c r="D3" s="116">
        <f t="shared" ref="D3:AG3" si="1">IF(C3="","",IF(C3+1&lt;=EOMONTH($C1,0),C3+1,""))</f>
        <v>46024</v>
      </c>
      <c r="E3" s="116">
        <f t="shared" si="1"/>
        <v>46025</v>
      </c>
      <c r="F3" s="116">
        <f t="shared" si="1"/>
        <v>46026</v>
      </c>
      <c r="G3" s="116">
        <f t="shared" si="1"/>
        <v>46027</v>
      </c>
      <c r="H3" s="116">
        <f t="shared" si="1"/>
        <v>46028</v>
      </c>
      <c r="I3" s="116">
        <f t="shared" si="1"/>
        <v>46029</v>
      </c>
      <c r="J3" s="116">
        <f t="shared" si="1"/>
        <v>46030</v>
      </c>
      <c r="K3" s="116">
        <f t="shared" si="1"/>
        <v>46031</v>
      </c>
      <c r="L3" s="116">
        <f t="shared" si="1"/>
        <v>46032</v>
      </c>
      <c r="M3" s="116">
        <f t="shared" si="1"/>
        <v>46033</v>
      </c>
      <c r="N3" s="116">
        <f t="shared" si="1"/>
        <v>46034</v>
      </c>
      <c r="O3" s="116">
        <f t="shared" si="1"/>
        <v>46035</v>
      </c>
      <c r="P3" s="116">
        <f t="shared" si="1"/>
        <v>46036</v>
      </c>
      <c r="Q3" s="116">
        <f t="shared" si="1"/>
        <v>46037</v>
      </c>
      <c r="R3" s="116">
        <f t="shared" si="1"/>
        <v>46038</v>
      </c>
      <c r="S3" s="116">
        <f t="shared" si="1"/>
        <v>46039</v>
      </c>
      <c r="T3" s="116">
        <f t="shared" si="1"/>
        <v>46040</v>
      </c>
      <c r="U3" s="116">
        <f t="shared" si="1"/>
        <v>46041</v>
      </c>
      <c r="V3" s="116">
        <f t="shared" si="1"/>
        <v>46042</v>
      </c>
      <c r="W3" s="116">
        <f t="shared" si="1"/>
        <v>46043</v>
      </c>
      <c r="X3" s="116">
        <f t="shared" si="1"/>
        <v>46044</v>
      </c>
      <c r="Y3" s="116">
        <f t="shared" si="1"/>
        <v>46045</v>
      </c>
      <c r="Z3" s="116">
        <f t="shared" si="1"/>
        <v>46046</v>
      </c>
      <c r="AA3" s="116">
        <f t="shared" si="1"/>
        <v>46047</v>
      </c>
      <c r="AB3" s="116">
        <f t="shared" si="1"/>
        <v>46048</v>
      </c>
      <c r="AC3" s="116">
        <f t="shared" si="1"/>
        <v>46049</v>
      </c>
      <c r="AD3" s="116">
        <f t="shared" si="1"/>
        <v>46050</v>
      </c>
      <c r="AE3" s="116">
        <f t="shared" si="1"/>
        <v>46051</v>
      </c>
      <c r="AF3" s="116">
        <f t="shared" si="1"/>
        <v>46052</v>
      </c>
      <c r="AG3" s="116">
        <f t="shared" si="1"/>
        <v>46053</v>
      </c>
      <c r="AI3" s="112" t="s">
        <v>42</v>
      </c>
      <c r="AJ3" s="114" t="str">
        <f>_xlfn.LET(_xlpm.v,SUM(C4:AG4),IF(_xlpm.v=INT(_xlpm.v),TEXT(_xlpm.v,"0")&amp;" h",TEXT(_xlpm.v,"0.###")&amp;" h"))</f>
        <v>152 h</v>
      </c>
    </row>
    <row r="4" spans="1:36" outlineLevel="1" x14ac:dyDescent="0.45">
      <c r="A4" s="112" t="s">
        <v>38</v>
      </c>
      <c r="C4" s="85"/>
      <c r="D4" s="85"/>
      <c r="E4" s="85"/>
      <c r="F4" s="85"/>
      <c r="G4" s="85">
        <v>8</v>
      </c>
      <c r="H4" s="85">
        <v>8</v>
      </c>
      <c r="I4" s="85">
        <v>8</v>
      </c>
      <c r="J4" s="85">
        <v>8</v>
      </c>
      <c r="K4" s="85">
        <v>8</v>
      </c>
      <c r="L4" s="85"/>
      <c r="M4" s="85"/>
      <c r="N4" s="85"/>
      <c r="O4" s="85">
        <v>8</v>
      </c>
      <c r="P4" s="85">
        <v>8</v>
      </c>
      <c r="Q4" s="85">
        <v>8</v>
      </c>
      <c r="R4" s="85">
        <v>8</v>
      </c>
      <c r="S4" s="85"/>
      <c r="T4" s="85"/>
      <c r="U4" s="85">
        <v>8</v>
      </c>
      <c r="V4" s="85">
        <v>8</v>
      </c>
      <c r="W4" s="85">
        <v>8</v>
      </c>
      <c r="X4" s="85">
        <v>8</v>
      </c>
      <c r="Y4" s="85">
        <v>8</v>
      </c>
      <c r="Z4" s="85"/>
      <c r="AA4" s="85"/>
      <c r="AB4" s="85">
        <v>8</v>
      </c>
      <c r="AC4" s="85">
        <v>8</v>
      </c>
      <c r="AD4" s="85">
        <v>8</v>
      </c>
      <c r="AE4" s="85">
        <v>8</v>
      </c>
      <c r="AF4" s="85">
        <v>8</v>
      </c>
      <c r="AG4" s="85"/>
      <c r="AI4" s="113" t="s">
        <v>43</v>
      </c>
      <c r="AJ4" s="118">
        <f>COUNT(C5:AG5)</f>
        <v>19</v>
      </c>
    </row>
    <row r="5" spans="1:36" outlineLevel="1" x14ac:dyDescent="0.45">
      <c r="A5" s="113" t="s">
        <v>39</v>
      </c>
      <c r="C5" s="113"/>
      <c r="D5" s="113"/>
      <c r="E5" s="113"/>
      <c r="F5" s="113"/>
      <c r="G5" s="113">
        <v>8</v>
      </c>
      <c r="H5" s="113">
        <v>8</v>
      </c>
      <c r="I5" s="113">
        <v>8</v>
      </c>
      <c r="J5" s="113">
        <v>8</v>
      </c>
      <c r="K5" s="113">
        <v>8</v>
      </c>
      <c r="L5" s="113"/>
      <c r="M5" s="113"/>
      <c r="N5" s="113"/>
      <c r="O5" s="113">
        <v>8</v>
      </c>
      <c r="P5" s="113">
        <v>8</v>
      </c>
      <c r="Q5" s="113">
        <v>8</v>
      </c>
      <c r="R5" s="113">
        <v>8</v>
      </c>
      <c r="S5" s="113"/>
      <c r="T5" s="113"/>
      <c r="U5" s="113">
        <v>8</v>
      </c>
      <c r="V5" s="113">
        <v>8</v>
      </c>
      <c r="W5" s="113">
        <v>8</v>
      </c>
      <c r="X5" s="113">
        <v>8</v>
      </c>
      <c r="Y5" s="113">
        <v>8</v>
      </c>
      <c r="Z5" s="113"/>
      <c r="AA5" s="113"/>
      <c r="AB5" s="113">
        <v>8</v>
      </c>
      <c r="AC5" s="113">
        <v>8</v>
      </c>
      <c r="AD5" s="113">
        <v>8</v>
      </c>
      <c r="AE5" s="113">
        <v>8</v>
      </c>
      <c r="AF5" s="113">
        <v>8</v>
      </c>
      <c r="AG5" s="113"/>
      <c r="AI5" s="113" t="s">
        <v>44</v>
      </c>
      <c r="AJ5" s="115" t="str">
        <f>_xlfn.LET(_xlpm.v,SUM(C5:AG5),IF(_xlpm.v=INT(_xlpm.v),TEXT(_xlpm.v,"0")&amp;" h",TEXT(_xlpm.v,"0.###")&amp;" h"))</f>
        <v>152 h</v>
      </c>
    </row>
    <row r="6" spans="1:36" outlineLevel="1" x14ac:dyDescent="0.45">
      <c r="A6" s="113" t="s">
        <v>37</v>
      </c>
      <c r="C6" s="113"/>
      <c r="D6" s="113"/>
      <c r="E6" s="113"/>
      <c r="F6" s="113"/>
      <c r="G6" s="113" t="s">
        <v>22</v>
      </c>
      <c r="H6" s="113" t="s">
        <v>22</v>
      </c>
      <c r="I6" s="113" t="s">
        <v>22</v>
      </c>
      <c r="J6" s="113" t="s">
        <v>22</v>
      </c>
      <c r="K6" s="113" t="s">
        <v>22</v>
      </c>
      <c r="L6" s="113"/>
      <c r="M6" s="113"/>
      <c r="N6" s="113"/>
      <c r="O6" s="113" t="s">
        <v>22</v>
      </c>
      <c r="P6" s="113" t="s">
        <v>22</v>
      </c>
      <c r="Q6" s="113" t="s">
        <v>22</v>
      </c>
      <c r="R6" s="113" t="s">
        <v>22</v>
      </c>
      <c r="S6" s="113"/>
      <c r="T6" s="113"/>
      <c r="U6" s="113" t="s">
        <v>22</v>
      </c>
      <c r="V6" s="113" t="s">
        <v>22</v>
      </c>
      <c r="W6" s="113" t="s">
        <v>22</v>
      </c>
      <c r="X6" s="113" t="s">
        <v>22</v>
      </c>
      <c r="Y6" s="113" t="s">
        <v>22</v>
      </c>
      <c r="Z6" s="113"/>
      <c r="AA6" s="113"/>
      <c r="AB6" s="113" t="s">
        <v>22</v>
      </c>
      <c r="AC6" s="113" t="s">
        <v>22</v>
      </c>
      <c r="AD6" s="113" t="s">
        <v>22</v>
      </c>
      <c r="AE6" s="113" t="s">
        <v>22</v>
      </c>
      <c r="AF6" s="113" t="s">
        <v>22</v>
      </c>
      <c r="AG6" s="113"/>
      <c r="AI6" s="113" t="s">
        <v>45</v>
      </c>
      <c r="AJ6" s="118">
        <f>COUNTIF(C6:AG6,"出")</f>
        <v>0</v>
      </c>
    </row>
    <row r="7" spans="1:36" outlineLevel="1" x14ac:dyDescent="0.45">
      <c r="A7" s="113" t="s">
        <v>40</v>
      </c>
      <c r="C7" s="389"/>
      <c r="D7" s="389"/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89"/>
      <c r="P7" s="389"/>
      <c r="Q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I7" s="113" t="s">
        <v>46</v>
      </c>
      <c r="AJ7" s="118">
        <f>COUNTIF(C6:AG6,"リ")</f>
        <v>19</v>
      </c>
    </row>
    <row r="8" spans="1:36" outlineLevel="1" x14ac:dyDescent="0.45"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I8" s="113" t="s">
        <v>25</v>
      </c>
      <c r="AJ8" s="119">
        <f>AJ6/(AJ6+AJ7)</f>
        <v>0</v>
      </c>
    </row>
    <row r="9" spans="1:36" outlineLevel="1" x14ac:dyDescent="0.45"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</row>
    <row r="10" spans="1:36" outlineLevel="1" x14ac:dyDescent="0.45">
      <c r="C10" s="389"/>
      <c r="D10" s="389"/>
      <c r="E10" s="389"/>
      <c r="F10" s="389"/>
      <c r="G10" s="389"/>
      <c r="H10" s="389"/>
      <c r="I10" s="389"/>
      <c r="J10" s="389"/>
      <c r="K10" s="389"/>
      <c r="L10" s="389"/>
      <c r="M10" s="389"/>
      <c r="N10" s="389"/>
      <c r="O10" s="389"/>
      <c r="P10" s="389"/>
      <c r="Q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</row>
    <row r="11" spans="1:36" outlineLevel="1" x14ac:dyDescent="0.45"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</row>
    <row r="12" spans="1:36" outlineLevel="1" x14ac:dyDescent="0.45"/>
    <row r="13" spans="1:36" x14ac:dyDescent="0.45">
      <c r="C13" s="349">
        <v>46054</v>
      </c>
      <c r="D13" s="339"/>
      <c r="E13" s="339"/>
      <c r="F13" s="339"/>
      <c r="G13" s="339"/>
      <c r="H13" s="339"/>
      <c r="I13" s="339"/>
      <c r="J13" s="339"/>
      <c r="K13" s="339"/>
      <c r="L13" s="339"/>
      <c r="M13" s="339"/>
      <c r="N13" s="339"/>
      <c r="O13" s="339"/>
      <c r="P13" s="339"/>
      <c r="Q13" s="339"/>
      <c r="R13" s="339"/>
      <c r="S13" s="339"/>
      <c r="T13" s="339"/>
      <c r="U13" s="339"/>
      <c r="V13" s="339"/>
      <c r="W13" s="339"/>
      <c r="X13" s="339"/>
      <c r="Y13" s="339"/>
      <c r="Z13" s="339"/>
      <c r="AA13" s="339"/>
      <c r="AB13" s="339"/>
      <c r="AC13" s="339"/>
      <c r="AD13" s="339"/>
      <c r="AE13" s="339"/>
      <c r="AF13" s="339"/>
      <c r="AG13" s="339"/>
    </row>
    <row r="14" spans="1:36" outlineLevel="1" x14ac:dyDescent="0.45">
      <c r="C14" s="113" t="str">
        <f t="shared" ref="C14:AG14" si="2">TEXT(C15,"aaa")</f>
        <v>日</v>
      </c>
      <c r="D14" s="113" t="str">
        <f t="shared" si="2"/>
        <v>月</v>
      </c>
      <c r="E14" s="113" t="str">
        <f t="shared" si="2"/>
        <v>火</v>
      </c>
      <c r="F14" s="113" t="str">
        <f t="shared" si="2"/>
        <v>水</v>
      </c>
      <c r="G14" s="113" t="str">
        <f t="shared" si="2"/>
        <v>木</v>
      </c>
      <c r="H14" s="113" t="str">
        <f t="shared" si="2"/>
        <v>金</v>
      </c>
      <c r="I14" s="113" t="str">
        <f t="shared" si="2"/>
        <v>土</v>
      </c>
      <c r="J14" s="113" t="str">
        <f t="shared" si="2"/>
        <v>日</v>
      </c>
      <c r="K14" s="113" t="str">
        <f t="shared" si="2"/>
        <v>月</v>
      </c>
      <c r="L14" s="113" t="str">
        <f t="shared" si="2"/>
        <v>火</v>
      </c>
      <c r="M14" s="113" t="str">
        <f t="shared" si="2"/>
        <v>水</v>
      </c>
      <c r="N14" s="113" t="str">
        <f t="shared" si="2"/>
        <v>木</v>
      </c>
      <c r="O14" s="113" t="str">
        <f t="shared" si="2"/>
        <v>金</v>
      </c>
      <c r="P14" s="113" t="str">
        <f t="shared" si="2"/>
        <v>土</v>
      </c>
      <c r="Q14" s="113" t="str">
        <f t="shared" si="2"/>
        <v>日</v>
      </c>
      <c r="R14" s="113" t="str">
        <f t="shared" si="2"/>
        <v>月</v>
      </c>
      <c r="S14" s="113" t="str">
        <f t="shared" si="2"/>
        <v>火</v>
      </c>
      <c r="T14" s="113" t="str">
        <f t="shared" si="2"/>
        <v>水</v>
      </c>
      <c r="U14" s="113" t="str">
        <f t="shared" si="2"/>
        <v>木</v>
      </c>
      <c r="V14" s="113" t="str">
        <f t="shared" si="2"/>
        <v>金</v>
      </c>
      <c r="W14" s="113" t="str">
        <f t="shared" si="2"/>
        <v>土</v>
      </c>
      <c r="X14" s="113" t="str">
        <f t="shared" si="2"/>
        <v>日</v>
      </c>
      <c r="Y14" s="113" t="str">
        <f t="shared" si="2"/>
        <v>月</v>
      </c>
      <c r="Z14" s="113" t="str">
        <f t="shared" si="2"/>
        <v>火</v>
      </c>
      <c r="AA14" s="113" t="str">
        <f t="shared" si="2"/>
        <v>水</v>
      </c>
      <c r="AB14" s="113" t="str">
        <f t="shared" si="2"/>
        <v>木</v>
      </c>
      <c r="AC14" s="113" t="str">
        <f t="shared" si="2"/>
        <v>金</v>
      </c>
      <c r="AD14" s="113" t="str">
        <f t="shared" si="2"/>
        <v>土</v>
      </c>
      <c r="AE14" s="113" t="str">
        <f t="shared" si="2"/>
        <v/>
      </c>
      <c r="AF14" s="113" t="str">
        <f t="shared" si="2"/>
        <v/>
      </c>
      <c r="AG14" s="113" t="str">
        <f t="shared" si="2"/>
        <v/>
      </c>
      <c r="AI14" s="112" t="s">
        <v>41</v>
      </c>
      <c r="AJ14" s="117">
        <f>COUNT(C16:AG16)</f>
        <v>18</v>
      </c>
    </row>
    <row r="15" spans="1:36" outlineLevel="1" x14ac:dyDescent="0.45">
      <c r="C15" s="116">
        <f>C13</f>
        <v>46054</v>
      </c>
      <c r="D15" s="116">
        <f t="shared" ref="D15:AG15" si="3">IF(C15="","",IF(C15+1&lt;=EOMONTH($C13,0),C15+1,""))</f>
        <v>46055</v>
      </c>
      <c r="E15" s="116">
        <f t="shared" si="3"/>
        <v>46056</v>
      </c>
      <c r="F15" s="116">
        <f t="shared" si="3"/>
        <v>46057</v>
      </c>
      <c r="G15" s="116">
        <f t="shared" si="3"/>
        <v>46058</v>
      </c>
      <c r="H15" s="116">
        <f t="shared" si="3"/>
        <v>46059</v>
      </c>
      <c r="I15" s="116">
        <f t="shared" si="3"/>
        <v>46060</v>
      </c>
      <c r="J15" s="116">
        <f t="shared" si="3"/>
        <v>46061</v>
      </c>
      <c r="K15" s="116">
        <f t="shared" si="3"/>
        <v>46062</v>
      </c>
      <c r="L15" s="116">
        <f t="shared" si="3"/>
        <v>46063</v>
      </c>
      <c r="M15" s="116">
        <f t="shared" si="3"/>
        <v>46064</v>
      </c>
      <c r="N15" s="116">
        <f t="shared" si="3"/>
        <v>46065</v>
      </c>
      <c r="O15" s="116">
        <f t="shared" si="3"/>
        <v>46066</v>
      </c>
      <c r="P15" s="116">
        <f t="shared" si="3"/>
        <v>46067</v>
      </c>
      <c r="Q15" s="116">
        <f t="shared" si="3"/>
        <v>46068</v>
      </c>
      <c r="R15" s="116">
        <f t="shared" si="3"/>
        <v>46069</v>
      </c>
      <c r="S15" s="116">
        <f t="shared" si="3"/>
        <v>46070</v>
      </c>
      <c r="T15" s="116">
        <f t="shared" si="3"/>
        <v>46071</v>
      </c>
      <c r="U15" s="116">
        <f t="shared" si="3"/>
        <v>46072</v>
      </c>
      <c r="V15" s="116">
        <f t="shared" si="3"/>
        <v>46073</v>
      </c>
      <c r="W15" s="116">
        <f t="shared" si="3"/>
        <v>46074</v>
      </c>
      <c r="X15" s="116">
        <f t="shared" si="3"/>
        <v>46075</v>
      </c>
      <c r="Y15" s="116">
        <f t="shared" si="3"/>
        <v>46076</v>
      </c>
      <c r="Z15" s="116">
        <f t="shared" si="3"/>
        <v>46077</v>
      </c>
      <c r="AA15" s="116">
        <f t="shared" si="3"/>
        <v>46078</v>
      </c>
      <c r="AB15" s="116">
        <f t="shared" si="3"/>
        <v>46079</v>
      </c>
      <c r="AC15" s="116">
        <f t="shared" si="3"/>
        <v>46080</v>
      </c>
      <c r="AD15" s="116">
        <f t="shared" si="3"/>
        <v>46081</v>
      </c>
      <c r="AE15" s="116" t="str">
        <f t="shared" si="3"/>
        <v/>
      </c>
      <c r="AF15" s="116" t="str">
        <f t="shared" si="3"/>
        <v/>
      </c>
      <c r="AG15" s="116" t="str">
        <f t="shared" si="3"/>
        <v/>
      </c>
      <c r="AI15" s="112" t="s">
        <v>42</v>
      </c>
      <c r="AJ15" s="114" t="str">
        <f>_xlfn.LET(_xlpm.v,SUM(C16:AG16),IF(_xlpm.v=INT(_xlpm.v),TEXT(_xlpm.v,"0")&amp;" h",TEXT(_xlpm.v,"0.###")&amp;" h"))</f>
        <v>144 h</v>
      </c>
    </row>
    <row r="16" spans="1:36" outlineLevel="1" x14ac:dyDescent="0.45">
      <c r="A16" s="112" t="s">
        <v>38</v>
      </c>
      <c r="C16" s="85"/>
      <c r="D16" s="85">
        <v>8</v>
      </c>
      <c r="E16" s="85">
        <v>8</v>
      </c>
      <c r="F16" s="85">
        <v>8</v>
      </c>
      <c r="G16" s="85">
        <v>8</v>
      </c>
      <c r="H16" s="85">
        <v>8</v>
      </c>
      <c r="I16" s="85"/>
      <c r="J16" s="85"/>
      <c r="K16" s="85">
        <v>8</v>
      </c>
      <c r="L16" s="85">
        <v>8</v>
      </c>
      <c r="M16" s="85"/>
      <c r="N16" s="85">
        <v>8</v>
      </c>
      <c r="O16" s="85">
        <v>8</v>
      </c>
      <c r="P16" s="85"/>
      <c r="Q16" s="85"/>
      <c r="R16" s="85">
        <v>8</v>
      </c>
      <c r="S16" s="85">
        <v>8</v>
      </c>
      <c r="T16" s="85">
        <v>8</v>
      </c>
      <c r="U16" s="85">
        <v>8</v>
      </c>
      <c r="V16" s="85">
        <v>8</v>
      </c>
      <c r="W16" s="85"/>
      <c r="X16" s="85"/>
      <c r="Y16" s="85"/>
      <c r="Z16" s="85">
        <v>8</v>
      </c>
      <c r="AA16" s="85">
        <v>8</v>
      </c>
      <c r="AB16" s="85">
        <v>8</v>
      </c>
      <c r="AC16" s="85">
        <v>8</v>
      </c>
      <c r="AD16" s="85"/>
      <c r="AE16" s="85"/>
      <c r="AF16" s="85"/>
      <c r="AG16" s="85"/>
      <c r="AI16" s="113" t="s">
        <v>43</v>
      </c>
      <c r="AJ16" s="118">
        <f>COUNT(C17:AG17)</f>
        <v>18</v>
      </c>
    </row>
    <row r="17" spans="1:36" outlineLevel="1" x14ac:dyDescent="0.45">
      <c r="A17" s="113" t="s">
        <v>39</v>
      </c>
      <c r="C17" s="113"/>
      <c r="D17" s="113">
        <v>8</v>
      </c>
      <c r="E17" s="113">
        <v>8</v>
      </c>
      <c r="F17" s="113">
        <v>8</v>
      </c>
      <c r="G17" s="113">
        <v>8</v>
      </c>
      <c r="H17" s="113">
        <v>8</v>
      </c>
      <c r="I17" s="113"/>
      <c r="J17" s="113"/>
      <c r="K17" s="113">
        <v>8</v>
      </c>
      <c r="L17" s="113">
        <v>8</v>
      </c>
      <c r="M17" s="113"/>
      <c r="N17" s="113">
        <v>8</v>
      </c>
      <c r="O17" s="113">
        <v>8</v>
      </c>
      <c r="P17" s="113"/>
      <c r="Q17" s="113"/>
      <c r="R17" s="113">
        <v>8</v>
      </c>
      <c r="S17" s="113">
        <v>8</v>
      </c>
      <c r="T17" s="113">
        <v>8</v>
      </c>
      <c r="U17" s="113">
        <v>8</v>
      </c>
      <c r="V17" s="113">
        <v>8</v>
      </c>
      <c r="W17" s="113"/>
      <c r="X17" s="113"/>
      <c r="Y17" s="113"/>
      <c r="Z17" s="113">
        <v>8</v>
      </c>
      <c r="AA17" s="113">
        <v>8</v>
      </c>
      <c r="AB17" s="113">
        <v>8</v>
      </c>
      <c r="AC17" s="113">
        <v>8</v>
      </c>
      <c r="AD17" s="113"/>
      <c r="AE17" s="113"/>
      <c r="AF17" s="113"/>
      <c r="AG17" s="113"/>
      <c r="AI17" s="113" t="s">
        <v>44</v>
      </c>
      <c r="AJ17" s="115" t="str">
        <f>_xlfn.LET(_xlpm.v,SUM(C17:AG17),IF(_xlpm.v=INT(_xlpm.v),TEXT(_xlpm.v,"0")&amp;" h",TEXT(_xlpm.v,"0.###")&amp;" h"))</f>
        <v>144 h</v>
      </c>
    </row>
    <row r="18" spans="1:36" outlineLevel="1" x14ac:dyDescent="0.45">
      <c r="A18" s="113" t="s">
        <v>37</v>
      </c>
      <c r="C18" s="113"/>
      <c r="D18" s="113" t="s">
        <v>22</v>
      </c>
      <c r="E18" s="113" t="s">
        <v>22</v>
      </c>
      <c r="F18" s="113" t="s">
        <v>22</v>
      </c>
      <c r="G18" s="113" t="s">
        <v>22</v>
      </c>
      <c r="H18" s="113" t="s">
        <v>22</v>
      </c>
      <c r="I18" s="113"/>
      <c r="J18" s="113"/>
      <c r="K18" s="113" t="s">
        <v>22</v>
      </c>
      <c r="L18" s="113" t="s">
        <v>22</v>
      </c>
      <c r="M18" s="113"/>
      <c r="N18" s="113" t="s">
        <v>22</v>
      </c>
      <c r="O18" s="113" t="s">
        <v>22</v>
      </c>
      <c r="P18" s="113"/>
      <c r="Q18" s="113"/>
      <c r="R18" s="113" t="s">
        <v>22</v>
      </c>
      <c r="S18" s="113" t="s">
        <v>22</v>
      </c>
      <c r="T18" s="113" t="s">
        <v>22</v>
      </c>
      <c r="U18" s="113" t="s">
        <v>22</v>
      </c>
      <c r="V18" s="113" t="s">
        <v>22</v>
      </c>
      <c r="W18" s="113"/>
      <c r="X18" s="113"/>
      <c r="Y18" s="113"/>
      <c r="Z18" s="113" t="s">
        <v>22</v>
      </c>
      <c r="AA18" s="113" t="s">
        <v>22</v>
      </c>
      <c r="AB18" s="113" t="s">
        <v>22</v>
      </c>
      <c r="AC18" s="113" t="s">
        <v>22</v>
      </c>
      <c r="AD18" s="113"/>
      <c r="AE18" s="113"/>
      <c r="AF18" s="113"/>
      <c r="AG18" s="113"/>
      <c r="AI18" s="113" t="s">
        <v>45</v>
      </c>
      <c r="AJ18" s="118">
        <f>COUNTIF(C18:AG18,"出")</f>
        <v>0</v>
      </c>
    </row>
    <row r="19" spans="1:36" outlineLevel="1" x14ac:dyDescent="0.45">
      <c r="A19" s="113" t="s">
        <v>40</v>
      </c>
      <c r="C19" s="389"/>
      <c r="D19" s="389"/>
      <c r="E19" s="389"/>
      <c r="F19" s="389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I19" s="113" t="s">
        <v>46</v>
      </c>
      <c r="AJ19" s="118">
        <f>COUNTIF(C18:AG18,"リ")</f>
        <v>18</v>
      </c>
    </row>
    <row r="20" spans="1:36" outlineLevel="1" x14ac:dyDescent="0.45">
      <c r="C20" s="389"/>
      <c r="D20" s="389"/>
      <c r="E20" s="389"/>
      <c r="F20" s="389"/>
      <c r="G20" s="389"/>
      <c r="H20" s="389"/>
      <c r="I20" s="389"/>
      <c r="J20" s="389"/>
      <c r="K20" s="389"/>
      <c r="L20" s="389"/>
      <c r="M20" s="389"/>
      <c r="N20" s="389"/>
      <c r="O20" s="389"/>
      <c r="P20" s="389"/>
      <c r="Q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I20" s="113" t="s">
        <v>25</v>
      </c>
      <c r="AJ20" s="119">
        <f>AJ18/(AJ18+AJ19)</f>
        <v>0</v>
      </c>
    </row>
    <row r="21" spans="1:36" outlineLevel="1" x14ac:dyDescent="0.45">
      <c r="C21" s="389"/>
      <c r="D21" s="389"/>
      <c r="E21" s="389"/>
      <c r="F21" s="389"/>
      <c r="G21" s="389"/>
      <c r="H21" s="389"/>
      <c r="I21" s="389"/>
      <c r="J21" s="389"/>
      <c r="K21" s="389"/>
      <c r="L21" s="389"/>
      <c r="M21" s="389"/>
      <c r="N21" s="389"/>
      <c r="O21" s="389"/>
      <c r="P21" s="389"/>
      <c r="Q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</row>
    <row r="22" spans="1:36" outlineLevel="1" x14ac:dyDescent="0.45">
      <c r="C22" s="389"/>
      <c r="D22" s="389"/>
      <c r="E22" s="389"/>
      <c r="F22" s="389"/>
      <c r="G22" s="389"/>
      <c r="H22" s="389"/>
      <c r="I22" s="389"/>
      <c r="J22" s="389"/>
      <c r="K22" s="389"/>
      <c r="L22" s="389"/>
      <c r="M22" s="389"/>
      <c r="N22" s="389"/>
      <c r="O22" s="389"/>
      <c r="P22" s="389"/>
      <c r="Q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</row>
    <row r="23" spans="1:36" outlineLevel="1" x14ac:dyDescent="0.45">
      <c r="C23" s="389"/>
      <c r="D23" s="389"/>
      <c r="E23" s="389"/>
      <c r="F23" s="389"/>
      <c r="G23" s="389"/>
      <c r="H23" s="389"/>
      <c r="I23" s="389"/>
      <c r="J23" s="389"/>
      <c r="K23" s="389"/>
      <c r="L23" s="389"/>
      <c r="M23" s="389"/>
      <c r="N23" s="389"/>
      <c r="O23" s="389"/>
      <c r="P23" s="389"/>
      <c r="Q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</row>
    <row r="24" spans="1:36" outlineLevel="1" x14ac:dyDescent="0.45"/>
    <row r="25" spans="1:36" x14ac:dyDescent="0.45">
      <c r="C25" s="349">
        <v>46082</v>
      </c>
      <c r="D25" s="339"/>
      <c r="E25" s="339"/>
      <c r="F25" s="339"/>
      <c r="G25" s="339"/>
      <c r="H25" s="339"/>
      <c r="I25" s="339"/>
      <c r="J25" s="339"/>
      <c r="K25" s="339"/>
      <c r="L25" s="339"/>
      <c r="M25" s="339"/>
      <c r="N25" s="339"/>
      <c r="O25" s="339"/>
      <c r="P25" s="339"/>
      <c r="Q25" s="339"/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</row>
    <row r="26" spans="1:36" outlineLevel="1" x14ac:dyDescent="0.45">
      <c r="C26" s="113" t="str">
        <f t="shared" ref="C26:AG26" si="4">TEXT(C27,"aaa")</f>
        <v>日</v>
      </c>
      <c r="D26" s="113" t="str">
        <f t="shared" si="4"/>
        <v>月</v>
      </c>
      <c r="E26" s="113" t="str">
        <f t="shared" si="4"/>
        <v>火</v>
      </c>
      <c r="F26" s="113" t="str">
        <f t="shared" si="4"/>
        <v>水</v>
      </c>
      <c r="G26" s="113" t="str">
        <f t="shared" si="4"/>
        <v>木</v>
      </c>
      <c r="H26" s="113" t="str">
        <f t="shared" si="4"/>
        <v>金</v>
      </c>
      <c r="I26" s="113" t="str">
        <f t="shared" si="4"/>
        <v>土</v>
      </c>
      <c r="J26" s="113" t="str">
        <f t="shared" si="4"/>
        <v>日</v>
      </c>
      <c r="K26" s="113" t="str">
        <f t="shared" si="4"/>
        <v>月</v>
      </c>
      <c r="L26" s="113" t="str">
        <f t="shared" si="4"/>
        <v>火</v>
      </c>
      <c r="M26" s="113" t="str">
        <f t="shared" si="4"/>
        <v>水</v>
      </c>
      <c r="N26" s="113" t="str">
        <f t="shared" si="4"/>
        <v>木</v>
      </c>
      <c r="O26" s="113" t="str">
        <f t="shared" si="4"/>
        <v>金</v>
      </c>
      <c r="P26" s="113" t="str">
        <f t="shared" si="4"/>
        <v>土</v>
      </c>
      <c r="Q26" s="113" t="str">
        <f t="shared" si="4"/>
        <v>日</v>
      </c>
      <c r="R26" s="113" t="str">
        <f t="shared" si="4"/>
        <v>月</v>
      </c>
      <c r="S26" s="113" t="str">
        <f t="shared" si="4"/>
        <v>火</v>
      </c>
      <c r="T26" s="113" t="str">
        <f t="shared" si="4"/>
        <v>水</v>
      </c>
      <c r="U26" s="113" t="str">
        <f t="shared" si="4"/>
        <v>木</v>
      </c>
      <c r="V26" s="113" t="str">
        <f t="shared" si="4"/>
        <v>金</v>
      </c>
      <c r="W26" s="113" t="str">
        <f t="shared" si="4"/>
        <v>土</v>
      </c>
      <c r="X26" s="113" t="str">
        <f t="shared" si="4"/>
        <v>日</v>
      </c>
      <c r="Y26" s="113" t="str">
        <f t="shared" si="4"/>
        <v>月</v>
      </c>
      <c r="Z26" s="113" t="str">
        <f t="shared" si="4"/>
        <v>火</v>
      </c>
      <c r="AA26" s="113" t="str">
        <f t="shared" si="4"/>
        <v>水</v>
      </c>
      <c r="AB26" s="113" t="str">
        <f t="shared" si="4"/>
        <v>木</v>
      </c>
      <c r="AC26" s="113" t="str">
        <f t="shared" si="4"/>
        <v>金</v>
      </c>
      <c r="AD26" s="113" t="str">
        <f t="shared" si="4"/>
        <v>土</v>
      </c>
      <c r="AE26" s="113" t="str">
        <f t="shared" si="4"/>
        <v>日</v>
      </c>
      <c r="AF26" s="113" t="str">
        <f t="shared" si="4"/>
        <v>月</v>
      </c>
      <c r="AG26" s="113" t="str">
        <f t="shared" si="4"/>
        <v>火</v>
      </c>
      <c r="AI26" s="112" t="s">
        <v>41</v>
      </c>
      <c r="AJ26" s="117">
        <f>COUNT(C28:AG28)</f>
        <v>21</v>
      </c>
    </row>
    <row r="27" spans="1:36" outlineLevel="1" x14ac:dyDescent="0.45">
      <c r="C27" s="116">
        <f>C25</f>
        <v>46082</v>
      </c>
      <c r="D27" s="116">
        <f t="shared" ref="D27:AG27" si="5">IF(C27="","",IF(C27+1&lt;=EOMONTH($C25,0),C27+1,""))</f>
        <v>46083</v>
      </c>
      <c r="E27" s="116">
        <f t="shared" si="5"/>
        <v>46084</v>
      </c>
      <c r="F27" s="116">
        <f t="shared" si="5"/>
        <v>46085</v>
      </c>
      <c r="G27" s="116">
        <f t="shared" si="5"/>
        <v>46086</v>
      </c>
      <c r="H27" s="116">
        <f t="shared" si="5"/>
        <v>46087</v>
      </c>
      <c r="I27" s="116">
        <f t="shared" si="5"/>
        <v>46088</v>
      </c>
      <c r="J27" s="116">
        <f t="shared" si="5"/>
        <v>46089</v>
      </c>
      <c r="K27" s="116">
        <f t="shared" si="5"/>
        <v>46090</v>
      </c>
      <c r="L27" s="116">
        <f t="shared" si="5"/>
        <v>46091</v>
      </c>
      <c r="M27" s="116">
        <f t="shared" si="5"/>
        <v>46092</v>
      </c>
      <c r="N27" s="116">
        <f t="shared" si="5"/>
        <v>46093</v>
      </c>
      <c r="O27" s="116">
        <f t="shared" si="5"/>
        <v>46094</v>
      </c>
      <c r="P27" s="116">
        <f t="shared" si="5"/>
        <v>46095</v>
      </c>
      <c r="Q27" s="116">
        <f t="shared" si="5"/>
        <v>46096</v>
      </c>
      <c r="R27" s="116">
        <f t="shared" si="5"/>
        <v>46097</v>
      </c>
      <c r="S27" s="116">
        <f t="shared" si="5"/>
        <v>46098</v>
      </c>
      <c r="T27" s="116">
        <f t="shared" si="5"/>
        <v>46099</v>
      </c>
      <c r="U27" s="116">
        <f t="shared" si="5"/>
        <v>46100</v>
      </c>
      <c r="V27" s="116">
        <f t="shared" si="5"/>
        <v>46101</v>
      </c>
      <c r="W27" s="116">
        <f t="shared" si="5"/>
        <v>46102</v>
      </c>
      <c r="X27" s="116">
        <f t="shared" si="5"/>
        <v>46103</v>
      </c>
      <c r="Y27" s="116">
        <f t="shared" si="5"/>
        <v>46104</v>
      </c>
      <c r="Z27" s="116">
        <f t="shared" si="5"/>
        <v>46105</v>
      </c>
      <c r="AA27" s="116">
        <f t="shared" si="5"/>
        <v>46106</v>
      </c>
      <c r="AB27" s="116">
        <f t="shared" si="5"/>
        <v>46107</v>
      </c>
      <c r="AC27" s="116">
        <f t="shared" si="5"/>
        <v>46108</v>
      </c>
      <c r="AD27" s="116">
        <f t="shared" si="5"/>
        <v>46109</v>
      </c>
      <c r="AE27" s="116">
        <f t="shared" si="5"/>
        <v>46110</v>
      </c>
      <c r="AF27" s="116">
        <f t="shared" si="5"/>
        <v>46111</v>
      </c>
      <c r="AG27" s="116">
        <f t="shared" si="5"/>
        <v>46112</v>
      </c>
      <c r="AI27" s="112" t="s">
        <v>42</v>
      </c>
      <c r="AJ27" s="114" t="str">
        <f>_xlfn.LET(_xlpm.v,SUM(C28:AG28),IF(_xlpm.v=INT(_xlpm.v),TEXT(_xlpm.v,"0")&amp;" h",TEXT(_xlpm.v,"0.###")&amp;" h"))</f>
        <v>168 h</v>
      </c>
    </row>
    <row r="28" spans="1:36" outlineLevel="1" x14ac:dyDescent="0.45">
      <c r="A28" s="112" t="s">
        <v>38</v>
      </c>
      <c r="C28" s="85"/>
      <c r="D28" s="85">
        <v>8</v>
      </c>
      <c r="E28" s="85">
        <v>8</v>
      </c>
      <c r="F28" s="85">
        <v>8</v>
      </c>
      <c r="G28" s="85">
        <v>8</v>
      </c>
      <c r="H28" s="85">
        <v>8</v>
      </c>
      <c r="I28" s="85"/>
      <c r="J28" s="85"/>
      <c r="K28" s="85">
        <v>8</v>
      </c>
      <c r="L28" s="85">
        <v>8</v>
      </c>
      <c r="M28" s="85">
        <v>8</v>
      </c>
      <c r="N28" s="85">
        <v>8</v>
      </c>
      <c r="O28" s="85">
        <v>8</v>
      </c>
      <c r="P28" s="85"/>
      <c r="Q28" s="85"/>
      <c r="R28" s="85">
        <v>8</v>
      </c>
      <c r="S28" s="85">
        <v>8</v>
      </c>
      <c r="T28" s="85">
        <v>8</v>
      </c>
      <c r="U28" s="85">
        <v>8</v>
      </c>
      <c r="V28" s="85"/>
      <c r="W28" s="85"/>
      <c r="X28" s="85"/>
      <c r="Y28" s="85">
        <v>8</v>
      </c>
      <c r="Z28" s="85">
        <v>8</v>
      </c>
      <c r="AA28" s="85">
        <v>8</v>
      </c>
      <c r="AB28" s="85">
        <v>8</v>
      </c>
      <c r="AC28" s="85">
        <v>8</v>
      </c>
      <c r="AD28" s="85"/>
      <c r="AE28" s="85"/>
      <c r="AF28" s="85">
        <v>8</v>
      </c>
      <c r="AG28" s="85">
        <v>8</v>
      </c>
      <c r="AI28" s="113" t="s">
        <v>43</v>
      </c>
      <c r="AJ28" s="118">
        <f>COUNT(C29:AG29)</f>
        <v>21</v>
      </c>
    </row>
    <row r="29" spans="1:36" outlineLevel="1" x14ac:dyDescent="0.45">
      <c r="A29" s="113" t="s">
        <v>39</v>
      </c>
      <c r="C29" s="113"/>
      <c r="D29" s="113">
        <v>8</v>
      </c>
      <c r="E29" s="113">
        <v>8</v>
      </c>
      <c r="F29" s="113">
        <v>8</v>
      </c>
      <c r="G29" s="113">
        <v>8</v>
      </c>
      <c r="H29" s="113">
        <v>8</v>
      </c>
      <c r="I29" s="113"/>
      <c r="J29" s="113"/>
      <c r="K29" s="113">
        <v>8</v>
      </c>
      <c r="L29" s="113">
        <v>8</v>
      </c>
      <c r="M29" s="113">
        <v>8</v>
      </c>
      <c r="N29" s="113">
        <v>8</v>
      </c>
      <c r="O29" s="113">
        <v>8</v>
      </c>
      <c r="P29" s="113"/>
      <c r="Q29" s="113"/>
      <c r="R29" s="113">
        <v>8</v>
      </c>
      <c r="S29" s="113">
        <v>8</v>
      </c>
      <c r="T29" s="113">
        <v>8</v>
      </c>
      <c r="U29" s="113">
        <v>8</v>
      </c>
      <c r="V29" s="113"/>
      <c r="W29" s="113"/>
      <c r="X29" s="113"/>
      <c r="Y29" s="113">
        <v>8</v>
      </c>
      <c r="Z29" s="113">
        <v>8</v>
      </c>
      <c r="AA29" s="113">
        <v>8</v>
      </c>
      <c r="AB29" s="113">
        <v>8</v>
      </c>
      <c r="AC29" s="113">
        <v>8</v>
      </c>
      <c r="AD29" s="113"/>
      <c r="AE29" s="113"/>
      <c r="AF29" s="113">
        <v>8</v>
      </c>
      <c r="AG29" s="113">
        <v>8</v>
      </c>
      <c r="AI29" s="113" t="s">
        <v>44</v>
      </c>
      <c r="AJ29" s="115" t="str">
        <f>_xlfn.LET(_xlpm.v,SUM(C29:AG29),IF(_xlpm.v=INT(_xlpm.v),TEXT(_xlpm.v,"0")&amp;" h",TEXT(_xlpm.v,"0.###")&amp;" h"))</f>
        <v>168 h</v>
      </c>
    </row>
    <row r="30" spans="1:36" outlineLevel="1" x14ac:dyDescent="0.45">
      <c r="A30" s="113" t="s">
        <v>37</v>
      </c>
      <c r="C30" s="113"/>
      <c r="D30" s="113" t="s">
        <v>22</v>
      </c>
      <c r="E30" s="113" t="s">
        <v>22</v>
      </c>
      <c r="F30" s="113" t="s">
        <v>22</v>
      </c>
      <c r="G30" s="113" t="s">
        <v>22</v>
      </c>
      <c r="H30" s="113" t="s">
        <v>22</v>
      </c>
      <c r="I30" s="113"/>
      <c r="J30" s="113"/>
      <c r="K30" s="113" t="s">
        <v>22</v>
      </c>
      <c r="L30" s="113" t="s">
        <v>22</v>
      </c>
      <c r="M30" s="113" t="s">
        <v>22</v>
      </c>
      <c r="N30" s="113" t="s">
        <v>22</v>
      </c>
      <c r="O30" s="113" t="s">
        <v>22</v>
      </c>
      <c r="P30" s="113"/>
      <c r="Q30" s="113"/>
      <c r="R30" s="113" t="s">
        <v>22</v>
      </c>
      <c r="S30" s="113" t="s">
        <v>22</v>
      </c>
      <c r="T30" s="113" t="s">
        <v>22</v>
      </c>
      <c r="U30" s="113" t="s">
        <v>22</v>
      </c>
      <c r="V30" s="113"/>
      <c r="W30" s="113"/>
      <c r="X30" s="113"/>
      <c r="Y30" s="113" t="s">
        <v>22</v>
      </c>
      <c r="Z30" s="113" t="s">
        <v>22</v>
      </c>
      <c r="AA30" s="113" t="s">
        <v>22</v>
      </c>
      <c r="AB30" s="113" t="s">
        <v>22</v>
      </c>
      <c r="AC30" s="113" t="s">
        <v>22</v>
      </c>
      <c r="AD30" s="113"/>
      <c r="AE30" s="113"/>
      <c r="AF30" s="113" t="s">
        <v>22</v>
      </c>
      <c r="AG30" s="113" t="s">
        <v>22</v>
      </c>
      <c r="AI30" s="113" t="s">
        <v>45</v>
      </c>
      <c r="AJ30" s="118">
        <f>COUNTIF(C30:AG30,"出")</f>
        <v>0</v>
      </c>
    </row>
    <row r="31" spans="1:36" outlineLevel="1" x14ac:dyDescent="0.45">
      <c r="A31" s="113" t="s">
        <v>40</v>
      </c>
      <c r="C31" s="389"/>
      <c r="D31" s="389"/>
      <c r="E31" s="389"/>
      <c r="F31" s="389"/>
      <c r="G31" s="389"/>
      <c r="H31" s="389"/>
      <c r="I31" s="389"/>
      <c r="J31" s="389"/>
      <c r="K31" s="389"/>
      <c r="L31" s="389"/>
      <c r="M31" s="389"/>
      <c r="N31" s="389"/>
      <c r="O31" s="389"/>
      <c r="P31" s="389"/>
      <c r="Q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I31" s="113" t="s">
        <v>46</v>
      </c>
      <c r="AJ31" s="118">
        <f>COUNTIF(C30:AG30,"リ")</f>
        <v>21</v>
      </c>
    </row>
    <row r="32" spans="1:36" outlineLevel="1" x14ac:dyDescent="0.45">
      <c r="C32" s="389"/>
      <c r="D32" s="389"/>
      <c r="E32" s="389"/>
      <c r="F32" s="389"/>
      <c r="G32" s="389"/>
      <c r="H32" s="389"/>
      <c r="I32" s="389"/>
      <c r="J32" s="389"/>
      <c r="K32" s="389"/>
      <c r="L32" s="389"/>
      <c r="M32" s="389"/>
      <c r="N32" s="389"/>
      <c r="O32" s="389"/>
      <c r="P32" s="389"/>
      <c r="Q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I32" s="113" t="s">
        <v>25</v>
      </c>
      <c r="AJ32" s="119">
        <f>AJ30/(AJ30+AJ31)</f>
        <v>0</v>
      </c>
    </row>
    <row r="33" spans="1:36" outlineLevel="1" x14ac:dyDescent="0.45">
      <c r="C33" s="389"/>
      <c r="D33" s="389"/>
      <c r="E33" s="389"/>
      <c r="F33" s="389"/>
      <c r="G33" s="389"/>
      <c r="H33" s="389"/>
      <c r="I33" s="389"/>
      <c r="J33" s="389"/>
      <c r="K33" s="389"/>
      <c r="L33" s="389"/>
      <c r="M33" s="389"/>
      <c r="N33" s="389"/>
      <c r="O33" s="389"/>
      <c r="P33" s="389"/>
      <c r="Q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</row>
    <row r="34" spans="1:36" outlineLevel="1" x14ac:dyDescent="0.45">
      <c r="C34" s="389"/>
      <c r="D34" s="389"/>
      <c r="E34" s="389"/>
      <c r="F34" s="389"/>
      <c r="G34" s="389"/>
      <c r="H34" s="389"/>
      <c r="I34" s="389"/>
      <c r="J34" s="389"/>
      <c r="K34" s="389"/>
      <c r="L34" s="389"/>
      <c r="M34" s="389"/>
      <c r="N34" s="389"/>
      <c r="O34" s="389"/>
      <c r="P34" s="389"/>
      <c r="Q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</row>
    <row r="35" spans="1:36" outlineLevel="1" x14ac:dyDescent="0.45">
      <c r="C35" s="389"/>
      <c r="D35" s="389"/>
      <c r="E35" s="389"/>
      <c r="F35" s="389"/>
      <c r="G35" s="389"/>
      <c r="H35" s="389"/>
      <c r="I35" s="389"/>
      <c r="J35" s="389"/>
      <c r="K35" s="389"/>
      <c r="L35" s="389"/>
      <c r="M35" s="389"/>
      <c r="N35" s="389"/>
      <c r="O35" s="389"/>
      <c r="P35" s="389"/>
      <c r="Q35" s="389"/>
      <c r="S35" s="389"/>
      <c r="T35" s="389"/>
      <c r="U35" s="389"/>
      <c r="V35" s="389"/>
      <c r="W35" s="389"/>
      <c r="X35" s="389"/>
      <c r="Y35" s="389"/>
      <c r="Z35" s="389"/>
      <c r="AA35" s="389"/>
      <c r="AB35" s="389"/>
      <c r="AC35" s="389"/>
      <c r="AD35" s="389"/>
      <c r="AE35" s="389"/>
      <c r="AF35" s="389"/>
      <c r="AG35" s="389"/>
    </row>
    <row r="36" spans="1:36" outlineLevel="1" x14ac:dyDescent="0.45"/>
    <row r="37" spans="1:36" x14ac:dyDescent="0.45">
      <c r="C37" s="349">
        <v>46113</v>
      </c>
      <c r="D37" s="339"/>
      <c r="E37" s="339"/>
      <c r="F37" s="339"/>
      <c r="G37" s="339"/>
      <c r="H37" s="339"/>
      <c r="I37" s="339"/>
      <c r="J37" s="339"/>
      <c r="K37" s="339"/>
      <c r="L37" s="339"/>
      <c r="M37" s="339"/>
      <c r="N37" s="339"/>
      <c r="O37" s="339"/>
      <c r="P37" s="339"/>
      <c r="Q37" s="339"/>
      <c r="R37" s="339"/>
      <c r="S37" s="339"/>
      <c r="T37" s="339"/>
      <c r="U37" s="339"/>
      <c r="V37" s="339"/>
      <c r="W37" s="339"/>
      <c r="X37" s="339"/>
      <c r="Y37" s="339"/>
      <c r="Z37" s="339"/>
      <c r="AA37" s="339"/>
      <c r="AB37" s="339"/>
      <c r="AC37" s="339"/>
      <c r="AD37" s="339"/>
      <c r="AE37" s="339"/>
      <c r="AF37" s="339"/>
      <c r="AG37" s="339"/>
    </row>
    <row r="38" spans="1:36" outlineLevel="1" x14ac:dyDescent="0.45">
      <c r="C38" s="113" t="str">
        <f t="shared" ref="C38:AG38" si="6">TEXT(C39,"aaa")</f>
        <v>水</v>
      </c>
      <c r="D38" s="113" t="str">
        <f t="shared" si="6"/>
        <v>木</v>
      </c>
      <c r="E38" s="113" t="str">
        <f t="shared" si="6"/>
        <v>金</v>
      </c>
      <c r="F38" s="113" t="str">
        <f t="shared" si="6"/>
        <v>土</v>
      </c>
      <c r="G38" s="113" t="str">
        <f t="shared" si="6"/>
        <v>日</v>
      </c>
      <c r="H38" s="113" t="str">
        <f t="shared" si="6"/>
        <v>月</v>
      </c>
      <c r="I38" s="113" t="str">
        <f t="shared" si="6"/>
        <v>火</v>
      </c>
      <c r="J38" s="113" t="str">
        <f t="shared" si="6"/>
        <v>水</v>
      </c>
      <c r="K38" s="113" t="str">
        <f t="shared" si="6"/>
        <v>木</v>
      </c>
      <c r="L38" s="113" t="str">
        <f t="shared" si="6"/>
        <v>金</v>
      </c>
      <c r="M38" s="113" t="str">
        <f t="shared" si="6"/>
        <v>土</v>
      </c>
      <c r="N38" s="113" t="str">
        <f t="shared" si="6"/>
        <v>日</v>
      </c>
      <c r="O38" s="113" t="str">
        <f t="shared" si="6"/>
        <v>月</v>
      </c>
      <c r="P38" s="113" t="str">
        <f t="shared" si="6"/>
        <v>火</v>
      </c>
      <c r="Q38" s="113" t="str">
        <f t="shared" si="6"/>
        <v>水</v>
      </c>
      <c r="R38" s="113" t="str">
        <f t="shared" si="6"/>
        <v>木</v>
      </c>
      <c r="S38" s="113" t="str">
        <f t="shared" si="6"/>
        <v>金</v>
      </c>
      <c r="T38" s="113" t="str">
        <f t="shared" si="6"/>
        <v>土</v>
      </c>
      <c r="U38" s="113" t="str">
        <f t="shared" si="6"/>
        <v>日</v>
      </c>
      <c r="V38" s="113" t="str">
        <f t="shared" si="6"/>
        <v>月</v>
      </c>
      <c r="W38" s="113" t="str">
        <f t="shared" si="6"/>
        <v>火</v>
      </c>
      <c r="X38" s="113" t="str">
        <f t="shared" si="6"/>
        <v>水</v>
      </c>
      <c r="Y38" s="113" t="str">
        <f t="shared" si="6"/>
        <v>木</v>
      </c>
      <c r="Z38" s="113" t="str">
        <f t="shared" si="6"/>
        <v>金</v>
      </c>
      <c r="AA38" s="113" t="str">
        <f t="shared" si="6"/>
        <v>土</v>
      </c>
      <c r="AB38" s="113" t="str">
        <f t="shared" si="6"/>
        <v>日</v>
      </c>
      <c r="AC38" s="113" t="str">
        <f t="shared" si="6"/>
        <v>月</v>
      </c>
      <c r="AD38" s="113" t="str">
        <f t="shared" si="6"/>
        <v>火</v>
      </c>
      <c r="AE38" s="113" t="str">
        <f t="shared" si="6"/>
        <v>水</v>
      </c>
      <c r="AF38" s="113" t="str">
        <f t="shared" si="6"/>
        <v>木</v>
      </c>
      <c r="AG38" s="113" t="str">
        <f t="shared" si="6"/>
        <v/>
      </c>
      <c r="AI38" s="112" t="s">
        <v>41</v>
      </c>
      <c r="AJ38" s="117">
        <f>COUNT(C40:AG40)</f>
        <v>21</v>
      </c>
    </row>
    <row r="39" spans="1:36" outlineLevel="1" x14ac:dyDescent="0.45">
      <c r="C39" s="116">
        <f>C37</f>
        <v>46113</v>
      </c>
      <c r="D39" s="116">
        <f t="shared" ref="D39:AG39" si="7">IF(C39="","",IF(C39+1&lt;=EOMONTH($C37,0),C39+1,""))</f>
        <v>46114</v>
      </c>
      <c r="E39" s="116">
        <f t="shared" si="7"/>
        <v>46115</v>
      </c>
      <c r="F39" s="116">
        <f t="shared" si="7"/>
        <v>46116</v>
      </c>
      <c r="G39" s="116">
        <f t="shared" si="7"/>
        <v>46117</v>
      </c>
      <c r="H39" s="116">
        <f t="shared" si="7"/>
        <v>46118</v>
      </c>
      <c r="I39" s="116">
        <f t="shared" si="7"/>
        <v>46119</v>
      </c>
      <c r="J39" s="116">
        <f t="shared" si="7"/>
        <v>46120</v>
      </c>
      <c r="K39" s="116">
        <f t="shared" si="7"/>
        <v>46121</v>
      </c>
      <c r="L39" s="116">
        <f t="shared" si="7"/>
        <v>46122</v>
      </c>
      <c r="M39" s="116">
        <f t="shared" si="7"/>
        <v>46123</v>
      </c>
      <c r="N39" s="116">
        <f t="shared" si="7"/>
        <v>46124</v>
      </c>
      <c r="O39" s="116">
        <f t="shared" si="7"/>
        <v>46125</v>
      </c>
      <c r="P39" s="116">
        <f t="shared" si="7"/>
        <v>46126</v>
      </c>
      <c r="Q39" s="116">
        <f t="shared" si="7"/>
        <v>46127</v>
      </c>
      <c r="R39" s="116">
        <f t="shared" si="7"/>
        <v>46128</v>
      </c>
      <c r="S39" s="116">
        <f t="shared" si="7"/>
        <v>46129</v>
      </c>
      <c r="T39" s="116">
        <f t="shared" si="7"/>
        <v>46130</v>
      </c>
      <c r="U39" s="116">
        <f t="shared" si="7"/>
        <v>46131</v>
      </c>
      <c r="V39" s="116">
        <f t="shared" si="7"/>
        <v>46132</v>
      </c>
      <c r="W39" s="116">
        <f t="shared" si="7"/>
        <v>46133</v>
      </c>
      <c r="X39" s="116">
        <f t="shared" si="7"/>
        <v>46134</v>
      </c>
      <c r="Y39" s="116">
        <f t="shared" si="7"/>
        <v>46135</v>
      </c>
      <c r="Z39" s="116">
        <f t="shared" si="7"/>
        <v>46136</v>
      </c>
      <c r="AA39" s="116">
        <f t="shared" si="7"/>
        <v>46137</v>
      </c>
      <c r="AB39" s="116">
        <f t="shared" si="7"/>
        <v>46138</v>
      </c>
      <c r="AC39" s="116">
        <f t="shared" si="7"/>
        <v>46139</v>
      </c>
      <c r="AD39" s="116">
        <f t="shared" si="7"/>
        <v>46140</v>
      </c>
      <c r="AE39" s="116">
        <f t="shared" si="7"/>
        <v>46141</v>
      </c>
      <c r="AF39" s="116">
        <f t="shared" si="7"/>
        <v>46142</v>
      </c>
      <c r="AG39" s="116" t="str">
        <f t="shared" si="7"/>
        <v/>
      </c>
      <c r="AI39" s="112" t="s">
        <v>42</v>
      </c>
      <c r="AJ39" s="114" t="str">
        <f>_xlfn.LET(_xlpm.v,SUM(C40:AG40),IF(_xlpm.v=INT(_xlpm.v),TEXT(_xlpm.v,"0")&amp;" h",TEXT(_xlpm.v,"0.###")&amp;" h"))</f>
        <v>168 h</v>
      </c>
    </row>
    <row r="40" spans="1:36" outlineLevel="1" x14ac:dyDescent="0.45">
      <c r="A40" s="112" t="s">
        <v>38</v>
      </c>
      <c r="C40" s="85">
        <v>8</v>
      </c>
      <c r="D40" s="85">
        <v>8</v>
      </c>
      <c r="E40" s="85">
        <v>8</v>
      </c>
      <c r="F40" s="85"/>
      <c r="G40" s="85"/>
      <c r="H40" s="85">
        <v>8</v>
      </c>
      <c r="I40" s="85">
        <v>8</v>
      </c>
      <c r="J40" s="85">
        <v>8</v>
      </c>
      <c r="K40" s="85">
        <v>8</v>
      </c>
      <c r="L40" s="85">
        <v>8</v>
      </c>
      <c r="M40" s="85"/>
      <c r="N40" s="85"/>
      <c r="O40" s="85">
        <v>8</v>
      </c>
      <c r="P40" s="85">
        <v>8</v>
      </c>
      <c r="Q40" s="85">
        <v>8</v>
      </c>
      <c r="R40" s="85">
        <v>8</v>
      </c>
      <c r="S40" s="85">
        <v>8</v>
      </c>
      <c r="T40" s="85"/>
      <c r="U40" s="85"/>
      <c r="V40" s="85">
        <v>8</v>
      </c>
      <c r="W40" s="85">
        <v>8</v>
      </c>
      <c r="X40" s="85">
        <v>8</v>
      </c>
      <c r="Y40" s="85">
        <v>8</v>
      </c>
      <c r="Z40" s="85">
        <v>8</v>
      </c>
      <c r="AA40" s="85"/>
      <c r="AB40" s="85"/>
      <c r="AC40" s="85">
        <v>8</v>
      </c>
      <c r="AD40" s="85">
        <v>8</v>
      </c>
      <c r="AE40" s="85"/>
      <c r="AF40" s="85">
        <v>8</v>
      </c>
      <c r="AG40" s="85"/>
      <c r="AI40" s="113" t="s">
        <v>43</v>
      </c>
      <c r="AJ40" s="118">
        <f>COUNT(C41:AG41)</f>
        <v>21</v>
      </c>
    </row>
    <row r="41" spans="1:36" outlineLevel="1" x14ac:dyDescent="0.45">
      <c r="A41" s="113" t="s">
        <v>39</v>
      </c>
      <c r="C41" s="113">
        <v>8</v>
      </c>
      <c r="D41" s="113">
        <v>8</v>
      </c>
      <c r="E41" s="113">
        <v>8</v>
      </c>
      <c r="F41" s="113"/>
      <c r="G41" s="113"/>
      <c r="H41" s="113">
        <v>8</v>
      </c>
      <c r="I41" s="113">
        <v>8</v>
      </c>
      <c r="J41" s="113">
        <v>8</v>
      </c>
      <c r="K41" s="113">
        <v>8</v>
      </c>
      <c r="L41" s="113">
        <v>8</v>
      </c>
      <c r="M41" s="113"/>
      <c r="N41" s="113"/>
      <c r="O41" s="113">
        <v>8</v>
      </c>
      <c r="P41" s="113">
        <v>8</v>
      </c>
      <c r="Q41" s="113">
        <v>8</v>
      </c>
      <c r="R41" s="113">
        <v>8</v>
      </c>
      <c r="S41" s="113">
        <v>8</v>
      </c>
      <c r="T41" s="113"/>
      <c r="U41" s="113"/>
      <c r="V41" s="113">
        <v>8</v>
      </c>
      <c r="W41" s="113">
        <v>8</v>
      </c>
      <c r="X41" s="113">
        <v>8</v>
      </c>
      <c r="Y41" s="113">
        <v>8</v>
      </c>
      <c r="Z41" s="113">
        <v>8</v>
      </c>
      <c r="AA41" s="113"/>
      <c r="AB41" s="113"/>
      <c r="AC41" s="113">
        <v>8</v>
      </c>
      <c r="AD41" s="113">
        <v>8</v>
      </c>
      <c r="AE41" s="113"/>
      <c r="AF41" s="113">
        <v>8</v>
      </c>
      <c r="AG41" s="113"/>
      <c r="AI41" s="113" t="s">
        <v>44</v>
      </c>
      <c r="AJ41" s="115" t="str">
        <f>_xlfn.LET(_xlpm.v,SUM(C41:AG41),IF(_xlpm.v=INT(_xlpm.v),TEXT(_xlpm.v,"0")&amp;" h",TEXT(_xlpm.v,"0.###")&amp;" h"))</f>
        <v>168 h</v>
      </c>
    </row>
    <row r="42" spans="1:36" outlineLevel="1" x14ac:dyDescent="0.45">
      <c r="A42" s="113" t="s">
        <v>37</v>
      </c>
      <c r="C42" s="113" t="s">
        <v>22</v>
      </c>
      <c r="D42" s="113" t="s">
        <v>22</v>
      </c>
      <c r="E42" s="113" t="s">
        <v>22</v>
      </c>
      <c r="F42" s="113"/>
      <c r="G42" s="113"/>
      <c r="H42" s="113" t="s">
        <v>22</v>
      </c>
      <c r="I42" s="113" t="s">
        <v>22</v>
      </c>
      <c r="J42" s="113" t="s">
        <v>22</v>
      </c>
      <c r="K42" s="113" t="s">
        <v>22</v>
      </c>
      <c r="L42" s="113" t="s">
        <v>22</v>
      </c>
      <c r="M42" s="113"/>
      <c r="N42" s="113"/>
      <c r="O42" s="113" t="s">
        <v>22</v>
      </c>
      <c r="P42" s="113" t="s">
        <v>22</v>
      </c>
      <c r="Q42" s="113" t="s">
        <v>22</v>
      </c>
      <c r="R42" s="113" t="s">
        <v>22</v>
      </c>
      <c r="S42" s="113" t="s">
        <v>22</v>
      </c>
      <c r="T42" s="113"/>
      <c r="U42" s="113"/>
      <c r="V42" s="113" t="s">
        <v>22</v>
      </c>
      <c r="W42" s="113" t="s">
        <v>22</v>
      </c>
      <c r="X42" s="113" t="s">
        <v>22</v>
      </c>
      <c r="Y42" s="113" t="s">
        <v>22</v>
      </c>
      <c r="Z42" s="113" t="s">
        <v>22</v>
      </c>
      <c r="AA42" s="113"/>
      <c r="AB42" s="113"/>
      <c r="AC42" s="113" t="s">
        <v>22</v>
      </c>
      <c r="AD42" s="113" t="s">
        <v>22</v>
      </c>
      <c r="AE42" s="113"/>
      <c r="AF42" s="113" t="s">
        <v>22</v>
      </c>
      <c r="AG42" s="113"/>
      <c r="AI42" s="113" t="s">
        <v>45</v>
      </c>
      <c r="AJ42" s="118">
        <f>COUNTIF(C42:AG42,"出")</f>
        <v>0</v>
      </c>
    </row>
    <row r="43" spans="1:36" outlineLevel="1" x14ac:dyDescent="0.45">
      <c r="A43" s="113" t="s">
        <v>40</v>
      </c>
      <c r="C43" s="389"/>
      <c r="D43" s="389"/>
      <c r="E43" s="389"/>
      <c r="F43" s="389"/>
      <c r="G43" s="389"/>
      <c r="H43" s="389"/>
      <c r="I43" s="389"/>
      <c r="J43" s="389"/>
      <c r="K43" s="389"/>
      <c r="L43" s="389"/>
      <c r="M43" s="389"/>
      <c r="N43" s="389"/>
      <c r="O43" s="389"/>
      <c r="P43" s="389"/>
      <c r="Q43" s="389"/>
      <c r="S43" s="389"/>
      <c r="T43" s="389"/>
      <c r="U43" s="389"/>
      <c r="V43" s="389"/>
      <c r="W43" s="389"/>
      <c r="X43" s="389"/>
      <c r="Y43" s="389"/>
      <c r="Z43" s="389"/>
      <c r="AA43" s="389"/>
      <c r="AB43" s="389"/>
      <c r="AC43" s="389"/>
      <c r="AD43" s="389"/>
      <c r="AE43" s="389"/>
      <c r="AF43" s="389"/>
      <c r="AG43" s="389"/>
      <c r="AI43" s="113" t="s">
        <v>46</v>
      </c>
      <c r="AJ43" s="118">
        <f>COUNTIF(C42:AG42,"リ")</f>
        <v>21</v>
      </c>
    </row>
    <row r="44" spans="1:36" outlineLevel="1" x14ac:dyDescent="0.45">
      <c r="C44" s="389"/>
      <c r="D44" s="389"/>
      <c r="E44" s="389"/>
      <c r="F44" s="389"/>
      <c r="G44" s="389"/>
      <c r="H44" s="389"/>
      <c r="I44" s="389"/>
      <c r="J44" s="389"/>
      <c r="K44" s="389"/>
      <c r="L44" s="389"/>
      <c r="M44" s="389"/>
      <c r="N44" s="389"/>
      <c r="O44" s="389"/>
      <c r="P44" s="389"/>
      <c r="Q44" s="389"/>
      <c r="S44" s="389"/>
      <c r="T44" s="389"/>
      <c r="U44" s="389"/>
      <c r="V44" s="389"/>
      <c r="W44" s="389"/>
      <c r="X44" s="389"/>
      <c r="Y44" s="389"/>
      <c r="Z44" s="389"/>
      <c r="AA44" s="389"/>
      <c r="AB44" s="389"/>
      <c r="AC44" s="389"/>
      <c r="AD44" s="389"/>
      <c r="AE44" s="389"/>
      <c r="AF44" s="389"/>
      <c r="AG44" s="389"/>
      <c r="AI44" s="113" t="s">
        <v>25</v>
      </c>
      <c r="AJ44" s="119">
        <f>AJ42/(AJ42+AJ43)</f>
        <v>0</v>
      </c>
    </row>
    <row r="45" spans="1:36" outlineLevel="1" x14ac:dyDescent="0.45">
      <c r="C45" s="389"/>
      <c r="D45" s="389"/>
      <c r="E45" s="389"/>
      <c r="F45" s="389"/>
      <c r="G45" s="389"/>
      <c r="H45" s="389"/>
      <c r="I45" s="389"/>
      <c r="J45" s="389"/>
      <c r="K45" s="389"/>
      <c r="L45" s="389"/>
      <c r="M45" s="389"/>
      <c r="N45" s="389"/>
      <c r="O45" s="389"/>
      <c r="P45" s="389"/>
      <c r="Q45" s="389"/>
      <c r="S45" s="389"/>
      <c r="T45" s="389"/>
      <c r="U45" s="389"/>
      <c r="V45" s="389"/>
      <c r="W45" s="389"/>
      <c r="X45" s="389"/>
      <c r="Y45" s="389"/>
      <c r="Z45" s="389"/>
      <c r="AA45" s="389"/>
      <c r="AB45" s="389"/>
      <c r="AC45" s="389"/>
      <c r="AD45" s="389"/>
      <c r="AE45" s="389"/>
      <c r="AF45" s="389"/>
      <c r="AG45" s="389"/>
    </row>
    <row r="46" spans="1:36" outlineLevel="1" x14ac:dyDescent="0.45">
      <c r="C46" s="389"/>
      <c r="D46" s="389"/>
      <c r="E46" s="389"/>
      <c r="F46" s="389"/>
      <c r="G46" s="389"/>
      <c r="H46" s="389"/>
      <c r="I46" s="389"/>
      <c r="J46" s="389"/>
      <c r="K46" s="389"/>
      <c r="L46" s="389"/>
      <c r="M46" s="389"/>
      <c r="N46" s="389"/>
      <c r="O46" s="389"/>
      <c r="P46" s="389"/>
      <c r="Q46" s="389"/>
      <c r="S46" s="389"/>
      <c r="T46" s="389"/>
      <c r="U46" s="389"/>
      <c r="V46" s="389"/>
      <c r="W46" s="389"/>
      <c r="X46" s="389"/>
      <c r="Y46" s="389"/>
      <c r="Z46" s="389"/>
      <c r="AA46" s="389"/>
      <c r="AB46" s="389"/>
      <c r="AC46" s="389"/>
      <c r="AD46" s="389"/>
      <c r="AE46" s="389"/>
      <c r="AF46" s="389"/>
      <c r="AG46" s="389"/>
    </row>
    <row r="47" spans="1:36" outlineLevel="1" x14ac:dyDescent="0.45">
      <c r="C47" s="389"/>
      <c r="D47" s="389"/>
      <c r="E47" s="389"/>
      <c r="F47" s="389"/>
      <c r="G47" s="389"/>
      <c r="H47" s="389"/>
      <c r="I47" s="389"/>
      <c r="J47" s="389"/>
      <c r="K47" s="389"/>
      <c r="L47" s="389"/>
      <c r="M47" s="389"/>
      <c r="N47" s="389"/>
      <c r="O47" s="389"/>
      <c r="P47" s="389"/>
      <c r="Q47" s="389"/>
      <c r="S47" s="389"/>
      <c r="T47" s="389"/>
      <c r="U47" s="389"/>
      <c r="V47" s="389"/>
      <c r="W47" s="389"/>
      <c r="X47" s="389"/>
      <c r="Y47" s="389"/>
      <c r="Z47" s="389"/>
      <c r="AA47" s="389"/>
      <c r="AB47" s="389"/>
      <c r="AC47" s="389"/>
      <c r="AD47" s="389"/>
      <c r="AE47" s="389"/>
      <c r="AF47" s="389"/>
      <c r="AG47" s="389"/>
    </row>
    <row r="48" spans="1:36" outlineLevel="1" x14ac:dyDescent="0.45"/>
    <row r="49" spans="1:36" x14ac:dyDescent="0.45">
      <c r="C49" s="349">
        <v>46143</v>
      </c>
      <c r="D49" s="339"/>
      <c r="E49" s="339"/>
      <c r="F49" s="339"/>
      <c r="G49" s="339"/>
      <c r="H49" s="339"/>
      <c r="I49" s="339"/>
      <c r="J49" s="339"/>
      <c r="K49" s="339"/>
      <c r="L49" s="339"/>
      <c r="M49" s="339"/>
      <c r="N49" s="339"/>
      <c r="O49" s="339"/>
      <c r="P49" s="339"/>
      <c r="Q49" s="339"/>
      <c r="R49" s="339"/>
      <c r="S49" s="339"/>
      <c r="T49" s="339"/>
      <c r="U49" s="339"/>
      <c r="V49" s="339"/>
      <c r="W49" s="339"/>
      <c r="X49" s="339"/>
      <c r="Y49" s="339"/>
      <c r="Z49" s="339"/>
      <c r="AA49" s="339"/>
      <c r="AB49" s="339"/>
      <c r="AC49" s="339"/>
      <c r="AD49" s="339"/>
      <c r="AE49" s="339"/>
      <c r="AF49" s="339"/>
      <c r="AG49" s="339"/>
    </row>
    <row r="50" spans="1:36" outlineLevel="1" x14ac:dyDescent="0.45">
      <c r="C50" s="113" t="str">
        <f t="shared" ref="C50:AG50" si="8">TEXT(C51,"aaa")</f>
        <v>金</v>
      </c>
      <c r="D50" s="113" t="str">
        <f t="shared" si="8"/>
        <v>土</v>
      </c>
      <c r="E50" s="113" t="str">
        <f t="shared" si="8"/>
        <v>日</v>
      </c>
      <c r="F50" s="113" t="str">
        <f t="shared" si="8"/>
        <v>月</v>
      </c>
      <c r="G50" s="113" t="str">
        <f t="shared" si="8"/>
        <v>火</v>
      </c>
      <c r="H50" s="113" t="str">
        <f t="shared" si="8"/>
        <v>水</v>
      </c>
      <c r="I50" s="113" t="str">
        <f t="shared" si="8"/>
        <v>木</v>
      </c>
      <c r="J50" s="113" t="str">
        <f t="shared" si="8"/>
        <v>金</v>
      </c>
      <c r="K50" s="113" t="str">
        <f t="shared" si="8"/>
        <v>土</v>
      </c>
      <c r="L50" s="113" t="str">
        <f t="shared" si="8"/>
        <v>日</v>
      </c>
      <c r="M50" s="113" t="str">
        <f t="shared" si="8"/>
        <v>月</v>
      </c>
      <c r="N50" s="113" t="str">
        <f t="shared" si="8"/>
        <v>火</v>
      </c>
      <c r="O50" s="113" t="str">
        <f t="shared" si="8"/>
        <v>水</v>
      </c>
      <c r="P50" s="113" t="str">
        <f t="shared" si="8"/>
        <v>木</v>
      </c>
      <c r="Q50" s="113" t="str">
        <f t="shared" si="8"/>
        <v>金</v>
      </c>
      <c r="R50" s="113" t="str">
        <f t="shared" si="8"/>
        <v>土</v>
      </c>
      <c r="S50" s="113" t="str">
        <f t="shared" si="8"/>
        <v>日</v>
      </c>
      <c r="T50" s="113" t="str">
        <f t="shared" si="8"/>
        <v>月</v>
      </c>
      <c r="U50" s="113" t="str">
        <f t="shared" si="8"/>
        <v>火</v>
      </c>
      <c r="V50" s="113" t="str">
        <f t="shared" si="8"/>
        <v>水</v>
      </c>
      <c r="W50" s="113" t="str">
        <f t="shared" si="8"/>
        <v>木</v>
      </c>
      <c r="X50" s="113" t="str">
        <f t="shared" si="8"/>
        <v>金</v>
      </c>
      <c r="Y50" s="113" t="str">
        <f t="shared" si="8"/>
        <v>土</v>
      </c>
      <c r="Z50" s="113" t="str">
        <f t="shared" si="8"/>
        <v>日</v>
      </c>
      <c r="AA50" s="113" t="str">
        <f t="shared" si="8"/>
        <v>月</v>
      </c>
      <c r="AB50" s="113" t="str">
        <f t="shared" si="8"/>
        <v>火</v>
      </c>
      <c r="AC50" s="113" t="str">
        <f t="shared" si="8"/>
        <v>水</v>
      </c>
      <c r="AD50" s="113" t="str">
        <f t="shared" si="8"/>
        <v>木</v>
      </c>
      <c r="AE50" s="113" t="str">
        <f t="shared" si="8"/>
        <v>金</v>
      </c>
      <c r="AF50" s="113" t="str">
        <f t="shared" si="8"/>
        <v>土</v>
      </c>
      <c r="AG50" s="113" t="str">
        <f t="shared" si="8"/>
        <v>日</v>
      </c>
      <c r="AI50" s="112" t="s">
        <v>41</v>
      </c>
      <c r="AJ50" s="117">
        <f>COUNT(C52:AG52)</f>
        <v>18</v>
      </c>
    </row>
    <row r="51" spans="1:36" outlineLevel="1" x14ac:dyDescent="0.45">
      <c r="C51" s="116">
        <f>C49</f>
        <v>46143</v>
      </c>
      <c r="D51" s="116">
        <f t="shared" ref="D51:AG51" si="9">IF(C51="","",IF(C51+1&lt;=EOMONTH($C49,0),C51+1,""))</f>
        <v>46144</v>
      </c>
      <c r="E51" s="116">
        <f t="shared" si="9"/>
        <v>46145</v>
      </c>
      <c r="F51" s="116">
        <f t="shared" si="9"/>
        <v>46146</v>
      </c>
      <c r="G51" s="116">
        <f t="shared" si="9"/>
        <v>46147</v>
      </c>
      <c r="H51" s="116">
        <f t="shared" si="9"/>
        <v>46148</v>
      </c>
      <c r="I51" s="116">
        <f t="shared" si="9"/>
        <v>46149</v>
      </c>
      <c r="J51" s="116">
        <f t="shared" si="9"/>
        <v>46150</v>
      </c>
      <c r="K51" s="116">
        <f t="shared" si="9"/>
        <v>46151</v>
      </c>
      <c r="L51" s="116">
        <f t="shared" si="9"/>
        <v>46152</v>
      </c>
      <c r="M51" s="116">
        <f t="shared" si="9"/>
        <v>46153</v>
      </c>
      <c r="N51" s="116">
        <f t="shared" si="9"/>
        <v>46154</v>
      </c>
      <c r="O51" s="116">
        <f t="shared" si="9"/>
        <v>46155</v>
      </c>
      <c r="P51" s="116">
        <f t="shared" si="9"/>
        <v>46156</v>
      </c>
      <c r="Q51" s="116">
        <f t="shared" si="9"/>
        <v>46157</v>
      </c>
      <c r="R51" s="116">
        <f t="shared" si="9"/>
        <v>46158</v>
      </c>
      <c r="S51" s="116">
        <f t="shared" si="9"/>
        <v>46159</v>
      </c>
      <c r="T51" s="116">
        <f t="shared" si="9"/>
        <v>46160</v>
      </c>
      <c r="U51" s="116">
        <f t="shared" si="9"/>
        <v>46161</v>
      </c>
      <c r="V51" s="116">
        <f t="shared" si="9"/>
        <v>46162</v>
      </c>
      <c r="W51" s="116">
        <f t="shared" si="9"/>
        <v>46163</v>
      </c>
      <c r="X51" s="116">
        <f t="shared" si="9"/>
        <v>46164</v>
      </c>
      <c r="Y51" s="116">
        <f t="shared" si="9"/>
        <v>46165</v>
      </c>
      <c r="Z51" s="116">
        <f t="shared" si="9"/>
        <v>46166</v>
      </c>
      <c r="AA51" s="116">
        <f t="shared" si="9"/>
        <v>46167</v>
      </c>
      <c r="AB51" s="116">
        <f t="shared" si="9"/>
        <v>46168</v>
      </c>
      <c r="AC51" s="116">
        <f t="shared" si="9"/>
        <v>46169</v>
      </c>
      <c r="AD51" s="116">
        <f t="shared" si="9"/>
        <v>46170</v>
      </c>
      <c r="AE51" s="116">
        <f t="shared" si="9"/>
        <v>46171</v>
      </c>
      <c r="AF51" s="116">
        <f t="shared" si="9"/>
        <v>46172</v>
      </c>
      <c r="AG51" s="116">
        <f t="shared" si="9"/>
        <v>46173</v>
      </c>
      <c r="AI51" s="112" t="s">
        <v>42</v>
      </c>
      <c r="AJ51" s="114" t="str">
        <f>_xlfn.LET(_xlpm.v,SUM(C52:AG52),IF(_xlpm.v=INT(_xlpm.v),TEXT(_xlpm.v,"0")&amp;" h",TEXT(_xlpm.v,"0.###")&amp;" h"))</f>
        <v>144 h</v>
      </c>
    </row>
    <row r="52" spans="1:36" outlineLevel="1" x14ac:dyDescent="0.45">
      <c r="A52" s="112" t="s">
        <v>38</v>
      </c>
      <c r="C52" s="85">
        <v>8</v>
      </c>
      <c r="D52" s="85"/>
      <c r="E52" s="85"/>
      <c r="F52" s="85"/>
      <c r="G52" s="85"/>
      <c r="H52" s="85"/>
      <c r="I52" s="85">
        <v>8</v>
      </c>
      <c r="J52" s="85">
        <v>8</v>
      </c>
      <c r="K52" s="85"/>
      <c r="L52" s="85"/>
      <c r="M52" s="85">
        <v>8</v>
      </c>
      <c r="N52" s="85">
        <v>8</v>
      </c>
      <c r="O52" s="85">
        <v>8</v>
      </c>
      <c r="P52" s="85">
        <v>8</v>
      </c>
      <c r="Q52" s="85">
        <v>8</v>
      </c>
      <c r="R52" s="85"/>
      <c r="S52" s="85"/>
      <c r="T52" s="85">
        <v>8</v>
      </c>
      <c r="U52" s="85">
        <v>8</v>
      </c>
      <c r="V52" s="85">
        <v>8</v>
      </c>
      <c r="W52" s="85">
        <v>8</v>
      </c>
      <c r="X52" s="85">
        <v>8</v>
      </c>
      <c r="Y52" s="85"/>
      <c r="Z52" s="85"/>
      <c r="AA52" s="85">
        <v>8</v>
      </c>
      <c r="AB52" s="85">
        <v>8</v>
      </c>
      <c r="AC52" s="85">
        <v>8</v>
      </c>
      <c r="AD52" s="85">
        <v>8</v>
      </c>
      <c r="AE52" s="85">
        <v>8</v>
      </c>
      <c r="AF52" s="85"/>
      <c r="AG52" s="85"/>
      <c r="AI52" s="113" t="s">
        <v>43</v>
      </c>
      <c r="AJ52" s="118">
        <f>COUNT(C53:AG53)</f>
        <v>18</v>
      </c>
    </row>
    <row r="53" spans="1:36" outlineLevel="1" x14ac:dyDescent="0.45">
      <c r="A53" s="113" t="s">
        <v>39</v>
      </c>
      <c r="C53" s="113">
        <v>8</v>
      </c>
      <c r="D53" s="113"/>
      <c r="E53" s="113"/>
      <c r="F53" s="113"/>
      <c r="G53" s="113"/>
      <c r="H53" s="113"/>
      <c r="I53" s="113">
        <v>8</v>
      </c>
      <c r="J53" s="113">
        <v>8</v>
      </c>
      <c r="K53" s="113"/>
      <c r="L53" s="113"/>
      <c r="M53" s="113">
        <v>8</v>
      </c>
      <c r="N53" s="113">
        <v>8</v>
      </c>
      <c r="O53" s="113">
        <v>8</v>
      </c>
      <c r="P53" s="113">
        <v>8</v>
      </c>
      <c r="Q53" s="113">
        <v>8</v>
      </c>
      <c r="R53" s="113"/>
      <c r="S53" s="113"/>
      <c r="T53" s="113">
        <v>8</v>
      </c>
      <c r="U53" s="113">
        <v>8</v>
      </c>
      <c r="V53" s="113">
        <v>8</v>
      </c>
      <c r="W53" s="113">
        <v>8</v>
      </c>
      <c r="X53" s="113">
        <v>8</v>
      </c>
      <c r="Y53" s="113"/>
      <c r="Z53" s="113"/>
      <c r="AA53" s="113">
        <v>8</v>
      </c>
      <c r="AB53" s="113">
        <v>8</v>
      </c>
      <c r="AC53" s="113">
        <v>8</v>
      </c>
      <c r="AD53" s="113">
        <v>8</v>
      </c>
      <c r="AE53" s="113">
        <v>8</v>
      </c>
      <c r="AF53" s="113"/>
      <c r="AG53" s="113"/>
      <c r="AI53" s="113" t="s">
        <v>44</v>
      </c>
      <c r="AJ53" s="115" t="str">
        <f>_xlfn.LET(_xlpm.v,SUM(C53:AG53),IF(_xlpm.v=INT(_xlpm.v),TEXT(_xlpm.v,"0")&amp;" h",TEXT(_xlpm.v,"0.###")&amp;" h"))</f>
        <v>144 h</v>
      </c>
    </row>
    <row r="54" spans="1:36" outlineLevel="1" x14ac:dyDescent="0.45">
      <c r="A54" s="113" t="s">
        <v>37</v>
      </c>
      <c r="C54" s="113" t="s">
        <v>22</v>
      </c>
      <c r="D54" s="113"/>
      <c r="E54" s="113"/>
      <c r="F54" s="113"/>
      <c r="G54" s="113"/>
      <c r="H54" s="113"/>
      <c r="I54" s="113" t="s">
        <v>22</v>
      </c>
      <c r="J54" s="113" t="s">
        <v>22</v>
      </c>
      <c r="K54" s="113"/>
      <c r="L54" s="113"/>
      <c r="M54" s="113" t="s">
        <v>22</v>
      </c>
      <c r="N54" s="113" t="s">
        <v>22</v>
      </c>
      <c r="O54" s="113" t="s">
        <v>22</v>
      </c>
      <c r="P54" s="113" t="s">
        <v>22</v>
      </c>
      <c r="Q54" s="113" t="s">
        <v>22</v>
      </c>
      <c r="R54" s="113"/>
      <c r="S54" s="113"/>
      <c r="T54" s="113" t="s">
        <v>22</v>
      </c>
      <c r="U54" s="113" t="s">
        <v>22</v>
      </c>
      <c r="V54" s="113" t="s">
        <v>22</v>
      </c>
      <c r="W54" s="113" t="s">
        <v>22</v>
      </c>
      <c r="X54" s="113" t="s">
        <v>22</v>
      </c>
      <c r="Y54" s="113"/>
      <c r="Z54" s="113"/>
      <c r="AA54" s="113" t="s">
        <v>22</v>
      </c>
      <c r="AB54" s="113" t="s">
        <v>22</v>
      </c>
      <c r="AC54" s="113" t="s">
        <v>22</v>
      </c>
      <c r="AD54" s="113" t="s">
        <v>22</v>
      </c>
      <c r="AE54" s="113" t="s">
        <v>22</v>
      </c>
      <c r="AF54" s="113"/>
      <c r="AG54" s="113"/>
      <c r="AI54" s="113" t="s">
        <v>45</v>
      </c>
      <c r="AJ54" s="118">
        <f>COUNTIF(C54:AG54,"出")</f>
        <v>0</v>
      </c>
    </row>
    <row r="55" spans="1:36" outlineLevel="1" x14ac:dyDescent="0.45">
      <c r="A55" s="113" t="s">
        <v>40</v>
      </c>
      <c r="C55" s="389"/>
      <c r="D55" s="389"/>
      <c r="E55" s="389"/>
      <c r="F55" s="389"/>
      <c r="G55" s="389"/>
      <c r="H55" s="389"/>
      <c r="I55" s="389"/>
      <c r="J55" s="389"/>
      <c r="K55" s="389"/>
      <c r="L55" s="389"/>
      <c r="M55" s="389"/>
      <c r="N55" s="389"/>
      <c r="O55" s="389"/>
      <c r="P55" s="389"/>
      <c r="Q55" s="389"/>
      <c r="S55" s="389"/>
      <c r="T55" s="389"/>
      <c r="U55" s="389"/>
      <c r="V55" s="389"/>
      <c r="W55" s="389"/>
      <c r="X55" s="389"/>
      <c r="Y55" s="389"/>
      <c r="Z55" s="389"/>
      <c r="AA55" s="389"/>
      <c r="AB55" s="389"/>
      <c r="AC55" s="389"/>
      <c r="AD55" s="389"/>
      <c r="AE55" s="389"/>
      <c r="AF55" s="389"/>
      <c r="AG55" s="389"/>
      <c r="AI55" s="113" t="s">
        <v>46</v>
      </c>
      <c r="AJ55" s="118">
        <f>COUNTIF(C54:AG54,"リ")</f>
        <v>18</v>
      </c>
    </row>
    <row r="56" spans="1:36" outlineLevel="1" x14ac:dyDescent="0.45">
      <c r="C56" s="389"/>
      <c r="D56" s="389"/>
      <c r="E56" s="389"/>
      <c r="F56" s="389"/>
      <c r="G56" s="389"/>
      <c r="H56" s="389"/>
      <c r="I56" s="389"/>
      <c r="J56" s="389"/>
      <c r="K56" s="389"/>
      <c r="L56" s="389"/>
      <c r="M56" s="389"/>
      <c r="N56" s="389"/>
      <c r="O56" s="389"/>
      <c r="P56" s="389"/>
      <c r="Q56" s="389"/>
      <c r="S56" s="389"/>
      <c r="T56" s="389"/>
      <c r="U56" s="389"/>
      <c r="V56" s="389"/>
      <c r="W56" s="389"/>
      <c r="X56" s="389"/>
      <c r="Y56" s="389"/>
      <c r="Z56" s="389"/>
      <c r="AA56" s="389"/>
      <c r="AB56" s="389"/>
      <c r="AC56" s="389"/>
      <c r="AD56" s="389"/>
      <c r="AE56" s="389"/>
      <c r="AF56" s="389"/>
      <c r="AG56" s="389"/>
      <c r="AI56" s="113" t="s">
        <v>25</v>
      </c>
      <c r="AJ56" s="119">
        <f>AJ54/(AJ54+AJ55)</f>
        <v>0</v>
      </c>
    </row>
    <row r="57" spans="1:36" outlineLevel="1" x14ac:dyDescent="0.45">
      <c r="C57" s="389"/>
      <c r="D57" s="389"/>
      <c r="E57" s="389"/>
      <c r="F57" s="389"/>
      <c r="G57" s="389"/>
      <c r="H57" s="389"/>
      <c r="I57" s="389"/>
      <c r="J57" s="389"/>
      <c r="K57" s="389"/>
      <c r="L57" s="389"/>
      <c r="M57" s="389"/>
      <c r="N57" s="389"/>
      <c r="O57" s="389"/>
      <c r="P57" s="389"/>
      <c r="Q57" s="389"/>
      <c r="S57" s="389"/>
      <c r="T57" s="389"/>
      <c r="U57" s="389"/>
      <c r="V57" s="389"/>
      <c r="W57" s="389"/>
      <c r="X57" s="389"/>
      <c r="Y57" s="389"/>
      <c r="Z57" s="389"/>
      <c r="AA57" s="389"/>
      <c r="AB57" s="389"/>
      <c r="AC57" s="389"/>
      <c r="AD57" s="389"/>
      <c r="AE57" s="389"/>
      <c r="AF57" s="389"/>
      <c r="AG57" s="389"/>
    </row>
    <row r="58" spans="1:36" outlineLevel="1" x14ac:dyDescent="0.45">
      <c r="C58" s="389"/>
      <c r="D58" s="389"/>
      <c r="E58" s="389"/>
      <c r="F58" s="389"/>
      <c r="G58" s="389"/>
      <c r="H58" s="389"/>
      <c r="I58" s="389"/>
      <c r="J58" s="389"/>
      <c r="K58" s="389"/>
      <c r="L58" s="389"/>
      <c r="M58" s="389"/>
      <c r="N58" s="389"/>
      <c r="O58" s="389"/>
      <c r="P58" s="389"/>
      <c r="Q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389"/>
      <c r="AD58" s="389"/>
      <c r="AE58" s="389"/>
      <c r="AF58" s="389"/>
      <c r="AG58" s="389"/>
    </row>
    <row r="59" spans="1:36" outlineLevel="1" x14ac:dyDescent="0.45">
      <c r="C59" s="389"/>
      <c r="D59" s="389"/>
      <c r="E59" s="389"/>
      <c r="F59" s="389"/>
      <c r="G59" s="389"/>
      <c r="H59" s="389"/>
      <c r="I59" s="389"/>
      <c r="J59" s="389"/>
      <c r="K59" s="389"/>
      <c r="L59" s="389"/>
      <c r="M59" s="389"/>
      <c r="N59" s="389"/>
      <c r="O59" s="389"/>
      <c r="P59" s="389"/>
      <c r="Q59" s="389"/>
      <c r="S59" s="389"/>
      <c r="T59" s="389"/>
      <c r="U59" s="389"/>
      <c r="V59" s="389"/>
      <c r="W59" s="389"/>
      <c r="X59" s="389"/>
      <c r="Y59" s="389"/>
      <c r="Z59" s="389"/>
      <c r="AA59" s="389"/>
      <c r="AB59" s="389"/>
      <c r="AC59" s="389"/>
      <c r="AD59" s="389"/>
      <c r="AE59" s="389"/>
      <c r="AF59" s="389"/>
      <c r="AG59" s="389"/>
    </row>
    <row r="60" spans="1:36" outlineLevel="1" x14ac:dyDescent="0.45"/>
    <row r="61" spans="1:36" x14ac:dyDescent="0.45">
      <c r="C61" s="349">
        <v>46174</v>
      </c>
      <c r="D61" s="339"/>
      <c r="E61" s="339"/>
      <c r="F61" s="339"/>
      <c r="G61" s="339"/>
      <c r="H61" s="339"/>
      <c r="I61" s="339"/>
      <c r="J61" s="339"/>
      <c r="K61" s="339"/>
      <c r="L61" s="339"/>
      <c r="M61" s="339"/>
      <c r="N61" s="339"/>
      <c r="O61" s="339"/>
      <c r="P61" s="339"/>
      <c r="Q61" s="339"/>
      <c r="R61" s="339"/>
      <c r="S61" s="339"/>
      <c r="T61" s="339"/>
      <c r="U61" s="339"/>
      <c r="V61" s="339"/>
      <c r="W61" s="339"/>
      <c r="X61" s="339"/>
      <c r="Y61" s="339"/>
      <c r="Z61" s="339"/>
      <c r="AA61" s="339"/>
      <c r="AB61" s="339"/>
      <c r="AC61" s="339"/>
      <c r="AD61" s="339"/>
      <c r="AE61" s="339"/>
      <c r="AF61" s="339"/>
      <c r="AG61" s="339"/>
    </row>
    <row r="62" spans="1:36" outlineLevel="1" x14ac:dyDescent="0.45">
      <c r="C62" s="113" t="str">
        <f t="shared" ref="C62:AG62" si="10">TEXT(C63,"aaa")</f>
        <v>月</v>
      </c>
      <c r="D62" s="113" t="str">
        <f t="shared" si="10"/>
        <v>火</v>
      </c>
      <c r="E62" s="113" t="str">
        <f t="shared" si="10"/>
        <v>水</v>
      </c>
      <c r="F62" s="113" t="str">
        <f t="shared" si="10"/>
        <v>木</v>
      </c>
      <c r="G62" s="113" t="str">
        <f t="shared" si="10"/>
        <v>金</v>
      </c>
      <c r="H62" s="113" t="str">
        <f t="shared" si="10"/>
        <v>土</v>
      </c>
      <c r="I62" s="113" t="str">
        <f t="shared" si="10"/>
        <v>日</v>
      </c>
      <c r="J62" s="113" t="str">
        <f t="shared" si="10"/>
        <v>月</v>
      </c>
      <c r="K62" s="113" t="str">
        <f t="shared" si="10"/>
        <v>火</v>
      </c>
      <c r="L62" s="113" t="str">
        <f t="shared" si="10"/>
        <v>水</v>
      </c>
      <c r="M62" s="113" t="str">
        <f t="shared" si="10"/>
        <v>木</v>
      </c>
      <c r="N62" s="113" t="str">
        <f t="shared" si="10"/>
        <v>金</v>
      </c>
      <c r="O62" s="113" t="str">
        <f t="shared" si="10"/>
        <v>土</v>
      </c>
      <c r="P62" s="113" t="str">
        <f t="shared" si="10"/>
        <v>日</v>
      </c>
      <c r="Q62" s="113" t="str">
        <f t="shared" si="10"/>
        <v>月</v>
      </c>
      <c r="R62" s="113" t="str">
        <f t="shared" si="10"/>
        <v>火</v>
      </c>
      <c r="S62" s="113" t="str">
        <f t="shared" si="10"/>
        <v>水</v>
      </c>
      <c r="T62" s="113" t="str">
        <f t="shared" si="10"/>
        <v>木</v>
      </c>
      <c r="U62" s="113" t="str">
        <f t="shared" si="10"/>
        <v>金</v>
      </c>
      <c r="V62" s="113" t="str">
        <f t="shared" si="10"/>
        <v>土</v>
      </c>
      <c r="W62" s="113" t="str">
        <f t="shared" si="10"/>
        <v>日</v>
      </c>
      <c r="X62" s="113" t="str">
        <f t="shared" si="10"/>
        <v>月</v>
      </c>
      <c r="Y62" s="113" t="str">
        <f t="shared" si="10"/>
        <v>火</v>
      </c>
      <c r="Z62" s="113" t="str">
        <f t="shared" si="10"/>
        <v>水</v>
      </c>
      <c r="AA62" s="113" t="str">
        <f t="shared" si="10"/>
        <v>木</v>
      </c>
      <c r="AB62" s="113" t="str">
        <f t="shared" si="10"/>
        <v>金</v>
      </c>
      <c r="AC62" s="113" t="str">
        <f t="shared" si="10"/>
        <v>土</v>
      </c>
      <c r="AD62" s="113" t="str">
        <f t="shared" si="10"/>
        <v>日</v>
      </c>
      <c r="AE62" s="113" t="str">
        <f t="shared" si="10"/>
        <v>月</v>
      </c>
      <c r="AF62" s="113" t="str">
        <f t="shared" si="10"/>
        <v>火</v>
      </c>
      <c r="AG62" s="113" t="str">
        <f t="shared" si="10"/>
        <v/>
      </c>
      <c r="AI62" s="112" t="s">
        <v>41</v>
      </c>
      <c r="AJ62" s="117">
        <f>COUNT(C64:AG64)</f>
        <v>22</v>
      </c>
    </row>
    <row r="63" spans="1:36" outlineLevel="1" x14ac:dyDescent="0.45">
      <c r="C63" s="116">
        <f>C61</f>
        <v>46174</v>
      </c>
      <c r="D63" s="116">
        <f t="shared" ref="D63:AG63" si="11">IF(C63="","",IF(C63+1&lt;=EOMONTH($C61,0),C63+1,""))</f>
        <v>46175</v>
      </c>
      <c r="E63" s="116">
        <f t="shared" si="11"/>
        <v>46176</v>
      </c>
      <c r="F63" s="116">
        <f t="shared" si="11"/>
        <v>46177</v>
      </c>
      <c r="G63" s="116">
        <f t="shared" si="11"/>
        <v>46178</v>
      </c>
      <c r="H63" s="116">
        <f t="shared" si="11"/>
        <v>46179</v>
      </c>
      <c r="I63" s="116">
        <f t="shared" si="11"/>
        <v>46180</v>
      </c>
      <c r="J63" s="116">
        <f t="shared" si="11"/>
        <v>46181</v>
      </c>
      <c r="K63" s="116">
        <f t="shared" si="11"/>
        <v>46182</v>
      </c>
      <c r="L63" s="116">
        <f t="shared" si="11"/>
        <v>46183</v>
      </c>
      <c r="M63" s="116">
        <f t="shared" si="11"/>
        <v>46184</v>
      </c>
      <c r="N63" s="116">
        <f t="shared" si="11"/>
        <v>46185</v>
      </c>
      <c r="O63" s="116">
        <f t="shared" si="11"/>
        <v>46186</v>
      </c>
      <c r="P63" s="116">
        <f t="shared" si="11"/>
        <v>46187</v>
      </c>
      <c r="Q63" s="116">
        <f t="shared" si="11"/>
        <v>46188</v>
      </c>
      <c r="R63" s="116">
        <f t="shared" si="11"/>
        <v>46189</v>
      </c>
      <c r="S63" s="116">
        <f t="shared" si="11"/>
        <v>46190</v>
      </c>
      <c r="T63" s="116">
        <f t="shared" si="11"/>
        <v>46191</v>
      </c>
      <c r="U63" s="116">
        <f t="shared" si="11"/>
        <v>46192</v>
      </c>
      <c r="V63" s="116">
        <f t="shared" si="11"/>
        <v>46193</v>
      </c>
      <c r="W63" s="116">
        <f t="shared" si="11"/>
        <v>46194</v>
      </c>
      <c r="X63" s="116">
        <f t="shared" si="11"/>
        <v>46195</v>
      </c>
      <c r="Y63" s="116">
        <f t="shared" si="11"/>
        <v>46196</v>
      </c>
      <c r="Z63" s="116">
        <f t="shared" si="11"/>
        <v>46197</v>
      </c>
      <c r="AA63" s="116">
        <f t="shared" si="11"/>
        <v>46198</v>
      </c>
      <c r="AB63" s="116">
        <f t="shared" si="11"/>
        <v>46199</v>
      </c>
      <c r="AC63" s="116">
        <f t="shared" si="11"/>
        <v>46200</v>
      </c>
      <c r="AD63" s="116">
        <f t="shared" si="11"/>
        <v>46201</v>
      </c>
      <c r="AE63" s="116">
        <f t="shared" si="11"/>
        <v>46202</v>
      </c>
      <c r="AF63" s="116">
        <f t="shared" si="11"/>
        <v>46203</v>
      </c>
      <c r="AG63" s="116" t="str">
        <f t="shared" si="11"/>
        <v/>
      </c>
      <c r="AI63" s="112" t="s">
        <v>42</v>
      </c>
      <c r="AJ63" s="114" t="str">
        <f>_xlfn.LET(_xlpm.v,SUM(C64:AG64),IF(_xlpm.v=INT(_xlpm.v),TEXT(_xlpm.v,"0")&amp;" h",TEXT(_xlpm.v,"0.###")&amp;" h"))</f>
        <v>176 h</v>
      </c>
    </row>
    <row r="64" spans="1:36" outlineLevel="1" x14ac:dyDescent="0.45">
      <c r="A64" s="112" t="s">
        <v>38</v>
      </c>
      <c r="C64" s="85">
        <v>8</v>
      </c>
      <c r="D64" s="85">
        <v>8</v>
      </c>
      <c r="E64" s="85">
        <v>8</v>
      </c>
      <c r="F64" s="85">
        <v>8</v>
      </c>
      <c r="G64" s="85">
        <v>8</v>
      </c>
      <c r="H64" s="85"/>
      <c r="I64" s="85"/>
      <c r="J64" s="85">
        <v>8</v>
      </c>
      <c r="K64" s="85">
        <v>8</v>
      </c>
      <c r="L64" s="85">
        <v>8</v>
      </c>
      <c r="M64" s="85">
        <v>8</v>
      </c>
      <c r="N64" s="85">
        <v>8</v>
      </c>
      <c r="O64" s="85"/>
      <c r="P64" s="85"/>
      <c r="Q64" s="85">
        <v>8</v>
      </c>
      <c r="R64" s="85">
        <v>8</v>
      </c>
      <c r="S64" s="85">
        <v>8</v>
      </c>
      <c r="T64" s="85">
        <v>8</v>
      </c>
      <c r="U64" s="85">
        <v>8</v>
      </c>
      <c r="V64" s="85"/>
      <c r="W64" s="85"/>
      <c r="X64" s="85">
        <v>8</v>
      </c>
      <c r="Y64" s="85">
        <v>8</v>
      </c>
      <c r="Z64" s="85">
        <v>8</v>
      </c>
      <c r="AA64" s="85">
        <v>8</v>
      </c>
      <c r="AB64" s="85">
        <v>8</v>
      </c>
      <c r="AC64" s="85"/>
      <c r="AD64" s="85"/>
      <c r="AE64" s="85">
        <v>8</v>
      </c>
      <c r="AF64" s="85">
        <v>8</v>
      </c>
      <c r="AG64" s="85"/>
      <c r="AI64" s="113" t="s">
        <v>43</v>
      </c>
      <c r="AJ64" s="118">
        <f>COUNT(C65:AG65)</f>
        <v>22</v>
      </c>
    </row>
    <row r="65" spans="1:36" outlineLevel="1" x14ac:dyDescent="0.45">
      <c r="A65" s="113" t="s">
        <v>39</v>
      </c>
      <c r="C65" s="113">
        <v>8</v>
      </c>
      <c r="D65" s="113">
        <v>8</v>
      </c>
      <c r="E65" s="113">
        <v>8</v>
      </c>
      <c r="F65" s="113">
        <v>8</v>
      </c>
      <c r="G65" s="113">
        <v>8</v>
      </c>
      <c r="H65" s="113"/>
      <c r="I65" s="113"/>
      <c r="J65" s="113">
        <v>8</v>
      </c>
      <c r="K65" s="113">
        <v>8</v>
      </c>
      <c r="L65" s="113">
        <v>8</v>
      </c>
      <c r="M65" s="113">
        <v>8</v>
      </c>
      <c r="N65" s="113">
        <v>8</v>
      </c>
      <c r="O65" s="113"/>
      <c r="P65" s="113"/>
      <c r="Q65" s="113">
        <v>8</v>
      </c>
      <c r="R65" s="113">
        <v>8</v>
      </c>
      <c r="S65" s="113">
        <v>8</v>
      </c>
      <c r="T65" s="113">
        <v>8</v>
      </c>
      <c r="U65" s="113">
        <v>8</v>
      </c>
      <c r="V65" s="113"/>
      <c r="W65" s="113"/>
      <c r="X65" s="113">
        <v>8</v>
      </c>
      <c r="Y65" s="113">
        <v>8</v>
      </c>
      <c r="Z65" s="113">
        <v>8</v>
      </c>
      <c r="AA65" s="113">
        <v>8</v>
      </c>
      <c r="AB65" s="113">
        <v>8</v>
      </c>
      <c r="AC65" s="113"/>
      <c r="AD65" s="113"/>
      <c r="AE65" s="113">
        <v>8</v>
      </c>
      <c r="AF65" s="113">
        <v>8</v>
      </c>
      <c r="AG65" s="113"/>
      <c r="AI65" s="113" t="s">
        <v>44</v>
      </c>
      <c r="AJ65" s="115" t="str">
        <f>_xlfn.LET(_xlpm.v,SUM(C65:AG65),IF(_xlpm.v=INT(_xlpm.v),TEXT(_xlpm.v,"0")&amp;" h",TEXT(_xlpm.v,"0.###")&amp;" h"))</f>
        <v>176 h</v>
      </c>
    </row>
    <row r="66" spans="1:36" outlineLevel="1" x14ac:dyDescent="0.45">
      <c r="A66" s="113" t="s">
        <v>37</v>
      </c>
      <c r="C66" s="113" t="s">
        <v>22</v>
      </c>
      <c r="D66" s="113" t="s">
        <v>22</v>
      </c>
      <c r="E66" s="113" t="s">
        <v>22</v>
      </c>
      <c r="F66" s="113" t="s">
        <v>22</v>
      </c>
      <c r="G66" s="113" t="s">
        <v>22</v>
      </c>
      <c r="H66" s="113"/>
      <c r="I66" s="113"/>
      <c r="J66" s="113" t="s">
        <v>22</v>
      </c>
      <c r="K66" s="113" t="s">
        <v>22</v>
      </c>
      <c r="L66" s="113" t="s">
        <v>22</v>
      </c>
      <c r="M66" s="113" t="s">
        <v>22</v>
      </c>
      <c r="N66" s="113" t="s">
        <v>22</v>
      </c>
      <c r="O66" s="113"/>
      <c r="P66" s="113"/>
      <c r="Q66" s="113" t="s">
        <v>22</v>
      </c>
      <c r="R66" s="113" t="s">
        <v>22</v>
      </c>
      <c r="S66" s="113" t="s">
        <v>22</v>
      </c>
      <c r="T66" s="113" t="s">
        <v>22</v>
      </c>
      <c r="U66" s="113" t="s">
        <v>22</v>
      </c>
      <c r="V66" s="113"/>
      <c r="W66" s="113"/>
      <c r="X66" s="113" t="s">
        <v>22</v>
      </c>
      <c r="Y66" s="113" t="s">
        <v>22</v>
      </c>
      <c r="Z66" s="113" t="s">
        <v>22</v>
      </c>
      <c r="AA66" s="113" t="s">
        <v>22</v>
      </c>
      <c r="AB66" s="113" t="s">
        <v>22</v>
      </c>
      <c r="AC66" s="113"/>
      <c r="AD66" s="113"/>
      <c r="AE66" s="113" t="s">
        <v>22</v>
      </c>
      <c r="AF66" s="113" t="s">
        <v>22</v>
      </c>
      <c r="AG66" s="113"/>
      <c r="AI66" s="113" t="s">
        <v>45</v>
      </c>
      <c r="AJ66" s="118">
        <f>COUNTIF(C66:AG66,"出")</f>
        <v>0</v>
      </c>
    </row>
    <row r="67" spans="1:36" outlineLevel="1" x14ac:dyDescent="0.45">
      <c r="A67" s="113" t="s">
        <v>40</v>
      </c>
      <c r="C67" s="389"/>
      <c r="D67" s="389"/>
      <c r="E67" s="389"/>
      <c r="F67" s="389"/>
      <c r="G67" s="389"/>
      <c r="H67" s="389"/>
      <c r="I67" s="389"/>
      <c r="J67" s="389"/>
      <c r="K67" s="389"/>
      <c r="L67" s="389"/>
      <c r="M67" s="389"/>
      <c r="N67" s="389"/>
      <c r="O67" s="389"/>
      <c r="P67" s="389"/>
      <c r="Q67" s="389"/>
      <c r="S67" s="389"/>
      <c r="T67" s="389"/>
      <c r="U67" s="389"/>
      <c r="V67" s="389"/>
      <c r="W67" s="389"/>
      <c r="X67" s="389"/>
      <c r="Y67" s="389"/>
      <c r="Z67" s="389"/>
      <c r="AA67" s="389"/>
      <c r="AB67" s="389"/>
      <c r="AC67" s="389"/>
      <c r="AD67" s="389"/>
      <c r="AE67" s="389"/>
      <c r="AF67" s="389"/>
      <c r="AG67" s="389"/>
      <c r="AI67" s="113" t="s">
        <v>46</v>
      </c>
      <c r="AJ67" s="118">
        <f>COUNTIF(C66:AG66,"リ")</f>
        <v>22</v>
      </c>
    </row>
    <row r="68" spans="1:36" outlineLevel="1" x14ac:dyDescent="0.45">
      <c r="C68" s="389"/>
      <c r="D68" s="389"/>
      <c r="E68" s="389"/>
      <c r="F68" s="389"/>
      <c r="G68" s="389"/>
      <c r="H68" s="389"/>
      <c r="I68" s="389"/>
      <c r="J68" s="389"/>
      <c r="K68" s="389"/>
      <c r="L68" s="389"/>
      <c r="M68" s="389"/>
      <c r="N68" s="389"/>
      <c r="O68" s="389"/>
      <c r="P68" s="389"/>
      <c r="Q68" s="389"/>
      <c r="S68" s="389"/>
      <c r="T68" s="389"/>
      <c r="U68" s="389"/>
      <c r="V68" s="389"/>
      <c r="W68" s="389"/>
      <c r="X68" s="389"/>
      <c r="Y68" s="389"/>
      <c r="Z68" s="389"/>
      <c r="AA68" s="389"/>
      <c r="AB68" s="389"/>
      <c r="AC68" s="389"/>
      <c r="AD68" s="389"/>
      <c r="AE68" s="389"/>
      <c r="AF68" s="389"/>
      <c r="AG68" s="389"/>
      <c r="AI68" s="113" t="s">
        <v>25</v>
      </c>
      <c r="AJ68" s="119">
        <f>AJ66/(AJ66+AJ67)</f>
        <v>0</v>
      </c>
    </row>
    <row r="69" spans="1:36" outlineLevel="1" x14ac:dyDescent="0.45">
      <c r="C69" s="389"/>
      <c r="D69" s="389"/>
      <c r="E69" s="389"/>
      <c r="F69" s="389"/>
      <c r="G69" s="389"/>
      <c r="H69" s="389"/>
      <c r="I69" s="389"/>
      <c r="J69" s="389"/>
      <c r="K69" s="389"/>
      <c r="L69" s="389"/>
      <c r="M69" s="389"/>
      <c r="N69" s="389"/>
      <c r="O69" s="389"/>
      <c r="P69" s="389"/>
      <c r="Q69" s="389"/>
      <c r="S69" s="389"/>
      <c r="T69" s="389"/>
      <c r="U69" s="389"/>
      <c r="V69" s="389"/>
      <c r="W69" s="389"/>
      <c r="X69" s="389"/>
      <c r="Y69" s="389"/>
      <c r="Z69" s="389"/>
      <c r="AA69" s="389"/>
      <c r="AB69" s="389"/>
      <c r="AC69" s="389"/>
      <c r="AD69" s="389"/>
      <c r="AE69" s="389"/>
      <c r="AF69" s="389"/>
      <c r="AG69" s="389"/>
    </row>
    <row r="70" spans="1:36" outlineLevel="1" x14ac:dyDescent="0.45">
      <c r="C70" s="389"/>
      <c r="D70" s="389"/>
      <c r="E70" s="389"/>
      <c r="F70" s="389"/>
      <c r="G70" s="389"/>
      <c r="H70" s="389"/>
      <c r="I70" s="389"/>
      <c r="J70" s="389"/>
      <c r="K70" s="389"/>
      <c r="L70" s="389"/>
      <c r="M70" s="389"/>
      <c r="N70" s="389"/>
      <c r="O70" s="389"/>
      <c r="P70" s="389"/>
      <c r="Q70" s="389"/>
      <c r="S70" s="389"/>
      <c r="T70" s="389"/>
      <c r="U70" s="389"/>
      <c r="V70" s="389"/>
      <c r="W70" s="389"/>
      <c r="X70" s="389"/>
      <c r="Y70" s="389"/>
      <c r="Z70" s="389"/>
      <c r="AA70" s="389"/>
      <c r="AB70" s="389"/>
      <c r="AC70" s="389"/>
      <c r="AD70" s="389"/>
      <c r="AE70" s="389"/>
      <c r="AF70" s="389"/>
      <c r="AG70" s="389"/>
    </row>
    <row r="71" spans="1:36" outlineLevel="1" x14ac:dyDescent="0.45">
      <c r="C71" s="389"/>
      <c r="D71" s="389"/>
      <c r="E71" s="389"/>
      <c r="F71" s="389"/>
      <c r="G71" s="389"/>
      <c r="H71" s="389"/>
      <c r="I71" s="389"/>
      <c r="J71" s="389"/>
      <c r="K71" s="389"/>
      <c r="L71" s="389"/>
      <c r="M71" s="389"/>
      <c r="N71" s="389"/>
      <c r="O71" s="389"/>
      <c r="P71" s="389"/>
      <c r="Q71" s="389"/>
      <c r="S71" s="389"/>
      <c r="T71" s="389"/>
      <c r="U71" s="389"/>
      <c r="V71" s="389"/>
      <c r="W71" s="389"/>
      <c r="X71" s="389"/>
      <c r="Y71" s="389"/>
      <c r="Z71" s="389"/>
      <c r="AA71" s="389"/>
      <c r="AB71" s="389"/>
      <c r="AC71" s="389"/>
      <c r="AD71" s="389"/>
      <c r="AE71" s="389"/>
      <c r="AF71" s="389"/>
      <c r="AG71" s="389"/>
    </row>
    <row r="72" spans="1:36" outlineLevel="1" x14ac:dyDescent="0.45"/>
    <row r="73" spans="1:36" x14ac:dyDescent="0.45">
      <c r="C73" s="349">
        <v>46204</v>
      </c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/>
      <c r="T73" s="339"/>
      <c r="U73" s="339"/>
      <c r="V73" s="339"/>
      <c r="W73" s="339"/>
      <c r="X73" s="339"/>
      <c r="Y73" s="339"/>
      <c r="Z73" s="339"/>
      <c r="AA73" s="339"/>
      <c r="AB73" s="339"/>
      <c r="AC73" s="339"/>
      <c r="AD73" s="339"/>
      <c r="AE73" s="339"/>
      <c r="AF73" s="339"/>
      <c r="AG73" s="339"/>
    </row>
    <row r="74" spans="1:36" outlineLevel="1" x14ac:dyDescent="0.45">
      <c r="C74" s="113" t="str">
        <f t="shared" ref="C74:AG74" si="12">TEXT(C75,"aaa")</f>
        <v>水</v>
      </c>
      <c r="D74" s="113" t="str">
        <f t="shared" si="12"/>
        <v>木</v>
      </c>
      <c r="E74" s="113" t="str">
        <f t="shared" si="12"/>
        <v>金</v>
      </c>
      <c r="F74" s="113" t="str">
        <f t="shared" si="12"/>
        <v>土</v>
      </c>
      <c r="G74" s="113" t="str">
        <f t="shared" si="12"/>
        <v>日</v>
      </c>
      <c r="H74" s="113" t="str">
        <f t="shared" si="12"/>
        <v>月</v>
      </c>
      <c r="I74" s="113" t="str">
        <f t="shared" si="12"/>
        <v>火</v>
      </c>
      <c r="J74" s="113" t="str">
        <f t="shared" si="12"/>
        <v>水</v>
      </c>
      <c r="K74" s="113" t="str">
        <f t="shared" si="12"/>
        <v>木</v>
      </c>
      <c r="L74" s="113" t="str">
        <f t="shared" si="12"/>
        <v>金</v>
      </c>
      <c r="M74" s="113" t="str">
        <f t="shared" si="12"/>
        <v>土</v>
      </c>
      <c r="N74" s="113" t="str">
        <f t="shared" si="12"/>
        <v>日</v>
      </c>
      <c r="O74" s="113" t="str">
        <f t="shared" si="12"/>
        <v>月</v>
      </c>
      <c r="P74" s="113" t="str">
        <f t="shared" si="12"/>
        <v>火</v>
      </c>
      <c r="Q74" s="113" t="str">
        <f t="shared" si="12"/>
        <v>水</v>
      </c>
      <c r="R74" s="113" t="str">
        <f t="shared" si="12"/>
        <v>木</v>
      </c>
      <c r="S74" s="113" t="str">
        <f t="shared" si="12"/>
        <v>金</v>
      </c>
      <c r="T74" s="113" t="str">
        <f t="shared" si="12"/>
        <v>土</v>
      </c>
      <c r="U74" s="113" t="str">
        <f t="shared" si="12"/>
        <v>日</v>
      </c>
      <c r="V74" s="113" t="str">
        <f t="shared" si="12"/>
        <v>月</v>
      </c>
      <c r="W74" s="113" t="str">
        <f t="shared" si="12"/>
        <v>火</v>
      </c>
      <c r="X74" s="113" t="str">
        <f t="shared" si="12"/>
        <v>水</v>
      </c>
      <c r="Y74" s="113" t="str">
        <f t="shared" si="12"/>
        <v>木</v>
      </c>
      <c r="Z74" s="113" t="str">
        <f t="shared" si="12"/>
        <v>金</v>
      </c>
      <c r="AA74" s="113" t="str">
        <f t="shared" si="12"/>
        <v>土</v>
      </c>
      <c r="AB74" s="113" t="str">
        <f t="shared" si="12"/>
        <v>日</v>
      </c>
      <c r="AC74" s="113" t="str">
        <f t="shared" si="12"/>
        <v>月</v>
      </c>
      <c r="AD74" s="113" t="str">
        <f t="shared" si="12"/>
        <v>火</v>
      </c>
      <c r="AE74" s="113" t="str">
        <f t="shared" si="12"/>
        <v>水</v>
      </c>
      <c r="AF74" s="113" t="str">
        <f t="shared" si="12"/>
        <v>木</v>
      </c>
      <c r="AG74" s="113" t="str">
        <f t="shared" si="12"/>
        <v>金</v>
      </c>
      <c r="AI74" s="112" t="s">
        <v>41</v>
      </c>
      <c r="AJ74" s="117">
        <f>COUNT(C76:AG76)</f>
        <v>22</v>
      </c>
    </row>
    <row r="75" spans="1:36" outlineLevel="1" x14ac:dyDescent="0.45">
      <c r="C75" s="116">
        <f>C73</f>
        <v>46204</v>
      </c>
      <c r="D75" s="116">
        <f t="shared" ref="D75:AG75" si="13">IF(C75="","",IF(C75+1&lt;=EOMONTH($C73,0),C75+1,""))</f>
        <v>46205</v>
      </c>
      <c r="E75" s="116">
        <f t="shared" si="13"/>
        <v>46206</v>
      </c>
      <c r="F75" s="116">
        <f t="shared" si="13"/>
        <v>46207</v>
      </c>
      <c r="G75" s="116">
        <f t="shared" si="13"/>
        <v>46208</v>
      </c>
      <c r="H75" s="116">
        <f t="shared" si="13"/>
        <v>46209</v>
      </c>
      <c r="I75" s="116">
        <f t="shared" si="13"/>
        <v>46210</v>
      </c>
      <c r="J75" s="116">
        <f t="shared" si="13"/>
        <v>46211</v>
      </c>
      <c r="K75" s="116">
        <f t="shared" si="13"/>
        <v>46212</v>
      </c>
      <c r="L75" s="116">
        <f t="shared" si="13"/>
        <v>46213</v>
      </c>
      <c r="M75" s="116">
        <f t="shared" si="13"/>
        <v>46214</v>
      </c>
      <c r="N75" s="116">
        <f t="shared" si="13"/>
        <v>46215</v>
      </c>
      <c r="O75" s="116">
        <f t="shared" si="13"/>
        <v>46216</v>
      </c>
      <c r="P75" s="116">
        <f t="shared" si="13"/>
        <v>46217</v>
      </c>
      <c r="Q75" s="116">
        <f t="shared" si="13"/>
        <v>46218</v>
      </c>
      <c r="R75" s="116">
        <f t="shared" si="13"/>
        <v>46219</v>
      </c>
      <c r="S75" s="116">
        <f t="shared" si="13"/>
        <v>46220</v>
      </c>
      <c r="T75" s="116">
        <f t="shared" si="13"/>
        <v>46221</v>
      </c>
      <c r="U75" s="116">
        <f t="shared" si="13"/>
        <v>46222</v>
      </c>
      <c r="V75" s="116">
        <f t="shared" si="13"/>
        <v>46223</v>
      </c>
      <c r="W75" s="116">
        <f t="shared" si="13"/>
        <v>46224</v>
      </c>
      <c r="X75" s="116">
        <f t="shared" si="13"/>
        <v>46225</v>
      </c>
      <c r="Y75" s="116">
        <f t="shared" si="13"/>
        <v>46226</v>
      </c>
      <c r="Z75" s="116">
        <f t="shared" si="13"/>
        <v>46227</v>
      </c>
      <c r="AA75" s="116">
        <f t="shared" si="13"/>
        <v>46228</v>
      </c>
      <c r="AB75" s="116">
        <f t="shared" si="13"/>
        <v>46229</v>
      </c>
      <c r="AC75" s="116">
        <f t="shared" si="13"/>
        <v>46230</v>
      </c>
      <c r="AD75" s="116">
        <f t="shared" si="13"/>
        <v>46231</v>
      </c>
      <c r="AE75" s="116">
        <f t="shared" si="13"/>
        <v>46232</v>
      </c>
      <c r="AF75" s="116">
        <f t="shared" si="13"/>
        <v>46233</v>
      </c>
      <c r="AG75" s="116">
        <f t="shared" si="13"/>
        <v>46234</v>
      </c>
      <c r="AI75" s="112" t="s">
        <v>42</v>
      </c>
      <c r="AJ75" s="114" t="str">
        <f>_xlfn.LET(_xlpm.v,SUM(C76:AG76),IF(_xlpm.v=INT(_xlpm.v),TEXT(_xlpm.v,"0")&amp;" h",TEXT(_xlpm.v,"0.###")&amp;" h"))</f>
        <v>176 h</v>
      </c>
    </row>
    <row r="76" spans="1:36" outlineLevel="1" x14ac:dyDescent="0.45">
      <c r="A76" s="112" t="s">
        <v>38</v>
      </c>
      <c r="C76" s="85">
        <v>8</v>
      </c>
      <c r="D76" s="85">
        <v>8</v>
      </c>
      <c r="E76" s="85">
        <v>8</v>
      </c>
      <c r="F76" s="85"/>
      <c r="G76" s="85"/>
      <c r="H76" s="85">
        <v>8</v>
      </c>
      <c r="I76" s="85">
        <v>8</v>
      </c>
      <c r="J76" s="85">
        <v>8</v>
      </c>
      <c r="K76" s="85">
        <v>8</v>
      </c>
      <c r="L76" s="85">
        <v>8</v>
      </c>
      <c r="M76" s="85"/>
      <c r="N76" s="85"/>
      <c r="O76" s="85">
        <v>8</v>
      </c>
      <c r="P76" s="85">
        <v>8</v>
      </c>
      <c r="Q76" s="85">
        <v>8</v>
      </c>
      <c r="R76" s="85">
        <v>8</v>
      </c>
      <c r="S76" s="85">
        <v>8</v>
      </c>
      <c r="T76" s="85"/>
      <c r="U76" s="85"/>
      <c r="V76" s="85"/>
      <c r="W76" s="85">
        <v>8</v>
      </c>
      <c r="X76" s="85">
        <v>8</v>
      </c>
      <c r="Y76" s="85">
        <v>8</v>
      </c>
      <c r="Z76" s="85">
        <v>8</v>
      </c>
      <c r="AA76" s="85"/>
      <c r="AB76" s="85"/>
      <c r="AC76" s="85">
        <v>8</v>
      </c>
      <c r="AD76" s="85">
        <v>8</v>
      </c>
      <c r="AE76" s="85">
        <v>8</v>
      </c>
      <c r="AF76" s="85">
        <v>8</v>
      </c>
      <c r="AG76" s="85">
        <v>8</v>
      </c>
      <c r="AI76" s="113" t="s">
        <v>43</v>
      </c>
      <c r="AJ76" s="118">
        <f>COUNT(C77:AG77)</f>
        <v>22</v>
      </c>
    </row>
    <row r="77" spans="1:36" outlineLevel="1" x14ac:dyDescent="0.45">
      <c r="A77" s="113" t="s">
        <v>39</v>
      </c>
      <c r="C77" s="113">
        <v>8</v>
      </c>
      <c r="D77" s="113">
        <v>8</v>
      </c>
      <c r="E77" s="113">
        <v>8</v>
      </c>
      <c r="F77" s="113"/>
      <c r="G77" s="113"/>
      <c r="H77" s="113">
        <v>8</v>
      </c>
      <c r="I77" s="113">
        <v>8</v>
      </c>
      <c r="J77" s="113">
        <v>8</v>
      </c>
      <c r="K77" s="113">
        <v>8</v>
      </c>
      <c r="L77" s="113">
        <v>8</v>
      </c>
      <c r="M77" s="113"/>
      <c r="N77" s="113"/>
      <c r="O77" s="113">
        <v>8</v>
      </c>
      <c r="P77" s="113">
        <v>8</v>
      </c>
      <c r="Q77" s="113">
        <v>8</v>
      </c>
      <c r="R77" s="113">
        <v>8</v>
      </c>
      <c r="S77" s="113">
        <v>8</v>
      </c>
      <c r="T77" s="113"/>
      <c r="U77" s="113"/>
      <c r="V77" s="113"/>
      <c r="W77" s="113">
        <v>8</v>
      </c>
      <c r="X77" s="113">
        <v>8</v>
      </c>
      <c r="Y77" s="113">
        <v>8</v>
      </c>
      <c r="Z77" s="113">
        <v>8</v>
      </c>
      <c r="AA77" s="113"/>
      <c r="AB77" s="113"/>
      <c r="AC77" s="113">
        <v>8</v>
      </c>
      <c r="AD77" s="113">
        <v>8</v>
      </c>
      <c r="AE77" s="113">
        <v>8</v>
      </c>
      <c r="AF77" s="113">
        <v>8</v>
      </c>
      <c r="AG77" s="113">
        <v>8</v>
      </c>
      <c r="AI77" s="113" t="s">
        <v>44</v>
      </c>
      <c r="AJ77" s="115" t="str">
        <f>_xlfn.LET(_xlpm.v,SUM(C77:AG77),IF(_xlpm.v=INT(_xlpm.v),TEXT(_xlpm.v,"0")&amp;" h",TEXT(_xlpm.v,"0.###")&amp;" h"))</f>
        <v>176 h</v>
      </c>
    </row>
    <row r="78" spans="1:36" outlineLevel="1" x14ac:dyDescent="0.45">
      <c r="A78" s="113" t="s">
        <v>37</v>
      </c>
      <c r="C78" s="113" t="s">
        <v>22</v>
      </c>
      <c r="D78" s="113" t="s">
        <v>22</v>
      </c>
      <c r="E78" s="113" t="s">
        <v>22</v>
      </c>
      <c r="F78" s="113"/>
      <c r="G78" s="113"/>
      <c r="H78" s="113" t="s">
        <v>22</v>
      </c>
      <c r="I78" s="113" t="s">
        <v>22</v>
      </c>
      <c r="J78" s="113" t="s">
        <v>22</v>
      </c>
      <c r="K78" s="113" t="s">
        <v>22</v>
      </c>
      <c r="L78" s="113" t="s">
        <v>22</v>
      </c>
      <c r="M78" s="113"/>
      <c r="N78" s="113"/>
      <c r="O78" s="113" t="s">
        <v>22</v>
      </c>
      <c r="P78" s="113" t="s">
        <v>22</v>
      </c>
      <c r="Q78" s="113" t="s">
        <v>22</v>
      </c>
      <c r="R78" s="113" t="s">
        <v>22</v>
      </c>
      <c r="S78" s="113" t="s">
        <v>22</v>
      </c>
      <c r="T78" s="113"/>
      <c r="U78" s="113"/>
      <c r="V78" s="113"/>
      <c r="W78" s="113" t="s">
        <v>22</v>
      </c>
      <c r="X78" s="113" t="s">
        <v>22</v>
      </c>
      <c r="Y78" s="113" t="s">
        <v>22</v>
      </c>
      <c r="Z78" s="113" t="s">
        <v>22</v>
      </c>
      <c r="AA78" s="113"/>
      <c r="AB78" s="113"/>
      <c r="AC78" s="113" t="s">
        <v>22</v>
      </c>
      <c r="AD78" s="113" t="s">
        <v>22</v>
      </c>
      <c r="AE78" s="113" t="s">
        <v>22</v>
      </c>
      <c r="AF78" s="113" t="s">
        <v>22</v>
      </c>
      <c r="AG78" s="113" t="s">
        <v>22</v>
      </c>
      <c r="AI78" s="113" t="s">
        <v>45</v>
      </c>
      <c r="AJ78" s="118">
        <f>COUNTIF(C78:AG78,"出")</f>
        <v>0</v>
      </c>
    </row>
    <row r="79" spans="1:36" outlineLevel="1" x14ac:dyDescent="0.45">
      <c r="A79" s="113" t="s">
        <v>40</v>
      </c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S79" s="389"/>
      <c r="T79" s="389"/>
      <c r="U79" s="389"/>
      <c r="V79" s="389"/>
      <c r="W79" s="389"/>
      <c r="X79" s="389"/>
      <c r="Y79" s="389"/>
      <c r="Z79" s="389"/>
      <c r="AA79" s="389"/>
      <c r="AB79" s="389"/>
      <c r="AC79" s="389"/>
      <c r="AD79" s="389"/>
      <c r="AE79" s="389"/>
      <c r="AF79" s="389"/>
      <c r="AG79" s="389"/>
      <c r="AI79" s="113" t="s">
        <v>46</v>
      </c>
      <c r="AJ79" s="118">
        <f>COUNTIF(C78:AG78,"リ")</f>
        <v>22</v>
      </c>
    </row>
    <row r="80" spans="1:36" outlineLevel="1" x14ac:dyDescent="0.45"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S80" s="389"/>
      <c r="T80" s="389"/>
      <c r="U80" s="389"/>
      <c r="V80" s="389"/>
      <c r="W80" s="389"/>
      <c r="X80" s="389"/>
      <c r="Y80" s="389"/>
      <c r="Z80" s="389"/>
      <c r="AA80" s="389"/>
      <c r="AB80" s="389"/>
      <c r="AC80" s="389"/>
      <c r="AD80" s="389"/>
      <c r="AE80" s="389"/>
      <c r="AF80" s="389"/>
      <c r="AG80" s="389"/>
      <c r="AI80" s="113" t="s">
        <v>25</v>
      </c>
      <c r="AJ80" s="119">
        <f>AJ78/(AJ78+AJ79)</f>
        <v>0</v>
      </c>
    </row>
    <row r="81" spans="1:36" outlineLevel="1" x14ac:dyDescent="0.45"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S81" s="389"/>
      <c r="T81" s="389"/>
      <c r="U81" s="389"/>
      <c r="V81" s="389"/>
      <c r="W81" s="389"/>
      <c r="X81" s="389"/>
      <c r="Y81" s="389"/>
      <c r="Z81" s="389"/>
      <c r="AA81" s="389"/>
      <c r="AB81" s="389"/>
      <c r="AC81" s="389"/>
      <c r="AD81" s="389"/>
      <c r="AE81" s="389"/>
      <c r="AF81" s="389"/>
      <c r="AG81" s="389"/>
    </row>
    <row r="82" spans="1:36" outlineLevel="1" x14ac:dyDescent="0.45">
      <c r="C82" s="389"/>
      <c r="D82" s="389"/>
      <c r="E82" s="389"/>
      <c r="F82" s="389"/>
      <c r="G82" s="389"/>
      <c r="H82" s="389"/>
      <c r="I82" s="389"/>
      <c r="J82" s="389"/>
      <c r="K82" s="389"/>
      <c r="L82" s="389"/>
      <c r="M82" s="389"/>
      <c r="N82" s="389"/>
      <c r="O82" s="389"/>
      <c r="P82" s="389"/>
      <c r="Q82" s="389"/>
      <c r="S82" s="389"/>
      <c r="T82" s="389"/>
      <c r="U82" s="389"/>
      <c r="V82" s="389"/>
      <c r="W82" s="389"/>
      <c r="X82" s="389"/>
      <c r="Y82" s="389"/>
      <c r="Z82" s="389"/>
      <c r="AA82" s="389"/>
      <c r="AB82" s="389"/>
      <c r="AC82" s="389"/>
      <c r="AD82" s="389"/>
      <c r="AE82" s="389"/>
      <c r="AF82" s="389"/>
      <c r="AG82" s="389"/>
    </row>
    <row r="83" spans="1:36" outlineLevel="1" x14ac:dyDescent="0.45">
      <c r="C83" s="389"/>
      <c r="D83" s="389"/>
      <c r="E83" s="389"/>
      <c r="F83" s="389"/>
      <c r="G83" s="389"/>
      <c r="H83" s="389"/>
      <c r="I83" s="389"/>
      <c r="J83" s="389"/>
      <c r="K83" s="389"/>
      <c r="L83" s="389"/>
      <c r="M83" s="389"/>
      <c r="N83" s="389"/>
      <c r="O83" s="389"/>
      <c r="P83" s="389"/>
      <c r="Q83" s="389"/>
      <c r="S83" s="389"/>
      <c r="T83" s="389"/>
      <c r="U83" s="389"/>
      <c r="V83" s="389"/>
      <c r="W83" s="389"/>
      <c r="X83" s="389"/>
      <c r="Y83" s="389"/>
      <c r="Z83" s="389"/>
      <c r="AA83" s="389"/>
      <c r="AB83" s="389"/>
      <c r="AC83" s="389"/>
      <c r="AD83" s="389"/>
      <c r="AE83" s="389"/>
      <c r="AF83" s="389"/>
      <c r="AG83" s="389"/>
    </row>
    <row r="84" spans="1:36" outlineLevel="1" x14ac:dyDescent="0.45"/>
    <row r="85" spans="1:36" x14ac:dyDescent="0.45">
      <c r="C85" s="349">
        <v>46235</v>
      </c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</row>
    <row r="86" spans="1:36" outlineLevel="1" x14ac:dyDescent="0.45">
      <c r="C86" s="113" t="str">
        <f t="shared" ref="C86:AG86" si="14">TEXT(C87,"aaa")</f>
        <v>土</v>
      </c>
      <c r="D86" s="113" t="str">
        <f t="shared" si="14"/>
        <v>日</v>
      </c>
      <c r="E86" s="113" t="str">
        <f t="shared" si="14"/>
        <v>月</v>
      </c>
      <c r="F86" s="113" t="str">
        <f t="shared" si="14"/>
        <v>火</v>
      </c>
      <c r="G86" s="113" t="str">
        <f t="shared" si="14"/>
        <v>水</v>
      </c>
      <c r="H86" s="113" t="str">
        <f t="shared" si="14"/>
        <v>木</v>
      </c>
      <c r="I86" s="113" t="str">
        <f t="shared" si="14"/>
        <v>金</v>
      </c>
      <c r="J86" s="113" t="str">
        <f t="shared" si="14"/>
        <v>土</v>
      </c>
      <c r="K86" s="113" t="str">
        <f t="shared" si="14"/>
        <v>日</v>
      </c>
      <c r="L86" s="113" t="str">
        <f t="shared" si="14"/>
        <v>月</v>
      </c>
      <c r="M86" s="113" t="str">
        <f t="shared" si="14"/>
        <v>火</v>
      </c>
      <c r="N86" s="113" t="str">
        <f t="shared" si="14"/>
        <v>水</v>
      </c>
      <c r="O86" s="113" t="str">
        <f t="shared" si="14"/>
        <v>木</v>
      </c>
      <c r="P86" s="113" t="str">
        <f t="shared" si="14"/>
        <v>金</v>
      </c>
      <c r="Q86" s="113" t="str">
        <f t="shared" si="14"/>
        <v>土</v>
      </c>
      <c r="R86" s="113" t="str">
        <f t="shared" si="14"/>
        <v>日</v>
      </c>
      <c r="S86" s="113" t="str">
        <f t="shared" si="14"/>
        <v>月</v>
      </c>
      <c r="T86" s="113" t="str">
        <f t="shared" si="14"/>
        <v>火</v>
      </c>
      <c r="U86" s="113" t="str">
        <f t="shared" si="14"/>
        <v>水</v>
      </c>
      <c r="V86" s="113" t="str">
        <f t="shared" si="14"/>
        <v>木</v>
      </c>
      <c r="W86" s="113" t="str">
        <f t="shared" si="14"/>
        <v>金</v>
      </c>
      <c r="X86" s="113" t="str">
        <f t="shared" si="14"/>
        <v>土</v>
      </c>
      <c r="Y86" s="113" t="str">
        <f t="shared" si="14"/>
        <v>日</v>
      </c>
      <c r="Z86" s="113" t="str">
        <f t="shared" si="14"/>
        <v>月</v>
      </c>
      <c r="AA86" s="113" t="str">
        <f t="shared" si="14"/>
        <v>火</v>
      </c>
      <c r="AB86" s="113" t="str">
        <f t="shared" si="14"/>
        <v>水</v>
      </c>
      <c r="AC86" s="113" t="str">
        <f t="shared" si="14"/>
        <v>木</v>
      </c>
      <c r="AD86" s="113" t="str">
        <f t="shared" si="14"/>
        <v>金</v>
      </c>
      <c r="AE86" s="113" t="str">
        <f t="shared" si="14"/>
        <v>土</v>
      </c>
      <c r="AF86" s="113" t="str">
        <f t="shared" si="14"/>
        <v>日</v>
      </c>
      <c r="AG86" s="113" t="str">
        <f t="shared" si="14"/>
        <v>月</v>
      </c>
      <c r="AI86" s="112" t="s">
        <v>41</v>
      </c>
      <c r="AJ86" s="117">
        <f>COUNT(C88:AG88)</f>
        <v>20</v>
      </c>
    </row>
    <row r="87" spans="1:36" outlineLevel="1" x14ac:dyDescent="0.45">
      <c r="C87" s="116">
        <f>C85</f>
        <v>46235</v>
      </c>
      <c r="D87" s="116">
        <f t="shared" ref="D87:AG87" si="15">IF(C87="","",IF(C87+1&lt;=EOMONTH($C85,0),C87+1,""))</f>
        <v>46236</v>
      </c>
      <c r="E87" s="116">
        <f t="shared" si="15"/>
        <v>46237</v>
      </c>
      <c r="F87" s="116">
        <f t="shared" si="15"/>
        <v>46238</v>
      </c>
      <c r="G87" s="116">
        <f t="shared" si="15"/>
        <v>46239</v>
      </c>
      <c r="H87" s="116">
        <f t="shared" si="15"/>
        <v>46240</v>
      </c>
      <c r="I87" s="116">
        <f t="shared" si="15"/>
        <v>46241</v>
      </c>
      <c r="J87" s="116">
        <f t="shared" si="15"/>
        <v>46242</v>
      </c>
      <c r="K87" s="116">
        <f t="shared" si="15"/>
        <v>46243</v>
      </c>
      <c r="L87" s="116">
        <f t="shared" si="15"/>
        <v>46244</v>
      </c>
      <c r="M87" s="116">
        <f t="shared" si="15"/>
        <v>46245</v>
      </c>
      <c r="N87" s="116">
        <f t="shared" si="15"/>
        <v>46246</v>
      </c>
      <c r="O87" s="116">
        <f t="shared" si="15"/>
        <v>46247</v>
      </c>
      <c r="P87" s="116">
        <f t="shared" si="15"/>
        <v>46248</v>
      </c>
      <c r="Q87" s="116">
        <f t="shared" si="15"/>
        <v>46249</v>
      </c>
      <c r="R87" s="116">
        <f t="shared" si="15"/>
        <v>46250</v>
      </c>
      <c r="S87" s="116">
        <f t="shared" si="15"/>
        <v>46251</v>
      </c>
      <c r="T87" s="116">
        <f t="shared" si="15"/>
        <v>46252</v>
      </c>
      <c r="U87" s="116">
        <f t="shared" si="15"/>
        <v>46253</v>
      </c>
      <c r="V87" s="116">
        <f t="shared" si="15"/>
        <v>46254</v>
      </c>
      <c r="W87" s="116">
        <f t="shared" si="15"/>
        <v>46255</v>
      </c>
      <c r="X87" s="116">
        <f t="shared" si="15"/>
        <v>46256</v>
      </c>
      <c r="Y87" s="116">
        <f t="shared" si="15"/>
        <v>46257</v>
      </c>
      <c r="Z87" s="116">
        <f t="shared" si="15"/>
        <v>46258</v>
      </c>
      <c r="AA87" s="116">
        <f t="shared" si="15"/>
        <v>46259</v>
      </c>
      <c r="AB87" s="116">
        <f t="shared" si="15"/>
        <v>46260</v>
      </c>
      <c r="AC87" s="116">
        <f t="shared" si="15"/>
        <v>46261</v>
      </c>
      <c r="AD87" s="116">
        <f t="shared" si="15"/>
        <v>46262</v>
      </c>
      <c r="AE87" s="116">
        <f t="shared" si="15"/>
        <v>46263</v>
      </c>
      <c r="AF87" s="116">
        <f t="shared" si="15"/>
        <v>46264</v>
      </c>
      <c r="AG87" s="116">
        <f t="shared" si="15"/>
        <v>46265</v>
      </c>
      <c r="AI87" s="112" t="s">
        <v>42</v>
      </c>
      <c r="AJ87" s="114" t="str">
        <f>_xlfn.LET(_xlpm.v,SUM(C88:AG88),IF(_xlpm.v=INT(_xlpm.v),TEXT(_xlpm.v,"0")&amp;" h",TEXT(_xlpm.v,"0.###")&amp;" h"))</f>
        <v>160 h</v>
      </c>
    </row>
    <row r="88" spans="1:36" outlineLevel="1" x14ac:dyDescent="0.45">
      <c r="A88" s="112" t="s">
        <v>38</v>
      </c>
      <c r="C88" s="85"/>
      <c r="D88" s="85"/>
      <c r="E88" s="85">
        <v>8</v>
      </c>
      <c r="F88" s="85">
        <v>8</v>
      </c>
      <c r="G88" s="85">
        <v>8</v>
      </c>
      <c r="H88" s="85">
        <v>8</v>
      </c>
      <c r="I88" s="85">
        <v>8</v>
      </c>
      <c r="J88" s="85"/>
      <c r="K88" s="85"/>
      <c r="L88" s="85">
        <v>8</v>
      </c>
      <c r="M88" s="85"/>
      <c r="N88" s="85">
        <v>8</v>
      </c>
      <c r="O88" s="85">
        <v>8</v>
      </c>
      <c r="P88" s="85">
        <v>8</v>
      </c>
      <c r="Q88" s="85"/>
      <c r="R88" s="85"/>
      <c r="S88" s="85">
        <v>8</v>
      </c>
      <c r="T88" s="85">
        <v>8</v>
      </c>
      <c r="U88" s="85">
        <v>8</v>
      </c>
      <c r="V88" s="85">
        <v>8</v>
      </c>
      <c r="W88" s="85">
        <v>8</v>
      </c>
      <c r="X88" s="85"/>
      <c r="Y88" s="85"/>
      <c r="Z88" s="85">
        <v>8</v>
      </c>
      <c r="AA88" s="85">
        <v>8</v>
      </c>
      <c r="AB88" s="85">
        <v>8</v>
      </c>
      <c r="AC88" s="85">
        <v>8</v>
      </c>
      <c r="AD88" s="85">
        <v>8</v>
      </c>
      <c r="AE88" s="85"/>
      <c r="AF88" s="85"/>
      <c r="AG88" s="85">
        <v>8</v>
      </c>
      <c r="AI88" s="113" t="s">
        <v>43</v>
      </c>
      <c r="AJ88" s="118">
        <f>COUNT(C89:AG89)</f>
        <v>20</v>
      </c>
    </row>
    <row r="89" spans="1:36" outlineLevel="1" x14ac:dyDescent="0.45">
      <c r="A89" s="113" t="s">
        <v>39</v>
      </c>
      <c r="C89" s="113"/>
      <c r="D89" s="113"/>
      <c r="E89" s="113">
        <v>8</v>
      </c>
      <c r="F89" s="113">
        <v>8</v>
      </c>
      <c r="G89" s="113">
        <v>8</v>
      </c>
      <c r="H89" s="113">
        <v>8</v>
      </c>
      <c r="I89" s="113">
        <v>8</v>
      </c>
      <c r="J89" s="113"/>
      <c r="K89" s="113"/>
      <c r="L89" s="113">
        <v>8</v>
      </c>
      <c r="M89" s="113"/>
      <c r="N89" s="113">
        <v>8</v>
      </c>
      <c r="O89" s="113">
        <v>8</v>
      </c>
      <c r="P89" s="113">
        <v>8</v>
      </c>
      <c r="Q89" s="113"/>
      <c r="R89" s="113"/>
      <c r="S89" s="113">
        <v>8</v>
      </c>
      <c r="T89" s="113">
        <v>8</v>
      </c>
      <c r="U89" s="113">
        <v>8</v>
      </c>
      <c r="V89" s="113">
        <v>8</v>
      </c>
      <c r="W89" s="113">
        <v>8</v>
      </c>
      <c r="X89" s="113"/>
      <c r="Y89" s="113"/>
      <c r="Z89" s="113">
        <v>8</v>
      </c>
      <c r="AA89" s="113">
        <v>8</v>
      </c>
      <c r="AB89" s="113">
        <v>8</v>
      </c>
      <c r="AC89" s="113">
        <v>8</v>
      </c>
      <c r="AD89" s="113">
        <v>8</v>
      </c>
      <c r="AE89" s="113"/>
      <c r="AF89" s="113"/>
      <c r="AG89" s="113">
        <v>8</v>
      </c>
      <c r="AI89" s="113" t="s">
        <v>44</v>
      </c>
      <c r="AJ89" s="115" t="str">
        <f>_xlfn.LET(_xlpm.v,SUM(C89:AG89),IF(_xlpm.v=INT(_xlpm.v),TEXT(_xlpm.v,"0")&amp;" h",TEXT(_xlpm.v,"0.###")&amp;" h"))</f>
        <v>160 h</v>
      </c>
    </row>
    <row r="90" spans="1:36" outlineLevel="1" x14ac:dyDescent="0.45">
      <c r="A90" s="113" t="s">
        <v>37</v>
      </c>
      <c r="C90" s="113"/>
      <c r="D90" s="113"/>
      <c r="E90" s="113" t="s">
        <v>22</v>
      </c>
      <c r="F90" s="113" t="s">
        <v>22</v>
      </c>
      <c r="G90" s="113" t="s">
        <v>22</v>
      </c>
      <c r="H90" s="113" t="s">
        <v>22</v>
      </c>
      <c r="I90" s="113" t="s">
        <v>22</v>
      </c>
      <c r="J90" s="113"/>
      <c r="K90" s="113"/>
      <c r="L90" s="113" t="s">
        <v>22</v>
      </c>
      <c r="M90" s="113"/>
      <c r="N90" s="113" t="s">
        <v>22</v>
      </c>
      <c r="O90" s="113" t="s">
        <v>22</v>
      </c>
      <c r="P90" s="113" t="s">
        <v>22</v>
      </c>
      <c r="Q90" s="113"/>
      <c r="R90" s="113"/>
      <c r="S90" s="113" t="s">
        <v>22</v>
      </c>
      <c r="T90" s="113" t="s">
        <v>22</v>
      </c>
      <c r="U90" s="113" t="s">
        <v>22</v>
      </c>
      <c r="V90" s="113" t="s">
        <v>22</v>
      </c>
      <c r="W90" s="113" t="s">
        <v>22</v>
      </c>
      <c r="X90" s="113"/>
      <c r="Y90" s="113"/>
      <c r="Z90" s="113" t="s">
        <v>22</v>
      </c>
      <c r="AA90" s="113" t="s">
        <v>22</v>
      </c>
      <c r="AB90" s="113" t="s">
        <v>22</v>
      </c>
      <c r="AC90" s="113" t="s">
        <v>22</v>
      </c>
      <c r="AD90" s="113" t="s">
        <v>22</v>
      </c>
      <c r="AE90" s="113"/>
      <c r="AF90" s="113"/>
      <c r="AG90" s="113" t="s">
        <v>22</v>
      </c>
      <c r="AI90" s="113" t="s">
        <v>45</v>
      </c>
      <c r="AJ90" s="118">
        <f>COUNTIF(C90:AG90,"出")</f>
        <v>0</v>
      </c>
    </row>
    <row r="91" spans="1:36" outlineLevel="1" x14ac:dyDescent="0.45">
      <c r="A91" s="113" t="s">
        <v>40</v>
      </c>
      <c r="C91" s="389"/>
      <c r="D91" s="389"/>
      <c r="E91" s="389"/>
      <c r="F91" s="389"/>
      <c r="G91" s="389"/>
      <c r="H91" s="389"/>
      <c r="I91" s="389"/>
      <c r="J91" s="389"/>
      <c r="K91" s="389"/>
      <c r="L91" s="389"/>
      <c r="M91" s="389"/>
      <c r="N91" s="389"/>
      <c r="O91" s="389"/>
      <c r="P91" s="389"/>
      <c r="Q91" s="389"/>
      <c r="S91" s="389"/>
      <c r="T91" s="389"/>
      <c r="U91" s="389"/>
      <c r="V91" s="389"/>
      <c r="W91" s="389"/>
      <c r="X91" s="389"/>
      <c r="Y91" s="389"/>
      <c r="Z91" s="389"/>
      <c r="AA91" s="389"/>
      <c r="AB91" s="389"/>
      <c r="AC91" s="389"/>
      <c r="AD91" s="389"/>
      <c r="AE91" s="389"/>
      <c r="AF91" s="389"/>
      <c r="AG91" s="389"/>
      <c r="AI91" s="113" t="s">
        <v>46</v>
      </c>
      <c r="AJ91" s="118">
        <f>COUNTIF(C90:AG90,"リ")</f>
        <v>20</v>
      </c>
    </row>
    <row r="92" spans="1:36" outlineLevel="1" x14ac:dyDescent="0.45">
      <c r="C92" s="389"/>
      <c r="D92" s="389"/>
      <c r="E92" s="389"/>
      <c r="F92" s="389"/>
      <c r="G92" s="389"/>
      <c r="H92" s="389"/>
      <c r="I92" s="389"/>
      <c r="J92" s="389"/>
      <c r="K92" s="389"/>
      <c r="L92" s="389"/>
      <c r="M92" s="389"/>
      <c r="N92" s="389"/>
      <c r="O92" s="389"/>
      <c r="P92" s="389"/>
      <c r="Q92" s="389"/>
      <c r="S92" s="389"/>
      <c r="T92" s="389"/>
      <c r="U92" s="389"/>
      <c r="V92" s="389"/>
      <c r="W92" s="389"/>
      <c r="X92" s="389"/>
      <c r="Y92" s="389"/>
      <c r="Z92" s="389"/>
      <c r="AA92" s="389"/>
      <c r="AB92" s="389"/>
      <c r="AC92" s="389"/>
      <c r="AD92" s="389"/>
      <c r="AE92" s="389"/>
      <c r="AF92" s="389"/>
      <c r="AG92" s="389"/>
      <c r="AI92" s="113" t="s">
        <v>25</v>
      </c>
      <c r="AJ92" s="119">
        <f>AJ90/(AJ90+AJ91)</f>
        <v>0</v>
      </c>
    </row>
    <row r="93" spans="1:36" outlineLevel="1" x14ac:dyDescent="0.45">
      <c r="C93" s="389"/>
      <c r="D93" s="389"/>
      <c r="E93" s="389"/>
      <c r="F93" s="389"/>
      <c r="G93" s="389"/>
      <c r="H93" s="389"/>
      <c r="I93" s="389"/>
      <c r="J93" s="389"/>
      <c r="K93" s="389"/>
      <c r="L93" s="389"/>
      <c r="M93" s="389"/>
      <c r="N93" s="389"/>
      <c r="O93" s="389"/>
      <c r="P93" s="389"/>
      <c r="Q93" s="389"/>
      <c r="S93" s="389"/>
      <c r="T93" s="389"/>
      <c r="U93" s="389"/>
      <c r="V93" s="389"/>
      <c r="W93" s="389"/>
      <c r="X93" s="389"/>
      <c r="Y93" s="389"/>
      <c r="Z93" s="389"/>
      <c r="AA93" s="389"/>
      <c r="AB93" s="389"/>
      <c r="AC93" s="389"/>
      <c r="AD93" s="389"/>
      <c r="AE93" s="389"/>
      <c r="AF93" s="389"/>
      <c r="AG93" s="389"/>
    </row>
    <row r="94" spans="1:36" outlineLevel="1" x14ac:dyDescent="0.45">
      <c r="C94" s="389"/>
      <c r="D94" s="389"/>
      <c r="E94" s="389"/>
      <c r="F94" s="389"/>
      <c r="G94" s="389"/>
      <c r="H94" s="389"/>
      <c r="I94" s="389"/>
      <c r="J94" s="389"/>
      <c r="K94" s="389"/>
      <c r="L94" s="389"/>
      <c r="M94" s="389"/>
      <c r="N94" s="389"/>
      <c r="O94" s="389"/>
      <c r="P94" s="389"/>
      <c r="Q94" s="389"/>
      <c r="S94" s="389"/>
      <c r="T94" s="389"/>
      <c r="U94" s="389"/>
      <c r="V94" s="389"/>
      <c r="W94" s="389"/>
      <c r="X94" s="389"/>
      <c r="Y94" s="389"/>
      <c r="Z94" s="389"/>
      <c r="AA94" s="389"/>
      <c r="AB94" s="389"/>
      <c r="AC94" s="389"/>
      <c r="AD94" s="389"/>
      <c r="AE94" s="389"/>
      <c r="AF94" s="389"/>
      <c r="AG94" s="389"/>
    </row>
    <row r="95" spans="1:36" outlineLevel="1" x14ac:dyDescent="0.45">
      <c r="C95" s="389"/>
      <c r="D95" s="389"/>
      <c r="E95" s="389"/>
      <c r="F95" s="389"/>
      <c r="G95" s="389"/>
      <c r="H95" s="389"/>
      <c r="I95" s="389"/>
      <c r="J95" s="389"/>
      <c r="K95" s="389"/>
      <c r="L95" s="389"/>
      <c r="M95" s="389"/>
      <c r="N95" s="389"/>
      <c r="O95" s="389"/>
      <c r="P95" s="389"/>
      <c r="Q95" s="389"/>
      <c r="S95" s="389"/>
      <c r="T95" s="389"/>
      <c r="U95" s="389"/>
      <c r="V95" s="389"/>
      <c r="W95" s="389"/>
      <c r="X95" s="389"/>
      <c r="Y95" s="389"/>
      <c r="Z95" s="389"/>
      <c r="AA95" s="389"/>
      <c r="AB95" s="389"/>
      <c r="AC95" s="389"/>
      <c r="AD95" s="389"/>
      <c r="AE95" s="389"/>
      <c r="AF95" s="389"/>
      <c r="AG95" s="389"/>
    </row>
    <row r="96" spans="1:36" outlineLevel="1" x14ac:dyDescent="0.45"/>
    <row r="97" spans="1:36" x14ac:dyDescent="0.45">
      <c r="C97" s="349">
        <v>46266</v>
      </c>
      <c r="D97" s="339"/>
      <c r="E97" s="339"/>
      <c r="F97" s="339"/>
      <c r="G97" s="339"/>
      <c r="H97" s="339"/>
      <c r="I97" s="339"/>
      <c r="J97" s="339"/>
      <c r="K97" s="339"/>
      <c r="L97" s="339"/>
      <c r="M97" s="339"/>
      <c r="N97" s="339"/>
      <c r="O97" s="339"/>
      <c r="P97" s="339"/>
      <c r="Q97" s="339"/>
      <c r="R97" s="339"/>
      <c r="S97" s="339"/>
      <c r="T97" s="339"/>
      <c r="U97" s="339"/>
      <c r="V97" s="339"/>
      <c r="W97" s="339"/>
      <c r="X97" s="339"/>
      <c r="Y97" s="339"/>
      <c r="Z97" s="339"/>
      <c r="AA97" s="339"/>
      <c r="AB97" s="339"/>
      <c r="AC97" s="339"/>
      <c r="AD97" s="339"/>
      <c r="AE97" s="339"/>
      <c r="AF97" s="339"/>
      <c r="AG97" s="339"/>
    </row>
    <row r="98" spans="1:36" outlineLevel="1" x14ac:dyDescent="0.45">
      <c r="C98" s="113" t="str">
        <f t="shared" ref="C98:AG98" si="16">TEXT(C99,"aaa")</f>
        <v>火</v>
      </c>
      <c r="D98" s="113" t="str">
        <f t="shared" si="16"/>
        <v>水</v>
      </c>
      <c r="E98" s="113" t="str">
        <f t="shared" si="16"/>
        <v>木</v>
      </c>
      <c r="F98" s="113" t="str">
        <f t="shared" si="16"/>
        <v>金</v>
      </c>
      <c r="G98" s="113" t="str">
        <f t="shared" si="16"/>
        <v>土</v>
      </c>
      <c r="H98" s="113" t="str">
        <f t="shared" si="16"/>
        <v>日</v>
      </c>
      <c r="I98" s="113" t="str">
        <f t="shared" si="16"/>
        <v>月</v>
      </c>
      <c r="J98" s="113" t="str">
        <f t="shared" si="16"/>
        <v>火</v>
      </c>
      <c r="K98" s="113" t="str">
        <f t="shared" si="16"/>
        <v>水</v>
      </c>
      <c r="L98" s="113" t="str">
        <f t="shared" si="16"/>
        <v>木</v>
      </c>
      <c r="M98" s="113" t="str">
        <f t="shared" si="16"/>
        <v>金</v>
      </c>
      <c r="N98" s="113" t="str">
        <f t="shared" si="16"/>
        <v>土</v>
      </c>
      <c r="O98" s="113" t="str">
        <f t="shared" si="16"/>
        <v>日</v>
      </c>
      <c r="P98" s="113" t="str">
        <f t="shared" si="16"/>
        <v>月</v>
      </c>
      <c r="Q98" s="113" t="str">
        <f t="shared" si="16"/>
        <v>火</v>
      </c>
      <c r="R98" s="113" t="str">
        <f t="shared" si="16"/>
        <v>水</v>
      </c>
      <c r="S98" s="113" t="str">
        <f t="shared" si="16"/>
        <v>木</v>
      </c>
      <c r="T98" s="113" t="str">
        <f t="shared" si="16"/>
        <v>金</v>
      </c>
      <c r="U98" s="113" t="str">
        <f t="shared" si="16"/>
        <v>土</v>
      </c>
      <c r="V98" s="113" t="str">
        <f t="shared" si="16"/>
        <v>日</v>
      </c>
      <c r="W98" s="113" t="str">
        <f t="shared" si="16"/>
        <v>月</v>
      </c>
      <c r="X98" s="113" t="str">
        <f t="shared" si="16"/>
        <v>火</v>
      </c>
      <c r="Y98" s="113" t="str">
        <f t="shared" si="16"/>
        <v>水</v>
      </c>
      <c r="Z98" s="113" t="str">
        <f t="shared" si="16"/>
        <v>木</v>
      </c>
      <c r="AA98" s="113" t="str">
        <f t="shared" si="16"/>
        <v>金</v>
      </c>
      <c r="AB98" s="113" t="str">
        <f t="shared" si="16"/>
        <v>土</v>
      </c>
      <c r="AC98" s="113" t="str">
        <f t="shared" si="16"/>
        <v>日</v>
      </c>
      <c r="AD98" s="113" t="str">
        <f t="shared" si="16"/>
        <v>月</v>
      </c>
      <c r="AE98" s="113" t="str">
        <f t="shared" si="16"/>
        <v>火</v>
      </c>
      <c r="AF98" s="113" t="str">
        <f t="shared" si="16"/>
        <v>水</v>
      </c>
      <c r="AG98" s="113" t="str">
        <f t="shared" si="16"/>
        <v/>
      </c>
      <c r="AI98" s="112" t="s">
        <v>41</v>
      </c>
      <c r="AJ98" s="117">
        <f>COUNT(C100:AG100)</f>
        <v>19</v>
      </c>
    </row>
    <row r="99" spans="1:36" outlineLevel="1" x14ac:dyDescent="0.45">
      <c r="C99" s="116">
        <f>C97</f>
        <v>46266</v>
      </c>
      <c r="D99" s="116">
        <f t="shared" ref="D99:AG99" si="17">IF(C99="","",IF(C99+1&lt;=EOMONTH($C97,0),C99+1,""))</f>
        <v>46267</v>
      </c>
      <c r="E99" s="116">
        <f t="shared" si="17"/>
        <v>46268</v>
      </c>
      <c r="F99" s="116">
        <f t="shared" si="17"/>
        <v>46269</v>
      </c>
      <c r="G99" s="116">
        <f t="shared" si="17"/>
        <v>46270</v>
      </c>
      <c r="H99" s="116">
        <f t="shared" si="17"/>
        <v>46271</v>
      </c>
      <c r="I99" s="116">
        <f t="shared" si="17"/>
        <v>46272</v>
      </c>
      <c r="J99" s="116">
        <f t="shared" si="17"/>
        <v>46273</v>
      </c>
      <c r="K99" s="116">
        <f t="shared" si="17"/>
        <v>46274</v>
      </c>
      <c r="L99" s="116">
        <f t="shared" si="17"/>
        <v>46275</v>
      </c>
      <c r="M99" s="116">
        <f t="shared" si="17"/>
        <v>46276</v>
      </c>
      <c r="N99" s="116">
        <f t="shared" si="17"/>
        <v>46277</v>
      </c>
      <c r="O99" s="116">
        <f t="shared" si="17"/>
        <v>46278</v>
      </c>
      <c r="P99" s="116">
        <f t="shared" si="17"/>
        <v>46279</v>
      </c>
      <c r="Q99" s="116">
        <f t="shared" si="17"/>
        <v>46280</v>
      </c>
      <c r="R99" s="116">
        <f t="shared" si="17"/>
        <v>46281</v>
      </c>
      <c r="S99" s="116">
        <f t="shared" si="17"/>
        <v>46282</v>
      </c>
      <c r="T99" s="116">
        <f t="shared" si="17"/>
        <v>46283</v>
      </c>
      <c r="U99" s="116">
        <f t="shared" si="17"/>
        <v>46284</v>
      </c>
      <c r="V99" s="116">
        <f t="shared" si="17"/>
        <v>46285</v>
      </c>
      <c r="W99" s="116">
        <f t="shared" si="17"/>
        <v>46286</v>
      </c>
      <c r="X99" s="116">
        <f t="shared" si="17"/>
        <v>46287</v>
      </c>
      <c r="Y99" s="116">
        <f t="shared" si="17"/>
        <v>46288</v>
      </c>
      <c r="Z99" s="116">
        <f t="shared" si="17"/>
        <v>46289</v>
      </c>
      <c r="AA99" s="116">
        <f t="shared" si="17"/>
        <v>46290</v>
      </c>
      <c r="AB99" s="116">
        <f t="shared" si="17"/>
        <v>46291</v>
      </c>
      <c r="AC99" s="116">
        <f t="shared" si="17"/>
        <v>46292</v>
      </c>
      <c r="AD99" s="116">
        <f t="shared" si="17"/>
        <v>46293</v>
      </c>
      <c r="AE99" s="116">
        <f t="shared" si="17"/>
        <v>46294</v>
      </c>
      <c r="AF99" s="116">
        <f t="shared" si="17"/>
        <v>46295</v>
      </c>
      <c r="AG99" s="116" t="str">
        <f t="shared" si="17"/>
        <v/>
      </c>
      <c r="AI99" s="112" t="s">
        <v>42</v>
      </c>
      <c r="AJ99" s="114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12" t="s">
        <v>38</v>
      </c>
      <c r="C100" s="85">
        <v>8</v>
      </c>
      <c r="D100" s="85">
        <v>8</v>
      </c>
      <c r="E100" s="85">
        <v>8</v>
      </c>
      <c r="F100" s="85">
        <v>8</v>
      </c>
      <c r="G100" s="85"/>
      <c r="H100" s="85"/>
      <c r="I100" s="85">
        <v>8</v>
      </c>
      <c r="J100" s="85">
        <v>8</v>
      </c>
      <c r="K100" s="85">
        <v>8</v>
      </c>
      <c r="L100" s="85">
        <v>8</v>
      </c>
      <c r="M100" s="85">
        <v>8</v>
      </c>
      <c r="N100" s="85"/>
      <c r="O100" s="85"/>
      <c r="P100" s="85">
        <v>8</v>
      </c>
      <c r="Q100" s="85">
        <v>8</v>
      </c>
      <c r="R100" s="85">
        <v>8</v>
      </c>
      <c r="S100" s="85">
        <v>8</v>
      </c>
      <c r="T100" s="85">
        <v>8</v>
      </c>
      <c r="U100" s="85"/>
      <c r="V100" s="85"/>
      <c r="W100" s="85"/>
      <c r="X100" s="85"/>
      <c r="Y100" s="85"/>
      <c r="Z100" s="85">
        <v>8</v>
      </c>
      <c r="AA100" s="85">
        <v>8</v>
      </c>
      <c r="AB100" s="85"/>
      <c r="AC100" s="85"/>
      <c r="AD100" s="85">
        <v>8</v>
      </c>
      <c r="AE100" s="85">
        <v>8</v>
      </c>
      <c r="AF100" s="85">
        <v>8</v>
      </c>
      <c r="AG100" s="85"/>
      <c r="AI100" s="113" t="s">
        <v>43</v>
      </c>
      <c r="AJ100" s="118">
        <f>COUNT(C101:AG101)</f>
        <v>19</v>
      </c>
    </row>
    <row r="101" spans="1:36" outlineLevel="1" x14ac:dyDescent="0.45">
      <c r="A101" s="113" t="s">
        <v>39</v>
      </c>
      <c r="C101" s="113">
        <v>8</v>
      </c>
      <c r="D101" s="113">
        <v>8</v>
      </c>
      <c r="E101" s="113">
        <v>8</v>
      </c>
      <c r="F101" s="113">
        <v>8</v>
      </c>
      <c r="G101" s="113"/>
      <c r="H101" s="113"/>
      <c r="I101" s="113">
        <v>8</v>
      </c>
      <c r="J101" s="113">
        <v>8</v>
      </c>
      <c r="K101" s="113">
        <v>8</v>
      </c>
      <c r="L101" s="113">
        <v>8</v>
      </c>
      <c r="M101" s="113">
        <v>8</v>
      </c>
      <c r="N101" s="113"/>
      <c r="O101" s="113"/>
      <c r="P101" s="113">
        <v>8</v>
      </c>
      <c r="Q101" s="113">
        <v>8</v>
      </c>
      <c r="R101" s="113">
        <v>8</v>
      </c>
      <c r="S101" s="113">
        <v>8</v>
      </c>
      <c r="T101" s="113">
        <v>8</v>
      </c>
      <c r="U101" s="113"/>
      <c r="V101" s="113"/>
      <c r="W101" s="113"/>
      <c r="X101" s="113"/>
      <c r="Y101" s="113"/>
      <c r="Z101" s="113">
        <v>8</v>
      </c>
      <c r="AA101" s="113">
        <v>8</v>
      </c>
      <c r="AB101" s="113"/>
      <c r="AC101" s="113"/>
      <c r="AD101" s="113">
        <v>8</v>
      </c>
      <c r="AE101" s="113">
        <v>8</v>
      </c>
      <c r="AF101" s="113">
        <v>8</v>
      </c>
      <c r="AG101" s="113"/>
      <c r="AI101" s="113" t="s">
        <v>44</v>
      </c>
      <c r="AJ101" s="115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13" t="s">
        <v>37</v>
      </c>
      <c r="C102" s="113" t="s">
        <v>22</v>
      </c>
      <c r="D102" s="113" t="s">
        <v>22</v>
      </c>
      <c r="E102" s="113" t="s">
        <v>22</v>
      </c>
      <c r="F102" s="113" t="s">
        <v>22</v>
      </c>
      <c r="G102" s="113"/>
      <c r="H102" s="113"/>
      <c r="I102" s="113" t="s">
        <v>22</v>
      </c>
      <c r="J102" s="113" t="s">
        <v>22</v>
      </c>
      <c r="K102" s="113" t="s">
        <v>22</v>
      </c>
      <c r="L102" s="113" t="s">
        <v>22</v>
      </c>
      <c r="M102" s="113" t="s">
        <v>22</v>
      </c>
      <c r="N102" s="113"/>
      <c r="O102" s="113"/>
      <c r="P102" s="113" t="s">
        <v>22</v>
      </c>
      <c r="Q102" s="113" t="s">
        <v>22</v>
      </c>
      <c r="R102" s="113" t="s">
        <v>22</v>
      </c>
      <c r="S102" s="113" t="s">
        <v>22</v>
      </c>
      <c r="T102" s="113" t="s">
        <v>22</v>
      </c>
      <c r="U102" s="113"/>
      <c r="V102" s="113"/>
      <c r="W102" s="113"/>
      <c r="X102" s="113"/>
      <c r="Y102" s="113"/>
      <c r="Z102" s="113" t="s">
        <v>22</v>
      </c>
      <c r="AA102" s="113" t="s">
        <v>22</v>
      </c>
      <c r="AB102" s="113"/>
      <c r="AC102" s="113"/>
      <c r="AD102" s="113" t="s">
        <v>22</v>
      </c>
      <c r="AE102" s="113" t="s">
        <v>22</v>
      </c>
      <c r="AF102" s="113" t="s">
        <v>22</v>
      </c>
      <c r="AG102" s="113"/>
      <c r="AI102" s="113" t="s">
        <v>45</v>
      </c>
      <c r="AJ102" s="118">
        <f>COUNTIF(C102:AG102,"出")</f>
        <v>0</v>
      </c>
    </row>
    <row r="103" spans="1:36" outlineLevel="1" x14ac:dyDescent="0.45">
      <c r="A103" s="113" t="s">
        <v>40</v>
      </c>
      <c r="C103" s="389"/>
      <c r="D103" s="389"/>
      <c r="E103" s="389"/>
      <c r="F103" s="389"/>
      <c r="G103" s="389"/>
      <c r="H103" s="389"/>
      <c r="I103" s="389"/>
      <c r="J103" s="389"/>
      <c r="K103" s="389"/>
      <c r="L103" s="389"/>
      <c r="M103" s="389"/>
      <c r="N103" s="389"/>
      <c r="O103" s="389"/>
      <c r="P103" s="389"/>
      <c r="Q103" s="389"/>
      <c r="S103" s="389"/>
      <c r="T103" s="389"/>
      <c r="U103" s="389"/>
      <c r="V103" s="389"/>
      <c r="W103" s="389"/>
      <c r="X103" s="389"/>
      <c r="Y103" s="389"/>
      <c r="Z103" s="389"/>
      <c r="AA103" s="389"/>
      <c r="AB103" s="389"/>
      <c r="AC103" s="389"/>
      <c r="AD103" s="389"/>
      <c r="AE103" s="389"/>
      <c r="AF103" s="389"/>
      <c r="AG103" s="389"/>
      <c r="AI103" s="113" t="s">
        <v>46</v>
      </c>
      <c r="AJ103" s="118">
        <f>COUNTIF(C102:AG102,"リ")</f>
        <v>19</v>
      </c>
    </row>
    <row r="104" spans="1:36" outlineLevel="1" x14ac:dyDescent="0.45">
      <c r="C104" s="389"/>
      <c r="D104" s="389"/>
      <c r="E104" s="389"/>
      <c r="F104" s="389"/>
      <c r="G104" s="389"/>
      <c r="H104" s="389"/>
      <c r="I104" s="389"/>
      <c r="J104" s="389"/>
      <c r="K104" s="389"/>
      <c r="L104" s="389"/>
      <c r="M104" s="389"/>
      <c r="N104" s="389"/>
      <c r="O104" s="389"/>
      <c r="P104" s="389"/>
      <c r="Q104" s="389"/>
      <c r="S104" s="389"/>
      <c r="T104" s="389"/>
      <c r="U104" s="389"/>
      <c r="V104" s="389"/>
      <c r="W104" s="389"/>
      <c r="X104" s="389"/>
      <c r="Y104" s="389"/>
      <c r="Z104" s="389"/>
      <c r="AA104" s="389"/>
      <c r="AB104" s="389"/>
      <c r="AC104" s="389"/>
      <c r="AD104" s="389"/>
      <c r="AE104" s="389"/>
      <c r="AF104" s="389"/>
      <c r="AG104" s="389"/>
      <c r="AI104" s="113" t="s">
        <v>25</v>
      </c>
      <c r="AJ104" s="119">
        <f>AJ102/(AJ102+AJ103)</f>
        <v>0</v>
      </c>
    </row>
    <row r="105" spans="1:36" outlineLevel="1" x14ac:dyDescent="0.45"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</row>
    <row r="106" spans="1:36" outlineLevel="1" x14ac:dyDescent="0.45">
      <c r="C106" s="389"/>
      <c r="D106" s="389"/>
      <c r="E106" s="389"/>
      <c r="F106" s="389"/>
      <c r="G106" s="389"/>
      <c r="H106" s="389"/>
      <c r="I106" s="389"/>
      <c r="J106" s="389"/>
      <c r="K106" s="389"/>
      <c r="L106" s="389"/>
      <c r="M106" s="389"/>
      <c r="N106" s="389"/>
      <c r="O106" s="389"/>
      <c r="P106" s="389"/>
      <c r="Q106" s="389"/>
      <c r="S106" s="389"/>
      <c r="T106" s="389"/>
      <c r="U106" s="389"/>
      <c r="V106" s="389"/>
      <c r="W106" s="389"/>
      <c r="X106" s="389"/>
      <c r="Y106" s="389"/>
      <c r="Z106" s="389"/>
      <c r="AA106" s="389"/>
      <c r="AB106" s="389"/>
      <c r="AC106" s="389"/>
      <c r="AD106" s="389"/>
      <c r="AE106" s="389"/>
      <c r="AF106" s="389"/>
      <c r="AG106" s="389"/>
    </row>
    <row r="107" spans="1:36" outlineLevel="1" x14ac:dyDescent="0.45">
      <c r="C107" s="389"/>
      <c r="D107" s="389"/>
      <c r="E107" s="389"/>
      <c r="F107" s="389"/>
      <c r="G107" s="389"/>
      <c r="H107" s="389"/>
      <c r="I107" s="389"/>
      <c r="J107" s="389"/>
      <c r="K107" s="389"/>
      <c r="L107" s="389"/>
      <c r="M107" s="389"/>
      <c r="N107" s="389"/>
      <c r="O107" s="389"/>
      <c r="P107" s="389"/>
      <c r="Q107" s="389"/>
      <c r="S107" s="389"/>
      <c r="T107" s="389"/>
      <c r="U107" s="389"/>
      <c r="V107" s="389"/>
      <c r="W107" s="389"/>
      <c r="X107" s="389"/>
      <c r="Y107" s="389"/>
      <c r="Z107" s="389"/>
      <c r="AA107" s="389"/>
      <c r="AB107" s="389"/>
      <c r="AC107" s="389"/>
      <c r="AD107" s="389"/>
      <c r="AE107" s="389"/>
      <c r="AF107" s="389"/>
      <c r="AG107" s="389"/>
    </row>
    <row r="108" spans="1:36" outlineLevel="1" x14ac:dyDescent="0.45"/>
    <row r="109" spans="1:36" x14ac:dyDescent="0.45">
      <c r="C109" s="349">
        <v>46296</v>
      </c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339"/>
      <c r="S109" s="339"/>
      <c r="T109" s="339"/>
      <c r="U109" s="339"/>
      <c r="V109" s="339"/>
      <c r="W109" s="339"/>
      <c r="X109" s="339"/>
      <c r="Y109" s="339"/>
      <c r="Z109" s="339"/>
      <c r="AA109" s="339"/>
      <c r="AB109" s="339"/>
      <c r="AC109" s="339"/>
      <c r="AD109" s="339"/>
      <c r="AE109" s="339"/>
      <c r="AF109" s="339"/>
      <c r="AG109" s="339"/>
    </row>
    <row r="110" spans="1:36" outlineLevel="1" x14ac:dyDescent="0.45">
      <c r="C110" s="113" t="str">
        <f t="shared" ref="C110:AG110" si="18">TEXT(C111,"aaa")</f>
        <v>木</v>
      </c>
      <c r="D110" s="113" t="str">
        <f t="shared" si="18"/>
        <v>金</v>
      </c>
      <c r="E110" s="113" t="str">
        <f t="shared" si="18"/>
        <v>土</v>
      </c>
      <c r="F110" s="113" t="str">
        <f t="shared" si="18"/>
        <v>日</v>
      </c>
      <c r="G110" s="113" t="str">
        <f t="shared" si="18"/>
        <v>月</v>
      </c>
      <c r="H110" s="113" t="str">
        <f t="shared" si="18"/>
        <v>火</v>
      </c>
      <c r="I110" s="113" t="str">
        <f t="shared" si="18"/>
        <v>水</v>
      </c>
      <c r="J110" s="113" t="str">
        <f t="shared" si="18"/>
        <v>木</v>
      </c>
      <c r="K110" s="113" t="str">
        <f t="shared" si="18"/>
        <v>金</v>
      </c>
      <c r="L110" s="113" t="str">
        <f t="shared" si="18"/>
        <v>土</v>
      </c>
      <c r="M110" s="113" t="str">
        <f t="shared" si="18"/>
        <v>日</v>
      </c>
      <c r="N110" s="113" t="str">
        <f t="shared" si="18"/>
        <v>月</v>
      </c>
      <c r="O110" s="113" t="str">
        <f t="shared" si="18"/>
        <v>火</v>
      </c>
      <c r="P110" s="113" t="str">
        <f t="shared" si="18"/>
        <v>水</v>
      </c>
      <c r="Q110" s="113" t="str">
        <f t="shared" si="18"/>
        <v>木</v>
      </c>
      <c r="R110" s="113" t="str">
        <f t="shared" si="18"/>
        <v>金</v>
      </c>
      <c r="S110" s="113" t="str">
        <f t="shared" si="18"/>
        <v>土</v>
      </c>
      <c r="T110" s="113" t="str">
        <f t="shared" si="18"/>
        <v>日</v>
      </c>
      <c r="U110" s="113" t="str">
        <f t="shared" si="18"/>
        <v>月</v>
      </c>
      <c r="V110" s="113" t="str">
        <f t="shared" si="18"/>
        <v>火</v>
      </c>
      <c r="W110" s="113" t="str">
        <f t="shared" si="18"/>
        <v>水</v>
      </c>
      <c r="X110" s="113" t="str">
        <f t="shared" si="18"/>
        <v>木</v>
      </c>
      <c r="Y110" s="113" t="str">
        <f t="shared" si="18"/>
        <v>金</v>
      </c>
      <c r="Z110" s="113" t="str">
        <f t="shared" si="18"/>
        <v>土</v>
      </c>
      <c r="AA110" s="113" t="str">
        <f t="shared" si="18"/>
        <v>日</v>
      </c>
      <c r="AB110" s="113" t="str">
        <f t="shared" si="18"/>
        <v>月</v>
      </c>
      <c r="AC110" s="113" t="str">
        <f t="shared" si="18"/>
        <v>火</v>
      </c>
      <c r="AD110" s="113" t="str">
        <f t="shared" si="18"/>
        <v>水</v>
      </c>
      <c r="AE110" s="113" t="str">
        <f t="shared" si="18"/>
        <v>木</v>
      </c>
      <c r="AF110" s="113" t="str">
        <f t="shared" si="18"/>
        <v>金</v>
      </c>
      <c r="AG110" s="113" t="str">
        <f t="shared" si="18"/>
        <v>土</v>
      </c>
      <c r="AI110" s="112" t="s">
        <v>41</v>
      </c>
      <c r="AJ110" s="117">
        <f>COUNT(C112:AG112)</f>
        <v>21</v>
      </c>
    </row>
    <row r="111" spans="1:36" outlineLevel="1" x14ac:dyDescent="0.45">
      <c r="C111" s="116">
        <f>C109</f>
        <v>46296</v>
      </c>
      <c r="D111" s="116">
        <f t="shared" ref="D111:AG111" si="19">IF(C111="","",IF(C111+1&lt;=EOMONTH($C109,0),C111+1,""))</f>
        <v>46297</v>
      </c>
      <c r="E111" s="116">
        <f t="shared" si="19"/>
        <v>46298</v>
      </c>
      <c r="F111" s="116">
        <f t="shared" si="19"/>
        <v>46299</v>
      </c>
      <c r="G111" s="116">
        <f t="shared" si="19"/>
        <v>46300</v>
      </c>
      <c r="H111" s="116">
        <f t="shared" si="19"/>
        <v>46301</v>
      </c>
      <c r="I111" s="116">
        <f t="shared" si="19"/>
        <v>46302</v>
      </c>
      <c r="J111" s="116">
        <f t="shared" si="19"/>
        <v>46303</v>
      </c>
      <c r="K111" s="116">
        <f t="shared" si="19"/>
        <v>46304</v>
      </c>
      <c r="L111" s="116">
        <f t="shared" si="19"/>
        <v>46305</v>
      </c>
      <c r="M111" s="116">
        <f t="shared" si="19"/>
        <v>46306</v>
      </c>
      <c r="N111" s="116">
        <f t="shared" si="19"/>
        <v>46307</v>
      </c>
      <c r="O111" s="116">
        <f t="shared" si="19"/>
        <v>46308</v>
      </c>
      <c r="P111" s="116">
        <f t="shared" si="19"/>
        <v>46309</v>
      </c>
      <c r="Q111" s="116">
        <f t="shared" si="19"/>
        <v>46310</v>
      </c>
      <c r="R111" s="116">
        <f t="shared" si="19"/>
        <v>46311</v>
      </c>
      <c r="S111" s="116">
        <f t="shared" si="19"/>
        <v>46312</v>
      </c>
      <c r="T111" s="116">
        <f t="shared" si="19"/>
        <v>46313</v>
      </c>
      <c r="U111" s="116">
        <f t="shared" si="19"/>
        <v>46314</v>
      </c>
      <c r="V111" s="116">
        <f t="shared" si="19"/>
        <v>46315</v>
      </c>
      <c r="W111" s="116">
        <f t="shared" si="19"/>
        <v>46316</v>
      </c>
      <c r="X111" s="116">
        <f t="shared" si="19"/>
        <v>46317</v>
      </c>
      <c r="Y111" s="116">
        <f t="shared" si="19"/>
        <v>46318</v>
      </c>
      <c r="Z111" s="116">
        <f t="shared" si="19"/>
        <v>46319</v>
      </c>
      <c r="AA111" s="116">
        <f t="shared" si="19"/>
        <v>46320</v>
      </c>
      <c r="AB111" s="116">
        <f t="shared" si="19"/>
        <v>46321</v>
      </c>
      <c r="AC111" s="116">
        <f t="shared" si="19"/>
        <v>46322</v>
      </c>
      <c r="AD111" s="116">
        <f t="shared" si="19"/>
        <v>46323</v>
      </c>
      <c r="AE111" s="116">
        <f t="shared" si="19"/>
        <v>46324</v>
      </c>
      <c r="AF111" s="116">
        <f t="shared" si="19"/>
        <v>46325</v>
      </c>
      <c r="AG111" s="116">
        <f t="shared" si="19"/>
        <v>46326</v>
      </c>
      <c r="AI111" s="112" t="s">
        <v>42</v>
      </c>
      <c r="AJ111" s="114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12" t="s">
        <v>38</v>
      </c>
      <c r="C112" s="85">
        <v>8</v>
      </c>
      <c r="D112" s="85">
        <v>8</v>
      </c>
      <c r="E112" s="85"/>
      <c r="F112" s="85"/>
      <c r="G112" s="85">
        <v>8</v>
      </c>
      <c r="H112" s="85">
        <v>8</v>
      </c>
      <c r="I112" s="85">
        <v>8</v>
      </c>
      <c r="J112" s="85">
        <v>8</v>
      </c>
      <c r="K112" s="85">
        <v>8</v>
      </c>
      <c r="L112" s="85"/>
      <c r="M112" s="85"/>
      <c r="N112" s="85"/>
      <c r="O112" s="85">
        <v>8</v>
      </c>
      <c r="P112" s="85">
        <v>8</v>
      </c>
      <c r="Q112" s="85">
        <v>8</v>
      </c>
      <c r="R112" s="85">
        <v>8</v>
      </c>
      <c r="S112" s="85"/>
      <c r="T112" s="85"/>
      <c r="U112" s="85">
        <v>8</v>
      </c>
      <c r="V112" s="85">
        <v>8</v>
      </c>
      <c r="W112" s="85">
        <v>8</v>
      </c>
      <c r="X112" s="85">
        <v>8</v>
      </c>
      <c r="Y112" s="85">
        <v>8</v>
      </c>
      <c r="Z112" s="85"/>
      <c r="AA112" s="85"/>
      <c r="AB112" s="85">
        <v>8</v>
      </c>
      <c r="AC112" s="85">
        <v>8</v>
      </c>
      <c r="AD112" s="85">
        <v>8</v>
      </c>
      <c r="AE112" s="85">
        <v>8</v>
      </c>
      <c r="AF112" s="85">
        <v>8</v>
      </c>
      <c r="AG112" s="85"/>
      <c r="AI112" s="113" t="s">
        <v>43</v>
      </c>
      <c r="AJ112" s="118">
        <f>COUNT(C113:AG113)</f>
        <v>21</v>
      </c>
    </row>
    <row r="113" spans="1:36" outlineLevel="1" x14ac:dyDescent="0.45">
      <c r="A113" s="113" t="s">
        <v>39</v>
      </c>
      <c r="C113" s="113">
        <v>8</v>
      </c>
      <c r="D113" s="113">
        <v>8</v>
      </c>
      <c r="E113" s="113"/>
      <c r="F113" s="113"/>
      <c r="G113" s="113">
        <v>8</v>
      </c>
      <c r="H113" s="113">
        <v>8</v>
      </c>
      <c r="I113" s="113">
        <v>8</v>
      </c>
      <c r="J113" s="113">
        <v>8</v>
      </c>
      <c r="K113" s="113">
        <v>8</v>
      </c>
      <c r="L113" s="113"/>
      <c r="M113" s="113"/>
      <c r="N113" s="113"/>
      <c r="O113" s="113">
        <v>8</v>
      </c>
      <c r="P113" s="113">
        <v>8</v>
      </c>
      <c r="Q113" s="113">
        <v>8</v>
      </c>
      <c r="R113" s="113">
        <v>8</v>
      </c>
      <c r="S113" s="113"/>
      <c r="T113" s="113"/>
      <c r="U113" s="113">
        <v>8</v>
      </c>
      <c r="V113" s="113">
        <v>8</v>
      </c>
      <c r="W113" s="113">
        <v>8</v>
      </c>
      <c r="X113" s="113">
        <v>8</v>
      </c>
      <c r="Y113" s="113">
        <v>8</v>
      </c>
      <c r="Z113" s="113"/>
      <c r="AA113" s="113"/>
      <c r="AB113" s="113">
        <v>8</v>
      </c>
      <c r="AC113" s="113">
        <v>8</v>
      </c>
      <c r="AD113" s="113">
        <v>8</v>
      </c>
      <c r="AE113" s="113">
        <v>8</v>
      </c>
      <c r="AF113" s="113">
        <v>8</v>
      </c>
      <c r="AG113" s="113"/>
      <c r="AI113" s="113" t="s">
        <v>44</v>
      </c>
      <c r="AJ113" s="115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13" t="s">
        <v>37</v>
      </c>
      <c r="C114" s="113" t="s">
        <v>22</v>
      </c>
      <c r="D114" s="113" t="s">
        <v>22</v>
      </c>
      <c r="E114" s="113"/>
      <c r="F114" s="113"/>
      <c r="G114" s="113" t="s">
        <v>22</v>
      </c>
      <c r="H114" s="113" t="s">
        <v>22</v>
      </c>
      <c r="I114" s="113" t="s">
        <v>22</v>
      </c>
      <c r="J114" s="113" t="s">
        <v>22</v>
      </c>
      <c r="K114" s="113" t="s">
        <v>22</v>
      </c>
      <c r="L114" s="113"/>
      <c r="M114" s="113"/>
      <c r="N114" s="113"/>
      <c r="O114" s="113" t="s">
        <v>22</v>
      </c>
      <c r="P114" s="113" t="s">
        <v>22</v>
      </c>
      <c r="Q114" s="113" t="s">
        <v>22</v>
      </c>
      <c r="R114" s="113" t="s">
        <v>22</v>
      </c>
      <c r="S114" s="113"/>
      <c r="T114" s="113"/>
      <c r="U114" s="113" t="s">
        <v>22</v>
      </c>
      <c r="V114" s="113" t="s">
        <v>22</v>
      </c>
      <c r="W114" s="113" t="s">
        <v>22</v>
      </c>
      <c r="X114" s="113" t="s">
        <v>22</v>
      </c>
      <c r="Y114" s="113" t="s">
        <v>22</v>
      </c>
      <c r="Z114" s="113"/>
      <c r="AA114" s="113"/>
      <c r="AB114" s="113" t="s">
        <v>22</v>
      </c>
      <c r="AC114" s="113" t="s">
        <v>22</v>
      </c>
      <c r="AD114" s="113" t="s">
        <v>22</v>
      </c>
      <c r="AE114" s="113" t="s">
        <v>22</v>
      </c>
      <c r="AF114" s="113" t="s">
        <v>22</v>
      </c>
      <c r="AG114" s="113"/>
      <c r="AI114" s="113" t="s">
        <v>45</v>
      </c>
      <c r="AJ114" s="118">
        <f>COUNTIF(C114:AG114,"出")</f>
        <v>0</v>
      </c>
    </row>
    <row r="115" spans="1:36" outlineLevel="1" x14ac:dyDescent="0.45">
      <c r="A115" s="113" t="s">
        <v>40</v>
      </c>
      <c r="C115" s="389"/>
      <c r="D115" s="389"/>
      <c r="E115" s="389"/>
      <c r="F115" s="389"/>
      <c r="G115" s="389"/>
      <c r="H115" s="389"/>
      <c r="I115" s="389"/>
      <c r="J115" s="389"/>
      <c r="K115" s="389"/>
      <c r="L115" s="389"/>
      <c r="M115" s="389"/>
      <c r="N115" s="389"/>
      <c r="O115" s="389"/>
      <c r="P115" s="389"/>
      <c r="Q115" s="389"/>
      <c r="S115" s="389"/>
      <c r="T115" s="389"/>
      <c r="U115" s="389"/>
      <c r="V115" s="389"/>
      <c r="W115" s="389"/>
      <c r="X115" s="389"/>
      <c r="Y115" s="389"/>
      <c r="Z115" s="389"/>
      <c r="AA115" s="389"/>
      <c r="AB115" s="389"/>
      <c r="AC115" s="389"/>
      <c r="AD115" s="389"/>
      <c r="AE115" s="389"/>
      <c r="AF115" s="389"/>
      <c r="AG115" s="389"/>
      <c r="AI115" s="113" t="s">
        <v>46</v>
      </c>
      <c r="AJ115" s="118">
        <f>COUNTIF(C114:AG114,"リ")</f>
        <v>21</v>
      </c>
    </row>
    <row r="116" spans="1:36" outlineLevel="1" x14ac:dyDescent="0.45">
      <c r="C116" s="389"/>
      <c r="D116" s="389"/>
      <c r="E116" s="389"/>
      <c r="F116" s="389"/>
      <c r="G116" s="389"/>
      <c r="H116" s="389"/>
      <c r="I116" s="389"/>
      <c r="J116" s="389"/>
      <c r="K116" s="389"/>
      <c r="L116" s="389"/>
      <c r="M116" s="389"/>
      <c r="N116" s="389"/>
      <c r="O116" s="389"/>
      <c r="P116" s="389"/>
      <c r="Q116" s="389"/>
      <c r="S116" s="389"/>
      <c r="T116" s="389"/>
      <c r="U116" s="389"/>
      <c r="V116" s="389"/>
      <c r="W116" s="389"/>
      <c r="X116" s="389"/>
      <c r="Y116" s="389"/>
      <c r="Z116" s="389"/>
      <c r="AA116" s="389"/>
      <c r="AB116" s="389"/>
      <c r="AC116" s="389"/>
      <c r="AD116" s="389"/>
      <c r="AE116" s="389"/>
      <c r="AF116" s="389"/>
      <c r="AG116" s="389"/>
      <c r="AI116" s="113" t="s">
        <v>25</v>
      </c>
      <c r="AJ116" s="119">
        <f>AJ114/(AJ114+AJ115)</f>
        <v>0</v>
      </c>
    </row>
    <row r="117" spans="1:36" outlineLevel="1" x14ac:dyDescent="0.45">
      <c r="C117" s="389"/>
      <c r="D117" s="389"/>
      <c r="E117" s="389"/>
      <c r="F117" s="389"/>
      <c r="G117" s="389"/>
      <c r="H117" s="389"/>
      <c r="I117" s="389"/>
      <c r="J117" s="389"/>
      <c r="K117" s="389"/>
      <c r="L117" s="389"/>
      <c r="M117" s="389"/>
      <c r="N117" s="389"/>
      <c r="O117" s="389"/>
      <c r="P117" s="389"/>
      <c r="Q117" s="389"/>
      <c r="S117" s="389"/>
      <c r="T117" s="389"/>
      <c r="U117" s="389"/>
      <c r="V117" s="389"/>
      <c r="W117" s="389"/>
      <c r="X117" s="389"/>
      <c r="Y117" s="389"/>
      <c r="Z117" s="389"/>
      <c r="AA117" s="389"/>
      <c r="AB117" s="389"/>
      <c r="AC117" s="389"/>
      <c r="AD117" s="389"/>
      <c r="AE117" s="389"/>
      <c r="AF117" s="389"/>
      <c r="AG117" s="389"/>
    </row>
    <row r="118" spans="1:36" outlineLevel="1" x14ac:dyDescent="0.45">
      <c r="C118" s="389"/>
      <c r="D118" s="389"/>
      <c r="E118" s="389"/>
      <c r="F118" s="389"/>
      <c r="G118" s="389"/>
      <c r="H118" s="389"/>
      <c r="I118" s="389"/>
      <c r="J118" s="389"/>
      <c r="K118" s="389"/>
      <c r="L118" s="389"/>
      <c r="M118" s="389"/>
      <c r="N118" s="389"/>
      <c r="O118" s="389"/>
      <c r="P118" s="389"/>
      <c r="Q118" s="389"/>
      <c r="S118" s="389"/>
      <c r="T118" s="389"/>
      <c r="U118" s="389"/>
      <c r="V118" s="389"/>
      <c r="W118" s="389"/>
      <c r="X118" s="389"/>
      <c r="Y118" s="389"/>
      <c r="Z118" s="389"/>
      <c r="AA118" s="389"/>
      <c r="AB118" s="389"/>
      <c r="AC118" s="389"/>
      <c r="AD118" s="389"/>
      <c r="AE118" s="389"/>
      <c r="AF118" s="389"/>
      <c r="AG118" s="389"/>
    </row>
    <row r="119" spans="1:36" outlineLevel="1" x14ac:dyDescent="0.45">
      <c r="C119" s="389"/>
      <c r="D119" s="389"/>
      <c r="E119" s="389"/>
      <c r="F119" s="389"/>
      <c r="G119" s="389"/>
      <c r="H119" s="389"/>
      <c r="I119" s="389"/>
      <c r="J119" s="389"/>
      <c r="K119" s="389"/>
      <c r="L119" s="389"/>
      <c r="M119" s="389"/>
      <c r="N119" s="389"/>
      <c r="O119" s="389"/>
      <c r="P119" s="389"/>
      <c r="Q119" s="389"/>
      <c r="S119" s="389"/>
      <c r="T119" s="389"/>
      <c r="U119" s="389"/>
      <c r="V119" s="389"/>
      <c r="W119" s="389"/>
      <c r="X119" s="389"/>
      <c r="Y119" s="389"/>
      <c r="Z119" s="389"/>
      <c r="AA119" s="389"/>
      <c r="AB119" s="389"/>
      <c r="AC119" s="389"/>
      <c r="AD119" s="389"/>
      <c r="AE119" s="389"/>
      <c r="AF119" s="389"/>
      <c r="AG119" s="389"/>
    </row>
    <row r="120" spans="1:36" outlineLevel="1" x14ac:dyDescent="0.45"/>
    <row r="121" spans="1:36" x14ac:dyDescent="0.45">
      <c r="C121" s="349">
        <v>46327</v>
      </c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/>
      <c r="W121" s="339"/>
      <c r="X121" s="339"/>
      <c r="Y121" s="339"/>
      <c r="Z121" s="339"/>
      <c r="AA121" s="339"/>
      <c r="AB121" s="339"/>
      <c r="AC121" s="339"/>
      <c r="AD121" s="339"/>
      <c r="AE121" s="339"/>
      <c r="AF121" s="339"/>
      <c r="AG121" s="339"/>
    </row>
    <row r="122" spans="1:36" outlineLevel="1" x14ac:dyDescent="0.45">
      <c r="C122" s="113" t="str">
        <f t="shared" ref="C122:AG122" si="20">TEXT(C123,"aaa")</f>
        <v>日</v>
      </c>
      <c r="D122" s="113" t="str">
        <f t="shared" si="20"/>
        <v>月</v>
      </c>
      <c r="E122" s="113" t="str">
        <f t="shared" si="20"/>
        <v>火</v>
      </c>
      <c r="F122" s="113" t="str">
        <f t="shared" si="20"/>
        <v>水</v>
      </c>
      <c r="G122" s="113" t="str">
        <f t="shared" si="20"/>
        <v>木</v>
      </c>
      <c r="H122" s="113" t="str">
        <f t="shared" si="20"/>
        <v>金</v>
      </c>
      <c r="I122" s="113" t="str">
        <f t="shared" si="20"/>
        <v>土</v>
      </c>
      <c r="J122" s="113" t="str">
        <f t="shared" si="20"/>
        <v>日</v>
      </c>
      <c r="K122" s="113" t="str">
        <f t="shared" si="20"/>
        <v>月</v>
      </c>
      <c r="L122" s="113" t="str">
        <f t="shared" si="20"/>
        <v>火</v>
      </c>
      <c r="M122" s="113" t="str">
        <f t="shared" si="20"/>
        <v>水</v>
      </c>
      <c r="N122" s="113" t="str">
        <f t="shared" si="20"/>
        <v>木</v>
      </c>
      <c r="O122" s="113" t="str">
        <f t="shared" si="20"/>
        <v>金</v>
      </c>
      <c r="P122" s="113" t="str">
        <f t="shared" si="20"/>
        <v>土</v>
      </c>
      <c r="Q122" s="113" t="str">
        <f t="shared" si="20"/>
        <v>日</v>
      </c>
      <c r="R122" s="113" t="str">
        <f t="shared" si="20"/>
        <v>月</v>
      </c>
      <c r="S122" s="113" t="str">
        <f t="shared" si="20"/>
        <v>火</v>
      </c>
      <c r="T122" s="113" t="str">
        <f t="shared" si="20"/>
        <v>水</v>
      </c>
      <c r="U122" s="113" t="str">
        <f t="shared" si="20"/>
        <v>木</v>
      </c>
      <c r="V122" s="113" t="str">
        <f t="shared" si="20"/>
        <v>金</v>
      </c>
      <c r="W122" s="113" t="str">
        <f t="shared" si="20"/>
        <v>土</v>
      </c>
      <c r="X122" s="113" t="str">
        <f t="shared" si="20"/>
        <v>日</v>
      </c>
      <c r="Y122" s="113" t="str">
        <f t="shared" si="20"/>
        <v>月</v>
      </c>
      <c r="Z122" s="113" t="str">
        <f t="shared" si="20"/>
        <v>火</v>
      </c>
      <c r="AA122" s="113" t="str">
        <f t="shared" si="20"/>
        <v>水</v>
      </c>
      <c r="AB122" s="113" t="str">
        <f t="shared" si="20"/>
        <v>木</v>
      </c>
      <c r="AC122" s="113" t="str">
        <f t="shared" si="20"/>
        <v>金</v>
      </c>
      <c r="AD122" s="113" t="str">
        <f t="shared" si="20"/>
        <v>土</v>
      </c>
      <c r="AE122" s="113" t="str">
        <f t="shared" si="20"/>
        <v>日</v>
      </c>
      <c r="AF122" s="113" t="str">
        <f t="shared" si="20"/>
        <v>月</v>
      </c>
      <c r="AG122" s="113" t="str">
        <f t="shared" si="20"/>
        <v/>
      </c>
      <c r="AI122" s="112" t="s">
        <v>41</v>
      </c>
      <c r="AJ122" s="117">
        <f>COUNT(C124:AG124)</f>
        <v>19</v>
      </c>
    </row>
    <row r="123" spans="1:36" outlineLevel="1" x14ac:dyDescent="0.45">
      <c r="C123" s="116">
        <f>C121</f>
        <v>46327</v>
      </c>
      <c r="D123" s="116">
        <f t="shared" ref="D123:AG123" si="21">IF(C123="","",IF(C123+1&lt;=EOMONTH($C121,0),C123+1,""))</f>
        <v>46328</v>
      </c>
      <c r="E123" s="116">
        <f t="shared" si="21"/>
        <v>46329</v>
      </c>
      <c r="F123" s="116">
        <f t="shared" si="21"/>
        <v>46330</v>
      </c>
      <c r="G123" s="116">
        <f t="shared" si="21"/>
        <v>46331</v>
      </c>
      <c r="H123" s="116">
        <f t="shared" si="21"/>
        <v>46332</v>
      </c>
      <c r="I123" s="116">
        <f t="shared" si="21"/>
        <v>46333</v>
      </c>
      <c r="J123" s="116">
        <f t="shared" si="21"/>
        <v>46334</v>
      </c>
      <c r="K123" s="116">
        <f t="shared" si="21"/>
        <v>46335</v>
      </c>
      <c r="L123" s="116">
        <f t="shared" si="21"/>
        <v>46336</v>
      </c>
      <c r="M123" s="116">
        <f t="shared" si="21"/>
        <v>46337</v>
      </c>
      <c r="N123" s="116">
        <f t="shared" si="21"/>
        <v>46338</v>
      </c>
      <c r="O123" s="116">
        <f t="shared" si="21"/>
        <v>46339</v>
      </c>
      <c r="P123" s="116">
        <f t="shared" si="21"/>
        <v>46340</v>
      </c>
      <c r="Q123" s="116">
        <f t="shared" si="21"/>
        <v>46341</v>
      </c>
      <c r="R123" s="116">
        <f t="shared" si="21"/>
        <v>46342</v>
      </c>
      <c r="S123" s="116">
        <f t="shared" si="21"/>
        <v>46343</v>
      </c>
      <c r="T123" s="116">
        <f t="shared" si="21"/>
        <v>46344</v>
      </c>
      <c r="U123" s="116">
        <f t="shared" si="21"/>
        <v>46345</v>
      </c>
      <c r="V123" s="116">
        <f t="shared" si="21"/>
        <v>46346</v>
      </c>
      <c r="W123" s="116">
        <f t="shared" si="21"/>
        <v>46347</v>
      </c>
      <c r="X123" s="116">
        <f t="shared" si="21"/>
        <v>46348</v>
      </c>
      <c r="Y123" s="116">
        <f t="shared" si="21"/>
        <v>46349</v>
      </c>
      <c r="Z123" s="116">
        <f t="shared" si="21"/>
        <v>46350</v>
      </c>
      <c r="AA123" s="116">
        <f t="shared" si="21"/>
        <v>46351</v>
      </c>
      <c r="AB123" s="116">
        <f t="shared" si="21"/>
        <v>46352</v>
      </c>
      <c r="AC123" s="116">
        <f t="shared" si="21"/>
        <v>46353</v>
      </c>
      <c r="AD123" s="116">
        <f t="shared" si="21"/>
        <v>46354</v>
      </c>
      <c r="AE123" s="116">
        <f t="shared" si="21"/>
        <v>46355</v>
      </c>
      <c r="AF123" s="116">
        <f t="shared" si="21"/>
        <v>46356</v>
      </c>
      <c r="AG123" s="116" t="str">
        <f t="shared" si="21"/>
        <v/>
      </c>
      <c r="AI123" s="112" t="s">
        <v>42</v>
      </c>
      <c r="AJ123" s="114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12" t="s">
        <v>38</v>
      </c>
      <c r="C124" s="85"/>
      <c r="D124" s="85">
        <v>8</v>
      </c>
      <c r="E124" s="85"/>
      <c r="F124" s="85">
        <v>8</v>
      </c>
      <c r="G124" s="85">
        <v>8</v>
      </c>
      <c r="H124" s="85">
        <v>8</v>
      </c>
      <c r="I124" s="85"/>
      <c r="J124" s="85"/>
      <c r="K124" s="85">
        <v>8</v>
      </c>
      <c r="L124" s="85">
        <v>8</v>
      </c>
      <c r="M124" s="85">
        <v>8</v>
      </c>
      <c r="N124" s="85">
        <v>8</v>
      </c>
      <c r="O124" s="85">
        <v>8</v>
      </c>
      <c r="P124" s="85"/>
      <c r="Q124" s="85"/>
      <c r="R124" s="85">
        <v>8</v>
      </c>
      <c r="S124" s="85">
        <v>8</v>
      </c>
      <c r="T124" s="85">
        <v>8</v>
      </c>
      <c r="U124" s="85">
        <v>8</v>
      </c>
      <c r="V124" s="85">
        <v>8</v>
      </c>
      <c r="W124" s="85"/>
      <c r="X124" s="85"/>
      <c r="Y124" s="85"/>
      <c r="Z124" s="85">
        <v>8</v>
      </c>
      <c r="AA124" s="85">
        <v>8</v>
      </c>
      <c r="AB124" s="85">
        <v>8</v>
      </c>
      <c r="AC124" s="85">
        <v>8</v>
      </c>
      <c r="AD124" s="85"/>
      <c r="AE124" s="85"/>
      <c r="AF124" s="85">
        <v>8</v>
      </c>
      <c r="AG124" s="85"/>
      <c r="AI124" s="113" t="s">
        <v>43</v>
      </c>
      <c r="AJ124" s="118">
        <f>COUNT(C125:AG125)</f>
        <v>19</v>
      </c>
    </row>
    <row r="125" spans="1:36" outlineLevel="1" x14ac:dyDescent="0.45">
      <c r="A125" s="113" t="s">
        <v>39</v>
      </c>
      <c r="C125" s="113"/>
      <c r="D125" s="113">
        <v>8</v>
      </c>
      <c r="E125" s="113"/>
      <c r="F125" s="113">
        <v>8</v>
      </c>
      <c r="G125" s="113">
        <v>8</v>
      </c>
      <c r="H125" s="113">
        <v>8</v>
      </c>
      <c r="I125" s="113"/>
      <c r="J125" s="113"/>
      <c r="K125" s="113">
        <v>8</v>
      </c>
      <c r="L125" s="113">
        <v>8</v>
      </c>
      <c r="M125" s="113">
        <v>8</v>
      </c>
      <c r="N125" s="113">
        <v>8</v>
      </c>
      <c r="O125" s="113">
        <v>8</v>
      </c>
      <c r="P125" s="113"/>
      <c r="Q125" s="113"/>
      <c r="R125" s="113">
        <v>8</v>
      </c>
      <c r="S125" s="113">
        <v>8</v>
      </c>
      <c r="T125" s="113">
        <v>8</v>
      </c>
      <c r="U125" s="113">
        <v>8</v>
      </c>
      <c r="V125" s="113">
        <v>8</v>
      </c>
      <c r="W125" s="113"/>
      <c r="X125" s="113"/>
      <c r="Y125" s="113"/>
      <c r="Z125" s="113">
        <v>8</v>
      </c>
      <c r="AA125" s="113">
        <v>8</v>
      </c>
      <c r="AB125" s="113">
        <v>8</v>
      </c>
      <c r="AC125" s="113">
        <v>8</v>
      </c>
      <c r="AD125" s="113"/>
      <c r="AE125" s="113"/>
      <c r="AF125" s="113">
        <v>8</v>
      </c>
      <c r="AG125" s="113"/>
      <c r="AI125" s="113" t="s">
        <v>44</v>
      </c>
      <c r="AJ125" s="115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13" t="s">
        <v>37</v>
      </c>
      <c r="C126" s="113"/>
      <c r="D126" s="113" t="s">
        <v>22</v>
      </c>
      <c r="E126" s="113"/>
      <c r="F126" s="113" t="s">
        <v>22</v>
      </c>
      <c r="G126" s="113" t="s">
        <v>22</v>
      </c>
      <c r="H126" s="113" t="s">
        <v>22</v>
      </c>
      <c r="I126" s="113"/>
      <c r="J126" s="113"/>
      <c r="K126" s="113" t="s">
        <v>22</v>
      </c>
      <c r="L126" s="113" t="s">
        <v>22</v>
      </c>
      <c r="M126" s="113" t="s">
        <v>22</v>
      </c>
      <c r="N126" s="113" t="s">
        <v>22</v>
      </c>
      <c r="O126" s="113" t="s">
        <v>22</v>
      </c>
      <c r="P126" s="113"/>
      <c r="Q126" s="113"/>
      <c r="R126" s="113" t="s">
        <v>22</v>
      </c>
      <c r="S126" s="113" t="s">
        <v>22</v>
      </c>
      <c r="T126" s="113" t="s">
        <v>22</v>
      </c>
      <c r="U126" s="113" t="s">
        <v>22</v>
      </c>
      <c r="V126" s="113" t="s">
        <v>22</v>
      </c>
      <c r="W126" s="113"/>
      <c r="X126" s="113"/>
      <c r="Y126" s="113"/>
      <c r="Z126" s="113" t="s">
        <v>22</v>
      </c>
      <c r="AA126" s="113" t="s">
        <v>22</v>
      </c>
      <c r="AB126" s="113" t="s">
        <v>22</v>
      </c>
      <c r="AC126" s="113" t="s">
        <v>22</v>
      </c>
      <c r="AD126" s="113"/>
      <c r="AE126" s="113"/>
      <c r="AF126" s="113" t="s">
        <v>22</v>
      </c>
      <c r="AG126" s="113"/>
      <c r="AI126" s="113" t="s">
        <v>45</v>
      </c>
      <c r="AJ126" s="118">
        <f>COUNTIF(C126:AG126,"出")</f>
        <v>0</v>
      </c>
    </row>
    <row r="127" spans="1:36" outlineLevel="1" x14ac:dyDescent="0.45">
      <c r="A127" s="113" t="s">
        <v>40</v>
      </c>
      <c r="C127" s="389"/>
      <c r="D127" s="389"/>
      <c r="E127" s="389"/>
      <c r="F127" s="389"/>
      <c r="G127" s="389"/>
      <c r="H127" s="389"/>
      <c r="I127" s="389"/>
      <c r="J127" s="389"/>
      <c r="K127" s="389"/>
      <c r="L127" s="389"/>
      <c r="M127" s="389"/>
      <c r="N127" s="389"/>
      <c r="O127" s="389"/>
      <c r="P127" s="389"/>
      <c r="Q127" s="389"/>
      <c r="S127" s="389"/>
      <c r="T127" s="389"/>
      <c r="U127" s="389"/>
      <c r="V127" s="389"/>
      <c r="W127" s="389"/>
      <c r="X127" s="389"/>
      <c r="Y127" s="389"/>
      <c r="Z127" s="389"/>
      <c r="AA127" s="389"/>
      <c r="AB127" s="389"/>
      <c r="AC127" s="389"/>
      <c r="AD127" s="389"/>
      <c r="AE127" s="389"/>
      <c r="AF127" s="389"/>
      <c r="AG127" s="389"/>
      <c r="AI127" s="113" t="s">
        <v>46</v>
      </c>
      <c r="AJ127" s="118">
        <f>COUNTIF(C126:AG126,"リ")</f>
        <v>19</v>
      </c>
    </row>
    <row r="128" spans="1:36" outlineLevel="1" x14ac:dyDescent="0.45">
      <c r="C128" s="389"/>
      <c r="D128" s="389"/>
      <c r="E128" s="389"/>
      <c r="F128" s="389"/>
      <c r="G128" s="389"/>
      <c r="H128" s="389"/>
      <c r="I128" s="389"/>
      <c r="J128" s="389"/>
      <c r="K128" s="389"/>
      <c r="L128" s="389"/>
      <c r="M128" s="389"/>
      <c r="N128" s="389"/>
      <c r="O128" s="389"/>
      <c r="P128" s="389"/>
      <c r="Q128" s="389"/>
      <c r="S128" s="389"/>
      <c r="T128" s="389"/>
      <c r="U128" s="389"/>
      <c r="V128" s="389"/>
      <c r="W128" s="389"/>
      <c r="X128" s="389"/>
      <c r="Y128" s="389"/>
      <c r="Z128" s="389"/>
      <c r="AA128" s="389"/>
      <c r="AB128" s="389"/>
      <c r="AC128" s="389"/>
      <c r="AD128" s="389"/>
      <c r="AE128" s="389"/>
      <c r="AF128" s="389"/>
      <c r="AG128" s="389"/>
      <c r="AI128" s="113" t="s">
        <v>25</v>
      </c>
      <c r="AJ128" s="119">
        <f>AJ126/(AJ126+AJ127)</f>
        <v>0</v>
      </c>
    </row>
    <row r="129" spans="1:36" outlineLevel="1" x14ac:dyDescent="0.45">
      <c r="C129" s="389"/>
      <c r="D129" s="389"/>
      <c r="E129" s="389"/>
      <c r="F129" s="389"/>
      <c r="G129" s="389"/>
      <c r="H129" s="389"/>
      <c r="I129" s="389"/>
      <c r="J129" s="389"/>
      <c r="K129" s="389"/>
      <c r="L129" s="389"/>
      <c r="M129" s="389"/>
      <c r="N129" s="389"/>
      <c r="O129" s="389"/>
      <c r="P129" s="389"/>
      <c r="Q129" s="389"/>
      <c r="S129" s="389"/>
      <c r="T129" s="389"/>
      <c r="U129" s="389"/>
      <c r="V129" s="389"/>
      <c r="W129" s="389"/>
      <c r="X129" s="389"/>
      <c r="Y129" s="389"/>
      <c r="Z129" s="389"/>
      <c r="AA129" s="389"/>
      <c r="AB129" s="389"/>
      <c r="AC129" s="389"/>
      <c r="AD129" s="389"/>
      <c r="AE129" s="389"/>
      <c r="AF129" s="389"/>
      <c r="AG129" s="389"/>
    </row>
    <row r="130" spans="1:36" outlineLevel="1" x14ac:dyDescent="0.45">
      <c r="C130" s="389"/>
      <c r="D130" s="389"/>
      <c r="E130" s="389"/>
      <c r="F130" s="389"/>
      <c r="G130" s="389"/>
      <c r="H130" s="389"/>
      <c r="I130" s="389"/>
      <c r="J130" s="389"/>
      <c r="K130" s="389"/>
      <c r="L130" s="389"/>
      <c r="M130" s="389"/>
      <c r="N130" s="389"/>
      <c r="O130" s="389"/>
      <c r="P130" s="389"/>
      <c r="Q130" s="389"/>
      <c r="S130" s="389"/>
      <c r="T130" s="389"/>
      <c r="U130" s="389"/>
      <c r="V130" s="389"/>
      <c r="W130" s="389"/>
      <c r="X130" s="389"/>
      <c r="Y130" s="389"/>
      <c r="Z130" s="389"/>
      <c r="AA130" s="389"/>
      <c r="AB130" s="389"/>
      <c r="AC130" s="389"/>
      <c r="AD130" s="389"/>
      <c r="AE130" s="389"/>
      <c r="AF130" s="389"/>
      <c r="AG130" s="389"/>
    </row>
    <row r="131" spans="1:36" outlineLevel="1" x14ac:dyDescent="0.45">
      <c r="C131" s="389"/>
      <c r="D131" s="389"/>
      <c r="E131" s="389"/>
      <c r="F131" s="389"/>
      <c r="G131" s="389"/>
      <c r="H131" s="389"/>
      <c r="I131" s="389"/>
      <c r="J131" s="389"/>
      <c r="K131" s="389"/>
      <c r="L131" s="389"/>
      <c r="M131" s="389"/>
      <c r="N131" s="389"/>
      <c r="O131" s="389"/>
      <c r="P131" s="389"/>
      <c r="Q131" s="389"/>
      <c r="S131" s="389"/>
      <c r="T131" s="389"/>
      <c r="U131" s="389"/>
      <c r="V131" s="389"/>
      <c r="W131" s="389"/>
      <c r="X131" s="389"/>
      <c r="Y131" s="389"/>
      <c r="Z131" s="389"/>
      <c r="AA131" s="389"/>
      <c r="AB131" s="389"/>
      <c r="AC131" s="389"/>
      <c r="AD131" s="389"/>
      <c r="AE131" s="389"/>
      <c r="AF131" s="389"/>
      <c r="AG131" s="389"/>
    </row>
    <row r="132" spans="1:36" outlineLevel="1" x14ac:dyDescent="0.45"/>
    <row r="133" spans="1:36" x14ac:dyDescent="0.45">
      <c r="C133" s="349">
        <v>46357</v>
      </c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9"/>
      <c r="W133" s="339"/>
      <c r="X133" s="339"/>
      <c r="Y133" s="339"/>
      <c r="Z133" s="339"/>
      <c r="AA133" s="339"/>
      <c r="AB133" s="339"/>
      <c r="AC133" s="339"/>
      <c r="AD133" s="339"/>
      <c r="AE133" s="339"/>
      <c r="AF133" s="339"/>
      <c r="AG133" s="339"/>
    </row>
    <row r="134" spans="1:36" outlineLevel="1" x14ac:dyDescent="0.45">
      <c r="C134" s="113" t="str">
        <f t="shared" ref="C134:AG134" si="22">TEXT(C135,"aaa")</f>
        <v>火</v>
      </c>
      <c r="D134" s="113" t="str">
        <f t="shared" si="22"/>
        <v>水</v>
      </c>
      <c r="E134" s="113" t="str">
        <f t="shared" si="22"/>
        <v>木</v>
      </c>
      <c r="F134" s="113" t="str">
        <f t="shared" si="22"/>
        <v>金</v>
      </c>
      <c r="G134" s="113" t="str">
        <f t="shared" si="22"/>
        <v>土</v>
      </c>
      <c r="H134" s="113" t="str">
        <f t="shared" si="22"/>
        <v>日</v>
      </c>
      <c r="I134" s="113" t="str">
        <f t="shared" si="22"/>
        <v>月</v>
      </c>
      <c r="J134" s="113" t="str">
        <f t="shared" si="22"/>
        <v>火</v>
      </c>
      <c r="K134" s="113" t="str">
        <f t="shared" si="22"/>
        <v>水</v>
      </c>
      <c r="L134" s="113" t="str">
        <f t="shared" si="22"/>
        <v>木</v>
      </c>
      <c r="M134" s="113" t="str">
        <f t="shared" si="22"/>
        <v>金</v>
      </c>
      <c r="N134" s="113" t="str">
        <f t="shared" si="22"/>
        <v>土</v>
      </c>
      <c r="O134" s="113" t="str">
        <f t="shared" si="22"/>
        <v>日</v>
      </c>
      <c r="P134" s="113" t="str">
        <f t="shared" si="22"/>
        <v>月</v>
      </c>
      <c r="Q134" s="113" t="str">
        <f t="shared" si="22"/>
        <v>火</v>
      </c>
      <c r="R134" s="113" t="str">
        <f t="shared" si="22"/>
        <v>水</v>
      </c>
      <c r="S134" s="113" t="str">
        <f t="shared" si="22"/>
        <v>木</v>
      </c>
      <c r="T134" s="113" t="str">
        <f t="shared" si="22"/>
        <v>金</v>
      </c>
      <c r="U134" s="113" t="str">
        <f t="shared" si="22"/>
        <v>土</v>
      </c>
      <c r="V134" s="113" t="str">
        <f t="shared" si="22"/>
        <v>日</v>
      </c>
      <c r="W134" s="113" t="str">
        <f t="shared" si="22"/>
        <v>月</v>
      </c>
      <c r="X134" s="113" t="str">
        <f t="shared" si="22"/>
        <v>火</v>
      </c>
      <c r="Y134" s="113" t="str">
        <f t="shared" si="22"/>
        <v>水</v>
      </c>
      <c r="Z134" s="113" t="str">
        <f t="shared" si="22"/>
        <v>木</v>
      </c>
      <c r="AA134" s="113" t="str">
        <f t="shared" si="22"/>
        <v>金</v>
      </c>
      <c r="AB134" s="113" t="str">
        <f t="shared" si="22"/>
        <v>土</v>
      </c>
      <c r="AC134" s="113" t="str">
        <f t="shared" si="22"/>
        <v>日</v>
      </c>
      <c r="AD134" s="113" t="str">
        <f t="shared" si="22"/>
        <v>月</v>
      </c>
      <c r="AE134" s="113" t="str">
        <f t="shared" si="22"/>
        <v>火</v>
      </c>
      <c r="AF134" s="113" t="str">
        <f t="shared" si="22"/>
        <v>水</v>
      </c>
      <c r="AG134" s="113" t="str">
        <f t="shared" si="22"/>
        <v>木</v>
      </c>
      <c r="AI134" s="112" t="s">
        <v>41</v>
      </c>
      <c r="AJ134" s="117">
        <f>COUNT(C136:AG136)</f>
        <v>20</v>
      </c>
    </row>
    <row r="135" spans="1:36" outlineLevel="1" x14ac:dyDescent="0.45">
      <c r="C135" s="116">
        <f>C133</f>
        <v>46357</v>
      </c>
      <c r="D135" s="116">
        <f t="shared" ref="D135:AG135" si="23">IF(C135="","",IF(C135+1&lt;=EOMONTH($C133,0),C135+1,""))</f>
        <v>46358</v>
      </c>
      <c r="E135" s="116">
        <f t="shared" si="23"/>
        <v>46359</v>
      </c>
      <c r="F135" s="116">
        <f t="shared" si="23"/>
        <v>46360</v>
      </c>
      <c r="G135" s="116">
        <f t="shared" si="23"/>
        <v>46361</v>
      </c>
      <c r="H135" s="116">
        <f t="shared" si="23"/>
        <v>46362</v>
      </c>
      <c r="I135" s="116">
        <f t="shared" si="23"/>
        <v>46363</v>
      </c>
      <c r="J135" s="116">
        <f t="shared" si="23"/>
        <v>46364</v>
      </c>
      <c r="K135" s="116">
        <f t="shared" si="23"/>
        <v>46365</v>
      </c>
      <c r="L135" s="116">
        <f t="shared" si="23"/>
        <v>46366</v>
      </c>
      <c r="M135" s="116">
        <f t="shared" si="23"/>
        <v>46367</v>
      </c>
      <c r="N135" s="116">
        <f t="shared" si="23"/>
        <v>46368</v>
      </c>
      <c r="O135" s="116">
        <f t="shared" si="23"/>
        <v>46369</v>
      </c>
      <c r="P135" s="116">
        <f t="shared" si="23"/>
        <v>46370</v>
      </c>
      <c r="Q135" s="116">
        <f t="shared" si="23"/>
        <v>46371</v>
      </c>
      <c r="R135" s="116">
        <f t="shared" si="23"/>
        <v>46372</v>
      </c>
      <c r="S135" s="116">
        <f t="shared" si="23"/>
        <v>46373</v>
      </c>
      <c r="T135" s="116">
        <f t="shared" si="23"/>
        <v>46374</v>
      </c>
      <c r="U135" s="116">
        <f t="shared" si="23"/>
        <v>46375</v>
      </c>
      <c r="V135" s="116">
        <f t="shared" si="23"/>
        <v>46376</v>
      </c>
      <c r="W135" s="116">
        <f t="shared" si="23"/>
        <v>46377</v>
      </c>
      <c r="X135" s="116">
        <f t="shared" si="23"/>
        <v>46378</v>
      </c>
      <c r="Y135" s="116">
        <f t="shared" si="23"/>
        <v>46379</v>
      </c>
      <c r="Z135" s="116">
        <f t="shared" si="23"/>
        <v>46380</v>
      </c>
      <c r="AA135" s="116">
        <f t="shared" si="23"/>
        <v>46381</v>
      </c>
      <c r="AB135" s="116">
        <f t="shared" si="23"/>
        <v>46382</v>
      </c>
      <c r="AC135" s="116">
        <f t="shared" si="23"/>
        <v>46383</v>
      </c>
      <c r="AD135" s="116">
        <f t="shared" si="23"/>
        <v>46384</v>
      </c>
      <c r="AE135" s="116">
        <f t="shared" si="23"/>
        <v>46385</v>
      </c>
      <c r="AF135" s="116">
        <f t="shared" si="23"/>
        <v>46386</v>
      </c>
      <c r="AG135" s="116">
        <f t="shared" si="23"/>
        <v>46387</v>
      </c>
      <c r="AI135" s="112" t="s">
        <v>42</v>
      </c>
      <c r="AJ135" s="114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12" t="s">
        <v>38</v>
      </c>
      <c r="C136" s="85">
        <v>8</v>
      </c>
      <c r="D136" s="85">
        <v>8</v>
      </c>
      <c r="E136" s="85">
        <v>8</v>
      </c>
      <c r="F136" s="85">
        <v>8</v>
      </c>
      <c r="G136" s="85"/>
      <c r="H136" s="85"/>
      <c r="I136" s="85">
        <v>8</v>
      </c>
      <c r="J136" s="85">
        <v>8</v>
      </c>
      <c r="K136" s="85">
        <v>8</v>
      </c>
      <c r="L136" s="85">
        <v>8</v>
      </c>
      <c r="M136" s="85">
        <v>8</v>
      </c>
      <c r="N136" s="85"/>
      <c r="O136" s="85"/>
      <c r="P136" s="85">
        <v>8</v>
      </c>
      <c r="Q136" s="85">
        <v>8</v>
      </c>
      <c r="R136" s="85">
        <v>8</v>
      </c>
      <c r="S136" s="85">
        <v>8</v>
      </c>
      <c r="T136" s="85">
        <v>8</v>
      </c>
      <c r="U136" s="85"/>
      <c r="V136" s="85"/>
      <c r="W136" s="85">
        <v>8</v>
      </c>
      <c r="X136" s="85">
        <v>8</v>
      </c>
      <c r="Y136" s="85">
        <v>8</v>
      </c>
      <c r="Z136" s="85">
        <v>8</v>
      </c>
      <c r="AA136" s="85">
        <v>8</v>
      </c>
      <c r="AB136" s="85"/>
      <c r="AC136" s="85"/>
      <c r="AD136" s="85">
        <v>8</v>
      </c>
      <c r="AE136" s="85"/>
      <c r="AF136" s="85"/>
      <c r="AG136" s="85"/>
      <c r="AI136" s="113" t="s">
        <v>43</v>
      </c>
      <c r="AJ136" s="118">
        <f>COUNT(C137:AG137)</f>
        <v>20</v>
      </c>
    </row>
    <row r="137" spans="1:36" outlineLevel="1" x14ac:dyDescent="0.45">
      <c r="A137" s="113" t="s">
        <v>39</v>
      </c>
      <c r="C137" s="113">
        <v>8</v>
      </c>
      <c r="D137" s="113">
        <v>8</v>
      </c>
      <c r="E137" s="113">
        <v>8</v>
      </c>
      <c r="F137" s="113">
        <v>8</v>
      </c>
      <c r="G137" s="113"/>
      <c r="H137" s="113"/>
      <c r="I137" s="113">
        <v>8</v>
      </c>
      <c r="J137" s="113">
        <v>8</v>
      </c>
      <c r="K137" s="113">
        <v>8</v>
      </c>
      <c r="L137" s="113">
        <v>8</v>
      </c>
      <c r="M137" s="113">
        <v>8</v>
      </c>
      <c r="N137" s="113"/>
      <c r="O137" s="113"/>
      <c r="P137" s="113">
        <v>8</v>
      </c>
      <c r="Q137" s="113">
        <v>8</v>
      </c>
      <c r="R137" s="113">
        <v>8</v>
      </c>
      <c r="S137" s="113">
        <v>8</v>
      </c>
      <c r="T137" s="113">
        <v>8</v>
      </c>
      <c r="U137" s="113"/>
      <c r="V137" s="113"/>
      <c r="W137" s="113">
        <v>8</v>
      </c>
      <c r="X137" s="113">
        <v>8</v>
      </c>
      <c r="Y137" s="113">
        <v>8</v>
      </c>
      <c r="Z137" s="113">
        <v>8</v>
      </c>
      <c r="AA137" s="113">
        <v>8</v>
      </c>
      <c r="AB137" s="113"/>
      <c r="AC137" s="113"/>
      <c r="AD137" s="113">
        <v>8</v>
      </c>
      <c r="AE137" s="113"/>
      <c r="AF137" s="113"/>
      <c r="AG137" s="113"/>
      <c r="AI137" s="113" t="s">
        <v>44</v>
      </c>
      <c r="AJ137" s="115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13" t="s">
        <v>37</v>
      </c>
      <c r="C138" s="113" t="s">
        <v>22</v>
      </c>
      <c r="D138" s="113" t="s">
        <v>22</v>
      </c>
      <c r="E138" s="113" t="s">
        <v>22</v>
      </c>
      <c r="F138" s="113" t="s">
        <v>22</v>
      </c>
      <c r="G138" s="113"/>
      <c r="H138" s="113"/>
      <c r="I138" s="113" t="s">
        <v>22</v>
      </c>
      <c r="J138" s="113" t="s">
        <v>22</v>
      </c>
      <c r="K138" s="113" t="s">
        <v>22</v>
      </c>
      <c r="L138" s="113" t="s">
        <v>22</v>
      </c>
      <c r="M138" s="113" t="s">
        <v>22</v>
      </c>
      <c r="N138" s="113"/>
      <c r="O138" s="113"/>
      <c r="P138" s="113" t="s">
        <v>22</v>
      </c>
      <c r="Q138" s="113" t="s">
        <v>22</v>
      </c>
      <c r="R138" s="113" t="s">
        <v>22</v>
      </c>
      <c r="S138" s="113" t="s">
        <v>22</v>
      </c>
      <c r="T138" s="113" t="s">
        <v>22</v>
      </c>
      <c r="U138" s="113"/>
      <c r="V138" s="113"/>
      <c r="W138" s="113" t="s">
        <v>22</v>
      </c>
      <c r="X138" s="113" t="s">
        <v>22</v>
      </c>
      <c r="Y138" s="113" t="s">
        <v>22</v>
      </c>
      <c r="Z138" s="113" t="s">
        <v>22</v>
      </c>
      <c r="AA138" s="113" t="s">
        <v>22</v>
      </c>
      <c r="AB138" s="113"/>
      <c r="AC138" s="113"/>
      <c r="AD138" s="113" t="s">
        <v>22</v>
      </c>
      <c r="AE138" s="113"/>
      <c r="AF138" s="113"/>
      <c r="AG138" s="113"/>
      <c r="AI138" s="113" t="s">
        <v>45</v>
      </c>
      <c r="AJ138" s="118">
        <f>COUNTIF(C138:AG138,"出")</f>
        <v>0</v>
      </c>
    </row>
    <row r="139" spans="1:36" outlineLevel="1" x14ac:dyDescent="0.45">
      <c r="A139" s="113" t="s">
        <v>40</v>
      </c>
      <c r="C139" s="389"/>
      <c r="D139" s="389"/>
      <c r="E139" s="389"/>
      <c r="F139" s="389"/>
      <c r="G139" s="389"/>
      <c r="H139" s="389"/>
      <c r="I139" s="389"/>
      <c r="J139" s="389"/>
      <c r="K139" s="389"/>
      <c r="L139" s="389"/>
      <c r="M139" s="389"/>
      <c r="N139" s="389"/>
      <c r="O139" s="389"/>
      <c r="P139" s="389"/>
      <c r="Q139" s="389"/>
      <c r="S139" s="389"/>
      <c r="T139" s="389"/>
      <c r="U139" s="389"/>
      <c r="V139" s="389"/>
      <c r="W139" s="389"/>
      <c r="X139" s="389"/>
      <c r="Y139" s="389"/>
      <c r="Z139" s="389"/>
      <c r="AA139" s="389"/>
      <c r="AB139" s="389"/>
      <c r="AC139" s="389"/>
      <c r="AD139" s="389"/>
      <c r="AE139" s="389"/>
      <c r="AF139" s="389"/>
      <c r="AG139" s="389"/>
      <c r="AI139" s="113" t="s">
        <v>46</v>
      </c>
      <c r="AJ139" s="118">
        <f>COUNTIF(C138:AG138,"リ")</f>
        <v>20</v>
      </c>
    </row>
    <row r="140" spans="1:36" outlineLevel="1" x14ac:dyDescent="0.45">
      <c r="C140" s="389"/>
      <c r="D140" s="389"/>
      <c r="E140" s="389"/>
      <c r="F140" s="389"/>
      <c r="G140" s="389"/>
      <c r="H140" s="389"/>
      <c r="I140" s="389"/>
      <c r="J140" s="389"/>
      <c r="K140" s="389"/>
      <c r="L140" s="389"/>
      <c r="M140" s="389"/>
      <c r="N140" s="389"/>
      <c r="O140" s="389"/>
      <c r="P140" s="389"/>
      <c r="Q140" s="389"/>
      <c r="S140" s="389"/>
      <c r="T140" s="389"/>
      <c r="U140" s="389"/>
      <c r="V140" s="389"/>
      <c r="W140" s="389"/>
      <c r="X140" s="389"/>
      <c r="Y140" s="389"/>
      <c r="Z140" s="389"/>
      <c r="AA140" s="389"/>
      <c r="AB140" s="389"/>
      <c r="AC140" s="389"/>
      <c r="AD140" s="389"/>
      <c r="AE140" s="389"/>
      <c r="AF140" s="389"/>
      <c r="AG140" s="389"/>
      <c r="AI140" s="113" t="s">
        <v>25</v>
      </c>
      <c r="AJ140" s="119">
        <f>AJ138/(AJ138+AJ139)</f>
        <v>0</v>
      </c>
    </row>
    <row r="141" spans="1:36" outlineLevel="1" x14ac:dyDescent="0.45">
      <c r="C141" s="389"/>
      <c r="D141" s="389"/>
      <c r="E141" s="389"/>
      <c r="F141" s="389"/>
      <c r="G141" s="389"/>
      <c r="H141" s="389"/>
      <c r="I141" s="389"/>
      <c r="J141" s="389"/>
      <c r="K141" s="389"/>
      <c r="L141" s="389"/>
      <c r="M141" s="389"/>
      <c r="N141" s="389"/>
      <c r="O141" s="389"/>
      <c r="P141" s="389"/>
      <c r="Q141" s="389"/>
      <c r="S141" s="389"/>
      <c r="T141" s="389"/>
      <c r="U141" s="389"/>
      <c r="V141" s="389"/>
      <c r="W141" s="389"/>
      <c r="X141" s="389"/>
      <c r="Y141" s="389"/>
      <c r="Z141" s="389"/>
      <c r="AA141" s="389"/>
      <c r="AB141" s="389"/>
      <c r="AC141" s="389"/>
      <c r="AD141" s="389"/>
      <c r="AE141" s="389"/>
      <c r="AF141" s="389"/>
      <c r="AG141" s="389"/>
    </row>
    <row r="142" spans="1:36" outlineLevel="1" x14ac:dyDescent="0.45">
      <c r="C142" s="389"/>
      <c r="D142" s="389"/>
      <c r="E142" s="389"/>
      <c r="F142" s="389"/>
      <c r="G142" s="389"/>
      <c r="H142" s="389"/>
      <c r="I142" s="389"/>
      <c r="J142" s="389"/>
      <c r="K142" s="389"/>
      <c r="L142" s="389"/>
      <c r="M142" s="389"/>
      <c r="N142" s="389"/>
      <c r="O142" s="389"/>
      <c r="P142" s="389"/>
      <c r="Q142" s="389"/>
      <c r="S142" s="389"/>
      <c r="T142" s="389"/>
      <c r="U142" s="389"/>
      <c r="V142" s="389"/>
      <c r="W142" s="389"/>
      <c r="X142" s="389"/>
      <c r="Y142" s="389"/>
      <c r="Z142" s="389"/>
      <c r="AA142" s="389"/>
      <c r="AB142" s="389"/>
      <c r="AC142" s="389"/>
      <c r="AD142" s="389"/>
      <c r="AE142" s="389"/>
      <c r="AF142" s="389"/>
      <c r="AG142" s="389"/>
    </row>
    <row r="143" spans="1:36" outlineLevel="1" x14ac:dyDescent="0.45">
      <c r="C143" s="389"/>
      <c r="D143" s="389"/>
      <c r="E143" s="389"/>
      <c r="F143" s="389"/>
      <c r="G143" s="389"/>
      <c r="H143" s="389"/>
      <c r="I143" s="389"/>
      <c r="J143" s="389"/>
      <c r="K143" s="389"/>
      <c r="L143" s="389"/>
      <c r="M143" s="389"/>
      <c r="N143" s="389"/>
      <c r="O143" s="389"/>
      <c r="P143" s="389"/>
      <c r="Q143" s="389"/>
      <c r="S143" s="389"/>
      <c r="T143" s="389"/>
      <c r="U143" s="389"/>
      <c r="V143" s="389"/>
      <c r="W143" s="389"/>
      <c r="X143" s="389"/>
      <c r="Y143" s="389"/>
      <c r="Z143" s="389"/>
      <c r="AA143" s="389"/>
      <c r="AB143" s="389"/>
      <c r="AC143" s="389"/>
      <c r="AD143" s="389"/>
      <c r="AE143" s="389"/>
      <c r="AF143" s="389"/>
      <c r="AG143" s="38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43" priority="1" stopIfTrue="1">
      <formula>C$3=""</formula>
    </cfRule>
  </conditionalFormatting>
  <conditionalFormatting sqref="C2:AG2">
    <cfRule type="expression" dxfId="142" priority="3" stopIfTrue="1">
      <formula>WEEKDAY(C3,2)=7</formula>
    </cfRule>
    <cfRule type="expression" dxfId="141" priority="4" stopIfTrue="1">
      <formula>WEEKDAY(C3,2)=6</formula>
    </cfRule>
  </conditionalFormatting>
  <conditionalFormatting sqref="C14:AG18">
    <cfRule type="expression" dxfId="140" priority="5" stopIfTrue="1">
      <formula>C$15=""</formula>
    </cfRule>
  </conditionalFormatting>
  <conditionalFormatting sqref="C14:AG14">
    <cfRule type="expression" dxfId="139" priority="7" stopIfTrue="1">
      <formula>WEEKDAY(C15,2)=7</formula>
    </cfRule>
    <cfRule type="expression" dxfId="138" priority="8" stopIfTrue="1">
      <formula>WEEKDAY(C15,2)=6</formula>
    </cfRule>
  </conditionalFormatting>
  <conditionalFormatting sqref="C26:AG30">
    <cfRule type="expression" dxfId="137" priority="9" stopIfTrue="1">
      <formula>C$27=""</formula>
    </cfRule>
  </conditionalFormatting>
  <conditionalFormatting sqref="C26:AG26">
    <cfRule type="expression" dxfId="136" priority="11" stopIfTrue="1">
      <formula>WEEKDAY(C27,2)=7</formula>
    </cfRule>
    <cfRule type="expression" dxfId="135" priority="12" stopIfTrue="1">
      <formula>WEEKDAY(C27,2)=6</formula>
    </cfRule>
  </conditionalFormatting>
  <conditionalFormatting sqref="C38:AG42">
    <cfRule type="expression" dxfId="134" priority="13" stopIfTrue="1">
      <formula>C$39=""</formula>
    </cfRule>
  </conditionalFormatting>
  <conditionalFormatting sqref="C38:AG38">
    <cfRule type="expression" dxfId="133" priority="15" stopIfTrue="1">
      <formula>WEEKDAY(C39,2)=7</formula>
    </cfRule>
    <cfRule type="expression" dxfId="132" priority="16" stopIfTrue="1">
      <formula>WEEKDAY(C39,2)=6</formula>
    </cfRule>
  </conditionalFormatting>
  <conditionalFormatting sqref="C50:AG54">
    <cfRule type="expression" dxfId="131" priority="17" stopIfTrue="1">
      <formula>C$51=""</formula>
    </cfRule>
  </conditionalFormatting>
  <conditionalFormatting sqref="C50:AG50">
    <cfRule type="expression" dxfId="130" priority="19" stopIfTrue="1">
      <formula>WEEKDAY(C51,2)=7</formula>
    </cfRule>
    <cfRule type="expression" dxfId="129" priority="20" stopIfTrue="1">
      <formula>WEEKDAY(C51,2)=6</formula>
    </cfRule>
  </conditionalFormatting>
  <conditionalFormatting sqref="C62:AG66">
    <cfRule type="expression" dxfId="128" priority="21" stopIfTrue="1">
      <formula>C$63=""</formula>
    </cfRule>
  </conditionalFormatting>
  <conditionalFormatting sqref="C62:AG62">
    <cfRule type="expression" dxfId="127" priority="23" stopIfTrue="1">
      <formula>WEEKDAY(C63,2)=7</formula>
    </cfRule>
    <cfRule type="expression" dxfId="126" priority="24" stopIfTrue="1">
      <formula>WEEKDAY(C63,2)=6</formula>
    </cfRule>
  </conditionalFormatting>
  <conditionalFormatting sqref="C74:AG78">
    <cfRule type="expression" dxfId="125" priority="25" stopIfTrue="1">
      <formula>C$75=""</formula>
    </cfRule>
  </conditionalFormatting>
  <conditionalFormatting sqref="C74:AG74">
    <cfRule type="expression" dxfId="124" priority="27" stopIfTrue="1">
      <formula>WEEKDAY(C75,2)=7</formula>
    </cfRule>
    <cfRule type="expression" dxfId="123" priority="28" stopIfTrue="1">
      <formula>WEEKDAY(C75,2)=6</formula>
    </cfRule>
  </conditionalFormatting>
  <conditionalFormatting sqref="C86:AG90">
    <cfRule type="expression" dxfId="122" priority="29" stopIfTrue="1">
      <formula>C$87=""</formula>
    </cfRule>
  </conditionalFormatting>
  <conditionalFormatting sqref="C86:AG86">
    <cfRule type="expression" dxfId="121" priority="31" stopIfTrue="1">
      <formula>WEEKDAY(C87,2)=7</formula>
    </cfRule>
    <cfRule type="expression" dxfId="120" priority="32" stopIfTrue="1">
      <formula>WEEKDAY(C87,2)=6</formula>
    </cfRule>
  </conditionalFormatting>
  <conditionalFormatting sqref="C98:AG102">
    <cfRule type="expression" dxfId="119" priority="33" stopIfTrue="1">
      <formula>C$99=""</formula>
    </cfRule>
  </conditionalFormatting>
  <conditionalFormatting sqref="C98:AG98">
    <cfRule type="expression" dxfId="118" priority="35" stopIfTrue="1">
      <formula>WEEKDAY(C99,2)=7</formula>
    </cfRule>
    <cfRule type="expression" dxfId="117" priority="36" stopIfTrue="1">
      <formula>WEEKDAY(C99,2)=6</formula>
    </cfRule>
  </conditionalFormatting>
  <conditionalFormatting sqref="C110:AG114">
    <cfRule type="expression" dxfId="116" priority="37" stopIfTrue="1">
      <formula>C$111=""</formula>
    </cfRule>
  </conditionalFormatting>
  <conditionalFormatting sqref="C110:AG110">
    <cfRule type="expression" dxfId="115" priority="39" stopIfTrue="1">
      <formula>WEEKDAY(C111,2)=7</formula>
    </cfRule>
    <cfRule type="expression" dxfId="114" priority="40" stopIfTrue="1">
      <formula>WEEKDAY(C111,2)=6</formula>
    </cfRule>
  </conditionalFormatting>
  <conditionalFormatting sqref="C122:AG126">
    <cfRule type="expression" dxfId="113" priority="41" stopIfTrue="1">
      <formula>C$123=""</formula>
    </cfRule>
  </conditionalFormatting>
  <conditionalFormatting sqref="C122:AG122">
    <cfRule type="expression" dxfId="112" priority="43" stopIfTrue="1">
      <formula>WEEKDAY(C123,2)=7</formula>
    </cfRule>
  </conditionalFormatting>
  <conditionalFormatting sqref="C122:AG122">
    <cfRule type="expression" dxfId="111" priority="44" stopIfTrue="1">
      <formula>WEEKDAY(C123,2)=6</formula>
    </cfRule>
  </conditionalFormatting>
  <conditionalFormatting sqref="C134:AG138">
    <cfRule type="expression" dxfId="110" priority="45" stopIfTrue="1">
      <formula>C$135=""</formula>
    </cfRule>
  </conditionalFormatting>
  <conditionalFormatting sqref="C134:AG134">
    <cfRule type="expression" dxfId="109" priority="47" stopIfTrue="1">
      <formula>WEEKDAY(C135,2)=7</formula>
    </cfRule>
  </conditionalFormatting>
  <conditionalFormatting sqref="C134:AG134">
    <cfRule type="expression" dxfId="10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8E5D0EF-9AFF-4AE2-A096-898246321F9B}">
            <xm:f>COUNTIF(祝日!$B:$B,C3)&gt;0</xm:f>
            <x14:dxf>
              <fill>
                <patternFill>
                  <bgColor rgb="FFDC000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9EC9D28-A11C-4CAD-B18B-FB3FBDFD59AF}">
            <xm:f>COUNTIF(祝日!$B:$B,C15)&gt;0</xm:f>
            <x14:dxf>
              <fill>
                <patternFill>
                  <bgColor rgb="FFDC000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4C5428E-07D5-4DE5-9942-0A3EE7911815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2E8CFABE-2E7D-4F11-9371-4F36D0150AEA}">
            <xm:f>COUNTIF(祝日!$B:$B,C39)&gt;0</xm:f>
            <x14:dxf>
              <fill>
                <patternFill>
                  <bgColor rgb="FFDC000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DDCC44EA-31D4-4A9F-85FE-92C736C94FC2}">
            <xm:f>COUNTIF(祝日!$B:$B,C51)&gt;0</xm:f>
            <x14:dxf>
              <fill>
                <patternFill>
                  <bgColor rgb="FFDC000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9580FAE-7272-42DA-B663-1B0793CD311F}">
            <xm:f>COUNTIF(祝日!$B:$B,C63)&gt;0</xm:f>
            <x14:dxf>
              <fill>
                <patternFill>
                  <bgColor rgb="FFDC000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1238596-8D63-42A5-B810-4FD8B7335C25}">
            <xm:f>COUNTIF(祝日!$B:$B,C75)&gt;0</xm:f>
            <x14:dxf>
              <fill>
                <patternFill>
                  <bgColor rgb="FFDC000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F2A73CE2-3835-4098-83F7-CB7DF46C0972}">
            <xm:f>COUNTIF(祝日!$B:$B,C87)&gt;0</xm:f>
            <x14:dxf>
              <fill>
                <patternFill>
                  <bgColor rgb="FFDC000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5172ADB-544B-4A38-A070-A9A677660992}">
            <xm:f>COUNTIF(祝日!$B:$B,C99)&gt;0</xm:f>
            <x14:dxf>
              <fill>
                <patternFill>
                  <bgColor rgb="FFDC000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82BD0FC-3336-4024-881C-8C8AFF042D88}">
            <xm:f>COUNTIF(祝日!$B:$B,C111)&gt;0</xm:f>
            <x14:dxf>
              <fill>
                <patternFill>
                  <bgColor rgb="FFDC000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535639B3-2758-480F-956D-3E9F2309FEB1}">
            <xm:f>COUNTIF(祝日!$B:$B,C123)&gt;0</xm:f>
            <x14:dxf>
              <fill>
                <patternFill>
                  <bgColor rgb="FFDC000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AE81E3D8-57FD-4B5E-9DDE-88AB8CEEC894}">
            <xm:f>COUNTIF(祝日!$B:$B,C135)&gt;0</xm:f>
            <x14:dxf>
              <fill>
                <patternFill>
                  <bgColor rgb="FFDC000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FD89D-5607-4C35-A5E2-08961655F79C}">
  <sheetPr codeName="Sheet100"/>
  <dimension ref="A1:AJ144"/>
  <sheetViews>
    <sheetView showGridLines="0" workbookViewId="0"/>
  </sheetViews>
  <sheetFormatPr defaultRowHeight="18" outlineLevelRow="1" x14ac:dyDescent="0.45"/>
  <cols>
    <col min="1" max="1" width="3.69921875" style="49" customWidth="1"/>
    <col min="2" max="2" width="0.8984375" style="49" customWidth="1"/>
    <col min="3" max="33" width="3.69921875" style="49" customWidth="1"/>
    <col min="34" max="34" width="0.8984375" style="49" customWidth="1"/>
    <col min="35" max="36" width="8.69921875" style="49" customWidth="1"/>
    <col min="37" max="16384" width="8.796875" style="49"/>
  </cols>
  <sheetData>
    <row r="1" spans="1:36" x14ac:dyDescent="0.45">
      <c r="C1" s="356">
        <v>46023</v>
      </c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357"/>
      <c r="AG1" s="357"/>
    </row>
    <row r="2" spans="1:36" outlineLevel="1" x14ac:dyDescent="0.45">
      <c r="C2" s="50" t="str">
        <f t="shared" ref="C2:AG2" si="0">TEXT(C3,"aaa")</f>
        <v>木</v>
      </c>
      <c r="D2" s="50" t="str">
        <f t="shared" si="0"/>
        <v>金</v>
      </c>
      <c r="E2" s="50" t="str">
        <f t="shared" si="0"/>
        <v>土</v>
      </c>
      <c r="F2" s="50" t="str">
        <f t="shared" si="0"/>
        <v>日</v>
      </c>
      <c r="G2" s="50" t="str">
        <f t="shared" si="0"/>
        <v>月</v>
      </c>
      <c r="H2" s="50" t="str">
        <f t="shared" si="0"/>
        <v>火</v>
      </c>
      <c r="I2" s="50" t="str">
        <f t="shared" si="0"/>
        <v>水</v>
      </c>
      <c r="J2" s="50" t="str">
        <f t="shared" si="0"/>
        <v>木</v>
      </c>
      <c r="K2" s="50" t="str">
        <f t="shared" si="0"/>
        <v>金</v>
      </c>
      <c r="L2" s="50" t="str">
        <f t="shared" si="0"/>
        <v>土</v>
      </c>
      <c r="M2" s="50" t="str">
        <f t="shared" si="0"/>
        <v>日</v>
      </c>
      <c r="N2" s="50" t="str">
        <f t="shared" si="0"/>
        <v>月</v>
      </c>
      <c r="O2" s="50" t="str">
        <f t="shared" si="0"/>
        <v>火</v>
      </c>
      <c r="P2" s="50" t="str">
        <f t="shared" si="0"/>
        <v>水</v>
      </c>
      <c r="Q2" s="50" t="str">
        <f t="shared" si="0"/>
        <v>木</v>
      </c>
      <c r="R2" s="50" t="str">
        <f t="shared" si="0"/>
        <v>金</v>
      </c>
      <c r="S2" s="50" t="str">
        <f t="shared" si="0"/>
        <v>土</v>
      </c>
      <c r="T2" s="50" t="str">
        <f t="shared" si="0"/>
        <v>日</v>
      </c>
      <c r="U2" s="50" t="str">
        <f t="shared" si="0"/>
        <v>月</v>
      </c>
      <c r="V2" s="50" t="str">
        <f t="shared" si="0"/>
        <v>火</v>
      </c>
      <c r="W2" s="50" t="str">
        <f t="shared" si="0"/>
        <v>水</v>
      </c>
      <c r="X2" s="50" t="str">
        <f t="shared" si="0"/>
        <v>木</v>
      </c>
      <c r="Y2" s="50" t="str">
        <f t="shared" si="0"/>
        <v>金</v>
      </c>
      <c r="Z2" s="50" t="str">
        <f t="shared" si="0"/>
        <v>土</v>
      </c>
      <c r="AA2" s="50" t="str">
        <f t="shared" si="0"/>
        <v>日</v>
      </c>
      <c r="AB2" s="50" t="str">
        <f t="shared" si="0"/>
        <v>月</v>
      </c>
      <c r="AC2" s="50" t="str">
        <f t="shared" si="0"/>
        <v>火</v>
      </c>
      <c r="AD2" s="50" t="str">
        <f t="shared" si="0"/>
        <v>水</v>
      </c>
      <c r="AE2" s="50" t="str">
        <f t="shared" si="0"/>
        <v>木</v>
      </c>
      <c r="AF2" s="50" t="str">
        <f t="shared" si="0"/>
        <v>金</v>
      </c>
      <c r="AG2" s="50" t="str">
        <f t="shared" si="0"/>
        <v>土</v>
      </c>
      <c r="AI2" s="46" t="s">
        <v>41</v>
      </c>
      <c r="AJ2" s="48">
        <f>COUNT(C4:AG4)</f>
        <v>19</v>
      </c>
    </row>
    <row r="3" spans="1:36" outlineLevel="1" x14ac:dyDescent="0.45">
      <c r="C3" s="52">
        <f>C1</f>
        <v>46023</v>
      </c>
      <c r="D3" s="52">
        <f t="shared" ref="D3:AG3" si="1">IF(C3="","",IF(C3+1&lt;=EOMONTH($C1,0),C3+1,""))</f>
        <v>46024</v>
      </c>
      <c r="E3" s="52">
        <f t="shared" si="1"/>
        <v>46025</v>
      </c>
      <c r="F3" s="52">
        <f t="shared" si="1"/>
        <v>46026</v>
      </c>
      <c r="G3" s="52">
        <f t="shared" si="1"/>
        <v>46027</v>
      </c>
      <c r="H3" s="52">
        <f t="shared" si="1"/>
        <v>46028</v>
      </c>
      <c r="I3" s="52">
        <f t="shared" si="1"/>
        <v>46029</v>
      </c>
      <c r="J3" s="52">
        <f t="shared" si="1"/>
        <v>46030</v>
      </c>
      <c r="K3" s="52">
        <f t="shared" si="1"/>
        <v>46031</v>
      </c>
      <c r="L3" s="52">
        <f t="shared" si="1"/>
        <v>46032</v>
      </c>
      <c r="M3" s="52">
        <f t="shared" si="1"/>
        <v>46033</v>
      </c>
      <c r="N3" s="52">
        <f t="shared" si="1"/>
        <v>46034</v>
      </c>
      <c r="O3" s="52">
        <f t="shared" si="1"/>
        <v>46035</v>
      </c>
      <c r="P3" s="52">
        <f t="shared" si="1"/>
        <v>46036</v>
      </c>
      <c r="Q3" s="52">
        <f t="shared" si="1"/>
        <v>46037</v>
      </c>
      <c r="R3" s="52">
        <f t="shared" si="1"/>
        <v>46038</v>
      </c>
      <c r="S3" s="52">
        <f t="shared" si="1"/>
        <v>46039</v>
      </c>
      <c r="T3" s="52">
        <f t="shared" si="1"/>
        <v>46040</v>
      </c>
      <c r="U3" s="52">
        <f t="shared" si="1"/>
        <v>46041</v>
      </c>
      <c r="V3" s="52">
        <f t="shared" si="1"/>
        <v>46042</v>
      </c>
      <c r="W3" s="52">
        <f t="shared" si="1"/>
        <v>46043</v>
      </c>
      <c r="X3" s="52">
        <f t="shared" si="1"/>
        <v>46044</v>
      </c>
      <c r="Y3" s="52">
        <f t="shared" si="1"/>
        <v>46045</v>
      </c>
      <c r="Z3" s="52">
        <f t="shared" si="1"/>
        <v>46046</v>
      </c>
      <c r="AA3" s="52">
        <f t="shared" si="1"/>
        <v>46047</v>
      </c>
      <c r="AB3" s="52">
        <f t="shared" si="1"/>
        <v>46048</v>
      </c>
      <c r="AC3" s="52">
        <f t="shared" si="1"/>
        <v>46049</v>
      </c>
      <c r="AD3" s="52">
        <f t="shared" si="1"/>
        <v>46050</v>
      </c>
      <c r="AE3" s="52">
        <f t="shared" si="1"/>
        <v>46051</v>
      </c>
      <c r="AF3" s="52">
        <f t="shared" si="1"/>
        <v>46052</v>
      </c>
      <c r="AG3" s="52">
        <f t="shared" si="1"/>
        <v>46053</v>
      </c>
      <c r="AI3" s="46" t="s">
        <v>42</v>
      </c>
      <c r="AJ3" s="47" t="str">
        <f>_xlfn.LET(_xlpm.v,SUM(C4:AG4),IF(_xlpm.v=INT(_xlpm.v),TEXT(_xlpm.v,"0")&amp;" h",TEXT(_xlpm.v,"0.###")&amp;" h"))</f>
        <v>152 h</v>
      </c>
    </row>
    <row r="4" spans="1:36" outlineLevel="1" x14ac:dyDescent="0.45">
      <c r="A4" s="46" t="s">
        <v>38</v>
      </c>
      <c r="C4" s="42"/>
      <c r="D4" s="42"/>
      <c r="E4" s="42"/>
      <c r="F4" s="42"/>
      <c r="G4" s="42">
        <v>8</v>
      </c>
      <c r="H4" s="42">
        <v>8</v>
      </c>
      <c r="I4" s="42">
        <v>8</v>
      </c>
      <c r="J4" s="42">
        <v>8</v>
      </c>
      <c r="K4" s="42">
        <v>8</v>
      </c>
      <c r="L4" s="42"/>
      <c r="M4" s="42"/>
      <c r="N4" s="42"/>
      <c r="O4" s="42">
        <v>8</v>
      </c>
      <c r="P4" s="42">
        <v>8</v>
      </c>
      <c r="Q4" s="42">
        <v>8</v>
      </c>
      <c r="R4" s="42">
        <v>8</v>
      </c>
      <c r="S4" s="42"/>
      <c r="T4" s="42"/>
      <c r="U4" s="42">
        <v>8</v>
      </c>
      <c r="V4" s="42">
        <v>8</v>
      </c>
      <c r="W4" s="42">
        <v>8</v>
      </c>
      <c r="X4" s="42">
        <v>8</v>
      </c>
      <c r="Y4" s="42">
        <v>8</v>
      </c>
      <c r="Z4" s="42"/>
      <c r="AA4" s="42"/>
      <c r="AB4" s="42">
        <v>8</v>
      </c>
      <c r="AC4" s="42">
        <v>8</v>
      </c>
      <c r="AD4" s="42">
        <v>8</v>
      </c>
      <c r="AE4" s="42">
        <v>8</v>
      </c>
      <c r="AF4" s="42">
        <v>8</v>
      </c>
      <c r="AG4" s="42"/>
      <c r="AI4" s="50" t="s">
        <v>43</v>
      </c>
      <c r="AJ4" s="53">
        <f>COUNT(C5:AG5)</f>
        <v>19</v>
      </c>
    </row>
    <row r="5" spans="1:36" outlineLevel="1" x14ac:dyDescent="0.45">
      <c r="A5" s="50" t="s">
        <v>39</v>
      </c>
      <c r="C5" s="50"/>
      <c r="D5" s="50"/>
      <c r="E5" s="50"/>
      <c r="F5" s="50"/>
      <c r="G5" s="50">
        <v>8</v>
      </c>
      <c r="H5" s="50">
        <v>8</v>
      </c>
      <c r="I5" s="50">
        <v>8</v>
      </c>
      <c r="J5" s="50">
        <v>8</v>
      </c>
      <c r="K5" s="50">
        <v>8</v>
      </c>
      <c r="L5" s="50"/>
      <c r="M5" s="50"/>
      <c r="N5" s="50"/>
      <c r="O5" s="50">
        <v>8</v>
      </c>
      <c r="P5" s="50">
        <v>8</v>
      </c>
      <c r="Q5" s="50">
        <v>8</v>
      </c>
      <c r="R5" s="50">
        <v>8</v>
      </c>
      <c r="S5" s="50"/>
      <c r="T5" s="50"/>
      <c r="U5" s="50">
        <v>8</v>
      </c>
      <c r="V5" s="50">
        <v>8</v>
      </c>
      <c r="W5" s="50">
        <v>8</v>
      </c>
      <c r="X5" s="50">
        <v>8</v>
      </c>
      <c r="Y5" s="50">
        <v>8</v>
      </c>
      <c r="Z5" s="50"/>
      <c r="AA5" s="50"/>
      <c r="AB5" s="50">
        <v>8</v>
      </c>
      <c r="AC5" s="50">
        <v>8</v>
      </c>
      <c r="AD5" s="50">
        <v>8</v>
      </c>
      <c r="AE5" s="50">
        <v>8</v>
      </c>
      <c r="AF5" s="50">
        <v>8</v>
      </c>
      <c r="AG5" s="50"/>
      <c r="AI5" s="50" t="s">
        <v>44</v>
      </c>
      <c r="AJ5" s="51" t="str">
        <f>_xlfn.LET(_xlpm.v,SUM(C5:AG5),IF(_xlpm.v=INT(_xlpm.v),TEXT(_xlpm.v,"0")&amp;" h",TEXT(_xlpm.v,"0.###")&amp;" h"))</f>
        <v>152 h</v>
      </c>
    </row>
    <row r="6" spans="1:36" outlineLevel="1" x14ac:dyDescent="0.45">
      <c r="A6" s="50" t="s">
        <v>37</v>
      </c>
      <c r="C6" s="50"/>
      <c r="D6" s="50"/>
      <c r="E6" s="50"/>
      <c r="F6" s="50"/>
      <c r="G6" s="50" t="s">
        <v>22</v>
      </c>
      <c r="H6" s="50" t="s">
        <v>22</v>
      </c>
      <c r="I6" s="50" t="s">
        <v>22</v>
      </c>
      <c r="J6" s="50" t="s">
        <v>22</v>
      </c>
      <c r="K6" s="50" t="s">
        <v>22</v>
      </c>
      <c r="L6" s="50"/>
      <c r="M6" s="50"/>
      <c r="N6" s="50"/>
      <c r="O6" s="50" t="s">
        <v>22</v>
      </c>
      <c r="P6" s="50" t="s">
        <v>22</v>
      </c>
      <c r="Q6" s="50" t="s">
        <v>22</v>
      </c>
      <c r="R6" s="50" t="s">
        <v>22</v>
      </c>
      <c r="S6" s="50"/>
      <c r="T6" s="50"/>
      <c r="U6" s="50" t="s">
        <v>22</v>
      </c>
      <c r="V6" s="50" t="s">
        <v>22</v>
      </c>
      <c r="W6" s="50" t="s">
        <v>22</v>
      </c>
      <c r="X6" s="50" t="s">
        <v>22</v>
      </c>
      <c r="Y6" s="50" t="s">
        <v>22</v>
      </c>
      <c r="Z6" s="50"/>
      <c r="AA6" s="50"/>
      <c r="AB6" s="50" t="s">
        <v>22</v>
      </c>
      <c r="AC6" s="50" t="s">
        <v>22</v>
      </c>
      <c r="AD6" s="50" t="s">
        <v>22</v>
      </c>
      <c r="AE6" s="50" t="s">
        <v>22</v>
      </c>
      <c r="AF6" s="50" t="s">
        <v>22</v>
      </c>
      <c r="AG6" s="50"/>
      <c r="AI6" s="50" t="s">
        <v>45</v>
      </c>
      <c r="AJ6" s="53">
        <f>COUNTIF(C6:AG6,"出")</f>
        <v>0</v>
      </c>
    </row>
    <row r="7" spans="1:36" outlineLevel="1" x14ac:dyDescent="0.45">
      <c r="A7" s="50" t="s">
        <v>40</v>
      </c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0"/>
      <c r="AE7" s="390"/>
      <c r="AF7" s="390"/>
      <c r="AG7" s="390"/>
      <c r="AI7" s="50" t="s">
        <v>46</v>
      </c>
      <c r="AJ7" s="53">
        <f>COUNTIF(C6:AG6,"リ")</f>
        <v>19</v>
      </c>
    </row>
    <row r="8" spans="1:36" outlineLevel="1" x14ac:dyDescent="0.45">
      <c r="C8" s="390"/>
      <c r="D8" s="390"/>
      <c r="E8" s="390"/>
      <c r="F8" s="390"/>
      <c r="G8" s="390"/>
      <c r="H8" s="390"/>
      <c r="I8" s="390"/>
      <c r="J8" s="390"/>
      <c r="K8" s="390"/>
      <c r="L8" s="390"/>
      <c r="M8" s="390"/>
      <c r="N8" s="390"/>
      <c r="O8" s="390"/>
      <c r="P8" s="390"/>
      <c r="Q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I8" s="50" t="s">
        <v>25</v>
      </c>
      <c r="AJ8" s="54">
        <f>AJ6/(AJ6+AJ7)</f>
        <v>0</v>
      </c>
    </row>
    <row r="9" spans="1:36" outlineLevel="1" x14ac:dyDescent="0.45"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0"/>
      <c r="S9" s="390"/>
      <c r="T9" s="390"/>
      <c r="U9" s="390"/>
      <c r="V9" s="390"/>
      <c r="W9" s="390"/>
      <c r="X9" s="390"/>
      <c r="Y9" s="390"/>
      <c r="Z9" s="390"/>
      <c r="AA9" s="390"/>
      <c r="AB9" s="390"/>
      <c r="AC9" s="390"/>
      <c r="AD9" s="390"/>
      <c r="AE9" s="390"/>
      <c r="AF9" s="390"/>
      <c r="AG9" s="390"/>
    </row>
    <row r="10" spans="1:36" outlineLevel="1" x14ac:dyDescent="0.45">
      <c r="C10" s="390"/>
      <c r="D10" s="390"/>
      <c r="E10" s="390"/>
      <c r="F10" s="390"/>
      <c r="G10" s="390"/>
      <c r="H10" s="390"/>
      <c r="I10" s="390"/>
      <c r="J10" s="390"/>
      <c r="K10" s="390"/>
      <c r="L10" s="390"/>
      <c r="M10" s="390"/>
      <c r="N10" s="390"/>
      <c r="O10" s="390"/>
      <c r="P10" s="390"/>
      <c r="Q10" s="390"/>
      <c r="S10" s="390"/>
      <c r="T10" s="390"/>
      <c r="U10" s="390"/>
      <c r="V10" s="390"/>
      <c r="W10" s="390"/>
      <c r="X10" s="390"/>
      <c r="Y10" s="390"/>
      <c r="Z10" s="390"/>
      <c r="AA10" s="390"/>
      <c r="AB10" s="390"/>
      <c r="AC10" s="390"/>
      <c r="AD10" s="390"/>
      <c r="AE10" s="390"/>
      <c r="AF10" s="390"/>
      <c r="AG10" s="390"/>
    </row>
    <row r="11" spans="1:36" outlineLevel="1" x14ac:dyDescent="0.45">
      <c r="C11" s="390"/>
      <c r="D11" s="390"/>
      <c r="E11" s="390"/>
      <c r="F11" s="390"/>
      <c r="G11" s="390"/>
      <c r="H11" s="390"/>
      <c r="I11" s="390"/>
      <c r="J11" s="390"/>
      <c r="K11" s="390"/>
      <c r="L11" s="390"/>
      <c r="M11" s="390"/>
      <c r="N11" s="390"/>
      <c r="O11" s="390"/>
      <c r="P11" s="390"/>
      <c r="Q11" s="390"/>
      <c r="S11" s="390"/>
      <c r="T11" s="390"/>
      <c r="U11" s="390"/>
      <c r="V11" s="390"/>
      <c r="W11" s="390"/>
      <c r="X11" s="390"/>
      <c r="Y11" s="390"/>
      <c r="Z11" s="390"/>
      <c r="AA11" s="390"/>
      <c r="AB11" s="390"/>
      <c r="AC11" s="390"/>
      <c r="AD11" s="390"/>
      <c r="AE11" s="390"/>
      <c r="AF11" s="390"/>
      <c r="AG11" s="390"/>
    </row>
    <row r="12" spans="1:36" outlineLevel="1" x14ac:dyDescent="0.45"/>
    <row r="13" spans="1:36" x14ac:dyDescent="0.45">
      <c r="C13" s="367">
        <v>46054</v>
      </c>
      <c r="D13" s="357"/>
      <c r="E13" s="357"/>
      <c r="F13" s="357"/>
      <c r="G13" s="357"/>
      <c r="H13" s="357"/>
      <c r="I13" s="357"/>
      <c r="J13" s="357"/>
      <c r="K13" s="357"/>
      <c r="L13" s="357"/>
      <c r="M13" s="357"/>
      <c r="N13" s="357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B13" s="357"/>
      <c r="AC13" s="357"/>
      <c r="AD13" s="357"/>
      <c r="AE13" s="357"/>
      <c r="AF13" s="357"/>
      <c r="AG13" s="357"/>
    </row>
    <row r="14" spans="1:36" outlineLevel="1" x14ac:dyDescent="0.45">
      <c r="C14" s="50" t="str">
        <f t="shared" ref="C14:AG14" si="2">TEXT(C15,"aaa")</f>
        <v>日</v>
      </c>
      <c r="D14" s="50" t="str">
        <f t="shared" si="2"/>
        <v>月</v>
      </c>
      <c r="E14" s="50" t="str">
        <f t="shared" si="2"/>
        <v>火</v>
      </c>
      <c r="F14" s="50" t="str">
        <f t="shared" si="2"/>
        <v>水</v>
      </c>
      <c r="G14" s="50" t="str">
        <f t="shared" si="2"/>
        <v>木</v>
      </c>
      <c r="H14" s="50" t="str">
        <f t="shared" si="2"/>
        <v>金</v>
      </c>
      <c r="I14" s="50" t="str">
        <f t="shared" si="2"/>
        <v>土</v>
      </c>
      <c r="J14" s="50" t="str">
        <f t="shared" si="2"/>
        <v>日</v>
      </c>
      <c r="K14" s="50" t="str">
        <f t="shared" si="2"/>
        <v>月</v>
      </c>
      <c r="L14" s="50" t="str">
        <f t="shared" si="2"/>
        <v>火</v>
      </c>
      <c r="M14" s="50" t="str">
        <f t="shared" si="2"/>
        <v>水</v>
      </c>
      <c r="N14" s="50" t="str">
        <f t="shared" si="2"/>
        <v>木</v>
      </c>
      <c r="O14" s="50" t="str">
        <f t="shared" si="2"/>
        <v>金</v>
      </c>
      <c r="P14" s="50" t="str">
        <f t="shared" si="2"/>
        <v>土</v>
      </c>
      <c r="Q14" s="50" t="str">
        <f t="shared" si="2"/>
        <v>日</v>
      </c>
      <c r="R14" s="50" t="str">
        <f t="shared" si="2"/>
        <v>月</v>
      </c>
      <c r="S14" s="50" t="str">
        <f t="shared" si="2"/>
        <v>火</v>
      </c>
      <c r="T14" s="50" t="str">
        <f t="shared" si="2"/>
        <v>水</v>
      </c>
      <c r="U14" s="50" t="str">
        <f t="shared" si="2"/>
        <v>木</v>
      </c>
      <c r="V14" s="50" t="str">
        <f t="shared" si="2"/>
        <v>金</v>
      </c>
      <c r="W14" s="50" t="str">
        <f t="shared" si="2"/>
        <v>土</v>
      </c>
      <c r="X14" s="50" t="str">
        <f t="shared" si="2"/>
        <v>日</v>
      </c>
      <c r="Y14" s="50" t="str">
        <f t="shared" si="2"/>
        <v>月</v>
      </c>
      <c r="Z14" s="50" t="str">
        <f t="shared" si="2"/>
        <v>火</v>
      </c>
      <c r="AA14" s="50" t="str">
        <f t="shared" si="2"/>
        <v>水</v>
      </c>
      <c r="AB14" s="50" t="str">
        <f t="shared" si="2"/>
        <v>木</v>
      </c>
      <c r="AC14" s="50" t="str">
        <f t="shared" si="2"/>
        <v>金</v>
      </c>
      <c r="AD14" s="50" t="str">
        <f t="shared" si="2"/>
        <v>土</v>
      </c>
      <c r="AE14" s="50" t="str">
        <f t="shared" si="2"/>
        <v/>
      </c>
      <c r="AF14" s="50" t="str">
        <f t="shared" si="2"/>
        <v/>
      </c>
      <c r="AG14" s="50" t="str">
        <f t="shared" si="2"/>
        <v/>
      </c>
      <c r="AI14" s="46" t="s">
        <v>41</v>
      </c>
      <c r="AJ14" s="48">
        <f>COUNT(C16:AG16)</f>
        <v>18</v>
      </c>
    </row>
    <row r="15" spans="1:36" outlineLevel="1" x14ac:dyDescent="0.45">
      <c r="C15" s="52">
        <f>C13</f>
        <v>46054</v>
      </c>
      <c r="D15" s="52">
        <f t="shared" ref="D15:AG15" si="3">IF(C15="","",IF(C15+1&lt;=EOMONTH($C13,0),C15+1,""))</f>
        <v>46055</v>
      </c>
      <c r="E15" s="52">
        <f t="shared" si="3"/>
        <v>46056</v>
      </c>
      <c r="F15" s="52">
        <f t="shared" si="3"/>
        <v>46057</v>
      </c>
      <c r="G15" s="52">
        <f t="shared" si="3"/>
        <v>46058</v>
      </c>
      <c r="H15" s="52">
        <f t="shared" si="3"/>
        <v>46059</v>
      </c>
      <c r="I15" s="52">
        <f t="shared" si="3"/>
        <v>46060</v>
      </c>
      <c r="J15" s="52">
        <f t="shared" si="3"/>
        <v>46061</v>
      </c>
      <c r="K15" s="52">
        <f t="shared" si="3"/>
        <v>46062</v>
      </c>
      <c r="L15" s="52">
        <f t="shared" si="3"/>
        <v>46063</v>
      </c>
      <c r="M15" s="52">
        <f t="shared" si="3"/>
        <v>46064</v>
      </c>
      <c r="N15" s="52">
        <f t="shared" si="3"/>
        <v>46065</v>
      </c>
      <c r="O15" s="52">
        <f t="shared" si="3"/>
        <v>46066</v>
      </c>
      <c r="P15" s="52">
        <f t="shared" si="3"/>
        <v>46067</v>
      </c>
      <c r="Q15" s="52">
        <f t="shared" si="3"/>
        <v>46068</v>
      </c>
      <c r="R15" s="52">
        <f t="shared" si="3"/>
        <v>46069</v>
      </c>
      <c r="S15" s="52">
        <f t="shared" si="3"/>
        <v>46070</v>
      </c>
      <c r="T15" s="52">
        <f t="shared" si="3"/>
        <v>46071</v>
      </c>
      <c r="U15" s="52">
        <f t="shared" si="3"/>
        <v>46072</v>
      </c>
      <c r="V15" s="52">
        <f t="shared" si="3"/>
        <v>46073</v>
      </c>
      <c r="W15" s="52">
        <f t="shared" si="3"/>
        <v>46074</v>
      </c>
      <c r="X15" s="52">
        <f t="shared" si="3"/>
        <v>46075</v>
      </c>
      <c r="Y15" s="52">
        <f t="shared" si="3"/>
        <v>46076</v>
      </c>
      <c r="Z15" s="52">
        <f t="shared" si="3"/>
        <v>46077</v>
      </c>
      <c r="AA15" s="52">
        <f t="shared" si="3"/>
        <v>46078</v>
      </c>
      <c r="AB15" s="52">
        <f t="shared" si="3"/>
        <v>46079</v>
      </c>
      <c r="AC15" s="52">
        <f t="shared" si="3"/>
        <v>46080</v>
      </c>
      <c r="AD15" s="52">
        <f t="shared" si="3"/>
        <v>46081</v>
      </c>
      <c r="AE15" s="52" t="str">
        <f t="shared" si="3"/>
        <v/>
      </c>
      <c r="AF15" s="52" t="str">
        <f t="shared" si="3"/>
        <v/>
      </c>
      <c r="AG15" s="52" t="str">
        <f t="shared" si="3"/>
        <v/>
      </c>
      <c r="AI15" s="46" t="s">
        <v>42</v>
      </c>
      <c r="AJ15" s="47" t="str">
        <f>_xlfn.LET(_xlpm.v,SUM(C16:AG16),IF(_xlpm.v=INT(_xlpm.v),TEXT(_xlpm.v,"0")&amp;" h",TEXT(_xlpm.v,"0.###")&amp;" h"))</f>
        <v>144 h</v>
      </c>
    </row>
    <row r="16" spans="1:36" outlineLevel="1" x14ac:dyDescent="0.45">
      <c r="A16" s="46" t="s">
        <v>38</v>
      </c>
      <c r="C16" s="42"/>
      <c r="D16" s="42">
        <v>8</v>
      </c>
      <c r="E16" s="42">
        <v>8</v>
      </c>
      <c r="F16" s="42">
        <v>8</v>
      </c>
      <c r="G16" s="42">
        <v>8</v>
      </c>
      <c r="H16" s="42">
        <v>8</v>
      </c>
      <c r="I16" s="42"/>
      <c r="J16" s="42"/>
      <c r="K16" s="42">
        <v>8</v>
      </c>
      <c r="L16" s="42">
        <v>8</v>
      </c>
      <c r="M16" s="42"/>
      <c r="N16" s="42">
        <v>8</v>
      </c>
      <c r="O16" s="42">
        <v>8</v>
      </c>
      <c r="P16" s="42"/>
      <c r="Q16" s="42"/>
      <c r="R16" s="42">
        <v>8</v>
      </c>
      <c r="S16" s="42">
        <v>8</v>
      </c>
      <c r="T16" s="42">
        <v>8</v>
      </c>
      <c r="U16" s="42">
        <v>8</v>
      </c>
      <c r="V16" s="42">
        <v>8</v>
      </c>
      <c r="W16" s="42"/>
      <c r="X16" s="42"/>
      <c r="Y16" s="42"/>
      <c r="Z16" s="42">
        <v>8</v>
      </c>
      <c r="AA16" s="42">
        <v>8</v>
      </c>
      <c r="AB16" s="42">
        <v>8</v>
      </c>
      <c r="AC16" s="42">
        <v>8</v>
      </c>
      <c r="AD16" s="42"/>
      <c r="AE16" s="42"/>
      <c r="AF16" s="42"/>
      <c r="AG16" s="42"/>
      <c r="AI16" s="50" t="s">
        <v>43</v>
      </c>
      <c r="AJ16" s="53">
        <f>COUNT(C17:AG17)</f>
        <v>18</v>
      </c>
    </row>
    <row r="17" spans="1:36" outlineLevel="1" x14ac:dyDescent="0.45">
      <c r="A17" s="50" t="s">
        <v>39</v>
      </c>
      <c r="C17" s="50"/>
      <c r="D17" s="50">
        <v>8</v>
      </c>
      <c r="E17" s="50">
        <v>8</v>
      </c>
      <c r="F17" s="50">
        <v>8</v>
      </c>
      <c r="G17" s="50">
        <v>8</v>
      </c>
      <c r="H17" s="50">
        <v>8</v>
      </c>
      <c r="I17" s="50"/>
      <c r="J17" s="50"/>
      <c r="K17" s="50">
        <v>8</v>
      </c>
      <c r="L17" s="50">
        <v>8</v>
      </c>
      <c r="M17" s="50"/>
      <c r="N17" s="50">
        <v>8</v>
      </c>
      <c r="O17" s="50">
        <v>8</v>
      </c>
      <c r="P17" s="50"/>
      <c r="Q17" s="50"/>
      <c r="R17" s="50">
        <v>8</v>
      </c>
      <c r="S17" s="50">
        <v>8</v>
      </c>
      <c r="T17" s="50">
        <v>8</v>
      </c>
      <c r="U17" s="50">
        <v>8</v>
      </c>
      <c r="V17" s="50">
        <v>8</v>
      </c>
      <c r="W17" s="50"/>
      <c r="X17" s="50"/>
      <c r="Y17" s="50"/>
      <c r="Z17" s="50">
        <v>8</v>
      </c>
      <c r="AA17" s="50">
        <v>8</v>
      </c>
      <c r="AB17" s="50">
        <v>8</v>
      </c>
      <c r="AC17" s="50">
        <v>8</v>
      </c>
      <c r="AD17" s="50"/>
      <c r="AE17" s="50"/>
      <c r="AF17" s="50"/>
      <c r="AG17" s="50"/>
      <c r="AI17" s="50" t="s">
        <v>44</v>
      </c>
      <c r="AJ17" s="51" t="str">
        <f>_xlfn.LET(_xlpm.v,SUM(C17:AG17),IF(_xlpm.v=INT(_xlpm.v),TEXT(_xlpm.v,"0")&amp;" h",TEXT(_xlpm.v,"0.###")&amp;" h"))</f>
        <v>144 h</v>
      </c>
    </row>
    <row r="18" spans="1:36" outlineLevel="1" x14ac:dyDescent="0.45">
      <c r="A18" s="50" t="s">
        <v>37</v>
      </c>
      <c r="C18" s="50"/>
      <c r="D18" s="50" t="s">
        <v>22</v>
      </c>
      <c r="E18" s="50" t="s">
        <v>22</v>
      </c>
      <c r="F18" s="50" t="s">
        <v>22</v>
      </c>
      <c r="G18" s="50" t="s">
        <v>22</v>
      </c>
      <c r="H18" s="50" t="s">
        <v>22</v>
      </c>
      <c r="I18" s="50"/>
      <c r="J18" s="50"/>
      <c r="K18" s="50" t="s">
        <v>22</v>
      </c>
      <c r="L18" s="50" t="s">
        <v>22</v>
      </c>
      <c r="M18" s="50"/>
      <c r="N18" s="50" t="s">
        <v>22</v>
      </c>
      <c r="O18" s="50" t="s">
        <v>22</v>
      </c>
      <c r="P18" s="50"/>
      <c r="Q18" s="50"/>
      <c r="R18" s="50" t="s">
        <v>22</v>
      </c>
      <c r="S18" s="50" t="s">
        <v>22</v>
      </c>
      <c r="T18" s="50" t="s">
        <v>22</v>
      </c>
      <c r="U18" s="50" t="s">
        <v>22</v>
      </c>
      <c r="V18" s="50" t="s">
        <v>22</v>
      </c>
      <c r="W18" s="50"/>
      <c r="X18" s="50"/>
      <c r="Y18" s="50"/>
      <c r="Z18" s="50" t="s">
        <v>22</v>
      </c>
      <c r="AA18" s="50" t="s">
        <v>22</v>
      </c>
      <c r="AB18" s="50" t="s">
        <v>22</v>
      </c>
      <c r="AC18" s="50" t="s">
        <v>22</v>
      </c>
      <c r="AD18" s="50"/>
      <c r="AE18" s="50"/>
      <c r="AF18" s="50"/>
      <c r="AG18" s="50"/>
      <c r="AI18" s="50" t="s">
        <v>45</v>
      </c>
      <c r="AJ18" s="53">
        <f>COUNTIF(C18:AG18,"出")</f>
        <v>0</v>
      </c>
    </row>
    <row r="19" spans="1:36" outlineLevel="1" x14ac:dyDescent="0.45">
      <c r="A19" s="50" t="s">
        <v>40</v>
      </c>
      <c r="C19" s="390"/>
      <c r="D19" s="390"/>
      <c r="E19" s="390"/>
      <c r="F19" s="390"/>
      <c r="G19" s="390"/>
      <c r="H19" s="390"/>
      <c r="I19" s="390"/>
      <c r="J19" s="390"/>
      <c r="K19" s="390"/>
      <c r="L19" s="390"/>
      <c r="M19" s="390"/>
      <c r="N19" s="390"/>
      <c r="O19" s="390"/>
      <c r="P19" s="390"/>
      <c r="Q19" s="390"/>
      <c r="S19" s="390"/>
      <c r="T19" s="390"/>
      <c r="U19" s="390"/>
      <c r="V19" s="390"/>
      <c r="W19" s="390"/>
      <c r="X19" s="390"/>
      <c r="Y19" s="390"/>
      <c r="Z19" s="390"/>
      <c r="AA19" s="390"/>
      <c r="AB19" s="390"/>
      <c r="AC19" s="390"/>
      <c r="AD19" s="390"/>
      <c r="AE19" s="390"/>
      <c r="AF19" s="390"/>
      <c r="AG19" s="390"/>
      <c r="AI19" s="50" t="s">
        <v>46</v>
      </c>
      <c r="AJ19" s="53">
        <f>COUNTIF(C18:AG18,"リ")</f>
        <v>18</v>
      </c>
    </row>
    <row r="20" spans="1:36" outlineLevel="1" x14ac:dyDescent="0.45">
      <c r="C20" s="390"/>
      <c r="D20" s="390"/>
      <c r="E20" s="390"/>
      <c r="F20" s="390"/>
      <c r="G20" s="390"/>
      <c r="H20" s="390"/>
      <c r="I20" s="390"/>
      <c r="J20" s="390"/>
      <c r="K20" s="390"/>
      <c r="L20" s="390"/>
      <c r="M20" s="390"/>
      <c r="N20" s="390"/>
      <c r="O20" s="390"/>
      <c r="P20" s="390"/>
      <c r="Q20" s="390"/>
      <c r="S20" s="390"/>
      <c r="T20" s="390"/>
      <c r="U20" s="390"/>
      <c r="V20" s="390"/>
      <c r="W20" s="390"/>
      <c r="X20" s="390"/>
      <c r="Y20" s="390"/>
      <c r="Z20" s="390"/>
      <c r="AA20" s="390"/>
      <c r="AB20" s="390"/>
      <c r="AC20" s="390"/>
      <c r="AD20" s="390"/>
      <c r="AE20" s="390"/>
      <c r="AF20" s="390"/>
      <c r="AG20" s="390"/>
      <c r="AI20" s="50" t="s">
        <v>25</v>
      </c>
      <c r="AJ20" s="54">
        <f>AJ18/(AJ18+AJ19)</f>
        <v>0</v>
      </c>
    </row>
    <row r="21" spans="1:36" outlineLevel="1" x14ac:dyDescent="0.45">
      <c r="C21" s="390"/>
      <c r="D21" s="390"/>
      <c r="E21" s="390"/>
      <c r="F21" s="390"/>
      <c r="G21" s="390"/>
      <c r="H21" s="390"/>
      <c r="I21" s="390"/>
      <c r="J21" s="390"/>
      <c r="K21" s="390"/>
      <c r="L21" s="390"/>
      <c r="M21" s="390"/>
      <c r="N21" s="390"/>
      <c r="O21" s="390"/>
      <c r="P21" s="390"/>
      <c r="Q21" s="390"/>
      <c r="S21" s="390"/>
      <c r="T21" s="390"/>
      <c r="U21" s="390"/>
      <c r="V21" s="390"/>
      <c r="W21" s="390"/>
      <c r="X21" s="390"/>
      <c r="Y21" s="390"/>
      <c r="Z21" s="390"/>
      <c r="AA21" s="390"/>
      <c r="AB21" s="390"/>
      <c r="AC21" s="390"/>
      <c r="AD21" s="390"/>
      <c r="AE21" s="390"/>
      <c r="AF21" s="390"/>
      <c r="AG21" s="390"/>
    </row>
    <row r="22" spans="1:36" outlineLevel="1" x14ac:dyDescent="0.45">
      <c r="C22" s="390"/>
      <c r="D22" s="390"/>
      <c r="E22" s="390"/>
      <c r="F22" s="390"/>
      <c r="G22" s="390"/>
      <c r="H22" s="390"/>
      <c r="I22" s="390"/>
      <c r="J22" s="390"/>
      <c r="K22" s="390"/>
      <c r="L22" s="390"/>
      <c r="M22" s="390"/>
      <c r="N22" s="390"/>
      <c r="O22" s="390"/>
      <c r="P22" s="390"/>
      <c r="Q22" s="390"/>
      <c r="S22" s="390"/>
      <c r="T22" s="390"/>
      <c r="U22" s="390"/>
      <c r="V22" s="390"/>
      <c r="W22" s="390"/>
      <c r="X22" s="390"/>
      <c r="Y22" s="390"/>
      <c r="Z22" s="390"/>
      <c r="AA22" s="390"/>
      <c r="AB22" s="390"/>
      <c r="AC22" s="390"/>
      <c r="AD22" s="390"/>
      <c r="AE22" s="390"/>
      <c r="AF22" s="390"/>
      <c r="AG22" s="390"/>
    </row>
    <row r="23" spans="1:36" outlineLevel="1" x14ac:dyDescent="0.45">
      <c r="C23" s="390"/>
      <c r="D23" s="390"/>
      <c r="E23" s="390"/>
      <c r="F23" s="390"/>
      <c r="G23" s="390"/>
      <c r="H23" s="390"/>
      <c r="I23" s="390"/>
      <c r="J23" s="390"/>
      <c r="K23" s="390"/>
      <c r="L23" s="390"/>
      <c r="M23" s="390"/>
      <c r="N23" s="390"/>
      <c r="O23" s="390"/>
      <c r="P23" s="390"/>
      <c r="Q23" s="390"/>
      <c r="S23" s="390"/>
      <c r="T23" s="390"/>
      <c r="U23" s="390"/>
      <c r="V23" s="390"/>
      <c r="W23" s="390"/>
      <c r="X23" s="390"/>
      <c r="Y23" s="390"/>
      <c r="Z23" s="390"/>
      <c r="AA23" s="390"/>
      <c r="AB23" s="390"/>
      <c r="AC23" s="390"/>
      <c r="AD23" s="390"/>
      <c r="AE23" s="390"/>
      <c r="AF23" s="390"/>
      <c r="AG23" s="390"/>
    </row>
    <row r="24" spans="1:36" outlineLevel="1" x14ac:dyDescent="0.45"/>
    <row r="25" spans="1:36" x14ac:dyDescent="0.45">
      <c r="C25" s="367">
        <v>46082</v>
      </c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B25" s="357"/>
      <c r="AC25" s="357"/>
      <c r="AD25" s="357"/>
      <c r="AE25" s="357"/>
      <c r="AF25" s="357"/>
      <c r="AG25" s="357"/>
    </row>
    <row r="26" spans="1:36" outlineLevel="1" x14ac:dyDescent="0.45">
      <c r="C26" s="50" t="str">
        <f t="shared" ref="C26:AG26" si="4">TEXT(C27,"aaa")</f>
        <v>日</v>
      </c>
      <c r="D26" s="50" t="str">
        <f t="shared" si="4"/>
        <v>月</v>
      </c>
      <c r="E26" s="50" t="str">
        <f t="shared" si="4"/>
        <v>火</v>
      </c>
      <c r="F26" s="50" t="str">
        <f t="shared" si="4"/>
        <v>水</v>
      </c>
      <c r="G26" s="50" t="str">
        <f t="shared" si="4"/>
        <v>木</v>
      </c>
      <c r="H26" s="50" t="str">
        <f t="shared" si="4"/>
        <v>金</v>
      </c>
      <c r="I26" s="50" t="str">
        <f t="shared" si="4"/>
        <v>土</v>
      </c>
      <c r="J26" s="50" t="str">
        <f t="shared" si="4"/>
        <v>日</v>
      </c>
      <c r="K26" s="50" t="str">
        <f t="shared" si="4"/>
        <v>月</v>
      </c>
      <c r="L26" s="50" t="str">
        <f t="shared" si="4"/>
        <v>火</v>
      </c>
      <c r="M26" s="50" t="str">
        <f t="shared" si="4"/>
        <v>水</v>
      </c>
      <c r="N26" s="50" t="str">
        <f t="shared" si="4"/>
        <v>木</v>
      </c>
      <c r="O26" s="50" t="str">
        <f t="shared" si="4"/>
        <v>金</v>
      </c>
      <c r="P26" s="50" t="str">
        <f t="shared" si="4"/>
        <v>土</v>
      </c>
      <c r="Q26" s="50" t="str">
        <f t="shared" si="4"/>
        <v>日</v>
      </c>
      <c r="R26" s="50" t="str">
        <f t="shared" si="4"/>
        <v>月</v>
      </c>
      <c r="S26" s="50" t="str">
        <f t="shared" si="4"/>
        <v>火</v>
      </c>
      <c r="T26" s="50" t="str">
        <f t="shared" si="4"/>
        <v>水</v>
      </c>
      <c r="U26" s="50" t="str">
        <f t="shared" si="4"/>
        <v>木</v>
      </c>
      <c r="V26" s="50" t="str">
        <f t="shared" si="4"/>
        <v>金</v>
      </c>
      <c r="W26" s="50" t="str">
        <f t="shared" si="4"/>
        <v>土</v>
      </c>
      <c r="X26" s="50" t="str">
        <f t="shared" si="4"/>
        <v>日</v>
      </c>
      <c r="Y26" s="50" t="str">
        <f t="shared" si="4"/>
        <v>月</v>
      </c>
      <c r="Z26" s="50" t="str">
        <f t="shared" si="4"/>
        <v>火</v>
      </c>
      <c r="AA26" s="50" t="str">
        <f t="shared" si="4"/>
        <v>水</v>
      </c>
      <c r="AB26" s="50" t="str">
        <f t="shared" si="4"/>
        <v>木</v>
      </c>
      <c r="AC26" s="50" t="str">
        <f t="shared" si="4"/>
        <v>金</v>
      </c>
      <c r="AD26" s="50" t="str">
        <f t="shared" si="4"/>
        <v>土</v>
      </c>
      <c r="AE26" s="50" t="str">
        <f t="shared" si="4"/>
        <v>日</v>
      </c>
      <c r="AF26" s="50" t="str">
        <f t="shared" si="4"/>
        <v>月</v>
      </c>
      <c r="AG26" s="50" t="str">
        <f t="shared" si="4"/>
        <v>火</v>
      </c>
      <c r="AI26" s="46" t="s">
        <v>41</v>
      </c>
      <c r="AJ26" s="48">
        <f>COUNT(C28:AG28)</f>
        <v>21</v>
      </c>
    </row>
    <row r="27" spans="1:36" outlineLevel="1" x14ac:dyDescent="0.45">
      <c r="C27" s="52">
        <f>C25</f>
        <v>46082</v>
      </c>
      <c r="D27" s="52">
        <f t="shared" ref="D27:AG27" si="5">IF(C27="","",IF(C27+1&lt;=EOMONTH($C25,0),C27+1,""))</f>
        <v>46083</v>
      </c>
      <c r="E27" s="52">
        <f t="shared" si="5"/>
        <v>46084</v>
      </c>
      <c r="F27" s="52">
        <f t="shared" si="5"/>
        <v>46085</v>
      </c>
      <c r="G27" s="52">
        <f t="shared" si="5"/>
        <v>46086</v>
      </c>
      <c r="H27" s="52">
        <f t="shared" si="5"/>
        <v>46087</v>
      </c>
      <c r="I27" s="52">
        <f t="shared" si="5"/>
        <v>46088</v>
      </c>
      <c r="J27" s="52">
        <f t="shared" si="5"/>
        <v>46089</v>
      </c>
      <c r="K27" s="52">
        <f t="shared" si="5"/>
        <v>46090</v>
      </c>
      <c r="L27" s="52">
        <f t="shared" si="5"/>
        <v>46091</v>
      </c>
      <c r="M27" s="52">
        <f t="shared" si="5"/>
        <v>46092</v>
      </c>
      <c r="N27" s="52">
        <f t="shared" si="5"/>
        <v>46093</v>
      </c>
      <c r="O27" s="52">
        <f t="shared" si="5"/>
        <v>46094</v>
      </c>
      <c r="P27" s="52">
        <f t="shared" si="5"/>
        <v>46095</v>
      </c>
      <c r="Q27" s="52">
        <f t="shared" si="5"/>
        <v>46096</v>
      </c>
      <c r="R27" s="52">
        <f t="shared" si="5"/>
        <v>46097</v>
      </c>
      <c r="S27" s="52">
        <f t="shared" si="5"/>
        <v>46098</v>
      </c>
      <c r="T27" s="52">
        <f t="shared" si="5"/>
        <v>46099</v>
      </c>
      <c r="U27" s="52">
        <f t="shared" si="5"/>
        <v>46100</v>
      </c>
      <c r="V27" s="52">
        <f t="shared" si="5"/>
        <v>46101</v>
      </c>
      <c r="W27" s="52">
        <f t="shared" si="5"/>
        <v>46102</v>
      </c>
      <c r="X27" s="52">
        <f t="shared" si="5"/>
        <v>46103</v>
      </c>
      <c r="Y27" s="52">
        <f t="shared" si="5"/>
        <v>46104</v>
      </c>
      <c r="Z27" s="52">
        <f t="shared" si="5"/>
        <v>46105</v>
      </c>
      <c r="AA27" s="52">
        <f t="shared" si="5"/>
        <v>46106</v>
      </c>
      <c r="AB27" s="52">
        <f t="shared" si="5"/>
        <v>46107</v>
      </c>
      <c r="AC27" s="52">
        <f t="shared" si="5"/>
        <v>46108</v>
      </c>
      <c r="AD27" s="52">
        <f t="shared" si="5"/>
        <v>46109</v>
      </c>
      <c r="AE27" s="52">
        <f t="shared" si="5"/>
        <v>46110</v>
      </c>
      <c r="AF27" s="52">
        <f t="shared" si="5"/>
        <v>46111</v>
      </c>
      <c r="AG27" s="52">
        <f t="shared" si="5"/>
        <v>46112</v>
      </c>
      <c r="AI27" s="46" t="s">
        <v>42</v>
      </c>
      <c r="AJ27" s="47" t="str">
        <f>_xlfn.LET(_xlpm.v,SUM(C28:AG28),IF(_xlpm.v=INT(_xlpm.v),TEXT(_xlpm.v,"0")&amp;" h",TEXT(_xlpm.v,"0.###")&amp;" h"))</f>
        <v>168 h</v>
      </c>
    </row>
    <row r="28" spans="1:36" outlineLevel="1" x14ac:dyDescent="0.45">
      <c r="A28" s="46" t="s">
        <v>38</v>
      </c>
      <c r="C28" s="42"/>
      <c r="D28" s="42">
        <v>8</v>
      </c>
      <c r="E28" s="42">
        <v>8</v>
      </c>
      <c r="F28" s="42">
        <v>8</v>
      </c>
      <c r="G28" s="42">
        <v>8</v>
      </c>
      <c r="H28" s="42">
        <v>8</v>
      </c>
      <c r="I28" s="42"/>
      <c r="J28" s="42"/>
      <c r="K28" s="42">
        <v>8</v>
      </c>
      <c r="L28" s="42">
        <v>8</v>
      </c>
      <c r="M28" s="42">
        <v>8</v>
      </c>
      <c r="N28" s="42">
        <v>8</v>
      </c>
      <c r="O28" s="42">
        <v>8</v>
      </c>
      <c r="P28" s="42"/>
      <c r="Q28" s="42"/>
      <c r="R28" s="42">
        <v>8</v>
      </c>
      <c r="S28" s="42">
        <v>8</v>
      </c>
      <c r="T28" s="42">
        <v>8</v>
      </c>
      <c r="U28" s="42">
        <v>8</v>
      </c>
      <c r="V28" s="42"/>
      <c r="W28" s="42"/>
      <c r="X28" s="42"/>
      <c r="Y28" s="42">
        <v>8</v>
      </c>
      <c r="Z28" s="42">
        <v>8</v>
      </c>
      <c r="AA28" s="42">
        <v>8</v>
      </c>
      <c r="AB28" s="42">
        <v>8</v>
      </c>
      <c r="AC28" s="42">
        <v>8</v>
      </c>
      <c r="AD28" s="42"/>
      <c r="AE28" s="42"/>
      <c r="AF28" s="42">
        <v>8</v>
      </c>
      <c r="AG28" s="42">
        <v>8</v>
      </c>
      <c r="AI28" s="50" t="s">
        <v>43</v>
      </c>
      <c r="AJ28" s="53">
        <f>COUNT(C29:AG29)</f>
        <v>21</v>
      </c>
    </row>
    <row r="29" spans="1:36" outlineLevel="1" x14ac:dyDescent="0.45">
      <c r="A29" s="50" t="s">
        <v>39</v>
      </c>
      <c r="C29" s="50"/>
      <c r="D29" s="50">
        <v>8</v>
      </c>
      <c r="E29" s="50">
        <v>8</v>
      </c>
      <c r="F29" s="50">
        <v>8</v>
      </c>
      <c r="G29" s="50">
        <v>8</v>
      </c>
      <c r="H29" s="50">
        <v>8</v>
      </c>
      <c r="I29" s="50"/>
      <c r="J29" s="50"/>
      <c r="K29" s="50">
        <v>8</v>
      </c>
      <c r="L29" s="50">
        <v>8</v>
      </c>
      <c r="M29" s="50">
        <v>8</v>
      </c>
      <c r="N29" s="50">
        <v>8</v>
      </c>
      <c r="O29" s="50">
        <v>8</v>
      </c>
      <c r="P29" s="50"/>
      <c r="Q29" s="50"/>
      <c r="R29" s="50">
        <v>8</v>
      </c>
      <c r="S29" s="50">
        <v>8</v>
      </c>
      <c r="T29" s="50">
        <v>8</v>
      </c>
      <c r="U29" s="50">
        <v>8</v>
      </c>
      <c r="V29" s="50"/>
      <c r="W29" s="50"/>
      <c r="X29" s="50"/>
      <c r="Y29" s="50">
        <v>8</v>
      </c>
      <c r="Z29" s="50">
        <v>8</v>
      </c>
      <c r="AA29" s="50">
        <v>8</v>
      </c>
      <c r="AB29" s="50">
        <v>8</v>
      </c>
      <c r="AC29" s="50">
        <v>8</v>
      </c>
      <c r="AD29" s="50"/>
      <c r="AE29" s="50"/>
      <c r="AF29" s="50">
        <v>8</v>
      </c>
      <c r="AG29" s="50">
        <v>8</v>
      </c>
      <c r="AI29" s="50" t="s">
        <v>44</v>
      </c>
      <c r="AJ29" s="51" t="str">
        <f>_xlfn.LET(_xlpm.v,SUM(C29:AG29),IF(_xlpm.v=INT(_xlpm.v),TEXT(_xlpm.v,"0")&amp;" h",TEXT(_xlpm.v,"0.###")&amp;" h"))</f>
        <v>168 h</v>
      </c>
    </row>
    <row r="30" spans="1:36" outlineLevel="1" x14ac:dyDescent="0.45">
      <c r="A30" s="50" t="s">
        <v>37</v>
      </c>
      <c r="C30" s="50"/>
      <c r="D30" s="50" t="s">
        <v>22</v>
      </c>
      <c r="E30" s="50" t="s">
        <v>22</v>
      </c>
      <c r="F30" s="50" t="s">
        <v>22</v>
      </c>
      <c r="G30" s="50" t="s">
        <v>22</v>
      </c>
      <c r="H30" s="50" t="s">
        <v>22</v>
      </c>
      <c r="I30" s="50"/>
      <c r="J30" s="50"/>
      <c r="K30" s="50" t="s">
        <v>22</v>
      </c>
      <c r="L30" s="50" t="s">
        <v>22</v>
      </c>
      <c r="M30" s="50" t="s">
        <v>22</v>
      </c>
      <c r="N30" s="50" t="s">
        <v>22</v>
      </c>
      <c r="O30" s="50" t="s">
        <v>22</v>
      </c>
      <c r="P30" s="50"/>
      <c r="Q30" s="50"/>
      <c r="R30" s="50" t="s">
        <v>22</v>
      </c>
      <c r="S30" s="50" t="s">
        <v>22</v>
      </c>
      <c r="T30" s="50" t="s">
        <v>22</v>
      </c>
      <c r="U30" s="50" t="s">
        <v>22</v>
      </c>
      <c r="V30" s="50"/>
      <c r="W30" s="50"/>
      <c r="X30" s="50"/>
      <c r="Y30" s="50" t="s">
        <v>22</v>
      </c>
      <c r="Z30" s="50" t="s">
        <v>22</v>
      </c>
      <c r="AA30" s="50" t="s">
        <v>22</v>
      </c>
      <c r="AB30" s="50" t="s">
        <v>22</v>
      </c>
      <c r="AC30" s="50" t="s">
        <v>22</v>
      </c>
      <c r="AD30" s="50"/>
      <c r="AE30" s="50"/>
      <c r="AF30" s="50" t="s">
        <v>22</v>
      </c>
      <c r="AG30" s="50" t="s">
        <v>22</v>
      </c>
      <c r="AI30" s="50" t="s">
        <v>45</v>
      </c>
      <c r="AJ30" s="53">
        <f>COUNTIF(C30:AG30,"出")</f>
        <v>0</v>
      </c>
    </row>
    <row r="31" spans="1:36" outlineLevel="1" x14ac:dyDescent="0.45">
      <c r="A31" s="50" t="s">
        <v>40</v>
      </c>
      <c r="C31" s="390"/>
      <c r="D31" s="390"/>
      <c r="E31" s="390"/>
      <c r="F31" s="390"/>
      <c r="G31" s="390"/>
      <c r="H31" s="390"/>
      <c r="I31" s="390"/>
      <c r="J31" s="390"/>
      <c r="K31" s="390"/>
      <c r="L31" s="390"/>
      <c r="M31" s="390"/>
      <c r="N31" s="390"/>
      <c r="O31" s="390"/>
      <c r="P31" s="390"/>
      <c r="Q31" s="390"/>
      <c r="S31" s="390"/>
      <c r="T31" s="390"/>
      <c r="U31" s="390"/>
      <c r="V31" s="390"/>
      <c r="W31" s="390"/>
      <c r="X31" s="390"/>
      <c r="Y31" s="390"/>
      <c r="Z31" s="390"/>
      <c r="AA31" s="390"/>
      <c r="AB31" s="390"/>
      <c r="AC31" s="390"/>
      <c r="AD31" s="390"/>
      <c r="AE31" s="390"/>
      <c r="AF31" s="390"/>
      <c r="AG31" s="390"/>
      <c r="AI31" s="50" t="s">
        <v>46</v>
      </c>
      <c r="AJ31" s="53">
        <f>COUNTIF(C30:AG30,"リ")</f>
        <v>21</v>
      </c>
    </row>
    <row r="32" spans="1:36" outlineLevel="1" x14ac:dyDescent="0.45">
      <c r="C32" s="390"/>
      <c r="D32" s="390"/>
      <c r="E32" s="390"/>
      <c r="F32" s="390"/>
      <c r="G32" s="390"/>
      <c r="H32" s="390"/>
      <c r="I32" s="390"/>
      <c r="J32" s="390"/>
      <c r="K32" s="390"/>
      <c r="L32" s="390"/>
      <c r="M32" s="390"/>
      <c r="N32" s="390"/>
      <c r="O32" s="390"/>
      <c r="P32" s="390"/>
      <c r="Q32" s="390"/>
      <c r="S32" s="390"/>
      <c r="T32" s="390"/>
      <c r="U32" s="390"/>
      <c r="V32" s="390"/>
      <c r="W32" s="390"/>
      <c r="X32" s="390"/>
      <c r="Y32" s="390"/>
      <c r="Z32" s="390"/>
      <c r="AA32" s="390"/>
      <c r="AB32" s="390"/>
      <c r="AC32" s="390"/>
      <c r="AD32" s="390"/>
      <c r="AE32" s="390"/>
      <c r="AF32" s="390"/>
      <c r="AG32" s="390"/>
      <c r="AI32" s="50" t="s">
        <v>25</v>
      </c>
      <c r="AJ32" s="54">
        <f>AJ30/(AJ30+AJ31)</f>
        <v>0</v>
      </c>
    </row>
    <row r="33" spans="1:36" outlineLevel="1" x14ac:dyDescent="0.45">
      <c r="C33" s="390"/>
      <c r="D33" s="390"/>
      <c r="E33" s="390"/>
      <c r="F33" s="390"/>
      <c r="G33" s="390"/>
      <c r="H33" s="390"/>
      <c r="I33" s="390"/>
      <c r="J33" s="390"/>
      <c r="K33" s="390"/>
      <c r="L33" s="390"/>
      <c r="M33" s="390"/>
      <c r="N33" s="390"/>
      <c r="O33" s="390"/>
      <c r="P33" s="390"/>
      <c r="Q33" s="390"/>
      <c r="S33" s="390"/>
      <c r="T33" s="390"/>
      <c r="U33" s="390"/>
      <c r="V33" s="390"/>
      <c r="W33" s="390"/>
      <c r="X33" s="390"/>
      <c r="Y33" s="390"/>
      <c r="Z33" s="390"/>
      <c r="AA33" s="390"/>
      <c r="AB33" s="390"/>
      <c r="AC33" s="390"/>
      <c r="AD33" s="390"/>
      <c r="AE33" s="390"/>
      <c r="AF33" s="390"/>
      <c r="AG33" s="390"/>
    </row>
    <row r="34" spans="1:36" outlineLevel="1" x14ac:dyDescent="0.45">
      <c r="C34" s="390"/>
      <c r="D34" s="390"/>
      <c r="E34" s="390"/>
      <c r="F34" s="390"/>
      <c r="G34" s="390"/>
      <c r="H34" s="390"/>
      <c r="I34" s="390"/>
      <c r="J34" s="390"/>
      <c r="K34" s="390"/>
      <c r="L34" s="390"/>
      <c r="M34" s="390"/>
      <c r="N34" s="390"/>
      <c r="O34" s="390"/>
      <c r="P34" s="390"/>
      <c r="Q34" s="390"/>
      <c r="S34" s="390"/>
      <c r="T34" s="390"/>
      <c r="U34" s="390"/>
      <c r="V34" s="390"/>
      <c r="W34" s="390"/>
      <c r="X34" s="390"/>
      <c r="Y34" s="390"/>
      <c r="Z34" s="390"/>
      <c r="AA34" s="390"/>
      <c r="AB34" s="390"/>
      <c r="AC34" s="390"/>
      <c r="AD34" s="390"/>
      <c r="AE34" s="390"/>
      <c r="AF34" s="390"/>
      <c r="AG34" s="390"/>
    </row>
    <row r="35" spans="1:36" outlineLevel="1" x14ac:dyDescent="0.45">
      <c r="C35" s="390"/>
      <c r="D35" s="390"/>
      <c r="E35" s="390"/>
      <c r="F35" s="390"/>
      <c r="G35" s="390"/>
      <c r="H35" s="390"/>
      <c r="I35" s="390"/>
      <c r="J35" s="390"/>
      <c r="K35" s="390"/>
      <c r="L35" s="390"/>
      <c r="M35" s="390"/>
      <c r="N35" s="390"/>
      <c r="O35" s="390"/>
      <c r="P35" s="390"/>
      <c r="Q35" s="390"/>
      <c r="S35" s="390"/>
      <c r="T35" s="390"/>
      <c r="U35" s="390"/>
      <c r="V35" s="390"/>
      <c r="W35" s="390"/>
      <c r="X35" s="390"/>
      <c r="Y35" s="390"/>
      <c r="Z35" s="390"/>
      <c r="AA35" s="390"/>
      <c r="AB35" s="390"/>
      <c r="AC35" s="390"/>
      <c r="AD35" s="390"/>
      <c r="AE35" s="390"/>
      <c r="AF35" s="390"/>
      <c r="AG35" s="390"/>
    </row>
    <row r="36" spans="1:36" outlineLevel="1" x14ac:dyDescent="0.45"/>
    <row r="37" spans="1:36" x14ac:dyDescent="0.45">
      <c r="C37" s="367">
        <v>46113</v>
      </c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57"/>
      <c r="AC37" s="357"/>
      <c r="AD37" s="357"/>
      <c r="AE37" s="357"/>
      <c r="AF37" s="357"/>
      <c r="AG37" s="357"/>
    </row>
    <row r="38" spans="1:36" outlineLevel="1" x14ac:dyDescent="0.45">
      <c r="C38" s="50" t="str">
        <f t="shared" ref="C38:AG38" si="6">TEXT(C39,"aaa")</f>
        <v>水</v>
      </c>
      <c r="D38" s="50" t="str">
        <f t="shared" si="6"/>
        <v>木</v>
      </c>
      <c r="E38" s="50" t="str">
        <f t="shared" si="6"/>
        <v>金</v>
      </c>
      <c r="F38" s="50" t="str">
        <f t="shared" si="6"/>
        <v>土</v>
      </c>
      <c r="G38" s="50" t="str">
        <f t="shared" si="6"/>
        <v>日</v>
      </c>
      <c r="H38" s="50" t="str">
        <f t="shared" si="6"/>
        <v>月</v>
      </c>
      <c r="I38" s="50" t="str">
        <f t="shared" si="6"/>
        <v>火</v>
      </c>
      <c r="J38" s="50" t="str">
        <f t="shared" si="6"/>
        <v>水</v>
      </c>
      <c r="K38" s="50" t="str">
        <f t="shared" si="6"/>
        <v>木</v>
      </c>
      <c r="L38" s="50" t="str">
        <f t="shared" si="6"/>
        <v>金</v>
      </c>
      <c r="M38" s="50" t="str">
        <f t="shared" si="6"/>
        <v>土</v>
      </c>
      <c r="N38" s="50" t="str">
        <f t="shared" si="6"/>
        <v>日</v>
      </c>
      <c r="O38" s="50" t="str">
        <f t="shared" si="6"/>
        <v>月</v>
      </c>
      <c r="P38" s="50" t="str">
        <f t="shared" si="6"/>
        <v>火</v>
      </c>
      <c r="Q38" s="50" t="str">
        <f t="shared" si="6"/>
        <v>水</v>
      </c>
      <c r="R38" s="50" t="str">
        <f t="shared" si="6"/>
        <v>木</v>
      </c>
      <c r="S38" s="50" t="str">
        <f t="shared" si="6"/>
        <v>金</v>
      </c>
      <c r="T38" s="50" t="str">
        <f t="shared" si="6"/>
        <v>土</v>
      </c>
      <c r="U38" s="50" t="str">
        <f t="shared" si="6"/>
        <v>日</v>
      </c>
      <c r="V38" s="50" t="str">
        <f t="shared" si="6"/>
        <v>月</v>
      </c>
      <c r="W38" s="50" t="str">
        <f t="shared" si="6"/>
        <v>火</v>
      </c>
      <c r="X38" s="50" t="str">
        <f t="shared" si="6"/>
        <v>水</v>
      </c>
      <c r="Y38" s="50" t="str">
        <f t="shared" si="6"/>
        <v>木</v>
      </c>
      <c r="Z38" s="50" t="str">
        <f t="shared" si="6"/>
        <v>金</v>
      </c>
      <c r="AA38" s="50" t="str">
        <f t="shared" si="6"/>
        <v>土</v>
      </c>
      <c r="AB38" s="50" t="str">
        <f t="shared" si="6"/>
        <v>日</v>
      </c>
      <c r="AC38" s="50" t="str">
        <f t="shared" si="6"/>
        <v>月</v>
      </c>
      <c r="AD38" s="50" t="str">
        <f t="shared" si="6"/>
        <v>火</v>
      </c>
      <c r="AE38" s="50" t="str">
        <f t="shared" si="6"/>
        <v>水</v>
      </c>
      <c r="AF38" s="50" t="str">
        <f t="shared" si="6"/>
        <v>木</v>
      </c>
      <c r="AG38" s="50" t="str">
        <f t="shared" si="6"/>
        <v/>
      </c>
      <c r="AI38" s="46" t="s">
        <v>41</v>
      </c>
      <c r="AJ38" s="48">
        <f>COUNT(C40:AG40)</f>
        <v>21</v>
      </c>
    </row>
    <row r="39" spans="1:36" outlineLevel="1" x14ac:dyDescent="0.45">
      <c r="C39" s="52">
        <f>C37</f>
        <v>46113</v>
      </c>
      <c r="D39" s="52">
        <f t="shared" ref="D39:AG39" si="7">IF(C39="","",IF(C39+1&lt;=EOMONTH($C37,0),C39+1,""))</f>
        <v>46114</v>
      </c>
      <c r="E39" s="52">
        <f t="shared" si="7"/>
        <v>46115</v>
      </c>
      <c r="F39" s="52">
        <f t="shared" si="7"/>
        <v>46116</v>
      </c>
      <c r="G39" s="52">
        <f t="shared" si="7"/>
        <v>46117</v>
      </c>
      <c r="H39" s="52">
        <f t="shared" si="7"/>
        <v>46118</v>
      </c>
      <c r="I39" s="52">
        <f t="shared" si="7"/>
        <v>46119</v>
      </c>
      <c r="J39" s="52">
        <f t="shared" si="7"/>
        <v>46120</v>
      </c>
      <c r="K39" s="52">
        <f t="shared" si="7"/>
        <v>46121</v>
      </c>
      <c r="L39" s="52">
        <f t="shared" si="7"/>
        <v>46122</v>
      </c>
      <c r="M39" s="52">
        <f t="shared" si="7"/>
        <v>46123</v>
      </c>
      <c r="N39" s="52">
        <f t="shared" si="7"/>
        <v>46124</v>
      </c>
      <c r="O39" s="52">
        <f t="shared" si="7"/>
        <v>46125</v>
      </c>
      <c r="P39" s="52">
        <f t="shared" si="7"/>
        <v>46126</v>
      </c>
      <c r="Q39" s="52">
        <f t="shared" si="7"/>
        <v>46127</v>
      </c>
      <c r="R39" s="52">
        <f t="shared" si="7"/>
        <v>46128</v>
      </c>
      <c r="S39" s="52">
        <f t="shared" si="7"/>
        <v>46129</v>
      </c>
      <c r="T39" s="52">
        <f t="shared" si="7"/>
        <v>46130</v>
      </c>
      <c r="U39" s="52">
        <f t="shared" si="7"/>
        <v>46131</v>
      </c>
      <c r="V39" s="52">
        <f t="shared" si="7"/>
        <v>46132</v>
      </c>
      <c r="W39" s="52">
        <f t="shared" si="7"/>
        <v>46133</v>
      </c>
      <c r="X39" s="52">
        <f t="shared" si="7"/>
        <v>46134</v>
      </c>
      <c r="Y39" s="52">
        <f t="shared" si="7"/>
        <v>46135</v>
      </c>
      <c r="Z39" s="52">
        <f t="shared" si="7"/>
        <v>46136</v>
      </c>
      <c r="AA39" s="52">
        <f t="shared" si="7"/>
        <v>46137</v>
      </c>
      <c r="AB39" s="52">
        <f t="shared" si="7"/>
        <v>46138</v>
      </c>
      <c r="AC39" s="52">
        <f t="shared" si="7"/>
        <v>46139</v>
      </c>
      <c r="AD39" s="52">
        <f t="shared" si="7"/>
        <v>46140</v>
      </c>
      <c r="AE39" s="52">
        <f t="shared" si="7"/>
        <v>46141</v>
      </c>
      <c r="AF39" s="52">
        <f t="shared" si="7"/>
        <v>46142</v>
      </c>
      <c r="AG39" s="52" t="str">
        <f t="shared" si="7"/>
        <v/>
      </c>
      <c r="AI39" s="46" t="s">
        <v>42</v>
      </c>
      <c r="AJ39" s="47" t="str">
        <f>_xlfn.LET(_xlpm.v,SUM(C40:AG40),IF(_xlpm.v=INT(_xlpm.v),TEXT(_xlpm.v,"0")&amp;" h",TEXT(_xlpm.v,"0.###")&amp;" h"))</f>
        <v>168 h</v>
      </c>
    </row>
    <row r="40" spans="1:36" outlineLevel="1" x14ac:dyDescent="0.45">
      <c r="A40" s="46" t="s">
        <v>38</v>
      </c>
      <c r="C40" s="42">
        <v>8</v>
      </c>
      <c r="D40" s="42">
        <v>8</v>
      </c>
      <c r="E40" s="42">
        <v>8</v>
      </c>
      <c r="F40" s="42"/>
      <c r="G40" s="42"/>
      <c r="H40" s="42">
        <v>8</v>
      </c>
      <c r="I40" s="42">
        <v>8</v>
      </c>
      <c r="J40" s="42">
        <v>8</v>
      </c>
      <c r="K40" s="42">
        <v>8</v>
      </c>
      <c r="L40" s="42">
        <v>8</v>
      </c>
      <c r="M40" s="42"/>
      <c r="N40" s="42"/>
      <c r="O40" s="42">
        <v>8</v>
      </c>
      <c r="P40" s="42">
        <v>8</v>
      </c>
      <c r="Q40" s="42">
        <v>8</v>
      </c>
      <c r="R40" s="42">
        <v>8</v>
      </c>
      <c r="S40" s="42">
        <v>8</v>
      </c>
      <c r="T40" s="42"/>
      <c r="U40" s="42"/>
      <c r="V40" s="42">
        <v>8</v>
      </c>
      <c r="W40" s="42">
        <v>8</v>
      </c>
      <c r="X40" s="42">
        <v>8</v>
      </c>
      <c r="Y40" s="42">
        <v>8</v>
      </c>
      <c r="Z40" s="42">
        <v>8</v>
      </c>
      <c r="AA40" s="42"/>
      <c r="AB40" s="42"/>
      <c r="AC40" s="42">
        <v>8</v>
      </c>
      <c r="AD40" s="42">
        <v>8</v>
      </c>
      <c r="AE40" s="42"/>
      <c r="AF40" s="42">
        <v>8</v>
      </c>
      <c r="AG40" s="42"/>
      <c r="AI40" s="50" t="s">
        <v>43</v>
      </c>
      <c r="AJ40" s="53">
        <f>COUNT(C41:AG41)</f>
        <v>21</v>
      </c>
    </row>
    <row r="41" spans="1:36" outlineLevel="1" x14ac:dyDescent="0.45">
      <c r="A41" s="50" t="s">
        <v>39</v>
      </c>
      <c r="C41" s="50">
        <v>8</v>
      </c>
      <c r="D41" s="50">
        <v>8</v>
      </c>
      <c r="E41" s="50">
        <v>8</v>
      </c>
      <c r="F41" s="50"/>
      <c r="G41" s="50"/>
      <c r="H41" s="50">
        <v>8</v>
      </c>
      <c r="I41" s="50">
        <v>8</v>
      </c>
      <c r="J41" s="50">
        <v>8</v>
      </c>
      <c r="K41" s="50">
        <v>8</v>
      </c>
      <c r="L41" s="50">
        <v>8</v>
      </c>
      <c r="M41" s="50"/>
      <c r="N41" s="50"/>
      <c r="O41" s="50">
        <v>8</v>
      </c>
      <c r="P41" s="50">
        <v>8</v>
      </c>
      <c r="Q41" s="50">
        <v>8</v>
      </c>
      <c r="R41" s="50">
        <v>8</v>
      </c>
      <c r="S41" s="50">
        <v>8</v>
      </c>
      <c r="T41" s="50"/>
      <c r="U41" s="50"/>
      <c r="V41" s="50">
        <v>8</v>
      </c>
      <c r="W41" s="50">
        <v>8</v>
      </c>
      <c r="X41" s="50">
        <v>8</v>
      </c>
      <c r="Y41" s="50">
        <v>8</v>
      </c>
      <c r="Z41" s="50">
        <v>8</v>
      </c>
      <c r="AA41" s="50"/>
      <c r="AB41" s="50"/>
      <c r="AC41" s="50">
        <v>8</v>
      </c>
      <c r="AD41" s="50">
        <v>8</v>
      </c>
      <c r="AE41" s="50"/>
      <c r="AF41" s="50">
        <v>8</v>
      </c>
      <c r="AG41" s="50"/>
      <c r="AI41" s="50" t="s">
        <v>44</v>
      </c>
      <c r="AJ41" s="51" t="str">
        <f>_xlfn.LET(_xlpm.v,SUM(C41:AG41),IF(_xlpm.v=INT(_xlpm.v),TEXT(_xlpm.v,"0")&amp;" h",TEXT(_xlpm.v,"0.###")&amp;" h"))</f>
        <v>168 h</v>
      </c>
    </row>
    <row r="42" spans="1:36" outlineLevel="1" x14ac:dyDescent="0.45">
      <c r="A42" s="50" t="s">
        <v>37</v>
      </c>
      <c r="C42" s="50" t="s">
        <v>22</v>
      </c>
      <c r="D42" s="50" t="s">
        <v>22</v>
      </c>
      <c r="E42" s="50" t="s">
        <v>22</v>
      </c>
      <c r="F42" s="50"/>
      <c r="G42" s="50"/>
      <c r="H42" s="50" t="s">
        <v>22</v>
      </c>
      <c r="I42" s="50" t="s">
        <v>22</v>
      </c>
      <c r="J42" s="50" t="s">
        <v>22</v>
      </c>
      <c r="K42" s="50" t="s">
        <v>22</v>
      </c>
      <c r="L42" s="50" t="s">
        <v>22</v>
      </c>
      <c r="M42" s="50"/>
      <c r="N42" s="50"/>
      <c r="O42" s="50" t="s">
        <v>22</v>
      </c>
      <c r="P42" s="50" t="s">
        <v>22</v>
      </c>
      <c r="Q42" s="50" t="s">
        <v>22</v>
      </c>
      <c r="R42" s="50" t="s">
        <v>22</v>
      </c>
      <c r="S42" s="50" t="s">
        <v>22</v>
      </c>
      <c r="T42" s="50"/>
      <c r="U42" s="50"/>
      <c r="V42" s="50" t="s">
        <v>22</v>
      </c>
      <c r="W42" s="50" t="s">
        <v>22</v>
      </c>
      <c r="X42" s="50" t="s">
        <v>22</v>
      </c>
      <c r="Y42" s="50" t="s">
        <v>22</v>
      </c>
      <c r="Z42" s="50" t="s">
        <v>22</v>
      </c>
      <c r="AA42" s="50"/>
      <c r="AB42" s="50"/>
      <c r="AC42" s="50" t="s">
        <v>22</v>
      </c>
      <c r="AD42" s="50" t="s">
        <v>22</v>
      </c>
      <c r="AE42" s="50"/>
      <c r="AF42" s="50" t="s">
        <v>22</v>
      </c>
      <c r="AG42" s="50"/>
      <c r="AI42" s="50" t="s">
        <v>45</v>
      </c>
      <c r="AJ42" s="53">
        <f>COUNTIF(C42:AG42,"出")</f>
        <v>0</v>
      </c>
    </row>
    <row r="43" spans="1:36" outlineLevel="1" x14ac:dyDescent="0.45">
      <c r="A43" s="50" t="s">
        <v>40</v>
      </c>
      <c r="C43" s="390"/>
      <c r="D43" s="390"/>
      <c r="E43" s="390"/>
      <c r="F43" s="390"/>
      <c r="G43" s="390"/>
      <c r="H43" s="390"/>
      <c r="I43" s="390"/>
      <c r="J43" s="390"/>
      <c r="K43" s="390"/>
      <c r="L43" s="390"/>
      <c r="M43" s="390"/>
      <c r="N43" s="390"/>
      <c r="O43" s="390"/>
      <c r="P43" s="390"/>
      <c r="Q43" s="390"/>
      <c r="S43" s="390"/>
      <c r="T43" s="390"/>
      <c r="U43" s="390"/>
      <c r="V43" s="390"/>
      <c r="W43" s="390"/>
      <c r="X43" s="390"/>
      <c r="Y43" s="390"/>
      <c r="Z43" s="390"/>
      <c r="AA43" s="390"/>
      <c r="AB43" s="390"/>
      <c r="AC43" s="390"/>
      <c r="AD43" s="390"/>
      <c r="AE43" s="390"/>
      <c r="AF43" s="390"/>
      <c r="AG43" s="390"/>
      <c r="AI43" s="50" t="s">
        <v>46</v>
      </c>
      <c r="AJ43" s="53">
        <f>COUNTIF(C42:AG42,"リ")</f>
        <v>21</v>
      </c>
    </row>
    <row r="44" spans="1:36" outlineLevel="1" x14ac:dyDescent="0.45">
      <c r="C44" s="390"/>
      <c r="D44" s="390"/>
      <c r="E44" s="390"/>
      <c r="F44" s="390"/>
      <c r="G44" s="390"/>
      <c r="H44" s="390"/>
      <c r="I44" s="390"/>
      <c r="J44" s="390"/>
      <c r="K44" s="390"/>
      <c r="L44" s="390"/>
      <c r="M44" s="390"/>
      <c r="N44" s="390"/>
      <c r="O44" s="390"/>
      <c r="P44" s="390"/>
      <c r="Q44" s="390"/>
      <c r="S44" s="390"/>
      <c r="T44" s="390"/>
      <c r="U44" s="390"/>
      <c r="V44" s="390"/>
      <c r="W44" s="390"/>
      <c r="X44" s="390"/>
      <c r="Y44" s="390"/>
      <c r="Z44" s="390"/>
      <c r="AA44" s="390"/>
      <c r="AB44" s="390"/>
      <c r="AC44" s="390"/>
      <c r="AD44" s="390"/>
      <c r="AE44" s="390"/>
      <c r="AF44" s="390"/>
      <c r="AG44" s="390"/>
      <c r="AI44" s="50" t="s">
        <v>25</v>
      </c>
      <c r="AJ44" s="54">
        <f>AJ42/(AJ42+AJ43)</f>
        <v>0</v>
      </c>
    </row>
    <row r="45" spans="1:36" outlineLevel="1" x14ac:dyDescent="0.45">
      <c r="C45" s="390"/>
      <c r="D45" s="390"/>
      <c r="E45" s="390"/>
      <c r="F45" s="390"/>
      <c r="G45" s="390"/>
      <c r="H45" s="390"/>
      <c r="I45" s="390"/>
      <c r="J45" s="390"/>
      <c r="K45" s="390"/>
      <c r="L45" s="390"/>
      <c r="M45" s="390"/>
      <c r="N45" s="390"/>
      <c r="O45" s="390"/>
      <c r="P45" s="390"/>
      <c r="Q45" s="390"/>
      <c r="S45" s="390"/>
      <c r="T45" s="390"/>
      <c r="U45" s="390"/>
      <c r="V45" s="390"/>
      <c r="W45" s="390"/>
      <c r="X45" s="390"/>
      <c r="Y45" s="390"/>
      <c r="Z45" s="390"/>
      <c r="AA45" s="390"/>
      <c r="AB45" s="390"/>
      <c r="AC45" s="390"/>
      <c r="AD45" s="390"/>
      <c r="AE45" s="390"/>
      <c r="AF45" s="390"/>
      <c r="AG45" s="390"/>
    </row>
    <row r="46" spans="1:36" outlineLevel="1" x14ac:dyDescent="0.45"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M46" s="390"/>
      <c r="N46" s="390"/>
      <c r="O46" s="390"/>
      <c r="P46" s="390"/>
      <c r="Q46" s="390"/>
      <c r="S46" s="390"/>
      <c r="T46" s="390"/>
      <c r="U46" s="390"/>
      <c r="V46" s="390"/>
      <c r="W46" s="390"/>
      <c r="X46" s="390"/>
      <c r="Y46" s="390"/>
      <c r="Z46" s="390"/>
      <c r="AA46" s="390"/>
      <c r="AB46" s="390"/>
      <c r="AC46" s="390"/>
      <c r="AD46" s="390"/>
      <c r="AE46" s="390"/>
      <c r="AF46" s="390"/>
      <c r="AG46" s="390"/>
    </row>
    <row r="47" spans="1:36" outlineLevel="1" x14ac:dyDescent="0.45"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M47" s="390"/>
      <c r="N47" s="390"/>
      <c r="O47" s="390"/>
      <c r="P47" s="390"/>
      <c r="Q47" s="390"/>
      <c r="S47" s="390"/>
      <c r="T47" s="390"/>
      <c r="U47" s="390"/>
      <c r="V47" s="390"/>
      <c r="W47" s="390"/>
      <c r="X47" s="390"/>
      <c r="Y47" s="390"/>
      <c r="Z47" s="390"/>
      <c r="AA47" s="390"/>
      <c r="AB47" s="390"/>
      <c r="AC47" s="390"/>
      <c r="AD47" s="390"/>
      <c r="AE47" s="390"/>
      <c r="AF47" s="390"/>
      <c r="AG47" s="390"/>
    </row>
    <row r="48" spans="1:36" outlineLevel="1" x14ac:dyDescent="0.45"/>
    <row r="49" spans="1:36" x14ac:dyDescent="0.45">
      <c r="C49" s="367">
        <v>46143</v>
      </c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  <c r="AB49" s="357"/>
      <c r="AC49" s="357"/>
      <c r="AD49" s="357"/>
      <c r="AE49" s="357"/>
      <c r="AF49" s="357"/>
      <c r="AG49" s="357"/>
    </row>
    <row r="50" spans="1:36" outlineLevel="1" x14ac:dyDescent="0.45">
      <c r="C50" s="50" t="str">
        <f t="shared" ref="C50:AG50" si="8">TEXT(C51,"aaa")</f>
        <v>金</v>
      </c>
      <c r="D50" s="50" t="str">
        <f t="shared" si="8"/>
        <v>土</v>
      </c>
      <c r="E50" s="50" t="str">
        <f t="shared" si="8"/>
        <v>日</v>
      </c>
      <c r="F50" s="50" t="str">
        <f t="shared" si="8"/>
        <v>月</v>
      </c>
      <c r="G50" s="50" t="str">
        <f t="shared" si="8"/>
        <v>火</v>
      </c>
      <c r="H50" s="50" t="str">
        <f t="shared" si="8"/>
        <v>水</v>
      </c>
      <c r="I50" s="50" t="str">
        <f t="shared" si="8"/>
        <v>木</v>
      </c>
      <c r="J50" s="50" t="str">
        <f t="shared" si="8"/>
        <v>金</v>
      </c>
      <c r="K50" s="50" t="str">
        <f t="shared" si="8"/>
        <v>土</v>
      </c>
      <c r="L50" s="50" t="str">
        <f t="shared" si="8"/>
        <v>日</v>
      </c>
      <c r="M50" s="50" t="str">
        <f t="shared" si="8"/>
        <v>月</v>
      </c>
      <c r="N50" s="50" t="str">
        <f t="shared" si="8"/>
        <v>火</v>
      </c>
      <c r="O50" s="50" t="str">
        <f t="shared" si="8"/>
        <v>水</v>
      </c>
      <c r="P50" s="50" t="str">
        <f t="shared" si="8"/>
        <v>木</v>
      </c>
      <c r="Q50" s="50" t="str">
        <f t="shared" si="8"/>
        <v>金</v>
      </c>
      <c r="R50" s="50" t="str">
        <f t="shared" si="8"/>
        <v>土</v>
      </c>
      <c r="S50" s="50" t="str">
        <f t="shared" si="8"/>
        <v>日</v>
      </c>
      <c r="T50" s="50" t="str">
        <f t="shared" si="8"/>
        <v>月</v>
      </c>
      <c r="U50" s="50" t="str">
        <f t="shared" si="8"/>
        <v>火</v>
      </c>
      <c r="V50" s="50" t="str">
        <f t="shared" si="8"/>
        <v>水</v>
      </c>
      <c r="W50" s="50" t="str">
        <f t="shared" si="8"/>
        <v>木</v>
      </c>
      <c r="X50" s="50" t="str">
        <f t="shared" si="8"/>
        <v>金</v>
      </c>
      <c r="Y50" s="50" t="str">
        <f t="shared" si="8"/>
        <v>土</v>
      </c>
      <c r="Z50" s="50" t="str">
        <f t="shared" si="8"/>
        <v>日</v>
      </c>
      <c r="AA50" s="50" t="str">
        <f t="shared" si="8"/>
        <v>月</v>
      </c>
      <c r="AB50" s="50" t="str">
        <f t="shared" si="8"/>
        <v>火</v>
      </c>
      <c r="AC50" s="50" t="str">
        <f t="shared" si="8"/>
        <v>水</v>
      </c>
      <c r="AD50" s="50" t="str">
        <f t="shared" si="8"/>
        <v>木</v>
      </c>
      <c r="AE50" s="50" t="str">
        <f t="shared" si="8"/>
        <v>金</v>
      </c>
      <c r="AF50" s="50" t="str">
        <f t="shared" si="8"/>
        <v>土</v>
      </c>
      <c r="AG50" s="50" t="str">
        <f t="shared" si="8"/>
        <v>日</v>
      </c>
      <c r="AI50" s="46" t="s">
        <v>41</v>
      </c>
      <c r="AJ50" s="48">
        <f>COUNT(C52:AG52)</f>
        <v>18</v>
      </c>
    </row>
    <row r="51" spans="1:36" outlineLevel="1" x14ac:dyDescent="0.45">
      <c r="C51" s="52">
        <f>C49</f>
        <v>46143</v>
      </c>
      <c r="D51" s="52">
        <f t="shared" ref="D51:AG51" si="9">IF(C51="","",IF(C51+1&lt;=EOMONTH($C49,0),C51+1,""))</f>
        <v>46144</v>
      </c>
      <c r="E51" s="52">
        <f t="shared" si="9"/>
        <v>46145</v>
      </c>
      <c r="F51" s="52">
        <f t="shared" si="9"/>
        <v>46146</v>
      </c>
      <c r="G51" s="52">
        <f t="shared" si="9"/>
        <v>46147</v>
      </c>
      <c r="H51" s="52">
        <f t="shared" si="9"/>
        <v>46148</v>
      </c>
      <c r="I51" s="52">
        <f t="shared" si="9"/>
        <v>46149</v>
      </c>
      <c r="J51" s="52">
        <f t="shared" si="9"/>
        <v>46150</v>
      </c>
      <c r="K51" s="52">
        <f t="shared" si="9"/>
        <v>46151</v>
      </c>
      <c r="L51" s="52">
        <f t="shared" si="9"/>
        <v>46152</v>
      </c>
      <c r="M51" s="52">
        <f t="shared" si="9"/>
        <v>46153</v>
      </c>
      <c r="N51" s="52">
        <f t="shared" si="9"/>
        <v>46154</v>
      </c>
      <c r="O51" s="52">
        <f t="shared" si="9"/>
        <v>46155</v>
      </c>
      <c r="P51" s="52">
        <f t="shared" si="9"/>
        <v>46156</v>
      </c>
      <c r="Q51" s="52">
        <f t="shared" si="9"/>
        <v>46157</v>
      </c>
      <c r="R51" s="52">
        <f t="shared" si="9"/>
        <v>46158</v>
      </c>
      <c r="S51" s="52">
        <f t="shared" si="9"/>
        <v>46159</v>
      </c>
      <c r="T51" s="52">
        <f t="shared" si="9"/>
        <v>46160</v>
      </c>
      <c r="U51" s="52">
        <f t="shared" si="9"/>
        <v>46161</v>
      </c>
      <c r="V51" s="52">
        <f t="shared" si="9"/>
        <v>46162</v>
      </c>
      <c r="W51" s="52">
        <f t="shared" si="9"/>
        <v>46163</v>
      </c>
      <c r="X51" s="52">
        <f t="shared" si="9"/>
        <v>46164</v>
      </c>
      <c r="Y51" s="52">
        <f t="shared" si="9"/>
        <v>46165</v>
      </c>
      <c r="Z51" s="52">
        <f t="shared" si="9"/>
        <v>46166</v>
      </c>
      <c r="AA51" s="52">
        <f t="shared" si="9"/>
        <v>46167</v>
      </c>
      <c r="AB51" s="52">
        <f t="shared" si="9"/>
        <v>46168</v>
      </c>
      <c r="AC51" s="52">
        <f t="shared" si="9"/>
        <v>46169</v>
      </c>
      <c r="AD51" s="52">
        <f t="shared" si="9"/>
        <v>46170</v>
      </c>
      <c r="AE51" s="52">
        <f t="shared" si="9"/>
        <v>46171</v>
      </c>
      <c r="AF51" s="52">
        <f t="shared" si="9"/>
        <v>46172</v>
      </c>
      <c r="AG51" s="52">
        <f t="shared" si="9"/>
        <v>46173</v>
      </c>
      <c r="AI51" s="46" t="s">
        <v>42</v>
      </c>
      <c r="AJ51" s="47" t="str">
        <f>_xlfn.LET(_xlpm.v,SUM(C52:AG52),IF(_xlpm.v=INT(_xlpm.v),TEXT(_xlpm.v,"0")&amp;" h",TEXT(_xlpm.v,"0.###")&amp;" h"))</f>
        <v>144 h</v>
      </c>
    </row>
    <row r="52" spans="1:36" outlineLevel="1" x14ac:dyDescent="0.45">
      <c r="A52" s="46" t="s">
        <v>38</v>
      </c>
      <c r="C52" s="42">
        <v>8</v>
      </c>
      <c r="D52" s="42"/>
      <c r="E52" s="42"/>
      <c r="F52" s="42"/>
      <c r="G52" s="42"/>
      <c r="H52" s="42"/>
      <c r="I52" s="42">
        <v>8</v>
      </c>
      <c r="J52" s="42">
        <v>8</v>
      </c>
      <c r="K52" s="42"/>
      <c r="L52" s="42"/>
      <c r="M52" s="42">
        <v>8</v>
      </c>
      <c r="N52" s="42">
        <v>8</v>
      </c>
      <c r="O52" s="42">
        <v>8</v>
      </c>
      <c r="P52" s="42">
        <v>8</v>
      </c>
      <c r="Q52" s="42">
        <v>8</v>
      </c>
      <c r="R52" s="42"/>
      <c r="S52" s="42"/>
      <c r="T52" s="42">
        <v>8</v>
      </c>
      <c r="U52" s="42">
        <v>8</v>
      </c>
      <c r="V52" s="42">
        <v>8</v>
      </c>
      <c r="W52" s="42">
        <v>8</v>
      </c>
      <c r="X52" s="42">
        <v>8</v>
      </c>
      <c r="Y52" s="42"/>
      <c r="Z52" s="42"/>
      <c r="AA52" s="42">
        <v>8</v>
      </c>
      <c r="AB52" s="42">
        <v>8</v>
      </c>
      <c r="AC52" s="42">
        <v>8</v>
      </c>
      <c r="AD52" s="42">
        <v>8</v>
      </c>
      <c r="AE52" s="42">
        <v>8</v>
      </c>
      <c r="AF52" s="42"/>
      <c r="AG52" s="42"/>
      <c r="AI52" s="50" t="s">
        <v>43</v>
      </c>
      <c r="AJ52" s="53">
        <f>COUNT(C53:AG53)</f>
        <v>18</v>
      </c>
    </row>
    <row r="53" spans="1:36" outlineLevel="1" x14ac:dyDescent="0.45">
      <c r="A53" s="50" t="s">
        <v>39</v>
      </c>
      <c r="C53" s="50">
        <v>8</v>
      </c>
      <c r="D53" s="50"/>
      <c r="E53" s="50"/>
      <c r="F53" s="50"/>
      <c r="G53" s="50"/>
      <c r="H53" s="50"/>
      <c r="I53" s="50">
        <v>8</v>
      </c>
      <c r="J53" s="50">
        <v>8</v>
      </c>
      <c r="K53" s="50"/>
      <c r="L53" s="50"/>
      <c r="M53" s="50">
        <v>8</v>
      </c>
      <c r="N53" s="50">
        <v>8</v>
      </c>
      <c r="O53" s="50">
        <v>8</v>
      </c>
      <c r="P53" s="50">
        <v>8</v>
      </c>
      <c r="Q53" s="50">
        <v>8</v>
      </c>
      <c r="R53" s="50"/>
      <c r="S53" s="50"/>
      <c r="T53" s="50">
        <v>8</v>
      </c>
      <c r="U53" s="50">
        <v>8</v>
      </c>
      <c r="V53" s="50">
        <v>8</v>
      </c>
      <c r="W53" s="50">
        <v>8</v>
      </c>
      <c r="X53" s="50">
        <v>8</v>
      </c>
      <c r="Y53" s="50"/>
      <c r="Z53" s="50"/>
      <c r="AA53" s="50">
        <v>8</v>
      </c>
      <c r="AB53" s="50">
        <v>8</v>
      </c>
      <c r="AC53" s="50">
        <v>8</v>
      </c>
      <c r="AD53" s="50">
        <v>8</v>
      </c>
      <c r="AE53" s="50">
        <v>8</v>
      </c>
      <c r="AF53" s="50"/>
      <c r="AG53" s="50"/>
      <c r="AI53" s="50" t="s">
        <v>44</v>
      </c>
      <c r="AJ53" s="51" t="str">
        <f>_xlfn.LET(_xlpm.v,SUM(C53:AG53),IF(_xlpm.v=INT(_xlpm.v),TEXT(_xlpm.v,"0")&amp;" h",TEXT(_xlpm.v,"0.###")&amp;" h"))</f>
        <v>144 h</v>
      </c>
    </row>
    <row r="54" spans="1:36" outlineLevel="1" x14ac:dyDescent="0.45">
      <c r="A54" s="50" t="s">
        <v>37</v>
      </c>
      <c r="C54" s="50" t="s">
        <v>22</v>
      </c>
      <c r="D54" s="50"/>
      <c r="E54" s="50"/>
      <c r="F54" s="50"/>
      <c r="G54" s="50"/>
      <c r="H54" s="50"/>
      <c r="I54" s="50" t="s">
        <v>22</v>
      </c>
      <c r="J54" s="50" t="s">
        <v>22</v>
      </c>
      <c r="K54" s="50"/>
      <c r="L54" s="50"/>
      <c r="M54" s="50" t="s">
        <v>22</v>
      </c>
      <c r="N54" s="50" t="s">
        <v>22</v>
      </c>
      <c r="O54" s="50" t="s">
        <v>22</v>
      </c>
      <c r="P54" s="50" t="s">
        <v>22</v>
      </c>
      <c r="Q54" s="50" t="s">
        <v>22</v>
      </c>
      <c r="R54" s="50"/>
      <c r="S54" s="50"/>
      <c r="T54" s="50" t="s">
        <v>22</v>
      </c>
      <c r="U54" s="50" t="s">
        <v>22</v>
      </c>
      <c r="V54" s="50" t="s">
        <v>22</v>
      </c>
      <c r="W54" s="50" t="s">
        <v>22</v>
      </c>
      <c r="X54" s="50" t="s">
        <v>22</v>
      </c>
      <c r="Y54" s="50"/>
      <c r="Z54" s="50"/>
      <c r="AA54" s="50" t="s">
        <v>22</v>
      </c>
      <c r="AB54" s="50" t="s">
        <v>22</v>
      </c>
      <c r="AC54" s="50" t="s">
        <v>22</v>
      </c>
      <c r="AD54" s="50" t="s">
        <v>22</v>
      </c>
      <c r="AE54" s="50" t="s">
        <v>22</v>
      </c>
      <c r="AF54" s="50"/>
      <c r="AG54" s="50"/>
      <c r="AI54" s="50" t="s">
        <v>45</v>
      </c>
      <c r="AJ54" s="53">
        <f>COUNTIF(C54:AG54,"出")</f>
        <v>0</v>
      </c>
    </row>
    <row r="55" spans="1:36" outlineLevel="1" x14ac:dyDescent="0.45">
      <c r="A55" s="50" t="s">
        <v>40</v>
      </c>
      <c r="C55" s="390"/>
      <c r="D55" s="390"/>
      <c r="E55" s="390"/>
      <c r="F55" s="390"/>
      <c r="G55" s="390"/>
      <c r="H55" s="390"/>
      <c r="I55" s="390"/>
      <c r="J55" s="390"/>
      <c r="K55" s="390"/>
      <c r="L55" s="390"/>
      <c r="M55" s="390"/>
      <c r="N55" s="390"/>
      <c r="O55" s="390"/>
      <c r="P55" s="390"/>
      <c r="Q55" s="390"/>
      <c r="S55" s="390"/>
      <c r="T55" s="390"/>
      <c r="U55" s="390"/>
      <c r="V55" s="390"/>
      <c r="W55" s="390"/>
      <c r="X55" s="390"/>
      <c r="Y55" s="390"/>
      <c r="Z55" s="390"/>
      <c r="AA55" s="390"/>
      <c r="AB55" s="390"/>
      <c r="AC55" s="390"/>
      <c r="AD55" s="390"/>
      <c r="AE55" s="390"/>
      <c r="AF55" s="390"/>
      <c r="AG55" s="390"/>
      <c r="AI55" s="50" t="s">
        <v>46</v>
      </c>
      <c r="AJ55" s="53">
        <f>COUNTIF(C54:AG54,"リ")</f>
        <v>18</v>
      </c>
    </row>
    <row r="56" spans="1:36" outlineLevel="1" x14ac:dyDescent="0.45">
      <c r="C56" s="390"/>
      <c r="D56" s="390"/>
      <c r="E56" s="390"/>
      <c r="F56" s="390"/>
      <c r="G56" s="390"/>
      <c r="H56" s="390"/>
      <c r="I56" s="390"/>
      <c r="J56" s="390"/>
      <c r="K56" s="390"/>
      <c r="L56" s="390"/>
      <c r="M56" s="390"/>
      <c r="N56" s="390"/>
      <c r="O56" s="390"/>
      <c r="P56" s="390"/>
      <c r="Q56" s="390"/>
      <c r="S56" s="390"/>
      <c r="T56" s="390"/>
      <c r="U56" s="390"/>
      <c r="V56" s="390"/>
      <c r="W56" s="390"/>
      <c r="X56" s="390"/>
      <c r="Y56" s="390"/>
      <c r="Z56" s="390"/>
      <c r="AA56" s="390"/>
      <c r="AB56" s="390"/>
      <c r="AC56" s="390"/>
      <c r="AD56" s="390"/>
      <c r="AE56" s="390"/>
      <c r="AF56" s="390"/>
      <c r="AG56" s="390"/>
      <c r="AI56" s="50" t="s">
        <v>25</v>
      </c>
      <c r="AJ56" s="54">
        <f>AJ54/(AJ54+AJ55)</f>
        <v>0</v>
      </c>
    </row>
    <row r="57" spans="1:36" outlineLevel="1" x14ac:dyDescent="0.45">
      <c r="C57" s="390"/>
      <c r="D57" s="390"/>
      <c r="E57" s="390"/>
      <c r="F57" s="390"/>
      <c r="G57" s="390"/>
      <c r="H57" s="390"/>
      <c r="I57" s="390"/>
      <c r="J57" s="390"/>
      <c r="K57" s="390"/>
      <c r="L57" s="390"/>
      <c r="M57" s="390"/>
      <c r="N57" s="390"/>
      <c r="O57" s="390"/>
      <c r="P57" s="390"/>
      <c r="Q57" s="390"/>
      <c r="S57" s="390"/>
      <c r="T57" s="390"/>
      <c r="U57" s="390"/>
      <c r="V57" s="390"/>
      <c r="W57" s="390"/>
      <c r="X57" s="390"/>
      <c r="Y57" s="390"/>
      <c r="Z57" s="390"/>
      <c r="AA57" s="390"/>
      <c r="AB57" s="390"/>
      <c r="AC57" s="390"/>
      <c r="AD57" s="390"/>
      <c r="AE57" s="390"/>
      <c r="AF57" s="390"/>
      <c r="AG57" s="390"/>
    </row>
    <row r="58" spans="1:36" outlineLevel="1" x14ac:dyDescent="0.45">
      <c r="C58" s="390"/>
      <c r="D58" s="390"/>
      <c r="E58" s="390"/>
      <c r="F58" s="390"/>
      <c r="G58" s="390"/>
      <c r="H58" s="390"/>
      <c r="I58" s="390"/>
      <c r="J58" s="390"/>
      <c r="K58" s="390"/>
      <c r="L58" s="390"/>
      <c r="M58" s="390"/>
      <c r="N58" s="390"/>
      <c r="O58" s="390"/>
      <c r="P58" s="390"/>
      <c r="Q58" s="390"/>
      <c r="S58" s="390"/>
      <c r="T58" s="390"/>
      <c r="U58" s="390"/>
      <c r="V58" s="390"/>
      <c r="W58" s="390"/>
      <c r="X58" s="390"/>
      <c r="Y58" s="390"/>
      <c r="Z58" s="390"/>
      <c r="AA58" s="390"/>
      <c r="AB58" s="390"/>
      <c r="AC58" s="390"/>
      <c r="AD58" s="390"/>
      <c r="AE58" s="390"/>
      <c r="AF58" s="390"/>
      <c r="AG58" s="390"/>
    </row>
    <row r="59" spans="1:36" outlineLevel="1" x14ac:dyDescent="0.45">
      <c r="C59" s="390"/>
      <c r="D59" s="390"/>
      <c r="E59" s="390"/>
      <c r="F59" s="390"/>
      <c r="G59" s="390"/>
      <c r="H59" s="390"/>
      <c r="I59" s="390"/>
      <c r="J59" s="390"/>
      <c r="K59" s="390"/>
      <c r="L59" s="390"/>
      <c r="M59" s="390"/>
      <c r="N59" s="390"/>
      <c r="O59" s="390"/>
      <c r="P59" s="390"/>
      <c r="Q59" s="390"/>
      <c r="S59" s="390"/>
      <c r="T59" s="390"/>
      <c r="U59" s="390"/>
      <c r="V59" s="390"/>
      <c r="W59" s="390"/>
      <c r="X59" s="390"/>
      <c r="Y59" s="390"/>
      <c r="Z59" s="390"/>
      <c r="AA59" s="390"/>
      <c r="AB59" s="390"/>
      <c r="AC59" s="390"/>
      <c r="AD59" s="390"/>
      <c r="AE59" s="390"/>
      <c r="AF59" s="390"/>
      <c r="AG59" s="390"/>
    </row>
    <row r="60" spans="1:36" outlineLevel="1" x14ac:dyDescent="0.45"/>
    <row r="61" spans="1:36" x14ac:dyDescent="0.45">
      <c r="C61" s="367">
        <v>46174</v>
      </c>
      <c r="D61" s="357"/>
      <c r="E61" s="357"/>
      <c r="F61" s="357"/>
      <c r="G61" s="357"/>
      <c r="H61" s="357"/>
      <c r="I61" s="357"/>
      <c r="J61" s="357"/>
      <c r="K61" s="357"/>
      <c r="L61" s="357"/>
      <c r="M61" s="357"/>
      <c r="N61" s="357"/>
      <c r="O61" s="357"/>
      <c r="P61" s="357"/>
      <c r="Q61" s="357"/>
      <c r="R61" s="357"/>
      <c r="S61" s="357"/>
      <c r="T61" s="357"/>
      <c r="U61" s="357"/>
      <c r="V61" s="357"/>
      <c r="W61" s="357"/>
      <c r="X61" s="357"/>
      <c r="Y61" s="357"/>
      <c r="Z61" s="357"/>
      <c r="AA61" s="357"/>
      <c r="AB61" s="357"/>
      <c r="AC61" s="357"/>
      <c r="AD61" s="357"/>
      <c r="AE61" s="357"/>
      <c r="AF61" s="357"/>
      <c r="AG61" s="357"/>
    </row>
    <row r="62" spans="1:36" outlineLevel="1" x14ac:dyDescent="0.45">
      <c r="C62" s="50" t="str">
        <f t="shared" ref="C62:AG62" si="10">TEXT(C63,"aaa")</f>
        <v>月</v>
      </c>
      <c r="D62" s="50" t="str">
        <f t="shared" si="10"/>
        <v>火</v>
      </c>
      <c r="E62" s="50" t="str">
        <f t="shared" si="10"/>
        <v>水</v>
      </c>
      <c r="F62" s="50" t="str">
        <f t="shared" si="10"/>
        <v>木</v>
      </c>
      <c r="G62" s="50" t="str">
        <f t="shared" si="10"/>
        <v>金</v>
      </c>
      <c r="H62" s="50" t="str">
        <f t="shared" si="10"/>
        <v>土</v>
      </c>
      <c r="I62" s="50" t="str">
        <f t="shared" si="10"/>
        <v>日</v>
      </c>
      <c r="J62" s="50" t="str">
        <f t="shared" si="10"/>
        <v>月</v>
      </c>
      <c r="K62" s="50" t="str">
        <f t="shared" si="10"/>
        <v>火</v>
      </c>
      <c r="L62" s="50" t="str">
        <f t="shared" si="10"/>
        <v>水</v>
      </c>
      <c r="M62" s="50" t="str">
        <f t="shared" si="10"/>
        <v>木</v>
      </c>
      <c r="N62" s="50" t="str">
        <f t="shared" si="10"/>
        <v>金</v>
      </c>
      <c r="O62" s="50" t="str">
        <f t="shared" si="10"/>
        <v>土</v>
      </c>
      <c r="P62" s="50" t="str">
        <f t="shared" si="10"/>
        <v>日</v>
      </c>
      <c r="Q62" s="50" t="str">
        <f t="shared" si="10"/>
        <v>月</v>
      </c>
      <c r="R62" s="50" t="str">
        <f t="shared" si="10"/>
        <v>火</v>
      </c>
      <c r="S62" s="50" t="str">
        <f t="shared" si="10"/>
        <v>水</v>
      </c>
      <c r="T62" s="50" t="str">
        <f t="shared" si="10"/>
        <v>木</v>
      </c>
      <c r="U62" s="50" t="str">
        <f t="shared" si="10"/>
        <v>金</v>
      </c>
      <c r="V62" s="50" t="str">
        <f t="shared" si="10"/>
        <v>土</v>
      </c>
      <c r="W62" s="50" t="str">
        <f t="shared" si="10"/>
        <v>日</v>
      </c>
      <c r="X62" s="50" t="str">
        <f t="shared" si="10"/>
        <v>月</v>
      </c>
      <c r="Y62" s="50" t="str">
        <f t="shared" si="10"/>
        <v>火</v>
      </c>
      <c r="Z62" s="50" t="str">
        <f t="shared" si="10"/>
        <v>水</v>
      </c>
      <c r="AA62" s="50" t="str">
        <f t="shared" si="10"/>
        <v>木</v>
      </c>
      <c r="AB62" s="50" t="str">
        <f t="shared" si="10"/>
        <v>金</v>
      </c>
      <c r="AC62" s="50" t="str">
        <f t="shared" si="10"/>
        <v>土</v>
      </c>
      <c r="AD62" s="50" t="str">
        <f t="shared" si="10"/>
        <v>日</v>
      </c>
      <c r="AE62" s="50" t="str">
        <f t="shared" si="10"/>
        <v>月</v>
      </c>
      <c r="AF62" s="50" t="str">
        <f t="shared" si="10"/>
        <v>火</v>
      </c>
      <c r="AG62" s="50" t="str">
        <f t="shared" si="10"/>
        <v/>
      </c>
      <c r="AI62" s="46" t="s">
        <v>41</v>
      </c>
      <c r="AJ62" s="48">
        <f>COUNT(C64:AG64)</f>
        <v>22</v>
      </c>
    </row>
    <row r="63" spans="1:36" outlineLevel="1" x14ac:dyDescent="0.45">
      <c r="C63" s="52">
        <f>C61</f>
        <v>46174</v>
      </c>
      <c r="D63" s="52">
        <f t="shared" ref="D63:AG63" si="11">IF(C63="","",IF(C63+1&lt;=EOMONTH($C61,0),C63+1,""))</f>
        <v>46175</v>
      </c>
      <c r="E63" s="52">
        <f t="shared" si="11"/>
        <v>46176</v>
      </c>
      <c r="F63" s="52">
        <f t="shared" si="11"/>
        <v>46177</v>
      </c>
      <c r="G63" s="52">
        <f t="shared" si="11"/>
        <v>46178</v>
      </c>
      <c r="H63" s="52">
        <f t="shared" si="11"/>
        <v>46179</v>
      </c>
      <c r="I63" s="52">
        <f t="shared" si="11"/>
        <v>46180</v>
      </c>
      <c r="J63" s="52">
        <f t="shared" si="11"/>
        <v>46181</v>
      </c>
      <c r="K63" s="52">
        <f t="shared" si="11"/>
        <v>46182</v>
      </c>
      <c r="L63" s="52">
        <f t="shared" si="11"/>
        <v>46183</v>
      </c>
      <c r="M63" s="52">
        <f t="shared" si="11"/>
        <v>46184</v>
      </c>
      <c r="N63" s="52">
        <f t="shared" si="11"/>
        <v>46185</v>
      </c>
      <c r="O63" s="52">
        <f t="shared" si="11"/>
        <v>46186</v>
      </c>
      <c r="P63" s="52">
        <f t="shared" si="11"/>
        <v>46187</v>
      </c>
      <c r="Q63" s="52">
        <f t="shared" si="11"/>
        <v>46188</v>
      </c>
      <c r="R63" s="52">
        <f t="shared" si="11"/>
        <v>46189</v>
      </c>
      <c r="S63" s="52">
        <f t="shared" si="11"/>
        <v>46190</v>
      </c>
      <c r="T63" s="52">
        <f t="shared" si="11"/>
        <v>46191</v>
      </c>
      <c r="U63" s="52">
        <f t="shared" si="11"/>
        <v>46192</v>
      </c>
      <c r="V63" s="52">
        <f t="shared" si="11"/>
        <v>46193</v>
      </c>
      <c r="W63" s="52">
        <f t="shared" si="11"/>
        <v>46194</v>
      </c>
      <c r="X63" s="52">
        <f t="shared" si="11"/>
        <v>46195</v>
      </c>
      <c r="Y63" s="52">
        <f t="shared" si="11"/>
        <v>46196</v>
      </c>
      <c r="Z63" s="52">
        <f t="shared" si="11"/>
        <v>46197</v>
      </c>
      <c r="AA63" s="52">
        <f t="shared" si="11"/>
        <v>46198</v>
      </c>
      <c r="AB63" s="52">
        <f t="shared" si="11"/>
        <v>46199</v>
      </c>
      <c r="AC63" s="52">
        <f t="shared" si="11"/>
        <v>46200</v>
      </c>
      <c r="AD63" s="52">
        <f t="shared" si="11"/>
        <v>46201</v>
      </c>
      <c r="AE63" s="52">
        <f t="shared" si="11"/>
        <v>46202</v>
      </c>
      <c r="AF63" s="52">
        <f t="shared" si="11"/>
        <v>46203</v>
      </c>
      <c r="AG63" s="52" t="str">
        <f t="shared" si="11"/>
        <v/>
      </c>
      <c r="AI63" s="46" t="s">
        <v>42</v>
      </c>
      <c r="AJ63" s="47" t="str">
        <f>_xlfn.LET(_xlpm.v,SUM(C64:AG64),IF(_xlpm.v=INT(_xlpm.v),TEXT(_xlpm.v,"0")&amp;" h",TEXT(_xlpm.v,"0.###")&amp;" h"))</f>
        <v>176 h</v>
      </c>
    </row>
    <row r="64" spans="1:36" outlineLevel="1" x14ac:dyDescent="0.45">
      <c r="A64" s="46" t="s">
        <v>38</v>
      </c>
      <c r="C64" s="42">
        <v>8</v>
      </c>
      <c r="D64" s="42">
        <v>8</v>
      </c>
      <c r="E64" s="42">
        <v>8</v>
      </c>
      <c r="F64" s="42">
        <v>8</v>
      </c>
      <c r="G64" s="42">
        <v>8</v>
      </c>
      <c r="H64" s="42"/>
      <c r="I64" s="42"/>
      <c r="J64" s="42">
        <v>8</v>
      </c>
      <c r="K64" s="42">
        <v>8</v>
      </c>
      <c r="L64" s="42">
        <v>8</v>
      </c>
      <c r="M64" s="42">
        <v>8</v>
      </c>
      <c r="N64" s="42">
        <v>8</v>
      </c>
      <c r="O64" s="42"/>
      <c r="P64" s="42"/>
      <c r="Q64" s="42">
        <v>8</v>
      </c>
      <c r="R64" s="42">
        <v>8</v>
      </c>
      <c r="S64" s="42">
        <v>8</v>
      </c>
      <c r="T64" s="42">
        <v>8</v>
      </c>
      <c r="U64" s="42">
        <v>8</v>
      </c>
      <c r="V64" s="42"/>
      <c r="W64" s="42"/>
      <c r="X64" s="42">
        <v>8</v>
      </c>
      <c r="Y64" s="42">
        <v>8</v>
      </c>
      <c r="Z64" s="42">
        <v>8</v>
      </c>
      <c r="AA64" s="42">
        <v>8</v>
      </c>
      <c r="AB64" s="42">
        <v>8</v>
      </c>
      <c r="AC64" s="42"/>
      <c r="AD64" s="42"/>
      <c r="AE64" s="42">
        <v>8</v>
      </c>
      <c r="AF64" s="42">
        <v>8</v>
      </c>
      <c r="AG64" s="42"/>
      <c r="AI64" s="50" t="s">
        <v>43</v>
      </c>
      <c r="AJ64" s="53">
        <f>COUNT(C65:AG65)</f>
        <v>22</v>
      </c>
    </row>
    <row r="65" spans="1:36" outlineLevel="1" x14ac:dyDescent="0.45">
      <c r="A65" s="50" t="s">
        <v>39</v>
      </c>
      <c r="C65" s="50">
        <v>8</v>
      </c>
      <c r="D65" s="50">
        <v>8</v>
      </c>
      <c r="E65" s="50">
        <v>8</v>
      </c>
      <c r="F65" s="50">
        <v>8</v>
      </c>
      <c r="G65" s="50">
        <v>8</v>
      </c>
      <c r="H65" s="50"/>
      <c r="I65" s="50"/>
      <c r="J65" s="50">
        <v>8</v>
      </c>
      <c r="K65" s="50">
        <v>8</v>
      </c>
      <c r="L65" s="50">
        <v>8</v>
      </c>
      <c r="M65" s="50">
        <v>8</v>
      </c>
      <c r="N65" s="50">
        <v>8</v>
      </c>
      <c r="O65" s="50"/>
      <c r="P65" s="50"/>
      <c r="Q65" s="50">
        <v>8</v>
      </c>
      <c r="R65" s="50">
        <v>8</v>
      </c>
      <c r="S65" s="50">
        <v>8</v>
      </c>
      <c r="T65" s="50">
        <v>8</v>
      </c>
      <c r="U65" s="50">
        <v>8</v>
      </c>
      <c r="V65" s="50"/>
      <c r="W65" s="50"/>
      <c r="X65" s="50">
        <v>8</v>
      </c>
      <c r="Y65" s="50">
        <v>8</v>
      </c>
      <c r="Z65" s="50">
        <v>8</v>
      </c>
      <c r="AA65" s="50">
        <v>8</v>
      </c>
      <c r="AB65" s="50">
        <v>8</v>
      </c>
      <c r="AC65" s="50"/>
      <c r="AD65" s="50"/>
      <c r="AE65" s="50">
        <v>8</v>
      </c>
      <c r="AF65" s="50">
        <v>8</v>
      </c>
      <c r="AG65" s="50"/>
      <c r="AI65" s="50" t="s">
        <v>44</v>
      </c>
      <c r="AJ65" s="51" t="str">
        <f>_xlfn.LET(_xlpm.v,SUM(C65:AG65),IF(_xlpm.v=INT(_xlpm.v),TEXT(_xlpm.v,"0")&amp;" h",TEXT(_xlpm.v,"0.###")&amp;" h"))</f>
        <v>176 h</v>
      </c>
    </row>
    <row r="66" spans="1:36" outlineLevel="1" x14ac:dyDescent="0.45">
      <c r="A66" s="50" t="s">
        <v>37</v>
      </c>
      <c r="C66" s="50" t="s">
        <v>22</v>
      </c>
      <c r="D66" s="50" t="s">
        <v>22</v>
      </c>
      <c r="E66" s="50" t="s">
        <v>22</v>
      </c>
      <c r="F66" s="50" t="s">
        <v>22</v>
      </c>
      <c r="G66" s="50" t="s">
        <v>22</v>
      </c>
      <c r="H66" s="50"/>
      <c r="I66" s="50"/>
      <c r="J66" s="50" t="s">
        <v>22</v>
      </c>
      <c r="K66" s="50" t="s">
        <v>22</v>
      </c>
      <c r="L66" s="50" t="s">
        <v>22</v>
      </c>
      <c r="M66" s="50" t="s">
        <v>22</v>
      </c>
      <c r="N66" s="50" t="s">
        <v>22</v>
      </c>
      <c r="O66" s="50"/>
      <c r="P66" s="50"/>
      <c r="Q66" s="50" t="s">
        <v>22</v>
      </c>
      <c r="R66" s="50" t="s">
        <v>22</v>
      </c>
      <c r="S66" s="50" t="s">
        <v>22</v>
      </c>
      <c r="T66" s="50" t="s">
        <v>22</v>
      </c>
      <c r="U66" s="50" t="s">
        <v>22</v>
      </c>
      <c r="V66" s="50"/>
      <c r="W66" s="50"/>
      <c r="X66" s="50" t="s">
        <v>22</v>
      </c>
      <c r="Y66" s="50" t="s">
        <v>22</v>
      </c>
      <c r="Z66" s="50" t="s">
        <v>22</v>
      </c>
      <c r="AA66" s="50" t="s">
        <v>22</v>
      </c>
      <c r="AB66" s="50" t="s">
        <v>22</v>
      </c>
      <c r="AC66" s="50"/>
      <c r="AD66" s="50"/>
      <c r="AE66" s="50" t="s">
        <v>22</v>
      </c>
      <c r="AF66" s="50" t="s">
        <v>22</v>
      </c>
      <c r="AG66" s="50"/>
      <c r="AI66" s="50" t="s">
        <v>45</v>
      </c>
      <c r="AJ66" s="53">
        <f>COUNTIF(C66:AG66,"出")</f>
        <v>0</v>
      </c>
    </row>
    <row r="67" spans="1:36" outlineLevel="1" x14ac:dyDescent="0.45">
      <c r="A67" s="50" t="s">
        <v>40</v>
      </c>
      <c r="C67" s="390"/>
      <c r="D67" s="390"/>
      <c r="E67" s="390"/>
      <c r="F67" s="390"/>
      <c r="G67" s="390"/>
      <c r="H67" s="390"/>
      <c r="I67" s="390"/>
      <c r="J67" s="390"/>
      <c r="K67" s="390"/>
      <c r="L67" s="390"/>
      <c r="M67" s="390"/>
      <c r="N67" s="390"/>
      <c r="O67" s="390"/>
      <c r="P67" s="390"/>
      <c r="Q67" s="390"/>
      <c r="S67" s="390"/>
      <c r="T67" s="390"/>
      <c r="U67" s="390"/>
      <c r="V67" s="390"/>
      <c r="W67" s="390"/>
      <c r="X67" s="390"/>
      <c r="Y67" s="390"/>
      <c r="Z67" s="390"/>
      <c r="AA67" s="390"/>
      <c r="AB67" s="390"/>
      <c r="AC67" s="390"/>
      <c r="AD67" s="390"/>
      <c r="AE67" s="390"/>
      <c r="AF67" s="390"/>
      <c r="AG67" s="390"/>
      <c r="AI67" s="50" t="s">
        <v>46</v>
      </c>
      <c r="AJ67" s="53">
        <f>COUNTIF(C66:AG66,"リ")</f>
        <v>22</v>
      </c>
    </row>
    <row r="68" spans="1:36" outlineLevel="1" x14ac:dyDescent="0.45"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390"/>
      <c r="O68" s="390"/>
      <c r="P68" s="390"/>
      <c r="Q68" s="390"/>
      <c r="S68" s="390"/>
      <c r="T68" s="390"/>
      <c r="U68" s="390"/>
      <c r="V68" s="390"/>
      <c r="W68" s="390"/>
      <c r="X68" s="390"/>
      <c r="Y68" s="390"/>
      <c r="Z68" s="390"/>
      <c r="AA68" s="390"/>
      <c r="AB68" s="390"/>
      <c r="AC68" s="390"/>
      <c r="AD68" s="390"/>
      <c r="AE68" s="390"/>
      <c r="AF68" s="390"/>
      <c r="AG68" s="390"/>
      <c r="AI68" s="50" t="s">
        <v>25</v>
      </c>
      <c r="AJ68" s="54">
        <f>AJ66/(AJ66+AJ67)</f>
        <v>0</v>
      </c>
    </row>
    <row r="69" spans="1:36" outlineLevel="1" x14ac:dyDescent="0.45">
      <c r="C69" s="390"/>
      <c r="D69" s="390"/>
      <c r="E69" s="390"/>
      <c r="F69" s="390"/>
      <c r="G69" s="390"/>
      <c r="H69" s="390"/>
      <c r="I69" s="390"/>
      <c r="J69" s="390"/>
      <c r="K69" s="390"/>
      <c r="L69" s="390"/>
      <c r="M69" s="390"/>
      <c r="N69" s="390"/>
      <c r="O69" s="390"/>
      <c r="P69" s="390"/>
      <c r="Q69" s="390"/>
      <c r="S69" s="390"/>
      <c r="T69" s="390"/>
      <c r="U69" s="390"/>
      <c r="V69" s="390"/>
      <c r="W69" s="390"/>
      <c r="X69" s="390"/>
      <c r="Y69" s="390"/>
      <c r="Z69" s="390"/>
      <c r="AA69" s="390"/>
      <c r="AB69" s="390"/>
      <c r="AC69" s="390"/>
      <c r="AD69" s="390"/>
      <c r="AE69" s="390"/>
      <c r="AF69" s="390"/>
      <c r="AG69" s="390"/>
    </row>
    <row r="70" spans="1:36" outlineLevel="1" x14ac:dyDescent="0.45">
      <c r="C70" s="390"/>
      <c r="D70" s="390"/>
      <c r="E70" s="390"/>
      <c r="F70" s="390"/>
      <c r="G70" s="390"/>
      <c r="H70" s="390"/>
      <c r="I70" s="390"/>
      <c r="J70" s="390"/>
      <c r="K70" s="390"/>
      <c r="L70" s="390"/>
      <c r="M70" s="390"/>
      <c r="N70" s="390"/>
      <c r="O70" s="390"/>
      <c r="P70" s="390"/>
      <c r="Q70" s="390"/>
      <c r="S70" s="390"/>
      <c r="T70" s="390"/>
      <c r="U70" s="390"/>
      <c r="V70" s="390"/>
      <c r="W70" s="390"/>
      <c r="X70" s="390"/>
      <c r="Y70" s="390"/>
      <c r="Z70" s="390"/>
      <c r="AA70" s="390"/>
      <c r="AB70" s="390"/>
      <c r="AC70" s="390"/>
      <c r="AD70" s="390"/>
      <c r="AE70" s="390"/>
      <c r="AF70" s="390"/>
      <c r="AG70" s="390"/>
    </row>
    <row r="71" spans="1:36" outlineLevel="1" x14ac:dyDescent="0.45">
      <c r="C71" s="390"/>
      <c r="D71" s="390"/>
      <c r="E71" s="390"/>
      <c r="F71" s="390"/>
      <c r="G71" s="390"/>
      <c r="H71" s="390"/>
      <c r="I71" s="390"/>
      <c r="J71" s="390"/>
      <c r="K71" s="390"/>
      <c r="L71" s="390"/>
      <c r="M71" s="390"/>
      <c r="N71" s="390"/>
      <c r="O71" s="390"/>
      <c r="P71" s="390"/>
      <c r="Q71" s="390"/>
      <c r="S71" s="390"/>
      <c r="T71" s="390"/>
      <c r="U71" s="390"/>
      <c r="V71" s="390"/>
      <c r="W71" s="390"/>
      <c r="X71" s="390"/>
      <c r="Y71" s="390"/>
      <c r="Z71" s="390"/>
      <c r="AA71" s="390"/>
      <c r="AB71" s="390"/>
      <c r="AC71" s="390"/>
      <c r="AD71" s="390"/>
      <c r="AE71" s="390"/>
      <c r="AF71" s="390"/>
      <c r="AG71" s="390"/>
    </row>
    <row r="72" spans="1:36" outlineLevel="1" x14ac:dyDescent="0.45"/>
    <row r="73" spans="1:36" x14ac:dyDescent="0.45">
      <c r="C73" s="367">
        <v>46204</v>
      </c>
      <c r="D73" s="357"/>
      <c r="E73" s="357"/>
      <c r="F73" s="357"/>
      <c r="G73" s="357"/>
      <c r="H73" s="357"/>
      <c r="I73" s="357"/>
      <c r="J73" s="357"/>
      <c r="K73" s="357"/>
      <c r="L73" s="357"/>
      <c r="M73" s="357"/>
      <c r="N73" s="357"/>
      <c r="O73" s="357"/>
      <c r="P73" s="357"/>
      <c r="Q73" s="357"/>
      <c r="R73" s="357"/>
      <c r="S73" s="357"/>
      <c r="T73" s="357"/>
      <c r="U73" s="357"/>
      <c r="V73" s="357"/>
      <c r="W73" s="357"/>
      <c r="X73" s="357"/>
      <c r="Y73" s="357"/>
      <c r="Z73" s="357"/>
      <c r="AA73" s="357"/>
      <c r="AB73" s="357"/>
      <c r="AC73" s="357"/>
      <c r="AD73" s="357"/>
      <c r="AE73" s="357"/>
      <c r="AF73" s="357"/>
      <c r="AG73" s="357"/>
    </row>
    <row r="74" spans="1:36" outlineLevel="1" x14ac:dyDescent="0.45">
      <c r="C74" s="50" t="str">
        <f t="shared" ref="C74:AG74" si="12">TEXT(C75,"aaa")</f>
        <v>水</v>
      </c>
      <c r="D74" s="50" t="str">
        <f t="shared" si="12"/>
        <v>木</v>
      </c>
      <c r="E74" s="50" t="str">
        <f t="shared" si="12"/>
        <v>金</v>
      </c>
      <c r="F74" s="50" t="str">
        <f t="shared" si="12"/>
        <v>土</v>
      </c>
      <c r="G74" s="50" t="str">
        <f t="shared" si="12"/>
        <v>日</v>
      </c>
      <c r="H74" s="50" t="str">
        <f t="shared" si="12"/>
        <v>月</v>
      </c>
      <c r="I74" s="50" t="str">
        <f t="shared" si="12"/>
        <v>火</v>
      </c>
      <c r="J74" s="50" t="str">
        <f t="shared" si="12"/>
        <v>水</v>
      </c>
      <c r="K74" s="50" t="str">
        <f t="shared" si="12"/>
        <v>木</v>
      </c>
      <c r="L74" s="50" t="str">
        <f t="shared" si="12"/>
        <v>金</v>
      </c>
      <c r="M74" s="50" t="str">
        <f t="shared" si="12"/>
        <v>土</v>
      </c>
      <c r="N74" s="50" t="str">
        <f t="shared" si="12"/>
        <v>日</v>
      </c>
      <c r="O74" s="50" t="str">
        <f t="shared" si="12"/>
        <v>月</v>
      </c>
      <c r="P74" s="50" t="str">
        <f t="shared" si="12"/>
        <v>火</v>
      </c>
      <c r="Q74" s="50" t="str">
        <f t="shared" si="12"/>
        <v>水</v>
      </c>
      <c r="R74" s="50" t="str">
        <f t="shared" si="12"/>
        <v>木</v>
      </c>
      <c r="S74" s="50" t="str">
        <f t="shared" si="12"/>
        <v>金</v>
      </c>
      <c r="T74" s="50" t="str">
        <f t="shared" si="12"/>
        <v>土</v>
      </c>
      <c r="U74" s="50" t="str">
        <f t="shared" si="12"/>
        <v>日</v>
      </c>
      <c r="V74" s="50" t="str">
        <f t="shared" si="12"/>
        <v>月</v>
      </c>
      <c r="W74" s="50" t="str">
        <f t="shared" si="12"/>
        <v>火</v>
      </c>
      <c r="X74" s="50" t="str">
        <f t="shared" si="12"/>
        <v>水</v>
      </c>
      <c r="Y74" s="50" t="str">
        <f t="shared" si="12"/>
        <v>木</v>
      </c>
      <c r="Z74" s="50" t="str">
        <f t="shared" si="12"/>
        <v>金</v>
      </c>
      <c r="AA74" s="50" t="str">
        <f t="shared" si="12"/>
        <v>土</v>
      </c>
      <c r="AB74" s="50" t="str">
        <f t="shared" si="12"/>
        <v>日</v>
      </c>
      <c r="AC74" s="50" t="str">
        <f t="shared" si="12"/>
        <v>月</v>
      </c>
      <c r="AD74" s="50" t="str">
        <f t="shared" si="12"/>
        <v>火</v>
      </c>
      <c r="AE74" s="50" t="str">
        <f t="shared" si="12"/>
        <v>水</v>
      </c>
      <c r="AF74" s="50" t="str">
        <f t="shared" si="12"/>
        <v>木</v>
      </c>
      <c r="AG74" s="50" t="str">
        <f t="shared" si="12"/>
        <v>金</v>
      </c>
      <c r="AI74" s="46" t="s">
        <v>41</v>
      </c>
      <c r="AJ74" s="48">
        <f>COUNT(C76:AG76)</f>
        <v>22</v>
      </c>
    </row>
    <row r="75" spans="1:36" outlineLevel="1" x14ac:dyDescent="0.45">
      <c r="C75" s="52">
        <f>C73</f>
        <v>46204</v>
      </c>
      <c r="D75" s="52">
        <f t="shared" ref="D75:AG75" si="13">IF(C75="","",IF(C75+1&lt;=EOMONTH($C73,0),C75+1,""))</f>
        <v>46205</v>
      </c>
      <c r="E75" s="52">
        <f t="shared" si="13"/>
        <v>46206</v>
      </c>
      <c r="F75" s="52">
        <f t="shared" si="13"/>
        <v>46207</v>
      </c>
      <c r="G75" s="52">
        <f t="shared" si="13"/>
        <v>46208</v>
      </c>
      <c r="H75" s="52">
        <f t="shared" si="13"/>
        <v>46209</v>
      </c>
      <c r="I75" s="52">
        <f t="shared" si="13"/>
        <v>46210</v>
      </c>
      <c r="J75" s="52">
        <f t="shared" si="13"/>
        <v>46211</v>
      </c>
      <c r="K75" s="52">
        <f t="shared" si="13"/>
        <v>46212</v>
      </c>
      <c r="L75" s="52">
        <f t="shared" si="13"/>
        <v>46213</v>
      </c>
      <c r="M75" s="52">
        <f t="shared" si="13"/>
        <v>46214</v>
      </c>
      <c r="N75" s="52">
        <f t="shared" si="13"/>
        <v>46215</v>
      </c>
      <c r="O75" s="52">
        <f t="shared" si="13"/>
        <v>46216</v>
      </c>
      <c r="P75" s="52">
        <f t="shared" si="13"/>
        <v>46217</v>
      </c>
      <c r="Q75" s="52">
        <f t="shared" si="13"/>
        <v>46218</v>
      </c>
      <c r="R75" s="52">
        <f t="shared" si="13"/>
        <v>46219</v>
      </c>
      <c r="S75" s="52">
        <f t="shared" si="13"/>
        <v>46220</v>
      </c>
      <c r="T75" s="52">
        <f t="shared" si="13"/>
        <v>46221</v>
      </c>
      <c r="U75" s="52">
        <f t="shared" si="13"/>
        <v>46222</v>
      </c>
      <c r="V75" s="52">
        <f t="shared" si="13"/>
        <v>46223</v>
      </c>
      <c r="W75" s="52">
        <f t="shared" si="13"/>
        <v>46224</v>
      </c>
      <c r="X75" s="52">
        <f t="shared" si="13"/>
        <v>46225</v>
      </c>
      <c r="Y75" s="52">
        <f t="shared" si="13"/>
        <v>46226</v>
      </c>
      <c r="Z75" s="52">
        <f t="shared" si="13"/>
        <v>46227</v>
      </c>
      <c r="AA75" s="52">
        <f t="shared" si="13"/>
        <v>46228</v>
      </c>
      <c r="AB75" s="52">
        <f t="shared" si="13"/>
        <v>46229</v>
      </c>
      <c r="AC75" s="52">
        <f t="shared" si="13"/>
        <v>46230</v>
      </c>
      <c r="AD75" s="52">
        <f t="shared" si="13"/>
        <v>46231</v>
      </c>
      <c r="AE75" s="52">
        <f t="shared" si="13"/>
        <v>46232</v>
      </c>
      <c r="AF75" s="52">
        <f t="shared" si="13"/>
        <v>46233</v>
      </c>
      <c r="AG75" s="52">
        <f t="shared" si="13"/>
        <v>46234</v>
      </c>
      <c r="AI75" s="46" t="s">
        <v>42</v>
      </c>
      <c r="AJ75" s="47" t="str">
        <f>_xlfn.LET(_xlpm.v,SUM(C76:AG76),IF(_xlpm.v=INT(_xlpm.v),TEXT(_xlpm.v,"0")&amp;" h",TEXT(_xlpm.v,"0.###")&amp;" h"))</f>
        <v>176 h</v>
      </c>
    </row>
    <row r="76" spans="1:36" outlineLevel="1" x14ac:dyDescent="0.45">
      <c r="A76" s="46" t="s">
        <v>38</v>
      </c>
      <c r="C76" s="42">
        <v>8</v>
      </c>
      <c r="D76" s="42">
        <v>8</v>
      </c>
      <c r="E76" s="42">
        <v>8</v>
      </c>
      <c r="F76" s="42"/>
      <c r="G76" s="42"/>
      <c r="H76" s="42">
        <v>8</v>
      </c>
      <c r="I76" s="42">
        <v>8</v>
      </c>
      <c r="J76" s="42">
        <v>8</v>
      </c>
      <c r="K76" s="42">
        <v>8</v>
      </c>
      <c r="L76" s="42">
        <v>8</v>
      </c>
      <c r="M76" s="42"/>
      <c r="N76" s="42"/>
      <c r="O76" s="42">
        <v>8</v>
      </c>
      <c r="P76" s="42">
        <v>8</v>
      </c>
      <c r="Q76" s="42">
        <v>8</v>
      </c>
      <c r="R76" s="42">
        <v>8</v>
      </c>
      <c r="S76" s="42">
        <v>8</v>
      </c>
      <c r="T76" s="42"/>
      <c r="U76" s="42"/>
      <c r="V76" s="42"/>
      <c r="W76" s="42">
        <v>8</v>
      </c>
      <c r="X76" s="42">
        <v>8</v>
      </c>
      <c r="Y76" s="42">
        <v>8</v>
      </c>
      <c r="Z76" s="42">
        <v>8</v>
      </c>
      <c r="AA76" s="42"/>
      <c r="AB76" s="42"/>
      <c r="AC76" s="42">
        <v>8</v>
      </c>
      <c r="AD76" s="42">
        <v>8</v>
      </c>
      <c r="AE76" s="42">
        <v>8</v>
      </c>
      <c r="AF76" s="42">
        <v>8</v>
      </c>
      <c r="AG76" s="42">
        <v>8</v>
      </c>
      <c r="AI76" s="50" t="s">
        <v>43</v>
      </c>
      <c r="AJ76" s="53">
        <f>COUNT(C77:AG77)</f>
        <v>22</v>
      </c>
    </row>
    <row r="77" spans="1:36" outlineLevel="1" x14ac:dyDescent="0.45">
      <c r="A77" s="50" t="s">
        <v>39</v>
      </c>
      <c r="C77" s="50">
        <v>8</v>
      </c>
      <c r="D77" s="50">
        <v>8</v>
      </c>
      <c r="E77" s="50">
        <v>8</v>
      </c>
      <c r="F77" s="50"/>
      <c r="G77" s="50"/>
      <c r="H77" s="50">
        <v>8</v>
      </c>
      <c r="I77" s="50">
        <v>8</v>
      </c>
      <c r="J77" s="50">
        <v>8</v>
      </c>
      <c r="K77" s="50">
        <v>8</v>
      </c>
      <c r="L77" s="50">
        <v>8</v>
      </c>
      <c r="M77" s="50"/>
      <c r="N77" s="50"/>
      <c r="O77" s="50">
        <v>8</v>
      </c>
      <c r="P77" s="50">
        <v>8</v>
      </c>
      <c r="Q77" s="50">
        <v>8</v>
      </c>
      <c r="R77" s="50">
        <v>8</v>
      </c>
      <c r="S77" s="50">
        <v>8</v>
      </c>
      <c r="T77" s="50"/>
      <c r="U77" s="50"/>
      <c r="V77" s="50"/>
      <c r="W77" s="50">
        <v>8</v>
      </c>
      <c r="X77" s="50">
        <v>8</v>
      </c>
      <c r="Y77" s="50">
        <v>8</v>
      </c>
      <c r="Z77" s="50">
        <v>8</v>
      </c>
      <c r="AA77" s="50"/>
      <c r="AB77" s="50"/>
      <c r="AC77" s="50">
        <v>8</v>
      </c>
      <c r="AD77" s="50">
        <v>8</v>
      </c>
      <c r="AE77" s="50">
        <v>8</v>
      </c>
      <c r="AF77" s="50">
        <v>8</v>
      </c>
      <c r="AG77" s="50">
        <v>8</v>
      </c>
      <c r="AI77" s="50" t="s">
        <v>44</v>
      </c>
      <c r="AJ77" s="51" t="str">
        <f>_xlfn.LET(_xlpm.v,SUM(C77:AG77),IF(_xlpm.v=INT(_xlpm.v),TEXT(_xlpm.v,"0")&amp;" h",TEXT(_xlpm.v,"0.###")&amp;" h"))</f>
        <v>176 h</v>
      </c>
    </row>
    <row r="78" spans="1:36" outlineLevel="1" x14ac:dyDescent="0.45">
      <c r="A78" s="50" t="s">
        <v>37</v>
      </c>
      <c r="C78" s="50" t="s">
        <v>22</v>
      </c>
      <c r="D78" s="50" t="s">
        <v>22</v>
      </c>
      <c r="E78" s="50" t="s">
        <v>22</v>
      </c>
      <c r="F78" s="50"/>
      <c r="G78" s="50"/>
      <c r="H78" s="50" t="s">
        <v>22</v>
      </c>
      <c r="I78" s="50" t="s">
        <v>22</v>
      </c>
      <c r="J78" s="50" t="s">
        <v>22</v>
      </c>
      <c r="K78" s="50" t="s">
        <v>22</v>
      </c>
      <c r="L78" s="50" t="s">
        <v>22</v>
      </c>
      <c r="M78" s="50"/>
      <c r="N78" s="50"/>
      <c r="O78" s="50" t="s">
        <v>22</v>
      </c>
      <c r="P78" s="50" t="s">
        <v>22</v>
      </c>
      <c r="Q78" s="50" t="s">
        <v>22</v>
      </c>
      <c r="R78" s="50" t="s">
        <v>22</v>
      </c>
      <c r="S78" s="50" t="s">
        <v>22</v>
      </c>
      <c r="T78" s="50"/>
      <c r="U78" s="50"/>
      <c r="V78" s="50"/>
      <c r="W78" s="50" t="s">
        <v>22</v>
      </c>
      <c r="X78" s="50" t="s">
        <v>22</v>
      </c>
      <c r="Y78" s="50" t="s">
        <v>22</v>
      </c>
      <c r="Z78" s="50" t="s">
        <v>22</v>
      </c>
      <c r="AA78" s="50"/>
      <c r="AB78" s="50"/>
      <c r="AC78" s="50" t="s">
        <v>22</v>
      </c>
      <c r="AD78" s="50" t="s">
        <v>22</v>
      </c>
      <c r="AE78" s="50" t="s">
        <v>22</v>
      </c>
      <c r="AF78" s="50" t="s">
        <v>22</v>
      </c>
      <c r="AG78" s="50" t="s">
        <v>22</v>
      </c>
      <c r="AI78" s="50" t="s">
        <v>45</v>
      </c>
      <c r="AJ78" s="53">
        <f>COUNTIF(C78:AG78,"出")</f>
        <v>0</v>
      </c>
    </row>
    <row r="79" spans="1:36" outlineLevel="1" x14ac:dyDescent="0.45">
      <c r="A79" s="50" t="s">
        <v>40</v>
      </c>
      <c r="C79" s="390"/>
      <c r="D79" s="390"/>
      <c r="E79" s="390"/>
      <c r="F79" s="390"/>
      <c r="G79" s="390"/>
      <c r="H79" s="390"/>
      <c r="I79" s="390"/>
      <c r="J79" s="390"/>
      <c r="K79" s="390"/>
      <c r="L79" s="390"/>
      <c r="M79" s="390"/>
      <c r="N79" s="390"/>
      <c r="O79" s="390"/>
      <c r="P79" s="390"/>
      <c r="Q79" s="390"/>
      <c r="S79" s="390"/>
      <c r="T79" s="390"/>
      <c r="U79" s="390"/>
      <c r="V79" s="390"/>
      <c r="W79" s="390"/>
      <c r="X79" s="390"/>
      <c r="Y79" s="390"/>
      <c r="Z79" s="390"/>
      <c r="AA79" s="390"/>
      <c r="AB79" s="390"/>
      <c r="AC79" s="390"/>
      <c r="AD79" s="390"/>
      <c r="AE79" s="390"/>
      <c r="AF79" s="390"/>
      <c r="AG79" s="390"/>
      <c r="AI79" s="50" t="s">
        <v>46</v>
      </c>
      <c r="AJ79" s="53">
        <f>COUNTIF(C78:AG78,"リ")</f>
        <v>22</v>
      </c>
    </row>
    <row r="80" spans="1:36" outlineLevel="1" x14ac:dyDescent="0.45">
      <c r="C80" s="390"/>
      <c r="D80" s="390"/>
      <c r="E80" s="390"/>
      <c r="F80" s="390"/>
      <c r="G80" s="390"/>
      <c r="H80" s="390"/>
      <c r="I80" s="390"/>
      <c r="J80" s="390"/>
      <c r="K80" s="390"/>
      <c r="L80" s="390"/>
      <c r="M80" s="390"/>
      <c r="N80" s="390"/>
      <c r="O80" s="390"/>
      <c r="P80" s="390"/>
      <c r="Q80" s="390"/>
      <c r="S80" s="390"/>
      <c r="T80" s="390"/>
      <c r="U80" s="390"/>
      <c r="V80" s="390"/>
      <c r="W80" s="390"/>
      <c r="X80" s="390"/>
      <c r="Y80" s="390"/>
      <c r="Z80" s="390"/>
      <c r="AA80" s="390"/>
      <c r="AB80" s="390"/>
      <c r="AC80" s="390"/>
      <c r="AD80" s="390"/>
      <c r="AE80" s="390"/>
      <c r="AF80" s="390"/>
      <c r="AG80" s="390"/>
      <c r="AI80" s="50" t="s">
        <v>25</v>
      </c>
      <c r="AJ80" s="54">
        <f>AJ78/(AJ78+AJ79)</f>
        <v>0</v>
      </c>
    </row>
    <row r="81" spans="1:36" outlineLevel="1" x14ac:dyDescent="0.45">
      <c r="C81" s="390"/>
      <c r="D81" s="390"/>
      <c r="E81" s="390"/>
      <c r="F81" s="390"/>
      <c r="G81" s="390"/>
      <c r="H81" s="390"/>
      <c r="I81" s="390"/>
      <c r="J81" s="390"/>
      <c r="K81" s="390"/>
      <c r="L81" s="390"/>
      <c r="M81" s="390"/>
      <c r="N81" s="390"/>
      <c r="O81" s="390"/>
      <c r="P81" s="390"/>
      <c r="Q81" s="390"/>
      <c r="S81" s="390"/>
      <c r="T81" s="390"/>
      <c r="U81" s="390"/>
      <c r="V81" s="390"/>
      <c r="W81" s="390"/>
      <c r="X81" s="390"/>
      <c r="Y81" s="390"/>
      <c r="Z81" s="390"/>
      <c r="AA81" s="390"/>
      <c r="AB81" s="390"/>
      <c r="AC81" s="390"/>
      <c r="AD81" s="390"/>
      <c r="AE81" s="390"/>
      <c r="AF81" s="390"/>
      <c r="AG81" s="390"/>
    </row>
    <row r="82" spans="1:36" outlineLevel="1" x14ac:dyDescent="0.45">
      <c r="C82" s="390"/>
      <c r="D82" s="390"/>
      <c r="E82" s="390"/>
      <c r="F82" s="390"/>
      <c r="G82" s="390"/>
      <c r="H82" s="390"/>
      <c r="I82" s="390"/>
      <c r="J82" s="390"/>
      <c r="K82" s="390"/>
      <c r="L82" s="390"/>
      <c r="M82" s="390"/>
      <c r="N82" s="390"/>
      <c r="O82" s="390"/>
      <c r="P82" s="390"/>
      <c r="Q82" s="390"/>
      <c r="S82" s="390"/>
      <c r="T82" s="390"/>
      <c r="U82" s="390"/>
      <c r="V82" s="390"/>
      <c r="W82" s="390"/>
      <c r="X82" s="390"/>
      <c r="Y82" s="390"/>
      <c r="Z82" s="390"/>
      <c r="AA82" s="390"/>
      <c r="AB82" s="390"/>
      <c r="AC82" s="390"/>
      <c r="AD82" s="390"/>
      <c r="AE82" s="390"/>
      <c r="AF82" s="390"/>
      <c r="AG82" s="390"/>
    </row>
    <row r="83" spans="1:36" outlineLevel="1" x14ac:dyDescent="0.45">
      <c r="C83" s="390"/>
      <c r="D83" s="390"/>
      <c r="E83" s="390"/>
      <c r="F83" s="390"/>
      <c r="G83" s="390"/>
      <c r="H83" s="390"/>
      <c r="I83" s="390"/>
      <c r="J83" s="390"/>
      <c r="K83" s="390"/>
      <c r="L83" s="390"/>
      <c r="M83" s="390"/>
      <c r="N83" s="390"/>
      <c r="O83" s="390"/>
      <c r="P83" s="390"/>
      <c r="Q83" s="390"/>
      <c r="S83" s="390"/>
      <c r="T83" s="390"/>
      <c r="U83" s="390"/>
      <c r="V83" s="390"/>
      <c r="W83" s="390"/>
      <c r="X83" s="390"/>
      <c r="Y83" s="390"/>
      <c r="Z83" s="390"/>
      <c r="AA83" s="390"/>
      <c r="AB83" s="390"/>
      <c r="AC83" s="390"/>
      <c r="AD83" s="390"/>
      <c r="AE83" s="390"/>
      <c r="AF83" s="390"/>
      <c r="AG83" s="390"/>
    </row>
    <row r="84" spans="1:36" outlineLevel="1" x14ac:dyDescent="0.45"/>
    <row r="85" spans="1:36" x14ac:dyDescent="0.45">
      <c r="C85" s="367">
        <v>46235</v>
      </c>
      <c r="D85" s="357"/>
      <c r="E85" s="357"/>
      <c r="F85" s="357"/>
      <c r="G85" s="357"/>
      <c r="H85" s="357"/>
      <c r="I85" s="357"/>
      <c r="J85" s="357"/>
      <c r="K85" s="357"/>
      <c r="L85" s="357"/>
      <c r="M85" s="357"/>
      <c r="N85" s="357"/>
      <c r="O85" s="357"/>
      <c r="P85" s="357"/>
      <c r="Q85" s="357"/>
      <c r="R85" s="357"/>
      <c r="S85" s="357"/>
      <c r="T85" s="357"/>
      <c r="U85" s="357"/>
      <c r="V85" s="357"/>
      <c r="W85" s="357"/>
      <c r="X85" s="357"/>
      <c r="Y85" s="357"/>
      <c r="Z85" s="357"/>
      <c r="AA85" s="357"/>
      <c r="AB85" s="357"/>
      <c r="AC85" s="357"/>
      <c r="AD85" s="357"/>
      <c r="AE85" s="357"/>
      <c r="AF85" s="357"/>
      <c r="AG85" s="357"/>
    </row>
    <row r="86" spans="1:36" outlineLevel="1" x14ac:dyDescent="0.45">
      <c r="C86" s="50" t="str">
        <f t="shared" ref="C86:AG86" si="14">TEXT(C87,"aaa")</f>
        <v>土</v>
      </c>
      <c r="D86" s="50" t="str">
        <f t="shared" si="14"/>
        <v>日</v>
      </c>
      <c r="E86" s="50" t="str">
        <f t="shared" si="14"/>
        <v>月</v>
      </c>
      <c r="F86" s="50" t="str">
        <f t="shared" si="14"/>
        <v>火</v>
      </c>
      <c r="G86" s="50" t="str">
        <f t="shared" si="14"/>
        <v>水</v>
      </c>
      <c r="H86" s="50" t="str">
        <f t="shared" si="14"/>
        <v>木</v>
      </c>
      <c r="I86" s="50" t="str">
        <f t="shared" si="14"/>
        <v>金</v>
      </c>
      <c r="J86" s="50" t="str">
        <f t="shared" si="14"/>
        <v>土</v>
      </c>
      <c r="K86" s="50" t="str">
        <f t="shared" si="14"/>
        <v>日</v>
      </c>
      <c r="L86" s="50" t="str">
        <f t="shared" si="14"/>
        <v>月</v>
      </c>
      <c r="M86" s="50" t="str">
        <f t="shared" si="14"/>
        <v>火</v>
      </c>
      <c r="N86" s="50" t="str">
        <f t="shared" si="14"/>
        <v>水</v>
      </c>
      <c r="O86" s="50" t="str">
        <f t="shared" si="14"/>
        <v>木</v>
      </c>
      <c r="P86" s="50" t="str">
        <f t="shared" si="14"/>
        <v>金</v>
      </c>
      <c r="Q86" s="50" t="str">
        <f t="shared" si="14"/>
        <v>土</v>
      </c>
      <c r="R86" s="50" t="str">
        <f t="shared" si="14"/>
        <v>日</v>
      </c>
      <c r="S86" s="50" t="str">
        <f t="shared" si="14"/>
        <v>月</v>
      </c>
      <c r="T86" s="50" t="str">
        <f t="shared" si="14"/>
        <v>火</v>
      </c>
      <c r="U86" s="50" t="str">
        <f t="shared" si="14"/>
        <v>水</v>
      </c>
      <c r="V86" s="50" t="str">
        <f t="shared" si="14"/>
        <v>木</v>
      </c>
      <c r="W86" s="50" t="str">
        <f t="shared" si="14"/>
        <v>金</v>
      </c>
      <c r="X86" s="50" t="str">
        <f t="shared" si="14"/>
        <v>土</v>
      </c>
      <c r="Y86" s="50" t="str">
        <f t="shared" si="14"/>
        <v>日</v>
      </c>
      <c r="Z86" s="50" t="str">
        <f t="shared" si="14"/>
        <v>月</v>
      </c>
      <c r="AA86" s="50" t="str">
        <f t="shared" si="14"/>
        <v>火</v>
      </c>
      <c r="AB86" s="50" t="str">
        <f t="shared" si="14"/>
        <v>水</v>
      </c>
      <c r="AC86" s="50" t="str">
        <f t="shared" si="14"/>
        <v>木</v>
      </c>
      <c r="AD86" s="50" t="str">
        <f t="shared" si="14"/>
        <v>金</v>
      </c>
      <c r="AE86" s="50" t="str">
        <f t="shared" si="14"/>
        <v>土</v>
      </c>
      <c r="AF86" s="50" t="str">
        <f t="shared" si="14"/>
        <v>日</v>
      </c>
      <c r="AG86" s="50" t="str">
        <f t="shared" si="14"/>
        <v>月</v>
      </c>
      <c r="AI86" s="46" t="s">
        <v>41</v>
      </c>
      <c r="AJ86" s="48">
        <f>COUNT(C88:AG88)</f>
        <v>20</v>
      </c>
    </row>
    <row r="87" spans="1:36" outlineLevel="1" x14ac:dyDescent="0.45">
      <c r="C87" s="52">
        <f>C85</f>
        <v>46235</v>
      </c>
      <c r="D87" s="52">
        <f t="shared" ref="D87:AG87" si="15">IF(C87="","",IF(C87+1&lt;=EOMONTH($C85,0),C87+1,""))</f>
        <v>46236</v>
      </c>
      <c r="E87" s="52">
        <f t="shared" si="15"/>
        <v>46237</v>
      </c>
      <c r="F87" s="52">
        <f t="shared" si="15"/>
        <v>46238</v>
      </c>
      <c r="G87" s="52">
        <f t="shared" si="15"/>
        <v>46239</v>
      </c>
      <c r="H87" s="52">
        <f t="shared" si="15"/>
        <v>46240</v>
      </c>
      <c r="I87" s="52">
        <f t="shared" si="15"/>
        <v>46241</v>
      </c>
      <c r="J87" s="52">
        <f t="shared" si="15"/>
        <v>46242</v>
      </c>
      <c r="K87" s="52">
        <f t="shared" si="15"/>
        <v>46243</v>
      </c>
      <c r="L87" s="52">
        <f t="shared" si="15"/>
        <v>46244</v>
      </c>
      <c r="M87" s="52">
        <f t="shared" si="15"/>
        <v>46245</v>
      </c>
      <c r="N87" s="52">
        <f t="shared" si="15"/>
        <v>46246</v>
      </c>
      <c r="O87" s="52">
        <f t="shared" si="15"/>
        <v>46247</v>
      </c>
      <c r="P87" s="52">
        <f t="shared" si="15"/>
        <v>46248</v>
      </c>
      <c r="Q87" s="52">
        <f t="shared" si="15"/>
        <v>46249</v>
      </c>
      <c r="R87" s="52">
        <f t="shared" si="15"/>
        <v>46250</v>
      </c>
      <c r="S87" s="52">
        <f t="shared" si="15"/>
        <v>46251</v>
      </c>
      <c r="T87" s="52">
        <f t="shared" si="15"/>
        <v>46252</v>
      </c>
      <c r="U87" s="52">
        <f t="shared" si="15"/>
        <v>46253</v>
      </c>
      <c r="V87" s="52">
        <f t="shared" si="15"/>
        <v>46254</v>
      </c>
      <c r="W87" s="52">
        <f t="shared" si="15"/>
        <v>46255</v>
      </c>
      <c r="X87" s="52">
        <f t="shared" si="15"/>
        <v>46256</v>
      </c>
      <c r="Y87" s="52">
        <f t="shared" si="15"/>
        <v>46257</v>
      </c>
      <c r="Z87" s="52">
        <f t="shared" si="15"/>
        <v>46258</v>
      </c>
      <c r="AA87" s="52">
        <f t="shared" si="15"/>
        <v>46259</v>
      </c>
      <c r="AB87" s="52">
        <f t="shared" si="15"/>
        <v>46260</v>
      </c>
      <c r="AC87" s="52">
        <f t="shared" si="15"/>
        <v>46261</v>
      </c>
      <c r="AD87" s="52">
        <f t="shared" si="15"/>
        <v>46262</v>
      </c>
      <c r="AE87" s="52">
        <f t="shared" si="15"/>
        <v>46263</v>
      </c>
      <c r="AF87" s="52">
        <f t="shared" si="15"/>
        <v>46264</v>
      </c>
      <c r="AG87" s="52">
        <f t="shared" si="15"/>
        <v>46265</v>
      </c>
      <c r="AI87" s="46" t="s">
        <v>42</v>
      </c>
      <c r="AJ87" s="47" t="str">
        <f>_xlfn.LET(_xlpm.v,SUM(C88:AG88),IF(_xlpm.v=INT(_xlpm.v),TEXT(_xlpm.v,"0")&amp;" h",TEXT(_xlpm.v,"0.###")&amp;" h"))</f>
        <v>160 h</v>
      </c>
    </row>
    <row r="88" spans="1:36" outlineLevel="1" x14ac:dyDescent="0.45">
      <c r="A88" s="46" t="s">
        <v>38</v>
      </c>
      <c r="C88" s="42"/>
      <c r="D88" s="42"/>
      <c r="E88" s="42">
        <v>8</v>
      </c>
      <c r="F88" s="42">
        <v>8</v>
      </c>
      <c r="G88" s="42">
        <v>8</v>
      </c>
      <c r="H88" s="42">
        <v>8</v>
      </c>
      <c r="I88" s="42">
        <v>8</v>
      </c>
      <c r="J88" s="42"/>
      <c r="K88" s="42"/>
      <c r="L88" s="42">
        <v>8</v>
      </c>
      <c r="M88" s="42"/>
      <c r="N88" s="42">
        <v>8</v>
      </c>
      <c r="O88" s="42">
        <v>8</v>
      </c>
      <c r="P88" s="42">
        <v>8</v>
      </c>
      <c r="Q88" s="42"/>
      <c r="R88" s="42"/>
      <c r="S88" s="42">
        <v>8</v>
      </c>
      <c r="T88" s="42">
        <v>8</v>
      </c>
      <c r="U88" s="42">
        <v>8</v>
      </c>
      <c r="V88" s="42">
        <v>8</v>
      </c>
      <c r="W88" s="42">
        <v>8</v>
      </c>
      <c r="X88" s="42"/>
      <c r="Y88" s="42"/>
      <c r="Z88" s="42">
        <v>8</v>
      </c>
      <c r="AA88" s="42">
        <v>8</v>
      </c>
      <c r="AB88" s="42">
        <v>8</v>
      </c>
      <c r="AC88" s="42">
        <v>8</v>
      </c>
      <c r="AD88" s="42">
        <v>8</v>
      </c>
      <c r="AE88" s="42"/>
      <c r="AF88" s="42"/>
      <c r="AG88" s="42">
        <v>8</v>
      </c>
      <c r="AI88" s="50" t="s">
        <v>43</v>
      </c>
      <c r="AJ88" s="53">
        <f>COUNT(C89:AG89)</f>
        <v>20</v>
      </c>
    </row>
    <row r="89" spans="1:36" outlineLevel="1" x14ac:dyDescent="0.45">
      <c r="A89" s="50" t="s">
        <v>39</v>
      </c>
      <c r="C89" s="50"/>
      <c r="D89" s="50"/>
      <c r="E89" s="50">
        <v>8</v>
      </c>
      <c r="F89" s="50">
        <v>8</v>
      </c>
      <c r="G89" s="50">
        <v>8</v>
      </c>
      <c r="H89" s="50">
        <v>8</v>
      </c>
      <c r="I89" s="50">
        <v>8</v>
      </c>
      <c r="J89" s="50"/>
      <c r="K89" s="50"/>
      <c r="L89" s="50">
        <v>8</v>
      </c>
      <c r="M89" s="50"/>
      <c r="N89" s="50">
        <v>8</v>
      </c>
      <c r="O89" s="50">
        <v>8</v>
      </c>
      <c r="P89" s="50">
        <v>8</v>
      </c>
      <c r="Q89" s="50"/>
      <c r="R89" s="50"/>
      <c r="S89" s="50">
        <v>8</v>
      </c>
      <c r="T89" s="50">
        <v>8</v>
      </c>
      <c r="U89" s="50">
        <v>8</v>
      </c>
      <c r="V89" s="50">
        <v>8</v>
      </c>
      <c r="W89" s="50">
        <v>8</v>
      </c>
      <c r="X89" s="50"/>
      <c r="Y89" s="50"/>
      <c r="Z89" s="50">
        <v>8</v>
      </c>
      <c r="AA89" s="50">
        <v>8</v>
      </c>
      <c r="AB89" s="50">
        <v>8</v>
      </c>
      <c r="AC89" s="50">
        <v>8</v>
      </c>
      <c r="AD89" s="50">
        <v>8</v>
      </c>
      <c r="AE89" s="50"/>
      <c r="AF89" s="50"/>
      <c r="AG89" s="50">
        <v>8</v>
      </c>
      <c r="AI89" s="50" t="s">
        <v>44</v>
      </c>
      <c r="AJ89" s="51" t="str">
        <f>_xlfn.LET(_xlpm.v,SUM(C89:AG89),IF(_xlpm.v=INT(_xlpm.v),TEXT(_xlpm.v,"0")&amp;" h",TEXT(_xlpm.v,"0.###")&amp;" h"))</f>
        <v>160 h</v>
      </c>
    </row>
    <row r="90" spans="1:36" outlineLevel="1" x14ac:dyDescent="0.45">
      <c r="A90" s="50" t="s">
        <v>37</v>
      </c>
      <c r="C90" s="50"/>
      <c r="D90" s="50"/>
      <c r="E90" s="50" t="s">
        <v>22</v>
      </c>
      <c r="F90" s="50" t="s">
        <v>22</v>
      </c>
      <c r="G90" s="50" t="s">
        <v>22</v>
      </c>
      <c r="H90" s="50" t="s">
        <v>22</v>
      </c>
      <c r="I90" s="50" t="s">
        <v>22</v>
      </c>
      <c r="J90" s="50"/>
      <c r="K90" s="50"/>
      <c r="L90" s="50" t="s">
        <v>22</v>
      </c>
      <c r="M90" s="50"/>
      <c r="N90" s="50" t="s">
        <v>22</v>
      </c>
      <c r="O90" s="50" t="s">
        <v>22</v>
      </c>
      <c r="P90" s="50" t="s">
        <v>22</v>
      </c>
      <c r="Q90" s="50"/>
      <c r="R90" s="50"/>
      <c r="S90" s="50" t="s">
        <v>22</v>
      </c>
      <c r="T90" s="50" t="s">
        <v>22</v>
      </c>
      <c r="U90" s="50" t="s">
        <v>22</v>
      </c>
      <c r="V90" s="50" t="s">
        <v>22</v>
      </c>
      <c r="W90" s="50" t="s">
        <v>22</v>
      </c>
      <c r="X90" s="50"/>
      <c r="Y90" s="50"/>
      <c r="Z90" s="50" t="s">
        <v>22</v>
      </c>
      <c r="AA90" s="50" t="s">
        <v>22</v>
      </c>
      <c r="AB90" s="50" t="s">
        <v>22</v>
      </c>
      <c r="AC90" s="50" t="s">
        <v>22</v>
      </c>
      <c r="AD90" s="50" t="s">
        <v>22</v>
      </c>
      <c r="AE90" s="50"/>
      <c r="AF90" s="50"/>
      <c r="AG90" s="50" t="s">
        <v>22</v>
      </c>
      <c r="AI90" s="50" t="s">
        <v>45</v>
      </c>
      <c r="AJ90" s="53">
        <f>COUNTIF(C90:AG90,"出")</f>
        <v>0</v>
      </c>
    </row>
    <row r="91" spans="1:36" outlineLevel="1" x14ac:dyDescent="0.45">
      <c r="A91" s="50" t="s">
        <v>40</v>
      </c>
      <c r="C91" s="390"/>
      <c r="D91" s="390"/>
      <c r="E91" s="390"/>
      <c r="F91" s="390"/>
      <c r="G91" s="390"/>
      <c r="H91" s="390"/>
      <c r="I91" s="390"/>
      <c r="J91" s="390"/>
      <c r="K91" s="390"/>
      <c r="L91" s="390"/>
      <c r="M91" s="390"/>
      <c r="N91" s="390"/>
      <c r="O91" s="390"/>
      <c r="P91" s="390"/>
      <c r="Q91" s="390"/>
      <c r="S91" s="390"/>
      <c r="T91" s="390"/>
      <c r="U91" s="390"/>
      <c r="V91" s="390"/>
      <c r="W91" s="390"/>
      <c r="X91" s="390"/>
      <c r="Y91" s="390"/>
      <c r="Z91" s="390"/>
      <c r="AA91" s="390"/>
      <c r="AB91" s="390"/>
      <c r="AC91" s="390"/>
      <c r="AD91" s="390"/>
      <c r="AE91" s="390"/>
      <c r="AF91" s="390"/>
      <c r="AG91" s="390"/>
      <c r="AI91" s="50" t="s">
        <v>46</v>
      </c>
      <c r="AJ91" s="53">
        <f>COUNTIF(C90:AG90,"リ")</f>
        <v>20</v>
      </c>
    </row>
    <row r="92" spans="1:36" outlineLevel="1" x14ac:dyDescent="0.45">
      <c r="C92" s="390"/>
      <c r="D92" s="390"/>
      <c r="E92" s="390"/>
      <c r="F92" s="390"/>
      <c r="G92" s="390"/>
      <c r="H92" s="390"/>
      <c r="I92" s="390"/>
      <c r="J92" s="390"/>
      <c r="K92" s="390"/>
      <c r="L92" s="390"/>
      <c r="M92" s="390"/>
      <c r="N92" s="390"/>
      <c r="O92" s="390"/>
      <c r="P92" s="390"/>
      <c r="Q92" s="390"/>
      <c r="S92" s="390"/>
      <c r="T92" s="390"/>
      <c r="U92" s="390"/>
      <c r="V92" s="390"/>
      <c r="W92" s="390"/>
      <c r="X92" s="390"/>
      <c r="Y92" s="390"/>
      <c r="Z92" s="390"/>
      <c r="AA92" s="390"/>
      <c r="AB92" s="390"/>
      <c r="AC92" s="390"/>
      <c r="AD92" s="390"/>
      <c r="AE92" s="390"/>
      <c r="AF92" s="390"/>
      <c r="AG92" s="390"/>
      <c r="AI92" s="50" t="s">
        <v>25</v>
      </c>
      <c r="AJ92" s="54">
        <f>AJ90/(AJ90+AJ91)</f>
        <v>0</v>
      </c>
    </row>
    <row r="93" spans="1:36" outlineLevel="1" x14ac:dyDescent="0.45">
      <c r="C93" s="390"/>
      <c r="D93" s="390"/>
      <c r="E93" s="390"/>
      <c r="F93" s="390"/>
      <c r="G93" s="390"/>
      <c r="H93" s="390"/>
      <c r="I93" s="390"/>
      <c r="J93" s="390"/>
      <c r="K93" s="390"/>
      <c r="L93" s="390"/>
      <c r="M93" s="390"/>
      <c r="N93" s="390"/>
      <c r="O93" s="390"/>
      <c r="P93" s="390"/>
      <c r="Q93" s="390"/>
      <c r="S93" s="390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0"/>
    </row>
    <row r="94" spans="1:36" outlineLevel="1" x14ac:dyDescent="0.45">
      <c r="C94" s="390"/>
      <c r="D94" s="390"/>
      <c r="E94" s="390"/>
      <c r="F94" s="390"/>
      <c r="G94" s="390"/>
      <c r="H94" s="390"/>
      <c r="I94" s="390"/>
      <c r="J94" s="390"/>
      <c r="K94" s="390"/>
      <c r="L94" s="390"/>
      <c r="M94" s="390"/>
      <c r="N94" s="390"/>
      <c r="O94" s="390"/>
      <c r="P94" s="390"/>
      <c r="Q94" s="390"/>
      <c r="S94" s="390"/>
      <c r="T94" s="390"/>
      <c r="U94" s="390"/>
      <c r="V94" s="390"/>
      <c r="W94" s="390"/>
      <c r="X94" s="390"/>
      <c r="Y94" s="390"/>
      <c r="Z94" s="390"/>
      <c r="AA94" s="390"/>
      <c r="AB94" s="390"/>
      <c r="AC94" s="390"/>
      <c r="AD94" s="390"/>
      <c r="AE94" s="390"/>
      <c r="AF94" s="390"/>
      <c r="AG94" s="390"/>
    </row>
    <row r="95" spans="1:36" outlineLevel="1" x14ac:dyDescent="0.45"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0"/>
      <c r="S95" s="390"/>
      <c r="T95" s="390"/>
      <c r="U95" s="390"/>
      <c r="V95" s="390"/>
      <c r="W95" s="390"/>
      <c r="X95" s="390"/>
      <c r="Y95" s="390"/>
      <c r="Z95" s="390"/>
      <c r="AA95" s="390"/>
      <c r="AB95" s="390"/>
      <c r="AC95" s="390"/>
      <c r="AD95" s="390"/>
      <c r="AE95" s="390"/>
      <c r="AF95" s="390"/>
      <c r="AG95" s="390"/>
    </row>
    <row r="96" spans="1:36" outlineLevel="1" x14ac:dyDescent="0.45"/>
    <row r="97" spans="1:36" x14ac:dyDescent="0.45">
      <c r="C97" s="367">
        <v>46266</v>
      </c>
      <c r="D97" s="357"/>
      <c r="E97" s="357"/>
      <c r="F97" s="357"/>
      <c r="G97" s="357"/>
      <c r="H97" s="357"/>
      <c r="I97" s="357"/>
      <c r="J97" s="357"/>
      <c r="K97" s="357"/>
      <c r="L97" s="357"/>
      <c r="M97" s="357"/>
      <c r="N97" s="357"/>
      <c r="O97" s="357"/>
      <c r="P97" s="357"/>
      <c r="Q97" s="357"/>
      <c r="R97" s="357"/>
      <c r="S97" s="357"/>
      <c r="T97" s="357"/>
      <c r="U97" s="357"/>
      <c r="V97" s="357"/>
      <c r="W97" s="357"/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</row>
    <row r="98" spans="1:36" outlineLevel="1" x14ac:dyDescent="0.45">
      <c r="C98" s="50" t="str">
        <f t="shared" ref="C98:AG98" si="16">TEXT(C99,"aaa")</f>
        <v>火</v>
      </c>
      <c r="D98" s="50" t="str">
        <f t="shared" si="16"/>
        <v>水</v>
      </c>
      <c r="E98" s="50" t="str">
        <f t="shared" si="16"/>
        <v>木</v>
      </c>
      <c r="F98" s="50" t="str">
        <f t="shared" si="16"/>
        <v>金</v>
      </c>
      <c r="G98" s="50" t="str">
        <f t="shared" si="16"/>
        <v>土</v>
      </c>
      <c r="H98" s="50" t="str">
        <f t="shared" si="16"/>
        <v>日</v>
      </c>
      <c r="I98" s="50" t="str">
        <f t="shared" si="16"/>
        <v>月</v>
      </c>
      <c r="J98" s="50" t="str">
        <f t="shared" si="16"/>
        <v>火</v>
      </c>
      <c r="K98" s="50" t="str">
        <f t="shared" si="16"/>
        <v>水</v>
      </c>
      <c r="L98" s="50" t="str">
        <f t="shared" si="16"/>
        <v>木</v>
      </c>
      <c r="M98" s="50" t="str">
        <f t="shared" si="16"/>
        <v>金</v>
      </c>
      <c r="N98" s="50" t="str">
        <f t="shared" si="16"/>
        <v>土</v>
      </c>
      <c r="O98" s="50" t="str">
        <f t="shared" si="16"/>
        <v>日</v>
      </c>
      <c r="P98" s="50" t="str">
        <f t="shared" si="16"/>
        <v>月</v>
      </c>
      <c r="Q98" s="50" t="str">
        <f t="shared" si="16"/>
        <v>火</v>
      </c>
      <c r="R98" s="50" t="str">
        <f t="shared" si="16"/>
        <v>水</v>
      </c>
      <c r="S98" s="50" t="str">
        <f t="shared" si="16"/>
        <v>木</v>
      </c>
      <c r="T98" s="50" t="str">
        <f t="shared" si="16"/>
        <v>金</v>
      </c>
      <c r="U98" s="50" t="str">
        <f t="shared" si="16"/>
        <v>土</v>
      </c>
      <c r="V98" s="50" t="str">
        <f t="shared" si="16"/>
        <v>日</v>
      </c>
      <c r="W98" s="50" t="str">
        <f t="shared" si="16"/>
        <v>月</v>
      </c>
      <c r="X98" s="50" t="str">
        <f t="shared" si="16"/>
        <v>火</v>
      </c>
      <c r="Y98" s="50" t="str">
        <f t="shared" si="16"/>
        <v>水</v>
      </c>
      <c r="Z98" s="50" t="str">
        <f t="shared" si="16"/>
        <v>木</v>
      </c>
      <c r="AA98" s="50" t="str">
        <f t="shared" si="16"/>
        <v>金</v>
      </c>
      <c r="AB98" s="50" t="str">
        <f t="shared" si="16"/>
        <v>土</v>
      </c>
      <c r="AC98" s="50" t="str">
        <f t="shared" si="16"/>
        <v>日</v>
      </c>
      <c r="AD98" s="50" t="str">
        <f t="shared" si="16"/>
        <v>月</v>
      </c>
      <c r="AE98" s="50" t="str">
        <f t="shared" si="16"/>
        <v>火</v>
      </c>
      <c r="AF98" s="50" t="str">
        <f t="shared" si="16"/>
        <v>水</v>
      </c>
      <c r="AG98" s="50" t="str">
        <f t="shared" si="16"/>
        <v/>
      </c>
      <c r="AI98" s="46" t="s">
        <v>41</v>
      </c>
      <c r="AJ98" s="48">
        <f>COUNT(C100:AG100)</f>
        <v>19</v>
      </c>
    </row>
    <row r="99" spans="1:36" outlineLevel="1" x14ac:dyDescent="0.45">
      <c r="C99" s="52">
        <f>C97</f>
        <v>46266</v>
      </c>
      <c r="D99" s="52">
        <f t="shared" ref="D99:AG99" si="17">IF(C99="","",IF(C99+1&lt;=EOMONTH($C97,0),C99+1,""))</f>
        <v>46267</v>
      </c>
      <c r="E99" s="52">
        <f t="shared" si="17"/>
        <v>46268</v>
      </c>
      <c r="F99" s="52">
        <f t="shared" si="17"/>
        <v>46269</v>
      </c>
      <c r="G99" s="52">
        <f t="shared" si="17"/>
        <v>46270</v>
      </c>
      <c r="H99" s="52">
        <f t="shared" si="17"/>
        <v>46271</v>
      </c>
      <c r="I99" s="52">
        <f t="shared" si="17"/>
        <v>46272</v>
      </c>
      <c r="J99" s="52">
        <f t="shared" si="17"/>
        <v>46273</v>
      </c>
      <c r="K99" s="52">
        <f t="shared" si="17"/>
        <v>46274</v>
      </c>
      <c r="L99" s="52">
        <f t="shared" si="17"/>
        <v>46275</v>
      </c>
      <c r="M99" s="52">
        <f t="shared" si="17"/>
        <v>46276</v>
      </c>
      <c r="N99" s="52">
        <f t="shared" si="17"/>
        <v>46277</v>
      </c>
      <c r="O99" s="52">
        <f t="shared" si="17"/>
        <v>46278</v>
      </c>
      <c r="P99" s="52">
        <f t="shared" si="17"/>
        <v>46279</v>
      </c>
      <c r="Q99" s="52">
        <f t="shared" si="17"/>
        <v>46280</v>
      </c>
      <c r="R99" s="52">
        <f t="shared" si="17"/>
        <v>46281</v>
      </c>
      <c r="S99" s="52">
        <f t="shared" si="17"/>
        <v>46282</v>
      </c>
      <c r="T99" s="52">
        <f t="shared" si="17"/>
        <v>46283</v>
      </c>
      <c r="U99" s="52">
        <f t="shared" si="17"/>
        <v>46284</v>
      </c>
      <c r="V99" s="52">
        <f t="shared" si="17"/>
        <v>46285</v>
      </c>
      <c r="W99" s="52">
        <f t="shared" si="17"/>
        <v>46286</v>
      </c>
      <c r="X99" s="52">
        <f t="shared" si="17"/>
        <v>46287</v>
      </c>
      <c r="Y99" s="52">
        <f t="shared" si="17"/>
        <v>46288</v>
      </c>
      <c r="Z99" s="52">
        <f t="shared" si="17"/>
        <v>46289</v>
      </c>
      <c r="AA99" s="52">
        <f t="shared" si="17"/>
        <v>46290</v>
      </c>
      <c r="AB99" s="52">
        <f t="shared" si="17"/>
        <v>46291</v>
      </c>
      <c r="AC99" s="52">
        <f t="shared" si="17"/>
        <v>46292</v>
      </c>
      <c r="AD99" s="52">
        <f t="shared" si="17"/>
        <v>46293</v>
      </c>
      <c r="AE99" s="52">
        <f t="shared" si="17"/>
        <v>46294</v>
      </c>
      <c r="AF99" s="52">
        <f t="shared" si="17"/>
        <v>46295</v>
      </c>
      <c r="AG99" s="52" t="str">
        <f t="shared" si="17"/>
        <v/>
      </c>
      <c r="AI99" s="46" t="s">
        <v>42</v>
      </c>
      <c r="AJ99" s="47" t="str">
        <f>_xlfn.LET(_xlpm.v,SUM(C100:AG100),IF(_xlpm.v=INT(_xlpm.v),TEXT(_xlpm.v,"0")&amp;" h",TEXT(_xlpm.v,"0.###")&amp;" h"))</f>
        <v>152 h</v>
      </c>
    </row>
    <row r="100" spans="1:36" outlineLevel="1" x14ac:dyDescent="0.45">
      <c r="A100" s="46" t="s">
        <v>38</v>
      </c>
      <c r="C100" s="42">
        <v>8</v>
      </c>
      <c r="D100" s="42">
        <v>8</v>
      </c>
      <c r="E100" s="42">
        <v>8</v>
      </c>
      <c r="F100" s="42">
        <v>8</v>
      </c>
      <c r="G100" s="42"/>
      <c r="H100" s="42"/>
      <c r="I100" s="42">
        <v>8</v>
      </c>
      <c r="J100" s="42">
        <v>8</v>
      </c>
      <c r="K100" s="42">
        <v>8</v>
      </c>
      <c r="L100" s="42">
        <v>8</v>
      </c>
      <c r="M100" s="42">
        <v>8</v>
      </c>
      <c r="N100" s="42"/>
      <c r="O100" s="42"/>
      <c r="P100" s="42">
        <v>8</v>
      </c>
      <c r="Q100" s="42">
        <v>8</v>
      </c>
      <c r="R100" s="42">
        <v>8</v>
      </c>
      <c r="S100" s="42">
        <v>8</v>
      </c>
      <c r="T100" s="42">
        <v>8</v>
      </c>
      <c r="U100" s="42"/>
      <c r="V100" s="42"/>
      <c r="W100" s="42"/>
      <c r="X100" s="42"/>
      <c r="Y100" s="42"/>
      <c r="Z100" s="42">
        <v>8</v>
      </c>
      <c r="AA100" s="42">
        <v>8</v>
      </c>
      <c r="AB100" s="42"/>
      <c r="AC100" s="42"/>
      <c r="AD100" s="42">
        <v>8</v>
      </c>
      <c r="AE100" s="42">
        <v>8</v>
      </c>
      <c r="AF100" s="42">
        <v>8</v>
      </c>
      <c r="AG100" s="42"/>
      <c r="AI100" s="50" t="s">
        <v>43</v>
      </c>
      <c r="AJ100" s="53">
        <f>COUNT(C101:AG101)</f>
        <v>19</v>
      </c>
    </row>
    <row r="101" spans="1:36" outlineLevel="1" x14ac:dyDescent="0.45">
      <c r="A101" s="50" t="s">
        <v>39</v>
      </c>
      <c r="C101" s="50">
        <v>8</v>
      </c>
      <c r="D101" s="50">
        <v>8</v>
      </c>
      <c r="E101" s="50">
        <v>8</v>
      </c>
      <c r="F101" s="50">
        <v>8</v>
      </c>
      <c r="G101" s="50"/>
      <c r="H101" s="50"/>
      <c r="I101" s="50">
        <v>8</v>
      </c>
      <c r="J101" s="50">
        <v>8</v>
      </c>
      <c r="K101" s="50">
        <v>8</v>
      </c>
      <c r="L101" s="50">
        <v>8</v>
      </c>
      <c r="M101" s="50">
        <v>8</v>
      </c>
      <c r="N101" s="50"/>
      <c r="O101" s="50"/>
      <c r="P101" s="50">
        <v>8</v>
      </c>
      <c r="Q101" s="50">
        <v>8</v>
      </c>
      <c r="R101" s="50">
        <v>8</v>
      </c>
      <c r="S101" s="50">
        <v>8</v>
      </c>
      <c r="T101" s="50">
        <v>8</v>
      </c>
      <c r="U101" s="50"/>
      <c r="V101" s="50"/>
      <c r="W101" s="50"/>
      <c r="X101" s="50"/>
      <c r="Y101" s="50"/>
      <c r="Z101" s="50">
        <v>8</v>
      </c>
      <c r="AA101" s="50">
        <v>8</v>
      </c>
      <c r="AB101" s="50"/>
      <c r="AC101" s="50"/>
      <c r="AD101" s="50">
        <v>8</v>
      </c>
      <c r="AE101" s="50">
        <v>8</v>
      </c>
      <c r="AF101" s="50">
        <v>8</v>
      </c>
      <c r="AG101" s="50"/>
      <c r="AI101" s="50" t="s">
        <v>44</v>
      </c>
      <c r="AJ101" s="51" t="str">
        <f>_xlfn.LET(_xlpm.v,SUM(C101:AG101),IF(_xlpm.v=INT(_xlpm.v),TEXT(_xlpm.v,"0")&amp;" h",TEXT(_xlpm.v,"0.###")&amp;" h"))</f>
        <v>152 h</v>
      </c>
    </row>
    <row r="102" spans="1:36" outlineLevel="1" x14ac:dyDescent="0.45">
      <c r="A102" s="50" t="s">
        <v>37</v>
      </c>
      <c r="C102" s="50" t="s">
        <v>22</v>
      </c>
      <c r="D102" s="50" t="s">
        <v>22</v>
      </c>
      <c r="E102" s="50" t="s">
        <v>22</v>
      </c>
      <c r="F102" s="50" t="s">
        <v>22</v>
      </c>
      <c r="G102" s="50"/>
      <c r="H102" s="50"/>
      <c r="I102" s="50" t="s">
        <v>22</v>
      </c>
      <c r="J102" s="50" t="s">
        <v>22</v>
      </c>
      <c r="K102" s="50" t="s">
        <v>22</v>
      </c>
      <c r="L102" s="50" t="s">
        <v>22</v>
      </c>
      <c r="M102" s="50" t="s">
        <v>22</v>
      </c>
      <c r="N102" s="50"/>
      <c r="O102" s="50"/>
      <c r="P102" s="50" t="s">
        <v>22</v>
      </c>
      <c r="Q102" s="50" t="s">
        <v>22</v>
      </c>
      <c r="R102" s="50" t="s">
        <v>22</v>
      </c>
      <c r="S102" s="50" t="s">
        <v>22</v>
      </c>
      <c r="T102" s="50" t="s">
        <v>22</v>
      </c>
      <c r="U102" s="50"/>
      <c r="V102" s="50"/>
      <c r="W102" s="50"/>
      <c r="X102" s="50"/>
      <c r="Y102" s="50"/>
      <c r="Z102" s="50" t="s">
        <v>22</v>
      </c>
      <c r="AA102" s="50" t="s">
        <v>22</v>
      </c>
      <c r="AB102" s="50"/>
      <c r="AC102" s="50"/>
      <c r="AD102" s="50" t="s">
        <v>22</v>
      </c>
      <c r="AE102" s="50" t="s">
        <v>22</v>
      </c>
      <c r="AF102" s="50" t="s">
        <v>22</v>
      </c>
      <c r="AG102" s="50"/>
      <c r="AI102" s="50" t="s">
        <v>45</v>
      </c>
      <c r="AJ102" s="53">
        <f>COUNTIF(C102:AG102,"出")</f>
        <v>0</v>
      </c>
    </row>
    <row r="103" spans="1:36" outlineLevel="1" x14ac:dyDescent="0.45">
      <c r="A103" s="50" t="s">
        <v>40</v>
      </c>
      <c r="C103" s="390"/>
      <c r="D103" s="390"/>
      <c r="E103" s="390"/>
      <c r="F103" s="390"/>
      <c r="G103" s="390"/>
      <c r="H103" s="390"/>
      <c r="I103" s="390"/>
      <c r="J103" s="390"/>
      <c r="K103" s="390"/>
      <c r="L103" s="390"/>
      <c r="M103" s="390"/>
      <c r="N103" s="390"/>
      <c r="O103" s="390"/>
      <c r="P103" s="390"/>
      <c r="Q103" s="390"/>
      <c r="S103" s="390"/>
      <c r="T103" s="390"/>
      <c r="U103" s="390"/>
      <c r="V103" s="390"/>
      <c r="W103" s="390"/>
      <c r="X103" s="390"/>
      <c r="Y103" s="390"/>
      <c r="Z103" s="390"/>
      <c r="AA103" s="390"/>
      <c r="AB103" s="390"/>
      <c r="AC103" s="390"/>
      <c r="AD103" s="390"/>
      <c r="AE103" s="390"/>
      <c r="AF103" s="390"/>
      <c r="AG103" s="390"/>
      <c r="AI103" s="50" t="s">
        <v>46</v>
      </c>
      <c r="AJ103" s="53">
        <f>COUNTIF(C102:AG102,"リ")</f>
        <v>19</v>
      </c>
    </row>
    <row r="104" spans="1:36" outlineLevel="1" x14ac:dyDescent="0.45">
      <c r="C104" s="390"/>
      <c r="D104" s="390"/>
      <c r="E104" s="390"/>
      <c r="F104" s="390"/>
      <c r="G104" s="390"/>
      <c r="H104" s="390"/>
      <c r="I104" s="390"/>
      <c r="J104" s="390"/>
      <c r="K104" s="390"/>
      <c r="L104" s="390"/>
      <c r="M104" s="390"/>
      <c r="N104" s="390"/>
      <c r="O104" s="390"/>
      <c r="P104" s="390"/>
      <c r="Q104" s="390"/>
      <c r="S104" s="390"/>
      <c r="T104" s="390"/>
      <c r="U104" s="390"/>
      <c r="V104" s="390"/>
      <c r="W104" s="390"/>
      <c r="X104" s="390"/>
      <c r="Y104" s="390"/>
      <c r="Z104" s="390"/>
      <c r="AA104" s="390"/>
      <c r="AB104" s="390"/>
      <c r="AC104" s="390"/>
      <c r="AD104" s="390"/>
      <c r="AE104" s="390"/>
      <c r="AF104" s="390"/>
      <c r="AG104" s="390"/>
      <c r="AI104" s="50" t="s">
        <v>25</v>
      </c>
      <c r="AJ104" s="54">
        <f>AJ102/(AJ102+AJ103)</f>
        <v>0</v>
      </c>
    </row>
    <row r="105" spans="1:36" outlineLevel="1" x14ac:dyDescent="0.45">
      <c r="C105" s="390"/>
      <c r="D105" s="390"/>
      <c r="E105" s="390"/>
      <c r="F105" s="390"/>
      <c r="G105" s="390"/>
      <c r="H105" s="390"/>
      <c r="I105" s="390"/>
      <c r="J105" s="390"/>
      <c r="K105" s="390"/>
      <c r="L105" s="390"/>
      <c r="M105" s="390"/>
      <c r="N105" s="390"/>
      <c r="O105" s="390"/>
      <c r="P105" s="390"/>
      <c r="Q105" s="390"/>
      <c r="S105" s="390"/>
      <c r="T105" s="390"/>
      <c r="U105" s="390"/>
      <c r="V105" s="390"/>
      <c r="W105" s="390"/>
      <c r="X105" s="390"/>
      <c r="Y105" s="390"/>
      <c r="Z105" s="390"/>
      <c r="AA105" s="390"/>
      <c r="AB105" s="390"/>
      <c r="AC105" s="390"/>
      <c r="AD105" s="390"/>
      <c r="AE105" s="390"/>
      <c r="AF105" s="390"/>
      <c r="AG105" s="390"/>
    </row>
    <row r="106" spans="1:36" outlineLevel="1" x14ac:dyDescent="0.45">
      <c r="C106" s="390"/>
      <c r="D106" s="390"/>
      <c r="E106" s="390"/>
      <c r="F106" s="390"/>
      <c r="G106" s="390"/>
      <c r="H106" s="390"/>
      <c r="I106" s="390"/>
      <c r="J106" s="390"/>
      <c r="K106" s="390"/>
      <c r="L106" s="390"/>
      <c r="M106" s="390"/>
      <c r="N106" s="390"/>
      <c r="O106" s="390"/>
      <c r="P106" s="390"/>
      <c r="Q106" s="390"/>
      <c r="S106" s="390"/>
      <c r="T106" s="390"/>
      <c r="U106" s="390"/>
      <c r="V106" s="390"/>
      <c r="W106" s="390"/>
      <c r="X106" s="390"/>
      <c r="Y106" s="390"/>
      <c r="Z106" s="390"/>
      <c r="AA106" s="390"/>
      <c r="AB106" s="390"/>
      <c r="AC106" s="390"/>
      <c r="AD106" s="390"/>
      <c r="AE106" s="390"/>
      <c r="AF106" s="390"/>
      <c r="AG106" s="390"/>
    </row>
    <row r="107" spans="1:36" outlineLevel="1" x14ac:dyDescent="0.45">
      <c r="C107" s="390"/>
      <c r="D107" s="390"/>
      <c r="E107" s="390"/>
      <c r="F107" s="390"/>
      <c r="G107" s="390"/>
      <c r="H107" s="390"/>
      <c r="I107" s="390"/>
      <c r="J107" s="390"/>
      <c r="K107" s="390"/>
      <c r="L107" s="390"/>
      <c r="M107" s="390"/>
      <c r="N107" s="390"/>
      <c r="O107" s="390"/>
      <c r="P107" s="390"/>
      <c r="Q107" s="390"/>
      <c r="S107" s="390"/>
      <c r="T107" s="390"/>
      <c r="U107" s="390"/>
      <c r="V107" s="390"/>
      <c r="W107" s="390"/>
      <c r="X107" s="390"/>
      <c r="Y107" s="390"/>
      <c r="Z107" s="390"/>
      <c r="AA107" s="390"/>
      <c r="AB107" s="390"/>
      <c r="AC107" s="390"/>
      <c r="AD107" s="390"/>
      <c r="AE107" s="390"/>
      <c r="AF107" s="390"/>
      <c r="AG107" s="390"/>
    </row>
    <row r="108" spans="1:36" outlineLevel="1" x14ac:dyDescent="0.45"/>
    <row r="109" spans="1:36" x14ac:dyDescent="0.45">
      <c r="C109" s="367">
        <v>46296</v>
      </c>
      <c r="D109" s="357"/>
      <c r="E109" s="357"/>
      <c r="F109" s="357"/>
      <c r="G109" s="357"/>
      <c r="H109" s="357"/>
      <c r="I109" s="357"/>
      <c r="J109" s="357"/>
      <c r="K109" s="357"/>
      <c r="L109" s="357"/>
      <c r="M109" s="357"/>
      <c r="N109" s="357"/>
      <c r="O109" s="357"/>
      <c r="P109" s="357"/>
      <c r="Q109" s="357"/>
      <c r="R109" s="357"/>
      <c r="S109" s="357"/>
      <c r="T109" s="357"/>
      <c r="U109" s="357"/>
      <c r="V109" s="357"/>
      <c r="W109" s="357"/>
      <c r="X109" s="357"/>
      <c r="Y109" s="357"/>
      <c r="Z109" s="357"/>
      <c r="AA109" s="357"/>
      <c r="AB109" s="357"/>
      <c r="AC109" s="357"/>
      <c r="AD109" s="357"/>
      <c r="AE109" s="357"/>
      <c r="AF109" s="357"/>
      <c r="AG109" s="357"/>
    </row>
    <row r="110" spans="1:36" outlineLevel="1" x14ac:dyDescent="0.45">
      <c r="C110" s="50" t="str">
        <f t="shared" ref="C110:AG110" si="18">TEXT(C111,"aaa")</f>
        <v>木</v>
      </c>
      <c r="D110" s="50" t="str">
        <f t="shared" si="18"/>
        <v>金</v>
      </c>
      <c r="E110" s="50" t="str">
        <f t="shared" si="18"/>
        <v>土</v>
      </c>
      <c r="F110" s="50" t="str">
        <f t="shared" si="18"/>
        <v>日</v>
      </c>
      <c r="G110" s="50" t="str">
        <f t="shared" si="18"/>
        <v>月</v>
      </c>
      <c r="H110" s="50" t="str">
        <f t="shared" si="18"/>
        <v>火</v>
      </c>
      <c r="I110" s="50" t="str">
        <f t="shared" si="18"/>
        <v>水</v>
      </c>
      <c r="J110" s="50" t="str">
        <f t="shared" si="18"/>
        <v>木</v>
      </c>
      <c r="K110" s="50" t="str">
        <f t="shared" si="18"/>
        <v>金</v>
      </c>
      <c r="L110" s="50" t="str">
        <f t="shared" si="18"/>
        <v>土</v>
      </c>
      <c r="M110" s="50" t="str">
        <f t="shared" si="18"/>
        <v>日</v>
      </c>
      <c r="N110" s="50" t="str">
        <f t="shared" si="18"/>
        <v>月</v>
      </c>
      <c r="O110" s="50" t="str">
        <f t="shared" si="18"/>
        <v>火</v>
      </c>
      <c r="P110" s="50" t="str">
        <f t="shared" si="18"/>
        <v>水</v>
      </c>
      <c r="Q110" s="50" t="str">
        <f t="shared" si="18"/>
        <v>木</v>
      </c>
      <c r="R110" s="50" t="str">
        <f t="shared" si="18"/>
        <v>金</v>
      </c>
      <c r="S110" s="50" t="str">
        <f t="shared" si="18"/>
        <v>土</v>
      </c>
      <c r="T110" s="50" t="str">
        <f t="shared" si="18"/>
        <v>日</v>
      </c>
      <c r="U110" s="50" t="str">
        <f t="shared" si="18"/>
        <v>月</v>
      </c>
      <c r="V110" s="50" t="str">
        <f t="shared" si="18"/>
        <v>火</v>
      </c>
      <c r="W110" s="50" t="str">
        <f t="shared" si="18"/>
        <v>水</v>
      </c>
      <c r="X110" s="50" t="str">
        <f t="shared" si="18"/>
        <v>木</v>
      </c>
      <c r="Y110" s="50" t="str">
        <f t="shared" si="18"/>
        <v>金</v>
      </c>
      <c r="Z110" s="50" t="str">
        <f t="shared" si="18"/>
        <v>土</v>
      </c>
      <c r="AA110" s="50" t="str">
        <f t="shared" si="18"/>
        <v>日</v>
      </c>
      <c r="AB110" s="50" t="str">
        <f t="shared" si="18"/>
        <v>月</v>
      </c>
      <c r="AC110" s="50" t="str">
        <f t="shared" si="18"/>
        <v>火</v>
      </c>
      <c r="AD110" s="50" t="str">
        <f t="shared" si="18"/>
        <v>水</v>
      </c>
      <c r="AE110" s="50" t="str">
        <f t="shared" si="18"/>
        <v>木</v>
      </c>
      <c r="AF110" s="50" t="str">
        <f t="shared" si="18"/>
        <v>金</v>
      </c>
      <c r="AG110" s="50" t="str">
        <f t="shared" si="18"/>
        <v>土</v>
      </c>
      <c r="AI110" s="46" t="s">
        <v>41</v>
      </c>
      <c r="AJ110" s="48">
        <f>COUNT(C112:AG112)</f>
        <v>21</v>
      </c>
    </row>
    <row r="111" spans="1:36" outlineLevel="1" x14ac:dyDescent="0.45">
      <c r="C111" s="52">
        <f>C109</f>
        <v>46296</v>
      </c>
      <c r="D111" s="52">
        <f t="shared" ref="D111:AG111" si="19">IF(C111="","",IF(C111+1&lt;=EOMONTH($C109,0),C111+1,""))</f>
        <v>46297</v>
      </c>
      <c r="E111" s="52">
        <f t="shared" si="19"/>
        <v>46298</v>
      </c>
      <c r="F111" s="52">
        <f t="shared" si="19"/>
        <v>46299</v>
      </c>
      <c r="G111" s="52">
        <f t="shared" si="19"/>
        <v>46300</v>
      </c>
      <c r="H111" s="52">
        <f t="shared" si="19"/>
        <v>46301</v>
      </c>
      <c r="I111" s="52">
        <f t="shared" si="19"/>
        <v>46302</v>
      </c>
      <c r="J111" s="52">
        <f t="shared" si="19"/>
        <v>46303</v>
      </c>
      <c r="K111" s="52">
        <f t="shared" si="19"/>
        <v>46304</v>
      </c>
      <c r="L111" s="52">
        <f t="shared" si="19"/>
        <v>46305</v>
      </c>
      <c r="M111" s="52">
        <f t="shared" si="19"/>
        <v>46306</v>
      </c>
      <c r="N111" s="52">
        <f t="shared" si="19"/>
        <v>46307</v>
      </c>
      <c r="O111" s="52">
        <f t="shared" si="19"/>
        <v>46308</v>
      </c>
      <c r="P111" s="52">
        <f t="shared" si="19"/>
        <v>46309</v>
      </c>
      <c r="Q111" s="52">
        <f t="shared" si="19"/>
        <v>46310</v>
      </c>
      <c r="R111" s="52">
        <f t="shared" si="19"/>
        <v>46311</v>
      </c>
      <c r="S111" s="52">
        <f t="shared" si="19"/>
        <v>46312</v>
      </c>
      <c r="T111" s="52">
        <f t="shared" si="19"/>
        <v>46313</v>
      </c>
      <c r="U111" s="52">
        <f t="shared" si="19"/>
        <v>46314</v>
      </c>
      <c r="V111" s="52">
        <f t="shared" si="19"/>
        <v>46315</v>
      </c>
      <c r="W111" s="52">
        <f t="shared" si="19"/>
        <v>46316</v>
      </c>
      <c r="X111" s="52">
        <f t="shared" si="19"/>
        <v>46317</v>
      </c>
      <c r="Y111" s="52">
        <f t="shared" si="19"/>
        <v>46318</v>
      </c>
      <c r="Z111" s="52">
        <f t="shared" si="19"/>
        <v>46319</v>
      </c>
      <c r="AA111" s="52">
        <f t="shared" si="19"/>
        <v>46320</v>
      </c>
      <c r="AB111" s="52">
        <f t="shared" si="19"/>
        <v>46321</v>
      </c>
      <c r="AC111" s="52">
        <f t="shared" si="19"/>
        <v>46322</v>
      </c>
      <c r="AD111" s="52">
        <f t="shared" si="19"/>
        <v>46323</v>
      </c>
      <c r="AE111" s="52">
        <f t="shared" si="19"/>
        <v>46324</v>
      </c>
      <c r="AF111" s="52">
        <f t="shared" si="19"/>
        <v>46325</v>
      </c>
      <c r="AG111" s="52">
        <f t="shared" si="19"/>
        <v>46326</v>
      </c>
      <c r="AI111" s="46" t="s">
        <v>42</v>
      </c>
      <c r="AJ111" s="47" t="str">
        <f>_xlfn.LET(_xlpm.v,SUM(C112:AG112),IF(_xlpm.v=INT(_xlpm.v),TEXT(_xlpm.v,"0")&amp;" h",TEXT(_xlpm.v,"0.###")&amp;" h"))</f>
        <v>168 h</v>
      </c>
    </row>
    <row r="112" spans="1:36" outlineLevel="1" x14ac:dyDescent="0.45">
      <c r="A112" s="46" t="s">
        <v>38</v>
      </c>
      <c r="C112" s="42">
        <v>8</v>
      </c>
      <c r="D112" s="42">
        <v>8</v>
      </c>
      <c r="E112" s="42"/>
      <c r="F112" s="42"/>
      <c r="G112" s="42">
        <v>8</v>
      </c>
      <c r="H112" s="42">
        <v>8</v>
      </c>
      <c r="I112" s="42">
        <v>8</v>
      </c>
      <c r="J112" s="42">
        <v>8</v>
      </c>
      <c r="K112" s="42">
        <v>8</v>
      </c>
      <c r="L112" s="42"/>
      <c r="M112" s="42"/>
      <c r="N112" s="42"/>
      <c r="O112" s="42">
        <v>8</v>
      </c>
      <c r="P112" s="42">
        <v>8</v>
      </c>
      <c r="Q112" s="42">
        <v>8</v>
      </c>
      <c r="R112" s="42">
        <v>8</v>
      </c>
      <c r="S112" s="42"/>
      <c r="T112" s="42"/>
      <c r="U112" s="42">
        <v>8</v>
      </c>
      <c r="V112" s="42">
        <v>8</v>
      </c>
      <c r="W112" s="42">
        <v>8</v>
      </c>
      <c r="X112" s="42">
        <v>8</v>
      </c>
      <c r="Y112" s="42">
        <v>8</v>
      </c>
      <c r="Z112" s="42"/>
      <c r="AA112" s="42"/>
      <c r="AB112" s="42">
        <v>8</v>
      </c>
      <c r="AC112" s="42">
        <v>8</v>
      </c>
      <c r="AD112" s="42">
        <v>8</v>
      </c>
      <c r="AE112" s="42">
        <v>8</v>
      </c>
      <c r="AF112" s="42">
        <v>8</v>
      </c>
      <c r="AG112" s="42"/>
      <c r="AI112" s="50" t="s">
        <v>43</v>
      </c>
      <c r="AJ112" s="53">
        <f>COUNT(C113:AG113)</f>
        <v>21</v>
      </c>
    </row>
    <row r="113" spans="1:36" outlineLevel="1" x14ac:dyDescent="0.45">
      <c r="A113" s="50" t="s">
        <v>39</v>
      </c>
      <c r="C113" s="50">
        <v>8</v>
      </c>
      <c r="D113" s="50">
        <v>8</v>
      </c>
      <c r="E113" s="50"/>
      <c r="F113" s="50"/>
      <c r="G113" s="50">
        <v>8</v>
      </c>
      <c r="H113" s="50">
        <v>8</v>
      </c>
      <c r="I113" s="50">
        <v>8</v>
      </c>
      <c r="J113" s="50">
        <v>8</v>
      </c>
      <c r="K113" s="50">
        <v>8</v>
      </c>
      <c r="L113" s="50"/>
      <c r="M113" s="50"/>
      <c r="N113" s="50"/>
      <c r="O113" s="50">
        <v>8</v>
      </c>
      <c r="P113" s="50">
        <v>8</v>
      </c>
      <c r="Q113" s="50">
        <v>8</v>
      </c>
      <c r="R113" s="50">
        <v>8</v>
      </c>
      <c r="S113" s="50"/>
      <c r="T113" s="50"/>
      <c r="U113" s="50">
        <v>8</v>
      </c>
      <c r="V113" s="50">
        <v>8</v>
      </c>
      <c r="W113" s="50">
        <v>8</v>
      </c>
      <c r="X113" s="50">
        <v>8</v>
      </c>
      <c r="Y113" s="50">
        <v>8</v>
      </c>
      <c r="Z113" s="50"/>
      <c r="AA113" s="50"/>
      <c r="AB113" s="50">
        <v>8</v>
      </c>
      <c r="AC113" s="50">
        <v>8</v>
      </c>
      <c r="AD113" s="50">
        <v>8</v>
      </c>
      <c r="AE113" s="50">
        <v>8</v>
      </c>
      <c r="AF113" s="50">
        <v>8</v>
      </c>
      <c r="AG113" s="50"/>
      <c r="AI113" s="50" t="s">
        <v>44</v>
      </c>
      <c r="AJ113" s="51" t="str">
        <f>_xlfn.LET(_xlpm.v,SUM(C113:AG113),IF(_xlpm.v=INT(_xlpm.v),TEXT(_xlpm.v,"0")&amp;" h",TEXT(_xlpm.v,"0.###")&amp;" h"))</f>
        <v>168 h</v>
      </c>
    </row>
    <row r="114" spans="1:36" outlineLevel="1" x14ac:dyDescent="0.45">
      <c r="A114" s="50" t="s">
        <v>37</v>
      </c>
      <c r="C114" s="50" t="s">
        <v>22</v>
      </c>
      <c r="D114" s="50" t="s">
        <v>22</v>
      </c>
      <c r="E114" s="50"/>
      <c r="F114" s="50"/>
      <c r="G114" s="50" t="s">
        <v>22</v>
      </c>
      <c r="H114" s="50" t="s">
        <v>22</v>
      </c>
      <c r="I114" s="50" t="s">
        <v>22</v>
      </c>
      <c r="J114" s="50" t="s">
        <v>22</v>
      </c>
      <c r="K114" s="50" t="s">
        <v>22</v>
      </c>
      <c r="L114" s="50"/>
      <c r="M114" s="50"/>
      <c r="N114" s="50"/>
      <c r="O114" s="50" t="s">
        <v>22</v>
      </c>
      <c r="P114" s="50" t="s">
        <v>22</v>
      </c>
      <c r="Q114" s="50" t="s">
        <v>22</v>
      </c>
      <c r="R114" s="50" t="s">
        <v>22</v>
      </c>
      <c r="S114" s="50"/>
      <c r="T114" s="50"/>
      <c r="U114" s="50" t="s">
        <v>22</v>
      </c>
      <c r="V114" s="50" t="s">
        <v>22</v>
      </c>
      <c r="W114" s="50" t="s">
        <v>22</v>
      </c>
      <c r="X114" s="50" t="s">
        <v>22</v>
      </c>
      <c r="Y114" s="50" t="s">
        <v>22</v>
      </c>
      <c r="Z114" s="50"/>
      <c r="AA114" s="50"/>
      <c r="AB114" s="50" t="s">
        <v>22</v>
      </c>
      <c r="AC114" s="50" t="s">
        <v>22</v>
      </c>
      <c r="AD114" s="50" t="s">
        <v>22</v>
      </c>
      <c r="AE114" s="50" t="s">
        <v>22</v>
      </c>
      <c r="AF114" s="50" t="s">
        <v>22</v>
      </c>
      <c r="AG114" s="50"/>
      <c r="AI114" s="50" t="s">
        <v>45</v>
      </c>
      <c r="AJ114" s="53">
        <f>COUNTIF(C114:AG114,"出")</f>
        <v>0</v>
      </c>
    </row>
    <row r="115" spans="1:36" outlineLevel="1" x14ac:dyDescent="0.45">
      <c r="A115" s="50" t="s">
        <v>40</v>
      </c>
      <c r="C115" s="390"/>
      <c r="D115" s="390"/>
      <c r="E115" s="390"/>
      <c r="F115" s="390"/>
      <c r="G115" s="390"/>
      <c r="H115" s="390"/>
      <c r="I115" s="390"/>
      <c r="J115" s="390"/>
      <c r="K115" s="390"/>
      <c r="L115" s="390"/>
      <c r="M115" s="390"/>
      <c r="N115" s="390"/>
      <c r="O115" s="390"/>
      <c r="P115" s="390"/>
      <c r="Q115" s="390"/>
      <c r="S115" s="390"/>
      <c r="T115" s="390"/>
      <c r="U115" s="390"/>
      <c r="V115" s="390"/>
      <c r="W115" s="390"/>
      <c r="X115" s="390"/>
      <c r="Y115" s="390"/>
      <c r="Z115" s="390"/>
      <c r="AA115" s="390"/>
      <c r="AB115" s="390"/>
      <c r="AC115" s="390"/>
      <c r="AD115" s="390"/>
      <c r="AE115" s="390"/>
      <c r="AF115" s="390"/>
      <c r="AG115" s="390"/>
      <c r="AI115" s="50" t="s">
        <v>46</v>
      </c>
      <c r="AJ115" s="53">
        <f>COUNTIF(C114:AG114,"リ")</f>
        <v>21</v>
      </c>
    </row>
    <row r="116" spans="1:36" outlineLevel="1" x14ac:dyDescent="0.45">
      <c r="C116" s="390"/>
      <c r="D116" s="390"/>
      <c r="E116" s="390"/>
      <c r="F116" s="390"/>
      <c r="G116" s="390"/>
      <c r="H116" s="390"/>
      <c r="I116" s="390"/>
      <c r="J116" s="390"/>
      <c r="K116" s="390"/>
      <c r="L116" s="390"/>
      <c r="M116" s="390"/>
      <c r="N116" s="390"/>
      <c r="O116" s="390"/>
      <c r="P116" s="390"/>
      <c r="Q116" s="390"/>
      <c r="S116" s="390"/>
      <c r="T116" s="390"/>
      <c r="U116" s="390"/>
      <c r="V116" s="390"/>
      <c r="W116" s="390"/>
      <c r="X116" s="390"/>
      <c r="Y116" s="390"/>
      <c r="Z116" s="390"/>
      <c r="AA116" s="390"/>
      <c r="AB116" s="390"/>
      <c r="AC116" s="390"/>
      <c r="AD116" s="390"/>
      <c r="AE116" s="390"/>
      <c r="AF116" s="390"/>
      <c r="AG116" s="390"/>
      <c r="AI116" s="50" t="s">
        <v>25</v>
      </c>
      <c r="AJ116" s="54">
        <f>AJ114/(AJ114+AJ115)</f>
        <v>0</v>
      </c>
    </row>
    <row r="117" spans="1:36" outlineLevel="1" x14ac:dyDescent="0.45">
      <c r="C117" s="390"/>
      <c r="D117" s="390"/>
      <c r="E117" s="390"/>
      <c r="F117" s="390"/>
      <c r="G117" s="390"/>
      <c r="H117" s="390"/>
      <c r="I117" s="390"/>
      <c r="J117" s="390"/>
      <c r="K117" s="390"/>
      <c r="L117" s="390"/>
      <c r="M117" s="390"/>
      <c r="N117" s="390"/>
      <c r="O117" s="390"/>
      <c r="P117" s="390"/>
      <c r="Q117" s="390"/>
      <c r="S117" s="390"/>
      <c r="T117" s="390"/>
      <c r="U117" s="390"/>
      <c r="V117" s="390"/>
      <c r="W117" s="390"/>
      <c r="X117" s="390"/>
      <c r="Y117" s="390"/>
      <c r="Z117" s="390"/>
      <c r="AA117" s="390"/>
      <c r="AB117" s="390"/>
      <c r="AC117" s="390"/>
      <c r="AD117" s="390"/>
      <c r="AE117" s="390"/>
      <c r="AF117" s="390"/>
      <c r="AG117" s="390"/>
    </row>
    <row r="118" spans="1:36" outlineLevel="1" x14ac:dyDescent="0.45">
      <c r="C118" s="390"/>
      <c r="D118" s="390"/>
      <c r="E118" s="390"/>
      <c r="F118" s="390"/>
      <c r="G118" s="390"/>
      <c r="H118" s="390"/>
      <c r="I118" s="390"/>
      <c r="J118" s="390"/>
      <c r="K118" s="390"/>
      <c r="L118" s="390"/>
      <c r="M118" s="390"/>
      <c r="N118" s="390"/>
      <c r="O118" s="390"/>
      <c r="P118" s="390"/>
      <c r="Q118" s="390"/>
      <c r="S118" s="390"/>
      <c r="T118" s="390"/>
      <c r="U118" s="390"/>
      <c r="V118" s="390"/>
      <c r="W118" s="390"/>
      <c r="X118" s="390"/>
      <c r="Y118" s="390"/>
      <c r="Z118" s="390"/>
      <c r="AA118" s="390"/>
      <c r="AB118" s="390"/>
      <c r="AC118" s="390"/>
      <c r="AD118" s="390"/>
      <c r="AE118" s="390"/>
      <c r="AF118" s="390"/>
      <c r="AG118" s="390"/>
    </row>
    <row r="119" spans="1:36" outlineLevel="1" x14ac:dyDescent="0.45">
      <c r="C119" s="390"/>
      <c r="D119" s="390"/>
      <c r="E119" s="390"/>
      <c r="F119" s="390"/>
      <c r="G119" s="390"/>
      <c r="H119" s="390"/>
      <c r="I119" s="390"/>
      <c r="J119" s="390"/>
      <c r="K119" s="390"/>
      <c r="L119" s="390"/>
      <c r="M119" s="390"/>
      <c r="N119" s="390"/>
      <c r="O119" s="390"/>
      <c r="P119" s="390"/>
      <c r="Q119" s="390"/>
      <c r="S119" s="390"/>
      <c r="T119" s="390"/>
      <c r="U119" s="390"/>
      <c r="V119" s="390"/>
      <c r="W119" s="390"/>
      <c r="X119" s="390"/>
      <c r="Y119" s="390"/>
      <c r="Z119" s="390"/>
      <c r="AA119" s="390"/>
      <c r="AB119" s="390"/>
      <c r="AC119" s="390"/>
      <c r="AD119" s="390"/>
      <c r="AE119" s="390"/>
      <c r="AF119" s="390"/>
      <c r="AG119" s="390"/>
    </row>
    <row r="120" spans="1:36" outlineLevel="1" x14ac:dyDescent="0.45"/>
    <row r="121" spans="1:36" x14ac:dyDescent="0.45">
      <c r="C121" s="367">
        <v>46327</v>
      </c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  <c r="P121" s="357"/>
      <c r="Q121" s="357"/>
      <c r="R121" s="357"/>
      <c r="S121" s="357"/>
      <c r="T121" s="357"/>
      <c r="U121" s="357"/>
      <c r="V121" s="357"/>
      <c r="W121" s="357"/>
      <c r="X121" s="357"/>
      <c r="Y121" s="357"/>
      <c r="Z121" s="357"/>
      <c r="AA121" s="357"/>
      <c r="AB121" s="357"/>
      <c r="AC121" s="357"/>
      <c r="AD121" s="357"/>
      <c r="AE121" s="357"/>
      <c r="AF121" s="357"/>
      <c r="AG121" s="357"/>
    </row>
    <row r="122" spans="1:36" outlineLevel="1" x14ac:dyDescent="0.45">
      <c r="C122" s="50" t="str">
        <f t="shared" ref="C122:AG122" si="20">TEXT(C123,"aaa")</f>
        <v>日</v>
      </c>
      <c r="D122" s="50" t="str">
        <f t="shared" si="20"/>
        <v>月</v>
      </c>
      <c r="E122" s="50" t="str">
        <f t="shared" si="20"/>
        <v>火</v>
      </c>
      <c r="F122" s="50" t="str">
        <f t="shared" si="20"/>
        <v>水</v>
      </c>
      <c r="G122" s="50" t="str">
        <f t="shared" si="20"/>
        <v>木</v>
      </c>
      <c r="H122" s="50" t="str">
        <f t="shared" si="20"/>
        <v>金</v>
      </c>
      <c r="I122" s="50" t="str">
        <f t="shared" si="20"/>
        <v>土</v>
      </c>
      <c r="J122" s="50" t="str">
        <f t="shared" si="20"/>
        <v>日</v>
      </c>
      <c r="K122" s="50" t="str">
        <f t="shared" si="20"/>
        <v>月</v>
      </c>
      <c r="L122" s="50" t="str">
        <f t="shared" si="20"/>
        <v>火</v>
      </c>
      <c r="M122" s="50" t="str">
        <f t="shared" si="20"/>
        <v>水</v>
      </c>
      <c r="N122" s="50" t="str">
        <f t="shared" si="20"/>
        <v>木</v>
      </c>
      <c r="O122" s="50" t="str">
        <f t="shared" si="20"/>
        <v>金</v>
      </c>
      <c r="P122" s="50" t="str">
        <f t="shared" si="20"/>
        <v>土</v>
      </c>
      <c r="Q122" s="50" t="str">
        <f t="shared" si="20"/>
        <v>日</v>
      </c>
      <c r="R122" s="50" t="str">
        <f t="shared" si="20"/>
        <v>月</v>
      </c>
      <c r="S122" s="50" t="str">
        <f t="shared" si="20"/>
        <v>火</v>
      </c>
      <c r="T122" s="50" t="str">
        <f t="shared" si="20"/>
        <v>水</v>
      </c>
      <c r="U122" s="50" t="str">
        <f t="shared" si="20"/>
        <v>木</v>
      </c>
      <c r="V122" s="50" t="str">
        <f t="shared" si="20"/>
        <v>金</v>
      </c>
      <c r="W122" s="50" t="str">
        <f t="shared" si="20"/>
        <v>土</v>
      </c>
      <c r="X122" s="50" t="str">
        <f t="shared" si="20"/>
        <v>日</v>
      </c>
      <c r="Y122" s="50" t="str">
        <f t="shared" si="20"/>
        <v>月</v>
      </c>
      <c r="Z122" s="50" t="str">
        <f t="shared" si="20"/>
        <v>火</v>
      </c>
      <c r="AA122" s="50" t="str">
        <f t="shared" si="20"/>
        <v>水</v>
      </c>
      <c r="AB122" s="50" t="str">
        <f t="shared" si="20"/>
        <v>木</v>
      </c>
      <c r="AC122" s="50" t="str">
        <f t="shared" si="20"/>
        <v>金</v>
      </c>
      <c r="AD122" s="50" t="str">
        <f t="shared" si="20"/>
        <v>土</v>
      </c>
      <c r="AE122" s="50" t="str">
        <f t="shared" si="20"/>
        <v>日</v>
      </c>
      <c r="AF122" s="50" t="str">
        <f t="shared" si="20"/>
        <v>月</v>
      </c>
      <c r="AG122" s="50" t="str">
        <f t="shared" si="20"/>
        <v/>
      </c>
      <c r="AI122" s="46" t="s">
        <v>41</v>
      </c>
      <c r="AJ122" s="48">
        <f>COUNT(C124:AG124)</f>
        <v>19</v>
      </c>
    </row>
    <row r="123" spans="1:36" outlineLevel="1" x14ac:dyDescent="0.45">
      <c r="C123" s="52">
        <f>C121</f>
        <v>46327</v>
      </c>
      <c r="D123" s="52">
        <f t="shared" ref="D123:AG123" si="21">IF(C123="","",IF(C123+1&lt;=EOMONTH($C121,0),C123+1,""))</f>
        <v>46328</v>
      </c>
      <c r="E123" s="52">
        <f t="shared" si="21"/>
        <v>46329</v>
      </c>
      <c r="F123" s="52">
        <f t="shared" si="21"/>
        <v>46330</v>
      </c>
      <c r="G123" s="52">
        <f t="shared" si="21"/>
        <v>46331</v>
      </c>
      <c r="H123" s="52">
        <f t="shared" si="21"/>
        <v>46332</v>
      </c>
      <c r="I123" s="52">
        <f t="shared" si="21"/>
        <v>46333</v>
      </c>
      <c r="J123" s="52">
        <f t="shared" si="21"/>
        <v>46334</v>
      </c>
      <c r="K123" s="52">
        <f t="shared" si="21"/>
        <v>46335</v>
      </c>
      <c r="L123" s="52">
        <f t="shared" si="21"/>
        <v>46336</v>
      </c>
      <c r="M123" s="52">
        <f t="shared" si="21"/>
        <v>46337</v>
      </c>
      <c r="N123" s="52">
        <f t="shared" si="21"/>
        <v>46338</v>
      </c>
      <c r="O123" s="52">
        <f t="shared" si="21"/>
        <v>46339</v>
      </c>
      <c r="P123" s="52">
        <f t="shared" si="21"/>
        <v>46340</v>
      </c>
      <c r="Q123" s="52">
        <f t="shared" si="21"/>
        <v>46341</v>
      </c>
      <c r="R123" s="52">
        <f t="shared" si="21"/>
        <v>46342</v>
      </c>
      <c r="S123" s="52">
        <f t="shared" si="21"/>
        <v>46343</v>
      </c>
      <c r="T123" s="52">
        <f t="shared" si="21"/>
        <v>46344</v>
      </c>
      <c r="U123" s="52">
        <f t="shared" si="21"/>
        <v>46345</v>
      </c>
      <c r="V123" s="52">
        <f t="shared" si="21"/>
        <v>46346</v>
      </c>
      <c r="W123" s="52">
        <f t="shared" si="21"/>
        <v>46347</v>
      </c>
      <c r="X123" s="52">
        <f t="shared" si="21"/>
        <v>46348</v>
      </c>
      <c r="Y123" s="52">
        <f t="shared" si="21"/>
        <v>46349</v>
      </c>
      <c r="Z123" s="52">
        <f t="shared" si="21"/>
        <v>46350</v>
      </c>
      <c r="AA123" s="52">
        <f t="shared" si="21"/>
        <v>46351</v>
      </c>
      <c r="AB123" s="52">
        <f t="shared" si="21"/>
        <v>46352</v>
      </c>
      <c r="AC123" s="52">
        <f t="shared" si="21"/>
        <v>46353</v>
      </c>
      <c r="AD123" s="52">
        <f t="shared" si="21"/>
        <v>46354</v>
      </c>
      <c r="AE123" s="52">
        <f t="shared" si="21"/>
        <v>46355</v>
      </c>
      <c r="AF123" s="52">
        <f t="shared" si="21"/>
        <v>46356</v>
      </c>
      <c r="AG123" s="52" t="str">
        <f t="shared" si="21"/>
        <v/>
      </c>
      <c r="AI123" s="46" t="s">
        <v>42</v>
      </c>
      <c r="AJ123" s="47" t="str">
        <f>_xlfn.LET(_xlpm.v,SUM(C124:AG124),IF(_xlpm.v=INT(_xlpm.v),TEXT(_xlpm.v,"0")&amp;" h",TEXT(_xlpm.v,"0.###")&amp;" h"))</f>
        <v>152 h</v>
      </c>
    </row>
    <row r="124" spans="1:36" outlineLevel="1" x14ac:dyDescent="0.45">
      <c r="A124" s="46" t="s">
        <v>38</v>
      </c>
      <c r="C124" s="42"/>
      <c r="D124" s="42">
        <v>8</v>
      </c>
      <c r="E124" s="42"/>
      <c r="F124" s="42">
        <v>8</v>
      </c>
      <c r="G124" s="42">
        <v>8</v>
      </c>
      <c r="H124" s="42">
        <v>8</v>
      </c>
      <c r="I124" s="42"/>
      <c r="J124" s="42"/>
      <c r="K124" s="42">
        <v>8</v>
      </c>
      <c r="L124" s="42">
        <v>8</v>
      </c>
      <c r="M124" s="42">
        <v>8</v>
      </c>
      <c r="N124" s="42">
        <v>8</v>
      </c>
      <c r="O124" s="42">
        <v>8</v>
      </c>
      <c r="P124" s="42"/>
      <c r="Q124" s="42"/>
      <c r="R124" s="42">
        <v>8</v>
      </c>
      <c r="S124" s="42">
        <v>8</v>
      </c>
      <c r="T124" s="42">
        <v>8</v>
      </c>
      <c r="U124" s="42">
        <v>8</v>
      </c>
      <c r="V124" s="42">
        <v>8</v>
      </c>
      <c r="W124" s="42"/>
      <c r="X124" s="42"/>
      <c r="Y124" s="42"/>
      <c r="Z124" s="42">
        <v>8</v>
      </c>
      <c r="AA124" s="42">
        <v>8</v>
      </c>
      <c r="AB124" s="42">
        <v>8</v>
      </c>
      <c r="AC124" s="42">
        <v>8</v>
      </c>
      <c r="AD124" s="42"/>
      <c r="AE124" s="42"/>
      <c r="AF124" s="42">
        <v>8</v>
      </c>
      <c r="AG124" s="42"/>
      <c r="AI124" s="50" t="s">
        <v>43</v>
      </c>
      <c r="AJ124" s="53">
        <f>COUNT(C125:AG125)</f>
        <v>19</v>
      </c>
    </row>
    <row r="125" spans="1:36" outlineLevel="1" x14ac:dyDescent="0.45">
      <c r="A125" s="50" t="s">
        <v>39</v>
      </c>
      <c r="C125" s="50"/>
      <c r="D125" s="50">
        <v>8</v>
      </c>
      <c r="E125" s="50"/>
      <c r="F125" s="50">
        <v>8</v>
      </c>
      <c r="G125" s="50">
        <v>8</v>
      </c>
      <c r="H125" s="50">
        <v>8</v>
      </c>
      <c r="I125" s="50"/>
      <c r="J125" s="50"/>
      <c r="K125" s="50">
        <v>8</v>
      </c>
      <c r="L125" s="50">
        <v>8</v>
      </c>
      <c r="M125" s="50">
        <v>8</v>
      </c>
      <c r="N125" s="50">
        <v>8</v>
      </c>
      <c r="O125" s="50">
        <v>8</v>
      </c>
      <c r="P125" s="50"/>
      <c r="Q125" s="50"/>
      <c r="R125" s="50">
        <v>8</v>
      </c>
      <c r="S125" s="50">
        <v>8</v>
      </c>
      <c r="T125" s="50">
        <v>8</v>
      </c>
      <c r="U125" s="50">
        <v>8</v>
      </c>
      <c r="V125" s="50">
        <v>8</v>
      </c>
      <c r="W125" s="50"/>
      <c r="X125" s="50"/>
      <c r="Y125" s="50"/>
      <c r="Z125" s="50">
        <v>8</v>
      </c>
      <c r="AA125" s="50">
        <v>8</v>
      </c>
      <c r="AB125" s="50">
        <v>8</v>
      </c>
      <c r="AC125" s="50">
        <v>8</v>
      </c>
      <c r="AD125" s="50"/>
      <c r="AE125" s="50"/>
      <c r="AF125" s="50">
        <v>8</v>
      </c>
      <c r="AG125" s="50"/>
      <c r="AI125" s="50" t="s">
        <v>44</v>
      </c>
      <c r="AJ125" s="51" t="str">
        <f>_xlfn.LET(_xlpm.v,SUM(C125:AG125),IF(_xlpm.v=INT(_xlpm.v),TEXT(_xlpm.v,"0")&amp;" h",TEXT(_xlpm.v,"0.###")&amp;" h"))</f>
        <v>152 h</v>
      </c>
    </row>
    <row r="126" spans="1:36" outlineLevel="1" x14ac:dyDescent="0.45">
      <c r="A126" s="50" t="s">
        <v>37</v>
      </c>
      <c r="C126" s="50"/>
      <c r="D126" s="50" t="s">
        <v>22</v>
      </c>
      <c r="E126" s="50"/>
      <c r="F126" s="50" t="s">
        <v>22</v>
      </c>
      <c r="G126" s="50" t="s">
        <v>22</v>
      </c>
      <c r="H126" s="50" t="s">
        <v>22</v>
      </c>
      <c r="I126" s="50"/>
      <c r="J126" s="50"/>
      <c r="K126" s="50" t="s">
        <v>22</v>
      </c>
      <c r="L126" s="50" t="s">
        <v>22</v>
      </c>
      <c r="M126" s="50" t="s">
        <v>22</v>
      </c>
      <c r="N126" s="50" t="s">
        <v>22</v>
      </c>
      <c r="O126" s="50" t="s">
        <v>22</v>
      </c>
      <c r="P126" s="50"/>
      <c r="Q126" s="50"/>
      <c r="R126" s="50" t="s">
        <v>22</v>
      </c>
      <c r="S126" s="50" t="s">
        <v>22</v>
      </c>
      <c r="T126" s="50" t="s">
        <v>22</v>
      </c>
      <c r="U126" s="50" t="s">
        <v>22</v>
      </c>
      <c r="V126" s="50" t="s">
        <v>22</v>
      </c>
      <c r="W126" s="50"/>
      <c r="X126" s="50"/>
      <c r="Y126" s="50"/>
      <c r="Z126" s="50" t="s">
        <v>22</v>
      </c>
      <c r="AA126" s="50" t="s">
        <v>22</v>
      </c>
      <c r="AB126" s="50" t="s">
        <v>22</v>
      </c>
      <c r="AC126" s="50" t="s">
        <v>22</v>
      </c>
      <c r="AD126" s="50"/>
      <c r="AE126" s="50"/>
      <c r="AF126" s="50" t="s">
        <v>22</v>
      </c>
      <c r="AG126" s="50"/>
      <c r="AI126" s="50" t="s">
        <v>45</v>
      </c>
      <c r="AJ126" s="53">
        <f>COUNTIF(C126:AG126,"出")</f>
        <v>0</v>
      </c>
    </row>
    <row r="127" spans="1:36" outlineLevel="1" x14ac:dyDescent="0.45">
      <c r="A127" s="50" t="s">
        <v>40</v>
      </c>
      <c r="C127" s="390"/>
      <c r="D127" s="390"/>
      <c r="E127" s="390"/>
      <c r="F127" s="390"/>
      <c r="G127" s="390"/>
      <c r="H127" s="390"/>
      <c r="I127" s="390"/>
      <c r="J127" s="390"/>
      <c r="K127" s="390"/>
      <c r="L127" s="390"/>
      <c r="M127" s="390"/>
      <c r="N127" s="390"/>
      <c r="O127" s="390"/>
      <c r="P127" s="390"/>
      <c r="Q127" s="390"/>
      <c r="S127" s="390"/>
      <c r="T127" s="390"/>
      <c r="U127" s="390"/>
      <c r="V127" s="390"/>
      <c r="W127" s="390"/>
      <c r="X127" s="390"/>
      <c r="Y127" s="390"/>
      <c r="Z127" s="390"/>
      <c r="AA127" s="390"/>
      <c r="AB127" s="390"/>
      <c r="AC127" s="390"/>
      <c r="AD127" s="390"/>
      <c r="AE127" s="390"/>
      <c r="AF127" s="390"/>
      <c r="AG127" s="390"/>
      <c r="AI127" s="50" t="s">
        <v>46</v>
      </c>
      <c r="AJ127" s="53">
        <f>COUNTIF(C126:AG126,"リ")</f>
        <v>19</v>
      </c>
    </row>
    <row r="128" spans="1:36" outlineLevel="1" x14ac:dyDescent="0.45">
      <c r="C128" s="390"/>
      <c r="D128" s="390"/>
      <c r="E128" s="390"/>
      <c r="F128" s="390"/>
      <c r="G128" s="390"/>
      <c r="H128" s="390"/>
      <c r="I128" s="390"/>
      <c r="J128" s="390"/>
      <c r="K128" s="390"/>
      <c r="L128" s="390"/>
      <c r="M128" s="390"/>
      <c r="N128" s="390"/>
      <c r="O128" s="390"/>
      <c r="P128" s="390"/>
      <c r="Q128" s="390"/>
      <c r="S128" s="390"/>
      <c r="T128" s="390"/>
      <c r="U128" s="390"/>
      <c r="V128" s="390"/>
      <c r="W128" s="390"/>
      <c r="X128" s="390"/>
      <c r="Y128" s="390"/>
      <c r="Z128" s="390"/>
      <c r="AA128" s="390"/>
      <c r="AB128" s="390"/>
      <c r="AC128" s="390"/>
      <c r="AD128" s="390"/>
      <c r="AE128" s="390"/>
      <c r="AF128" s="390"/>
      <c r="AG128" s="390"/>
      <c r="AI128" s="50" t="s">
        <v>25</v>
      </c>
      <c r="AJ128" s="54">
        <f>AJ126/(AJ126+AJ127)</f>
        <v>0</v>
      </c>
    </row>
    <row r="129" spans="1:36" outlineLevel="1" x14ac:dyDescent="0.45">
      <c r="C129" s="390"/>
      <c r="D129" s="390"/>
      <c r="E129" s="390"/>
      <c r="F129" s="390"/>
      <c r="G129" s="390"/>
      <c r="H129" s="390"/>
      <c r="I129" s="390"/>
      <c r="J129" s="390"/>
      <c r="K129" s="390"/>
      <c r="L129" s="390"/>
      <c r="M129" s="390"/>
      <c r="N129" s="390"/>
      <c r="O129" s="390"/>
      <c r="P129" s="390"/>
      <c r="Q129" s="390"/>
      <c r="S129" s="390"/>
      <c r="T129" s="390"/>
      <c r="U129" s="390"/>
      <c r="V129" s="390"/>
      <c r="W129" s="390"/>
      <c r="X129" s="390"/>
      <c r="Y129" s="390"/>
      <c r="Z129" s="390"/>
      <c r="AA129" s="390"/>
      <c r="AB129" s="390"/>
      <c r="AC129" s="390"/>
      <c r="AD129" s="390"/>
      <c r="AE129" s="390"/>
      <c r="AF129" s="390"/>
      <c r="AG129" s="390"/>
    </row>
    <row r="130" spans="1:36" outlineLevel="1" x14ac:dyDescent="0.45">
      <c r="C130" s="390"/>
      <c r="D130" s="390"/>
      <c r="E130" s="390"/>
      <c r="F130" s="390"/>
      <c r="G130" s="390"/>
      <c r="H130" s="390"/>
      <c r="I130" s="390"/>
      <c r="J130" s="390"/>
      <c r="K130" s="390"/>
      <c r="L130" s="390"/>
      <c r="M130" s="390"/>
      <c r="N130" s="390"/>
      <c r="O130" s="390"/>
      <c r="P130" s="390"/>
      <c r="Q130" s="390"/>
      <c r="S130" s="390"/>
      <c r="T130" s="390"/>
      <c r="U130" s="390"/>
      <c r="V130" s="390"/>
      <c r="W130" s="390"/>
      <c r="X130" s="390"/>
      <c r="Y130" s="390"/>
      <c r="Z130" s="390"/>
      <c r="AA130" s="390"/>
      <c r="AB130" s="390"/>
      <c r="AC130" s="390"/>
      <c r="AD130" s="390"/>
      <c r="AE130" s="390"/>
      <c r="AF130" s="390"/>
      <c r="AG130" s="390"/>
    </row>
    <row r="131" spans="1:36" outlineLevel="1" x14ac:dyDescent="0.45">
      <c r="C131" s="390"/>
      <c r="D131" s="390"/>
      <c r="E131" s="390"/>
      <c r="F131" s="390"/>
      <c r="G131" s="390"/>
      <c r="H131" s="390"/>
      <c r="I131" s="390"/>
      <c r="J131" s="390"/>
      <c r="K131" s="390"/>
      <c r="L131" s="390"/>
      <c r="M131" s="390"/>
      <c r="N131" s="390"/>
      <c r="O131" s="390"/>
      <c r="P131" s="390"/>
      <c r="Q131" s="390"/>
      <c r="S131" s="390"/>
      <c r="T131" s="390"/>
      <c r="U131" s="390"/>
      <c r="V131" s="390"/>
      <c r="W131" s="390"/>
      <c r="X131" s="390"/>
      <c r="Y131" s="390"/>
      <c r="Z131" s="390"/>
      <c r="AA131" s="390"/>
      <c r="AB131" s="390"/>
      <c r="AC131" s="390"/>
      <c r="AD131" s="390"/>
      <c r="AE131" s="390"/>
      <c r="AF131" s="390"/>
      <c r="AG131" s="390"/>
    </row>
    <row r="132" spans="1:36" outlineLevel="1" x14ac:dyDescent="0.45"/>
    <row r="133" spans="1:36" x14ac:dyDescent="0.45">
      <c r="C133" s="367">
        <v>46357</v>
      </c>
      <c r="D133" s="357"/>
      <c r="E133" s="357"/>
      <c r="F133" s="357"/>
      <c r="G133" s="357"/>
      <c r="H133" s="357"/>
      <c r="I133" s="357"/>
      <c r="J133" s="357"/>
      <c r="K133" s="357"/>
      <c r="L133" s="357"/>
      <c r="M133" s="357"/>
      <c r="N133" s="357"/>
      <c r="O133" s="357"/>
      <c r="P133" s="357"/>
      <c r="Q133" s="357"/>
      <c r="R133" s="357"/>
      <c r="S133" s="357"/>
      <c r="T133" s="357"/>
      <c r="U133" s="357"/>
      <c r="V133" s="357"/>
      <c r="W133" s="357"/>
      <c r="X133" s="357"/>
      <c r="Y133" s="357"/>
      <c r="Z133" s="357"/>
      <c r="AA133" s="357"/>
      <c r="AB133" s="357"/>
      <c r="AC133" s="357"/>
      <c r="AD133" s="357"/>
      <c r="AE133" s="357"/>
      <c r="AF133" s="357"/>
      <c r="AG133" s="357"/>
    </row>
    <row r="134" spans="1:36" outlineLevel="1" x14ac:dyDescent="0.45">
      <c r="C134" s="50" t="str">
        <f t="shared" ref="C134:AG134" si="22">TEXT(C135,"aaa")</f>
        <v>火</v>
      </c>
      <c r="D134" s="50" t="str">
        <f t="shared" si="22"/>
        <v>水</v>
      </c>
      <c r="E134" s="50" t="str">
        <f t="shared" si="22"/>
        <v>木</v>
      </c>
      <c r="F134" s="50" t="str">
        <f t="shared" si="22"/>
        <v>金</v>
      </c>
      <c r="G134" s="50" t="str">
        <f t="shared" si="22"/>
        <v>土</v>
      </c>
      <c r="H134" s="50" t="str">
        <f t="shared" si="22"/>
        <v>日</v>
      </c>
      <c r="I134" s="50" t="str">
        <f t="shared" si="22"/>
        <v>月</v>
      </c>
      <c r="J134" s="50" t="str">
        <f t="shared" si="22"/>
        <v>火</v>
      </c>
      <c r="K134" s="50" t="str">
        <f t="shared" si="22"/>
        <v>水</v>
      </c>
      <c r="L134" s="50" t="str">
        <f t="shared" si="22"/>
        <v>木</v>
      </c>
      <c r="M134" s="50" t="str">
        <f t="shared" si="22"/>
        <v>金</v>
      </c>
      <c r="N134" s="50" t="str">
        <f t="shared" si="22"/>
        <v>土</v>
      </c>
      <c r="O134" s="50" t="str">
        <f t="shared" si="22"/>
        <v>日</v>
      </c>
      <c r="P134" s="50" t="str">
        <f t="shared" si="22"/>
        <v>月</v>
      </c>
      <c r="Q134" s="50" t="str">
        <f t="shared" si="22"/>
        <v>火</v>
      </c>
      <c r="R134" s="50" t="str">
        <f t="shared" si="22"/>
        <v>水</v>
      </c>
      <c r="S134" s="50" t="str">
        <f t="shared" si="22"/>
        <v>木</v>
      </c>
      <c r="T134" s="50" t="str">
        <f t="shared" si="22"/>
        <v>金</v>
      </c>
      <c r="U134" s="50" t="str">
        <f t="shared" si="22"/>
        <v>土</v>
      </c>
      <c r="V134" s="50" t="str">
        <f t="shared" si="22"/>
        <v>日</v>
      </c>
      <c r="W134" s="50" t="str">
        <f t="shared" si="22"/>
        <v>月</v>
      </c>
      <c r="X134" s="50" t="str">
        <f t="shared" si="22"/>
        <v>火</v>
      </c>
      <c r="Y134" s="50" t="str">
        <f t="shared" si="22"/>
        <v>水</v>
      </c>
      <c r="Z134" s="50" t="str">
        <f t="shared" si="22"/>
        <v>木</v>
      </c>
      <c r="AA134" s="50" t="str">
        <f t="shared" si="22"/>
        <v>金</v>
      </c>
      <c r="AB134" s="50" t="str">
        <f t="shared" si="22"/>
        <v>土</v>
      </c>
      <c r="AC134" s="50" t="str">
        <f t="shared" si="22"/>
        <v>日</v>
      </c>
      <c r="AD134" s="50" t="str">
        <f t="shared" si="22"/>
        <v>月</v>
      </c>
      <c r="AE134" s="50" t="str">
        <f t="shared" si="22"/>
        <v>火</v>
      </c>
      <c r="AF134" s="50" t="str">
        <f t="shared" si="22"/>
        <v>水</v>
      </c>
      <c r="AG134" s="50" t="str">
        <f t="shared" si="22"/>
        <v>木</v>
      </c>
      <c r="AI134" s="46" t="s">
        <v>41</v>
      </c>
      <c r="AJ134" s="48">
        <f>COUNT(C136:AG136)</f>
        <v>20</v>
      </c>
    </row>
    <row r="135" spans="1:36" outlineLevel="1" x14ac:dyDescent="0.45">
      <c r="C135" s="52">
        <f>C133</f>
        <v>46357</v>
      </c>
      <c r="D135" s="52">
        <f t="shared" ref="D135:AG135" si="23">IF(C135="","",IF(C135+1&lt;=EOMONTH($C133,0),C135+1,""))</f>
        <v>46358</v>
      </c>
      <c r="E135" s="52">
        <f t="shared" si="23"/>
        <v>46359</v>
      </c>
      <c r="F135" s="52">
        <f t="shared" si="23"/>
        <v>46360</v>
      </c>
      <c r="G135" s="52">
        <f t="shared" si="23"/>
        <v>46361</v>
      </c>
      <c r="H135" s="52">
        <f t="shared" si="23"/>
        <v>46362</v>
      </c>
      <c r="I135" s="52">
        <f t="shared" si="23"/>
        <v>46363</v>
      </c>
      <c r="J135" s="52">
        <f t="shared" si="23"/>
        <v>46364</v>
      </c>
      <c r="K135" s="52">
        <f t="shared" si="23"/>
        <v>46365</v>
      </c>
      <c r="L135" s="52">
        <f t="shared" si="23"/>
        <v>46366</v>
      </c>
      <c r="M135" s="52">
        <f t="shared" si="23"/>
        <v>46367</v>
      </c>
      <c r="N135" s="52">
        <f t="shared" si="23"/>
        <v>46368</v>
      </c>
      <c r="O135" s="52">
        <f t="shared" si="23"/>
        <v>46369</v>
      </c>
      <c r="P135" s="52">
        <f t="shared" si="23"/>
        <v>46370</v>
      </c>
      <c r="Q135" s="52">
        <f t="shared" si="23"/>
        <v>46371</v>
      </c>
      <c r="R135" s="52">
        <f t="shared" si="23"/>
        <v>46372</v>
      </c>
      <c r="S135" s="52">
        <f t="shared" si="23"/>
        <v>46373</v>
      </c>
      <c r="T135" s="52">
        <f t="shared" si="23"/>
        <v>46374</v>
      </c>
      <c r="U135" s="52">
        <f t="shared" si="23"/>
        <v>46375</v>
      </c>
      <c r="V135" s="52">
        <f t="shared" si="23"/>
        <v>46376</v>
      </c>
      <c r="W135" s="52">
        <f t="shared" si="23"/>
        <v>46377</v>
      </c>
      <c r="X135" s="52">
        <f t="shared" si="23"/>
        <v>46378</v>
      </c>
      <c r="Y135" s="52">
        <f t="shared" si="23"/>
        <v>46379</v>
      </c>
      <c r="Z135" s="52">
        <f t="shared" si="23"/>
        <v>46380</v>
      </c>
      <c r="AA135" s="52">
        <f t="shared" si="23"/>
        <v>46381</v>
      </c>
      <c r="AB135" s="52">
        <f t="shared" si="23"/>
        <v>46382</v>
      </c>
      <c r="AC135" s="52">
        <f t="shared" si="23"/>
        <v>46383</v>
      </c>
      <c r="AD135" s="52">
        <f t="shared" si="23"/>
        <v>46384</v>
      </c>
      <c r="AE135" s="52">
        <f t="shared" si="23"/>
        <v>46385</v>
      </c>
      <c r="AF135" s="52">
        <f t="shared" si="23"/>
        <v>46386</v>
      </c>
      <c r="AG135" s="52">
        <f t="shared" si="23"/>
        <v>46387</v>
      </c>
      <c r="AI135" s="46" t="s">
        <v>42</v>
      </c>
      <c r="AJ135" s="47" t="str">
        <f>_xlfn.LET(_xlpm.v,SUM(C136:AG136),IF(_xlpm.v=INT(_xlpm.v),TEXT(_xlpm.v,"0")&amp;" h",TEXT(_xlpm.v,"0.###")&amp;" h"))</f>
        <v>160 h</v>
      </c>
    </row>
    <row r="136" spans="1:36" outlineLevel="1" x14ac:dyDescent="0.45">
      <c r="A136" s="46" t="s">
        <v>38</v>
      </c>
      <c r="C136" s="42">
        <v>8</v>
      </c>
      <c r="D136" s="42">
        <v>8</v>
      </c>
      <c r="E136" s="42">
        <v>8</v>
      </c>
      <c r="F136" s="42">
        <v>8</v>
      </c>
      <c r="G136" s="42"/>
      <c r="H136" s="42"/>
      <c r="I136" s="42">
        <v>8</v>
      </c>
      <c r="J136" s="42">
        <v>8</v>
      </c>
      <c r="K136" s="42">
        <v>8</v>
      </c>
      <c r="L136" s="42">
        <v>8</v>
      </c>
      <c r="M136" s="42">
        <v>8</v>
      </c>
      <c r="N136" s="42"/>
      <c r="O136" s="42"/>
      <c r="P136" s="42">
        <v>8</v>
      </c>
      <c r="Q136" s="42">
        <v>8</v>
      </c>
      <c r="R136" s="42">
        <v>8</v>
      </c>
      <c r="S136" s="42">
        <v>8</v>
      </c>
      <c r="T136" s="42">
        <v>8</v>
      </c>
      <c r="U136" s="42"/>
      <c r="V136" s="42"/>
      <c r="W136" s="42">
        <v>8</v>
      </c>
      <c r="X136" s="42">
        <v>8</v>
      </c>
      <c r="Y136" s="42">
        <v>8</v>
      </c>
      <c r="Z136" s="42">
        <v>8</v>
      </c>
      <c r="AA136" s="42">
        <v>8</v>
      </c>
      <c r="AB136" s="42"/>
      <c r="AC136" s="42"/>
      <c r="AD136" s="42">
        <v>8</v>
      </c>
      <c r="AE136" s="42"/>
      <c r="AF136" s="42"/>
      <c r="AG136" s="42"/>
      <c r="AI136" s="50" t="s">
        <v>43</v>
      </c>
      <c r="AJ136" s="53">
        <f>COUNT(C137:AG137)</f>
        <v>20</v>
      </c>
    </row>
    <row r="137" spans="1:36" outlineLevel="1" x14ac:dyDescent="0.45">
      <c r="A137" s="50" t="s">
        <v>39</v>
      </c>
      <c r="C137" s="50">
        <v>8</v>
      </c>
      <c r="D137" s="50">
        <v>8</v>
      </c>
      <c r="E137" s="50">
        <v>8</v>
      </c>
      <c r="F137" s="50">
        <v>8</v>
      </c>
      <c r="G137" s="50"/>
      <c r="H137" s="50"/>
      <c r="I137" s="50">
        <v>8</v>
      </c>
      <c r="J137" s="50">
        <v>8</v>
      </c>
      <c r="K137" s="50">
        <v>8</v>
      </c>
      <c r="L137" s="50">
        <v>8</v>
      </c>
      <c r="M137" s="50">
        <v>8</v>
      </c>
      <c r="N137" s="50"/>
      <c r="O137" s="50"/>
      <c r="P137" s="50">
        <v>8</v>
      </c>
      <c r="Q137" s="50">
        <v>8</v>
      </c>
      <c r="R137" s="50">
        <v>8</v>
      </c>
      <c r="S137" s="50">
        <v>8</v>
      </c>
      <c r="T137" s="50">
        <v>8</v>
      </c>
      <c r="U137" s="50"/>
      <c r="V137" s="50"/>
      <c r="W137" s="50">
        <v>8</v>
      </c>
      <c r="X137" s="50">
        <v>8</v>
      </c>
      <c r="Y137" s="50">
        <v>8</v>
      </c>
      <c r="Z137" s="50">
        <v>8</v>
      </c>
      <c r="AA137" s="50">
        <v>8</v>
      </c>
      <c r="AB137" s="50"/>
      <c r="AC137" s="50"/>
      <c r="AD137" s="50">
        <v>8</v>
      </c>
      <c r="AE137" s="50"/>
      <c r="AF137" s="50"/>
      <c r="AG137" s="50"/>
      <c r="AI137" s="50" t="s">
        <v>44</v>
      </c>
      <c r="AJ137" s="51" t="str">
        <f>_xlfn.LET(_xlpm.v,SUM(C137:AG137),IF(_xlpm.v=INT(_xlpm.v),TEXT(_xlpm.v,"0")&amp;" h",TEXT(_xlpm.v,"0.###")&amp;" h"))</f>
        <v>160 h</v>
      </c>
    </row>
    <row r="138" spans="1:36" outlineLevel="1" x14ac:dyDescent="0.45">
      <c r="A138" s="50" t="s">
        <v>37</v>
      </c>
      <c r="C138" s="50" t="s">
        <v>22</v>
      </c>
      <c r="D138" s="50" t="s">
        <v>22</v>
      </c>
      <c r="E138" s="50" t="s">
        <v>22</v>
      </c>
      <c r="F138" s="50" t="s">
        <v>22</v>
      </c>
      <c r="G138" s="50"/>
      <c r="H138" s="50"/>
      <c r="I138" s="50" t="s">
        <v>22</v>
      </c>
      <c r="J138" s="50" t="s">
        <v>22</v>
      </c>
      <c r="K138" s="50" t="s">
        <v>22</v>
      </c>
      <c r="L138" s="50" t="s">
        <v>22</v>
      </c>
      <c r="M138" s="50" t="s">
        <v>22</v>
      </c>
      <c r="N138" s="50"/>
      <c r="O138" s="50"/>
      <c r="P138" s="50" t="s">
        <v>22</v>
      </c>
      <c r="Q138" s="50" t="s">
        <v>22</v>
      </c>
      <c r="R138" s="50" t="s">
        <v>22</v>
      </c>
      <c r="S138" s="50" t="s">
        <v>22</v>
      </c>
      <c r="T138" s="50" t="s">
        <v>22</v>
      </c>
      <c r="U138" s="50"/>
      <c r="V138" s="50"/>
      <c r="W138" s="50" t="s">
        <v>22</v>
      </c>
      <c r="X138" s="50" t="s">
        <v>22</v>
      </c>
      <c r="Y138" s="50" t="s">
        <v>22</v>
      </c>
      <c r="Z138" s="50" t="s">
        <v>22</v>
      </c>
      <c r="AA138" s="50" t="s">
        <v>22</v>
      </c>
      <c r="AB138" s="50"/>
      <c r="AC138" s="50"/>
      <c r="AD138" s="50" t="s">
        <v>22</v>
      </c>
      <c r="AE138" s="50"/>
      <c r="AF138" s="50"/>
      <c r="AG138" s="50"/>
      <c r="AI138" s="50" t="s">
        <v>45</v>
      </c>
      <c r="AJ138" s="53">
        <f>COUNTIF(C138:AG138,"出")</f>
        <v>0</v>
      </c>
    </row>
    <row r="139" spans="1:36" outlineLevel="1" x14ac:dyDescent="0.45">
      <c r="A139" s="50" t="s">
        <v>40</v>
      </c>
      <c r="C139" s="390"/>
      <c r="D139" s="390"/>
      <c r="E139" s="390"/>
      <c r="F139" s="390"/>
      <c r="G139" s="390"/>
      <c r="H139" s="390"/>
      <c r="I139" s="390"/>
      <c r="J139" s="390"/>
      <c r="K139" s="390"/>
      <c r="L139" s="390"/>
      <c r="M139" s="390"/>
      <c r="N139" s="390"/>
      <c r="O139" s="390"/>
      <c r="P139" s="390"/>
      <c r="Q139" s="390"/>
      <c r="S139" s="390"/>
      <c r="T139" s="390"/>
      <c r="U139" s="390"/>
      <c r="V139" s="390"/>
      <c r="W139" s="390"/>
      <c r="X139" s="390"/>
      <c r="Y139" s="390"/>
      <c r="Z139" s="390"/>
      <c r="AA139" s="390"/>
      <c r="AB139" s="390"/>
      <c r="AC139" s="390"/>
      <c r="AD139" s="390"/>
      <c r="AE139" s="390"/>
      <c r="AF139" s="390"/>
      <c r="AG139" s="390"/>
      <c r="AI139" s="50" t="s">
        <v>46</v>
      </c>
      <c r="AJ139" s="53">
        <f>COUNTIF(C138:AG138,"リ")</f>
        <v>20</v>
      </c>
    </row>
    <row r="140" spans="1:36" outlineLevel="1" x14ac:dyDescent="0.45">
      <c r="C140" s="390"/>
      <c r="D140" s="390"/>
      <c r="E140" s="390"/>
      <c r="F140" s="390"/>
      <c r="G140" s="390"/>
      <c r="H140" s="390"/>
      <c r="I140" s="390"/>
      <c r="J140" s="390"/>
      <c r="K140" s="390"/>
      <c r="L140" s="390"/>
      <c r="M140" s="390"/>
      <c r="N140" s="390"/>
      <c r="O140" s="390"/>
      <c r="P140" s="390"/>
      <c r="Q140" s="390"/>
      <c r="S140" s="390"/>
      <c r="T140" s="390"/>
      <c r="U140" s="390"/>
      <c r="V140" s="390"/>
      <c r="W140" s="390"/>
      <c r="X140" s="390"/>
      <c r="Y140" s="390"/>
      <c r="Z140" s="390"/>
      <c r="AA140" s="390"/>
      <c r="AB140" s="390"/>
      <c r="AC140" s="390"/>
      <c r="AD140" s="390"/>
      <c r="AE140" s="390"/>
      <c r="AF140" s="390"/>
      <c r="AG140" s="390"/>
      <c r="AI140" s="50" t="s">
        <v>25</v>
      </c>
      <c r="AJ140" s="54">
        <f>AJ138/(AJ138+AJ139)</f>
        <v>0</v>
      </c>
    </row>
    <row r="141" spans="1:36" outlineLevel="1" x14ac:dyDescent="0.45">
      <c r="C141" s="390"/>
      <c r="D141" s="390"/>
      <c r="E141" s="390"/>
      <c r="F141" s="390"/>
      <c r="G141" s="390"/>
      <c r="H141" s="390"/>
      <c r="I141" s="390"/>
      <c r="J141" s="390"/>
      <c r="K141" s="390"/>
      <c r="L141" s="390"/>
      <c r="M141" s="390"/>
      <c r="N141" s="390"/>
      <c r="O141" s="390"/>
      <c r="P141" s="390"/>
      <c r="Q141" s="390"/>
      <c r="S141" s="390"/>
      <c r="T141" s="390"/>
      <c r="U141" s="390"/>
      <c r="V141" s="390"/>
      <c r="W141" s="390"/>
      <c r="X141" s="390"/>
      <c r="Y141" s="390"/>
      <c r="Z141" s="390"/>
      <c r="AA141" s="390"/>
      <c r="AB141" s="390"/>
      <c r="AC141" s="390"/>
      <c r="AD141" s="390"/>
      <c r="AE141" s="390"/>
      <c r="AF141" s="390"/>
      <c r="AG141" s="390"/>
    </row>
    <row r="142" spans="1:36" outlineLevel="1" x14ac:dyDescent="0.45">
      <c r="C142" s="390"/>
      <c r="D142" s="390"/>
      <c r="E142" s="390"/>
      <c r="F142" s="390"/>
      <c r="G142" s="390"/>
      <c r="H142" s="390"/>
      <c r="I142" s="390"/>
      <c r="J142" s="390"/>
      <c r="K142" s="390"/>
      <c r="L142" s="390"/>
      <c r="M142" s="390"/>
      <c r="N142" s="390"/>
      <c r="O142" s="390"/>
      <c r="P142" s="390"/>
      <c r="Q142" s="390"/>
      <c r="S142" s="390"/>
      <c r="T142" s="390"/>
      <c r="U142" s="390"/>
      <c r="V142" s="390"/>
      <c r="W142" s="390"/>
      <c r="X142" s="390"/>
      <c r="Y142" s="390"/>
      <c r="Z142" s="390"/>
      <c r="AA142" s="390"/>
      <c r="AB142" s="390"/>
      <c r="AC142" s="390"/>
      <c r="AD142" s="390"/>
      <c r="AE142" s="390"/>
      <c r="AF142" s="390"/>
      <c r="AG142" s="390"/>
    </row>
    <row r="143" spans="1:36" outlineLevel="1" x14ac:dyDescent="0.45">
      <c r="C143" s="390"/>
      <c r="D143" s="390"/>
      <c r="E143" s="390"/>
      <c r="F143" s="390"/>
      <c r="G143" s="390"/>
      <c r="H143" s="390"/>
      <c r="I143" s="390"/>
      <c r="J143" s="390"/>
      <c r="K143" s="390"/>
      <c r="L143" s="390"/>
      <c r="M143" s="390"/>
      <c r="N143" s="390"/>
      <c r="O143" s="390"/>
      <c r="P143" s="390"/>
      <c r="Q143" s="390"/>
      <c r="S143" s="390"/>
      <c r="T143" s="390"/>
      <c r="U143" s="390"/>
      <c r="V143" s="390"/>
      <c r="W143" s="390"/>
      <c r="X143" s="390"/>
      <c r="Y143" s="390"/>
      <c r="Z143" s="390"/>
      <c r="AA143" s="390"/>
      <c r="AB143" s="390"/>
      <c r="AC143" s="390"/>
      <c r="AD143" s="390"/>
      <c r="AE143" s="390"/>
      <c r="AF143" s="390"/>
      <c r="AG143" s="390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4" priority="3" stopIfTrue="1">
      <formula>WEEKDAY(C3,2)=7</formula>
    </cfRule>
    <cfRule type="expression" dxfId="93" priority="4" stopIfTrue="1">
      <formula>WEEKDAY(C3,2)=6</formula>
    </cfRule>
  </conditionalFormatting>
  <conditionalFormatting sqref="C14:AG18">
    <cfRule type="expression" dxfId="92" priority="5" stopIfTrue="1">
      <formula>C$15=""</formula>
    </cfRule>
  </conditionalFormatting>
  <conditionalFormatting sqref="C14:AG14">
    <cfRule type="expression" dxfId="91" priority="7" stopIfTrue="1">
      <formula>WEEKDAY(C15,2)=7</formula>
    </cfRule>
    <cfRule type="expression" dxfId="90" priority="8" stopIfTrue="1">
      <formula>WEEKDAY(C15,2)=6</formula>
    </cfRule>
  </conditionalFormatting>
  <conditionalFormatting sqref="C26:AG30">
    <cfRule type="expression" dxfId="89" priority="9" stopIfTrue="1">
      <formula>C$27=""</formula>
    </cfRule>
  </conditionalFormatting>
  <conditionalFormatting sqref="C26:AG26">
    <cfRule type="expression" dxfId="88" priority="11" stopIfTrue="1">
      <formula>WEEKDAY(C27,2)=7</formula>
    </cfRule>
    <cfRule type="expression" dxfId="87" priority="12" stopIfTrue="1">
      <formula>WEEKDAY(C27,2)=6</formula>
    </cfRule>
  </conditionalFormatting>
  <conditionalFormatting sqref="C38:AG42">
    <cfRule type="expression" dxfId="86" priority="13" stopIfTrue="1">
      <formula>C$39=""</formula>
    </cfRule>
  </conditionalFormatting>
  <conditionalFormatting sqref="C38:AG38">
    <cfRule type="expression" dxfId="85" priority="15" stopIfTrue="1">
      <formula>WEEKDAY(C39,2)=7</formula>
    </cfRule>
    <cfRule type="expression" dxfId="84" priority="16" stopIfTrue="1">
      <formula>WEEKDAY(C39,2)=6</formula>
    </cfRule>
  </conditionalFormatting>
  <conditionalFormatting sqref="C50:AG54">
    <cfRule type="expression" dxfId="83" priority="17" stopIfTrue="1">
      <formula>C$51=""</formula>
    </cfRule>
  </conditionalFormatting>
  <conditionalFormatting sqref="C50:AG50">
    <cfRule type="expression" dxfId="82" priority="19" stopIfTrue="1">
      <formula>WEEKDAY(C51,2)=7</formula>
    </cfRule>
    <cfRule type="expression" dxfId="81" priority="20" stopIfTrue="1">
      <formula>WEEKDAY(C51,2)=6</formula>
    </cfRule>
  </conditionalFormatting>
  <conditionalFormatting sqref="C62:AG66">
    <cfRule type="expression" dxfId="80" priority="21" stopIfTrue="1">
      <formula>C$63=""</formula>
    </cfRule>
  </conditionalFormatting>
  <conditionalFormatting sqref="C62:AG62">
    <cfRule type="expression" dxfId="79" priority="23" stopIfTrue="1">
      <formula>WEEKDAY(C63,2)=7</formula>
    </cfRule>
    <cfRule type="expression" dxfId="78" priority="24" stopIfTrue="1">
      <formula>WEEKDAY(C63,2)=6</formula>
    </cfRule>
  </conditionalFormatting>
  <conditionalFormatting sqref="C74:AG78">
    <cfRule type="expression" dxfId="77" priority="25" stopIfTrue="1">
      <formula>C$75=""</formula>
    </cfRule>
  </conditionalFormatting>
  <conditionalFormatting sqref="C74:AG74">
    <cfRule type="expression" dxfId="76" priority="27" stopIfTrue="1">
      <formula>WEEKDAY(C75,2)=7</formula>
    </cfRule>
    <cfRule type="expression" dxfId="75" priority="28" stopIfTrue="1">
      <formula>WEEKDAY(C75,2)=6</formula>
    </cfRule>
  </conditionalFormatting>
  <conditionalFormatting sqref="C86:AG90">
    <cfRule type="expression" dxfId="74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70" priority="35" stopIfTrue="1">
      <formula>WEEKDAY(C99,2)=7</formula>
    </cfRule>
    <cfRule type="expression" dxfId="69" priority="36" stopIfTrue="1">
      <formula>WEEKDAY(C99,2)=6</formula>
    </cfRule>
  </conditionalFormatting>
  <conditionalFormatting sqref="C110:AG114">
    <cfRule type="expression" dxfId="68" priority="37" stopIfTrue="1">
      <formula>C$111=""</formula>
    </cfRule>
  </conditionalFormatting>
  <conditionalFormatting sqref="C110:AG110">
    <cfRule type="expression" dxfId="67" priority="39" stopIfTrue="1">
      <formula>WEEKDAY(C111,2)=7</formula>
    </cfRule>
    <cfRule type="expression" dxfId="66" priority="40" stopIfTrue="1">
      <formula>WEEKDAY(C111,2)=6</formula>
    </cfRule>
  </conditionalFormatting>
  <conditionalFormatting sqref="C122:AG126">
    <cfRule type="expression" dxfId="65" priority="41" stopIfTrue="1">
      <formula>C$123=""</formula>
    </cfRule>
  </conditionalFormatting>
  <conditionalFormatting sqref="C122:AG122">
    <cfRule type="expression" dxfId="64" priority="43" stopIfTrue="1">
      <formula>WEEKDAY(C123,2)=7</formula>
    </cfRule>
  </conditionalFormatting>
  <conditionalFormatting sqref="C122:AG122">
    <cfRule type="expression" dxfId="63" priority="44" stopIfTrue="1">
      <formula>WEEKDAY(C123,2)=6</formula>
    </cfRule>
  </conditionalFormatting>
  <conditionalFormatting sqref="C134:AG138">
    <cfRule type="expression" dxfId="62" priority="45" stopIfTrue="1">
      <formula>C$135=""</formula>
    </cfRule>
  </conditionalFormatting>
  <conditionalFormatting sqref="C134:AG134">
    <cfRule type="expression" dxfId="61" priority="47" stopIfTrue="1">
      <formula>WEEKDAY(C135,2)=7</formula>
    </cfRule>
  </conditionalFormatting>
  <conditionalFormatting sqref="C134:AG134">
    <cfRule type="expression" dxfId="6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3C57D7A-A6FF-4D61-A1F1-CA807C561A5F}">
            <xm:f>COUNTIF(祝日!$B:$B,C3)&gt;0</xm:f>
            <x14:dxf>
              <fill>
                <patternFill>
                  <bgColor rgb="FFFF3232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FCC1EE2F-AD09-4D7A-B811-05973D216D8F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F847EAC1-B27B-4728-A0C4-F53F451AE95C}">
            <xm:f>COUNTIF(祝日!$B:$B,C27)&gt;0</xm:f>
            <x14:dxf>
              <fill>
                <patternFill>
                  <bgColor rgb="FFFF3232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476093F-A56F-4157-8677-2AC075A904D3}">
            <xm:f>COUNTIF(祝日!$B:$B,C39)&gt;0</xm:f>
            <x14:dxf>
              <fill>
                <patternFill>
                  <bgColor rgb="FFFF3232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CDD568B0-4CB5-4EE0-B783-8A2908E85483}">
            <xm:f>COUNTIF(祝日!$B:$B,C51)&gt;0</xm:f>
            <x14:dxf>
              <fill>
                <patternFill>
                  <bgColor rgb="FFFF3232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876DA46-C1BD-4705-AEE9-68B4C829A510}">
            <xm:f>COUNTIF(祝日!$B:$B,C63)&gt;0</xm:f>
            <x14:dxf>
              <fill>
                <patternFill>
                  <bgColor rgb="FFFF3232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BF4EBEAF-D552-4678-9B09-C907F4FD2132}">
            <xm:f>COUNTIF(祝日!$B:$B,C75)&gt;0</xm:f>
            <x14:dxf>
              <fill>
                <patternFill>
                  <bgColor rgb="FFFF3232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5DBA603-582E-4E59-ABB4-3DDF51D7185C}">
            <xm:f>COUNTIF(祝日!$B:$B,C87)&gt;0</xm:f>
            <x14:dxf>
              <fill>
                <patternFill>
                  <bgColor rgb="FFFF3232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65D3AEC-E004-4AAA-999B-AD82610835D4}">
            <xm:f>COUNTIF(祝日!$B:$B,C99)&gt;0</xm:f>
            <x14:dxf>
              <fill>
                <patternFill>
                  <bgColor rgb="FFFF3232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4C30E827-7002-4841-92BA-5F6BA8F01D01}">
            <xm:f>COUNTIF(祝日!$B:$B,C111)&gt;0</xm:f>
            <x14:dxf>
              <fill>
                <patternFill>
                  <bgColor rgb="FFFF3232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922954-38EC-4169-9F5B-253D873AAE47}">
            <xm:f>COUNTIF(祝日!$B:$B,C123)&gt;0</xm:f>
            <x14:dxf>
              <fill>
                <patternFill>
                  <bgColor rgb="FFFF3232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E7A2EF05-0FC3-4B9C-9CD0-71C56387E6E1}">
            <xm:f>COUNTIF(祝日!$B:$B,C135)&gt;0</xm:f>
            <x14:dxf>
              <fill>
                <patternFill>
                  <bgColor rgb="FFFF3232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53032-32FB-4529-8C58-85E91E58C16A}">
  <sheetPr codeName="Sheet99"/>
  <dimension ref="A1:AJ144"/>
  <sheetViews>
    <sheetView showGridLines="0" workbookViewId="0"/>
  </sheetViews>
  <sheetFormatPr defaultRowHeight="18" outlineLevelRow="1" x14ac:dyDescent="0.45"/>
  <cols>
    <col min="1" max="1" width="3.69921875" style="22" customWidth="1"/>
    <col min="2" max="2" width="0.8984375" style="22" customWidth="1"/>
    <col min="3" max="33" width="3.69921875" style="22" customWidth="1"/>
    <col min="34" max="34" width="0.8984375" style="22" customWidth="1"/>
    <col min="35" max="36" width="8.69921875" style="22" customWidth="1"/>
    <col min="37" max="16384" width="8.796875" style="22"/>
  </cols>
  <sheetData>
    <row r="1" spans="1:36" x14ac:dyDescent="0.45">
      <c r="C1" s="374">
        <v>46023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</row>
    <row r="2" spans="1:36" outlineLevel="1" x14ac:dyDescent="0.45">
      <c r="C2" s="23" t="str">
        <f t="shared" ref="C2:AG2" si="0">TEXT(C3,"aaa")</f>
        <v>木</v>
      </c>
      <c r="D2" s="23" t="str">
        <f t="shared" si="0"/>
        <v>金</v>
      </c>
      <c r="E2" s="23" t="str">
        <f t="shared" si="0"/>
        <v>土</v>
      </c>
      <c r="F2" s="23" t="str">
        <f t="shared" si="0"/>
        <v>日</v>
      </c>
      <c r="G2" s="23" t="str">
        <f t="shared" si="0"/>
        <v>月</v>
      </c>
      <c r="H2" s="23" t="str">
        <f t="shared" si="0"/>
        <v>火</v>
      </c>
      <c r="I2" s="23" t="str">
        <f t="shared" si="0"/>
        <v>水</v>
      </c>
      <c r="J2" s="23" t="str">
        <f t="shared" si="0"/>
        <v>木</v>
      </c>
      <c r="K2" s="23" t="str">
        <f t="shared" si="0"/>
        <v>金</v>
      </c>
      <c r="L2" s="23" t="str">
        <f t="shared" si="0"/>
        <v>土</v>
      </c>
      <c r="M2" s="23" t="str">
        <f t="shared" si="0"/>
        <v>日</v>
      </c>
      <c r="N2" s="23" t="str">
        <f t="shared" si="0"/>
        <v>月</v>
      </c>
      <c r="O2" s="23" t="str">
        <f t="shared" si="0"/>
        <v>火</v>
      </c>
      <c r="P2" s="23" t="str">
        <f t="shared" si="0"/>
        <v>水</v>
      </c>
      <c r="Q2" s="23" t="str">
        <f t="shared" si="0"/>
        <v>木</v>
      </c>
      <c r="R2" s="23" t="str">
        <f t="shared" si="0"/>
        <v>金</v>
      </c>
      <c r="S2" s="23" t="str">
        <f t="shared" si="0"/>
        <v>土</v>
      </c>
      <c r="T2" s="23" t="str">
        <f t="shared" si="0"/>
        <v>日</v>
      </c>
      <c r="U2" s="23" t="str">
        <f t="shared" si="0"/>
        <v>月</v>
      </c>
      <c r="V2" s="23" t="str">
        <f t="shared" si="0"/>
        <v>火</v>
      </c>
      <c r="W2" s="23" t="str">
        <f t="shared" si="0"/>
        <v>水</v>
      </c>
      <c r="X2" s="23" t="str">
        <f t="shared" si="0"/>
        <v>木</v>
      </c>
      <c r="Y2" s="23" t="str">
        <f t="shared" si="0"/>
        <v>金</v>
      </c>
      <c r="Z2" s="23" t="str">
        <f t="shared" si="0"/>
        <v>土</v>
      </c>
      <c r="AA2" s="23" t="str">
        <f t="shared" si="0"/>
        <v>日</v>
      </c>
      <c r="AB2" s="23" t="str">
        <f t="shared" si="0"/>
        <v>月</v>
      </c>
      <c r="AC2" s="23" t="str">
        <f t="shared" si="0"/>
        <v>火</v>
      </c>
      <c r="AD2" s="23" t="str">
        <f t="shared" si="0"/>
        <v>水</v>
      </c>
      <c r="AE2" s="23" t="str">
        <f t="shared" si="0"/>
        <v>木</v>
      </c>
      <c r="AF2" s="23" t="str">
        <f t="shared" si="0"/>
        <v>金</v>
      </c>
      <c r="AG2" s="23" t="str">
        <f t="shared" si="0"/>
        <v>土</v>
      </c>
      <c r="AI2" s="19" t="s">
        <v>41</v>
      </c>
      <c r="AJ2" s="21">
        <f>COUNT(C4:AG4)</f>
        <v>19</v>
      </c>
    </row>
    <row r="3" spans="1:36" outlineLevel="1" x14ac:dyDescent="0.45">
      <c r="C3" s="25">
        <f>C1</f>
        <v>46023</v>
      </c>
      <c r="D3" s="25">
        <f t="shared" ref="D3:AG3" si="1">IF(C3="","",IF(C3+1&lt;=EOMONTH($C1,0),C3+1,""))</f>
        <v>46024</v>
      </c>
      <c r="E3" s="25">
        <f t="shared" si="1"/>
        <v>46025</v>
      </c>
      <c r="F3" s="25">
        <f t="shared" si="1"/>
        <v>46026</v>
      </c>
      <c r="G3" s="25">
        <f t="shared" si="1"/>
        <v>46027</v>
      </c>
      <c r="H3" s="25">
        <f t="shared" si="1"/>
        <v>46028</v>
      </c>
      <c r="I3" s="25">
        <f t="shared" si="1"/>
        <v>46029</v>
      </c>
      <c r="J3" s="25">
        <f t="shared" si="1"/>
        <v>46030</v>
      </c>
      <c r="K3" s="25">
        <f t="shared" si="1"/>
        <v>46031</v>
      </c>
      <c r="L3" s="25">
        <f t="shared" si="1"/>
        <v>46032</v>
      </c>
      <c r="M3" s="25">
        <f t="shared" si="1"/>
        <v>46033</v>
      </c>
      <c r="N3" s="25">
        <f t="shared" si="1"/>
        <v>46034</v>
      </c>
      <c r="O3" s="25">
        <f t="shared" si="1"/>
        <v>46035</v>
      </c>
      <c r="P3" s="25">
        <f t="shared" si="1"/>
        <v>46036</v>
      </c>
      <c r="Q3" s="25">
        <f t="shared" si="1"/>
        <v>46037</v>
      </c>
      <c r="R3" s="25">
        <f t="shared" si="1"/>
        <v>46038</v>
      </c>
      <c r="S3" s="25">
        <f t="shared" si="1"/>
        <v>46039</v>
      </c>
      <c r="T3" s="25">
        <f t="shared" si="1"/>
        <v>46040</v>
      </c>
      <c r="U3" s="25">
        <f t="shared" si="1"/>
        <v>46041</v>
      </c>
      <c r="V3" s="25">
        <f t="shared" si="1"/>
        <v>46042</v>
      </c>
      <c r="W3" s="25">
        <f t="shared" si="1"/>
        <v>46043</v>
      </c>
      <c r="X3" s="25">
        <f t="shared" si="1"/>
        <v>46044</v>
      </c>
      <c r="Y3" s="25">
        <f t="shared" si="1"/>
        <v>46045</v>
      </c>
      <c r="Z3" s="25">
        <f t="shared" si="1"/>
        <v>46046</v>
      </c>
      <c r="AA3" s="25">
        <f t="shared" si="1"/>
        <v>46047</v>
      </c>
      <c r="AB3" s="25">
        <f t="shared" si="1"/>
        <v>46048</v>
      </c>
      <c r="AC3" s="25">
        <f t="shared" si="1"/>
        <v>46049</v>
      </c>
      <c r="AD3" s="25">
        <f t="shared" si="1"/>
        <v>46050</v>
      </c>
      <c r="AE3" s="25">
        <f t="shared" si="1"/>
        <v>46051</v>
      </c>
      <c r="AF3" s="25">
        <f t="shared" si="1"/>
        <v>46052</v>
      </c>
      <c r="AG3" s="25">
        <f t="shared" si="1"/>
        <v>46053</v>
      </c>
      <c r="AI3" s="19" t="s">
        <v>42</v>
      </c>
      <c r="AJ3" s="20" t="str">
        <f>_xlfn.LET(_xlpm.v,SUM(C4:AG4),IF(_xlpm.v=INT(_xlpm.v),TEXT(_xlpm.v,"0")&amp;" h",TEXT(_xlpm.v,"0.###")&amp;" h"))</f>
        <v>152 h</v>
      </c>
    </row>
    <row r="4" spans="1:36" outlineLevel="1" x14ac:dyDescent="0.45">
      <c r="A4" s="19" t="s">
        <v>38</v>
      </c>
      <c r="C4" s="18"/>
      <c r="D4" s="18"/>
      <c r="E4" s="18"/>
      <c r="F4" s="18"/>
      <c r="G4" s="18">
        <v>8</v>
      </c>
      <c r="H4" s="18">
        <v>8</v>
      </c>
      <c r="I4" s="18">
        <v>8</v>
      </c>
      <c r="J4" s="18">
        <v>8</v>
      </c>
      <c r="K4" s="18">
        <v>8</v>
      </c>
      <c r="L4" s="18"/>
      <c r="M4" s="18"/>
      <c r="N4" s="18"/>
      <c r="O4" s="18">
        <v>8</v>
      </c>
      <c r="P4" s="18">
        <v>8</v>
      </c>
      <c r="Q4" s="18">
        <v>8</v>
      </c>
      <c r="R4" s="18">
        <v>8</v>
      </c>
      <c r="S4" s="18"/>
      <c r="T4" s="18"/>
      <c r="U4" s="18">
        <v>8</v>
      </c>
      <c r="V4" s="18">
        <v>8</v>
      </c>
      <c r="W4" s="18">
        <v>8</v>
      </c>
      <c r="X4" s="18">
        <v>8</v>
      </c>
      <c r="Y4" s="18">
        <v>8</v>
      </c>
      <c r="Z4" s="18"/>
      <c r="AA4" s="18"/>
      <c r="AB4" s="18">
        <v>8</v>
      </c>
      <c r="AC4" s="18">
        <v>8</v>
      </c>
      <c r="AD4" s="18">
        <v>8</v>
      </c>
      <c r="AE4" s="18">
        <v>8</v>
      </c>
      <c r="AF4" s="18">
        <v>8</v>
      </c>
      <c r="AG4" s="18"/>
      <c r="AI4" s="23" t="s">
        <v>43</v>
      </c>
      <c r="AJ4" s="26">
        <f>COUNT(C5:AG5)</f>
        <v>19</v>
      </c>
    </row>
    <row r="5" spans="1:36" outlineLevel="1" x14ac:dyDescent="0.45">
      <c r="A5" s="23" t="s">
        <v>39</v>
      </c>
      <c r="C5" s="23"/>
      <c r="D5" s="23"/>
      <c r="E5" s="23"/>
      <c r="F5" s="23"/>
      <c r="G5" s="23">
        <v>8</v>
      </c>
      <c r="H5" s="23">
        <v>8</v>
      </c>
      <c r="I5" s="23">
        <v>8</v>
      </c>
      <c r="J5" s="23">
        <v>8</v>
      </c>
      <c r="K5" s="23">
        <v>8</v>
      </c>
      <c r="L5" s="23"/>
      <c r="M5" s="23"/>
      <c r="N5" s="23"/>
      <c r="O5" s="23">
        <v>8</v>
      </c>
      <c r="P5" s="23">
        <v>8</v>
      </c>
      <c r="Q5" s="23">
        <v>8</v>
      </c>
      <c r="R5" s="23">
        <v>8</v>
      </c>
      <c r="S5" s="23"/>
      <c r="T5" s="23"/>
      <c r="U5" s="23">
        <v>8</v>
      </c>
      <c r="V5" s="23">
        <v>8</v>
      </c>
      <c r="W5" s="23">
        <v>8</v>
      </c>
      <c r="X5" s="23">
        <v>8</v>
      </c>
      <c r="Y5" s="23">
        <v>8</v>
      </c>
      <c r="Z5" s="23"/>
      <c r="AA5" s="23"/>
      <c r="AB5" s="23">
        <v>8</v>
      </c>
      <c r="AC5" s="23">
        <v>8</v>
      </c>
      <c r="AD5" s="23">
        <v>8</v>
      </c>
      <c r="AE5" s="23">
        <v>8</v>
      </c>
      <c r="AF5" s="23">
        <v>8</v>
      </c>
      <c r="AG5" s="23"/>
      <c r="AI5" s="23" t="s">
        <v>44</v>
      </c>
      <c r="AJ5" s="24" t="str">
        <f>_xlfn.LET(_xlpm.v,SUM(C5:AG5),IF(_xlpm.v=INT(_xlpm.v),TEXT(_xlpm.v,"0")&amp;" h",TEXT(_xlpm.v,"0.###")&amp;" h"))</f>
        <v>152 h</v>
      </c>
    </row>
    <row r="6" spans="1:36" outlineLevel="1" x14ac:dyDescent="0.45">
      <c r="A6" s="23" t="s">
        <v>37</v>
      </c>
      <c r="C6" s="23"/>
      <c r="D6" s="23"/>
      <c r="E6" s="23"/>
      <c r="F6" s="23"/>
      <c r="G6" s="23" t="s">
        <v>22</v>
      </c>
      <c r="H6" s="23" t="s">
        <v>22</v>
      </c>
      <c r="I6" s="23" t="s">
        <v>22</v>
      </c>
      <c r="J6" s="23" t="s">
        <v>22</v>
      </c>
      <c r="K6" s="23" t="s">
        <v>22</v>
      </c>
      <c r="L6" s="23"/>
      <c r="M6" s="23"/>
      <c r="N6" s="23"/>
      <c r="O6" s="23" t="s">
        <v>22</v>
      </c>
      <c r="P6" s="23" t="s">
        <v>22</v>
      </c>
      <c r="Q6" s="23" t="s">
        <v>22</v>
      </c>
      <c r="R6" s="23" t="s">
        <v>22</v>
      </c>
      <c r="S6" s="23"/>
      <c r="T6" s="23"/>
      <c r="U6" s="23" t="s">
        <v>22</v>
      </c>
      <c r="V6" s="23" t="s">
        <v>22</v>
      </c>
      <c r="W6" s="23" t="s">
        <v>22</v>
      </c>
      <c r="X6" s="23" t="s">
        <v>22</v>
      </c>
      <c r="Y6" s="23" t="s">
        <v>22</v>
      </c>
      <c r="Z6" s="23"/>
      <c r="AA6" s="23"/>
      <c r="AB6" s="23" t="s">
        <v>22</v>
      </c>
      <c r="AC6" s="23" t="s">
        <v>22</v>
      </c>
      <c r="AD6" s="23" t="s">
        <v>22</v>
      </c>
      <c r="AE6" s="23" t="s">
        <v>22</v>
      </c>
      <c r="AF6" s="23" t="s">
        <v>22</v>
      </c>
      <c r="AG6" s="23"/>
      <c r="AI6" s="23" t="s">
        <v>45</v>
      </c>
      <c r="AJ6" s="26">
        <f>COUNTIF(C6:AG6,"出")</f>
        <v>0</v>
      </c>
    </row>
    <row r="7" spans="1:36" outlineLevel="1" x14ac:dyDescent="0.45">
      <c r="A7" s="23" t="s">
        <v>40</v>
      </c>
      <c r="C7" s="391"/>
      <c r="D7" s="391"/>
      <c r="E7" s="391"/>
      <c r="F7" s="391"/>
      <c r="G7" s="391"/>
      <c r="H7" s="391"/>
      <c r="I7" s="391"/>
      <c r="J7" s="391"/>
      <c r="K7" s="391"/>
      <c r="L7" s="391"/>
      <c r="M7" s="391"/>
      <c r="N7" s="391"/>
      <c r="O7" s="391"/>
      <c r="P7" s="391"/>
      <c r="Q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391"/>
      <c r="AI7" s="23" t="s">
        <v>46</v>
      </c>
      <c r="AJ7" s="26">
        <f>COUNTIF(C6:AG6,"リ")</f>
        <v>19</v>
      </c>
    </row>
    <row r="8" spans="1:36" outlineLevel="1" x14ac:dyDescent="0.45"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1"/>
      <c r="N8" s="391"/>
      <c r="O8" s="391"/>
      <c r="P8" s="391"/>
      <c r="Q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I8" s="23" t="s">
        <v>25</v>
      </c>
      <c r="AJ8" s="27">
        <f>AJ6/(AJ6+AJ7)</f>
        <v>0</v>
      </c>
    </row>
    <row r="9" spans="1:36" outlineLevel="1" x14ac:dyDescent="0.45"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</row>
    <row r="10" spans="1:36" outlineLevel="1" x14ac:dyDescent="0.45">
      <c r="C10" s="391"/>
      <c r="D10" s="391"/>
      <c r="E10" s="391"/>
      <c r="F10" s="391"/>
      <c r="G10" s="391"/>
      <c r="H10" s="391"/>
      <c r="I10" s="391"/>
      <c r="J10" s="391"/>
      <c r="K10" s="391"/>
      <c r="L10" s="391"/>
      <c r="M10" s="391"/>
      <c r="N10" s="391"/>
      <c r="O10" s="391"/>
      <c r="P10" s="391"/>
      <c r="Q10" s="391"/>
      <c r="S10" s="391"/>
      <c r="T10" s="391"/>
      <c r="U10" s="391"/>
      <c r="V10" s="391"/>
      <c r="W10" s="391"/>
      <c r="X10" s="391"/>
      <c r="Y10" s="391"/>
      <c r="Z10" s="391"/>
      <c r="AA10" s="391"/>
      <c r="AB10" s="391"/>
      <c r="AC10" s="391"/>
      <c r="AD10" s="391"/>
      <c r="AE10" s="391"/>
      <c r="AF10" s="391"/>
      <c r="AG10" s="391"/>
    </row>
    <row r="11" spans="1:36" outlineLevel="1" x14ac:dyDescent="0.45">
      <c r="C11" s="391"/>
      <c r="D11" s="391"/>
      <c r="E11" s="391"/>
      <c r="F11" s="391"/>
      <c r="G11" s="391"/>
      <c r="H11" s="391"/>
      <c r="I11" s="391"/>
      <c r="J11" s="391"/>
      <c r="K11" s="391"/>
      <c r="L11" s="391"/>
      <c r="M11" s="391"/>
      <c r="N11" s="391"/>
      <c r="O11" s="391"/>
      <c r="P11" s="391"/>
      <c r="Q11" s="391"/>
      <c r="S11" s="391"/>
      <c r="T11" s="391"/>
      <c r="U11" s="391"/>
      <c r="V11" s="391"/>
      <c r="W11" s="391"/>
      <c r="X11" s="391"/>
      <c r="Y11" s="391"/>
      <c r="Z11" s="391"/>
      <c r="AA11" s="391"/>
      <c r="AB11" s="391"/>
      <c r="AC11" s="391"/>
      <c r="AD11" s="391"/>
      <c r="AE11" s="391"/>
      <c r="AF11" s="391"/>
      <c r="AG11" s="391"/>
    </row>
    <row r="12" spans="1:36" outlineLevel="1" x14ac:dyDescent="0.45"/>
    <row r="13" spans="1:36" x14ac:dyDescent="0.45">
      <c r="C13" s="385">
        <v>46054</v>
      </c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5"/>
      <c r="P13" s="375"/>
      <c r="Q13" s="375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5"/>
    </row>
    <row r="14" spans="1:36" outlineLevel="1" x14ac:dyDescent="0.45">
      <c r="C14" s="23" t="str">
        <f t="shared" ref="C14:AG14" si="2">TEXT(C15,"aaa")</f>
        <v>日</v>
      </c>
      <c r="D14" s="23" t="str">
        <f t="shared" si="2"/>
        <v>月</v>
      </c>
      <c r="E14" s="23" t="str">
        <f t="shared" si="2"/>
        <v>火</v>
      </c>
      <c r="F14" s="23" t="str">
        <f t="shared" si="2"/>
        <v>水</v>
      </c>
      <c r="G14" s="23" t="str">
        <f t="shared" si="2"/>
        <v>木</v>
      </c>
      <c r="H14" s="23" t="str">
        <f t="shared" si="2"/>
        <v>金</v>
      </c>
      <c r="I14" s="23" t="str">
        <f t="shared" si="2"/>
        <v>土</v>
      </c>
      <c r="J14" s="23" t="str">
        <f t="shared" si="2"/>
        <v>日</v>
      </c>
      <c r="K14" s="23" t="str">
        <f t="shared" si="2"/>
        <v>月</v>
      </c>
      <c r="L14" s="23" t="str">
        <f t="shared" si="2"/>
        <v>火</v>
      </c>
      <c r="M14" s="23" t="str">
        <f t="shared" si="2"/>
        <v>水</v>
      </c>
      <c r="N14" s="23" t="str">
        <f t="shared" si="2"/>
        <v>木</v>
      </c>
      <c r="O14" s="23" t="str">
        <f t="shared" si="2"/>
        <v>金</v>
      </c>
      <c r="P14" s="23" t="str">
        <f t="shared" si="2"/>
        <v>土</v>
      </c>
      <c r="Q14" s="23" t="str">
        <f t="shared" si="2"/>
        <v>日</v>
      </c>
      <c r="R14" s="23" t="str">
        <f t="shared" si="2"/>
        <v>月</v>
      </c>
      <c r="S14" s="23" t="str">
        <f t="shared" si="2"/>
        <v>火</v>
      </c>
      <c r="T14" s="23" t="str">
        <f t="shared" si="2"/>
        <v>水</v>
      </c>
      <c r="U14" s="23" t="str">
        <f t="shared" si="2"/>
        <v>木</v>
      </c>
      <c r="V14" s="23" t="str">
        <f t="shared" si="2"/>
        <v>金</v>
      </c>
      <c r="W14" s="23" t="str">
        <f t="shared" si="2"/>
        <v>土</v>
      </c>
      <c r="X14" s="23" t="str">
        <f t="shared" si="2"/>
        <v>日</v>
      </c>
      <c r="Y14" s="23" t="str">
        <f t="shared" si="2"/>
        <v>月</v>
      </c>
      <c r="Z14" s="23" t="str">
        <f t="shared" si="2"/>
        <v>火</v>
      </c>
      <c r="AA14" s="23" t="str">
        <f t="shared" si="2"/>
        <v>水</v>
      </c>
      <c r="AB14" s="23" t="str">
        <f t="shared" si="2"/>
        <v>木</v>
      </c>
      <c r="AC14" s="23" t="str">
        <f t="shared" si="2"/>
        <v>金</v>
      </c>
      <c r="AD14" s="23" t="str">
        <f t="shared" si="2"/>
        <v>土</v>
      </c>
      <c r="AE14" s="23" t="str">
        <f t="shared" si="2"/>
        <v/>
      </c>
      <c r="AF14" s="23" t="str">
        <f t="shared" si="2"/>
        <v/>
      </c>
      <c r="AG14" s="23" t="str">
        <f t="shared" si="2"/>
        <v/>
      </c>
      <c r="AI14" s="19" t="s">
        <v>41</v>
      </c>
      <c r="AJ14" s="21">
        <f>COUNT(C16:AG16)</f>
        <v>18</v>
      </c>
    </row>
    <row r="15" spans="1:36" outlineLevel="1" x14ac:dyDescent="0.45">
      <c r="C15" s="25">
        <f>C13</f>
        <v>46054</v>
      </c>
      <c r="D15" s="25">
        <f t="shared" ref="D15:AG15" si="3">IF(C15="","",IF(C15+1&lt;=EOMONTH($C13,0),C15+1,""))</f>
        <v>46055</v>
      </c>
      <c r="E15" s="25">
        <f t="shared" si="3"/>
        <v>46056</v>
      </c>
      <c r="F15" s="25">
        <f t="shared" si="3"/>
        <v>46057</v>
      </c>
      <c r="G15" s="25">
        <f t="shared" si="3"/>
        <v>46058</v>
      </c>
      <c r="H15" s="25">
        <f t="shared" si="3"/>
        <v>46059</v>
      </c>
      <c r="I15" s="25">
        <f t="shared" si="3"/>
        <v>46060</v>
      </c>
      <c r="J15" s="25">
        <f t="shared" si="3"/>
        <v>46061</v>
      </c>
      <c r="K15" s="25">
        <f t="shared" si="3"/>
        <v>46062</v>
      </c>
      <c r="L15" s="25">
        <f t="shared" si="3"/>
        <v>46063</v>
      </c>
      <c r="M15" s="25">
        <f t="shared" si="3"/>
        <v>46064</v>
      </c>
      <c r="N15" s="25">
        <f t="shared" si="3"/>
        <v>46065</v>
      </c>
      <c r="O15" s="25">
        <f t="shared" si="3"/>
        <v>46066</v>
      </c>
      <c r="P15" s="25">
        <f t="shared" si="3"/>
        <v>46067</v>
      </c>
      <c r="Q15" s="25">
        <f t="shared" si="3"/>
        <v>46068</v>
      </c>
      <c r="R15" s="25">
        <f t="shared" si="3"/>
        <v>46069</v>
      </c>
      <c r="S15" s="25">
        <f t="shared" si="3"/>
        <v>46070</v>
      </c>
      <c r="T15" s="25">
        <f t="shared" si="3"/>
        <v>46071</v>
      </c>
      <c r="U15" s="25">
        <f t="shared" si="3"/>
        <v>46072</v>
      </c>
      <c r="V15" s="25">
        <f t="shared" si="3"/>
        <v>46073</v>
      </c>
      <c r="W15" s="25">
        <f t="shared" si="3"/>
        <v>46074</v>
      </c>
      <c r="X15" s="25">
        <f t="shared" si="3"/>
        <v>46075</v>
      </c>
      <c r="Y15" s="25">
        <f t="shared" si="3"/>
        <v>46076</v>
      </c>
      <c r="Z15" s="25">
        <f t="shared" si="3"/>
        <v>46077</v>
      </c>
      <c r="AA15" s="25">
        <f t="shared" si="3"/>
        <v>46078</v>
      </c>
      <c r="AB15" s="25">
        <f t="shared" si="3"/>
        <v>46079</v>
      </c>
      <c r="AC15" s="25">
        <f t="shared" si="3"/>
        <v>46080</v>
      </c>
      <c r="AD15" s="25">
        <f t="shared" si="3"/>
        <v>46081</v>
      </c>
      <c r="AE15" s="25" t="str">
        <f t="shared" si="3"/>
        <v/>
      </c>
      <c r="AF15" s="25" t="str">
        <f t="shared" si="3"/>
        <v/>
      </c>
      <c r="AG15" s="25" t="str">
        <f t="shared" si="3"/>
        <v/>
      </c>
      <c r="AI15" s="19" t="s">
        <v>42</v>
      </c>
      <c r="AJ15" s="20" t="str">
        <f>_xlfn.LET(_xlpm.v,SUM(C16:AG16),IF(_xlpm.v=INT(_xlpm.v),TEXT(_xlpm.v,"0")&amp;" h",TEXT(_xlpm.v,"0.###")&amp;" h"))</f>
        <v>144 h</v>
      </c>
    </row>
    <row r="16" spans="1:36" outlineLevel="1" x14ac:dyDescent="0.45">
      <c r="A16" s="19" t="s">
        <v>38</v>
      </c>
      <c r="C16" s="18"/>
      <c r="D16" s="18">
        <v>8</v>
      </c>
      <c r="E16" s="18">
        <v>8</v>
      </c>
      <c r="F16" s="18">
        <v>8</v>
      </c>
      <c r="G16" s="18">
        <v>8</v>
      </c>
      <c r="H16" s="18">
        <v>8</v>
      </c>
      <c r="I16" s="18"/>
      <c r="J16" s="18"/>
      <c r="K16" s="18">
        <v>8</v>
      </c>
      <c r="L16" s="18">
        <v>8</v>
      </c>
      <c r="M16" s="18"/>
      <c r="N16" s="18">
        <v>8</v>
      </c>
      <c r="O16" s="18">
        <v>8</v>
      </c>
      <c r="P16" s="18"/>
      <c r="Q16" s="18"/>
      <c r="R16" s="18">
        <v>8</v>
      </c>
      <c r="S16" s="18">
        <v>8</v>
      </c>
      <c r="T16" s="18">
        <v>8</v>
      </c>
      <c r="U16" s="18">
        <v>8</v>
      </c>
      <c r="V16" s="18">
        <v>8</v>
      </c>
      <c r="W16" s="18"/>
      <c r="X16" s="18"/>
      <c r="Y16" s="18"/>
      <c r="Z16" s="18">
        <v>8</v>
      </c>
      <c r="AA16" s="18">
        <v>8</v>
      </c>
      <c r="AB16" s="18">
        <v>8</v>
      </c>
      <c r="AC16" s="18">
        <v>8</v>
      </c>
      <c r="AD16" s="18"/>
      <c r="AE16" s="18"/>
      <c r="AF16" s="18"/>
      <c r="AG16" s="18"/>
      <c r="AI16" s="23" t="s">
        <v>43</v>
      </c>
      <c r="AJ16" s="26">
        <f>COUNT(C17:AG17)</f>
        <v>18</v>
      </c>
    </row>
    <row r="17" spans="1:36" outlineLevel="1" x14ac:dyDescent="0.45">
      <c r="A17" s="23" t="s">
        <v>39</v>
      </c>
      <c r="C17" s="23"/>
      <c r="D17" s="23">
        <v>8</v>
      </c>
      <c r="E17" s="23">
        <v>8</v>
      </c>
      <c r="F17" s="23">
        <v>8</v>
      </c>
      <c r="G17" s="23">
        <v>8</v>
      </c>
      <c r="H17" s="23">
        <v>8</v>
      </c>
      <c r="I17" s="23"/>
      <c r="J17" s="23"/>
      <c r="K17" s="23">
        <v>8</v>
      </c>
      <c r="L17" s="23">
        <v>8</v>
      </c>
      <c r="M17" s="23"/>
      <c r="N17" s="23">
        <v>8</v>
      </c>
      <c r="O17" s="23">
        <v>8</v>
      </c>
      <c r="P17" s="23"/>
      <c r="Q17" s="23"/>
      <c r="R17" s="23">
        <v>8</v>
      </c>
      <c r="S17" s="23">
        <v>8</v>
      </c>
      <c r="T17" s="23">
        <v>8</v>
      </c>
      <c r="U17" s="23">
        <v>8</v>
      </c>
      <c r="V17" s="23">
        <v>8</v>
      </c>
      <c r="W17" s="23"/>
      <c r="X17" s="23"/>
      <c r="Y17" s="23"/>
      <c r="Z17" s="23">
        <v>8</v>
      </c>
      <c r="AA17" s="23">
        <v>8</v>
      </c>
      <c r="AB17" s="23">
        <v>8</v>
      </c>
      <c r="AC17" s="23">
        <v>8</v>
      </c>
      <c r="AD17" s="23"/>
      <c r="AE17" s="23"/>
      <c r="AF17" s="23"/>
      <c r="AG17" s="23"/>
      <c r="AI17" s="23" t="s">
        <v>44</v>
      </c>
      <c r="AJ17" s="24" t="str">
        <f>_xlfn.LET(_xlpm.v,SUM(C17:AG17),IF(_xlpm.v=INT(_xlpm.v),TEXT(_xlpm.v,"0")&amp;" h",TEXT(_xlpm.v,"0.###")&amp;" h"))</f>
        <v>144 h</v>
      </c>
    </row>
    <row r="18" spans="1:36" outlineLevel="1" x14ac:dyDescent="0.45">
      <c r="A18" s="23" t="s">
        <v>37</v>
      </c>
      <c r="C18" s="23"/>
      <c r="D18" s="23" t="s">
        <v>22</v>
      </c>
      <c r="E18" s="23" t="s">
        <v>22</v>
      </c>
      <c r="F18" s="23" t="s">
        <v>22</v>
      </c>
      <c r="G18" s="23" t="s">
        <v>22</v>
      </c>
      <c r="H18" s="23" t="s">
        <v>22</v>
      </c>
      <c r="I18" s="23"/>
      <c r="J18" s="23"/>
      <c r="K18" s="23" t="s">
        <v>22</v>
      </c>
      <c r="L18" s="23" t="s">
        <v>22</v>
      </c>
      <c r="M18" s="23"/>
      <c r="N18" s="23" t="s">
        <v>22</v>
      </c>
      <c r="O18" s="23" t="s">
        <v>22</v>
      </c>
      <c r="P18" s="23"/>
      <c r="Q18" s="23"/>
      <c r="R18" s="23" t="s">
        <v>22</v>
      </c>
      <c r="S18" s="23" t="s">
        <v>22</v>
      </c>
      <c r="T18" s="23" t="s">
        <v>22</v>
      </c>
      <c r="U18" s="23" t="s">
        <v>22</v>
      </c>
      <c r="V18" s="23" t="s">
        <v>22</v>
      </c>
      <c r="W18" s="23"/>
      <c r="X18" s="23"/>
      <c r="Y18" s="23"/>
      <c r="Z18" s="23" t="s">
        <v>22</v>
      </c>
      <c r="AA18" s="23" t="s">
        <v>22</v>
      </c>
      <c r="AB18" s="23" t="s">
        <v>22</v>
      </c>
      <c r="AC18" s="23" t="s">
        <v>22</v>
      </c>
      <c r="AD18" s="23"/>
      <c r="AE18" s="23"/>
      <c r="AF18" s="23"/>
      <c r="AG18" s="23"/>
      <c r="AI18" s="23" t="s">
        <v>45</v>
      </c>
      <c r="AJ18" s="26">
        <f>COUNTIF(C18:AG18,"出")</f>
        <v>0</v>
      </c>
    </row>
    <row r="19" spans="1:36" outlineLevel="1" x14ac:dyDescent="0.45">
      <c r="A19" s="23" t="s">
        <v>40</v>
      </c>
      <c r="C19" s="391"/>
      <c r="D19" s="391"/>
      <c r="E19" s="391"/>
      <c r="F19" s="391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S19" s="391"/>
      <c r="T19" s="391"/>
      <c r="U19" s="391"/>
      <c r="V19" s="391"/>
      <c r="W19" s="391"/>
      <c r="X19" s="391"/>
      <c r="Y19" s="391"/>
      <c r="Z19" s="391"/>
      <c r="AA19" s="391"/>
      <c r="AB19" s="391"/>
      <c r="AC19" s="391"/>
      <c r="AD19" s="391"/>
      <c r="AE19" s="391"/>
      <c r="AF19" s="391"/>
      <c r="AG19" s="391"/>
      <c r="AI19" s="23" t="s">
        <v>46</v>
      </c>
      <c r="AJ19" s="26">
        <f>COUNTIF(C18:AG18,"リ")</f>
        <v>18</v>
      </c>
    </row>
    <row r="20" spans="1:36" outlineLevel="1" x14ac:dyDescent="0.45">
      <c r="C20" s="391"/>
      <c r="D20" s="391"/>
      <c r="E20" s="391"/>
      <c r="F20" s="391"/>
      <c r="G20" s="391"/>
      <c r="H20" s="391"/>
      <c r="I20" s="391"/>
      <c r="J20" s="391"/>
      <c r="K20" s="391"/>
      <c r="L20" s="391"/>
      <c r="M20" s="391"/>
      <c r="N20" s="391"/>
      <c r="O20" s="391"/>
      <c r="P20" s="391"/>
      <c r="Q20" s="391"/>
      <c r="S20" s="391"/>
      <c r="T20" s="391"/>
      <c r="U20" s="391"/>
      <c r="V20" s="391"/>
      <c r="W20" s="391"/>
      <c r="X20" s="391"/>
      <c r="Y20" s="391"/>
      <c r="Z20" s="391"/>
      <c r="AA20" s="391"/>
      <c r="AB20" s="391"/>
      <c r="AC20" s="391"/>
      <c r="AD20" s="391"/>
      <c r="AE20" s="391"/>
      <c r="AF20" s="391"/>
      <c r="AG20" s="391"/>
      <c r="AI20" s="23" t="s">
        <v>25</v>
      </c>
      <c r="AJ20" s="27">
        <f>AJ18/(AJ18+AJ19)</f>
        <v>0</v>
      </c>
    </row>
    <row r="21" spans="1:36" outlineLevel="1" x14ac:dyDescent="0.45">
      <c r="C21" s="391"/>
      <c r="D21" s="391"/>
      <c r="E21" s="391"/>
      <c r="F21" s="391"/>
      <c r="G21" s="391"/>
      <c r="H21" s="391"/>
      <c r="I21" s="391"/>
      <c r="J21" s="391"/>
      <c r="K21" s="391"/>
      <c r="L21" s="391"/>
      <c r="M21" s="391"/>
      <c r="N21" s="391"/>
      <c r="O21" s="391"/>
      <c r="P21" s="391"/>
      <c r="Q21" s="391"/>
      <c r="S21" s="391"/>
      <c r="T21" s="391"/>
      <c r="U21" s="391"/>
      <c r="V21" s="391"/>
      <c r="W21" s="391"/>
      <c r="X21" s="391"/>
      <c r="Y21" s="391"/>
      <c r="Z21" s="391"/>
      <c r="AA21" s="391"/>
      <c r="AB21" s="391"/>
      <c r="AC21" s="391"/>
      <c r="AD21" s="391"/>
      <c r="AE21" s="391"/>
      <c r="AF21" s="391"/>
      <c r="AG21" s="391"/>
    </row>
    <row r="22" spans="1:36" outlineLevel="1" x14ac:dyDescent="0.45">
      <c r="C22" s="391"/>
      <c r="D22" s="391"/>
      <c r="E22" s="391"/>
      <c r="F22" s="391"/>
      <c r="G22" s="391"/>
      <c r="H22" s="391"/>
      <c r="I22" s="391"/>
      <c r="J22" s="391"/>
      <c r="K22" s="391"/>
      <c r="L22" s="391"/>
      <c r="M22" s="391"/>
      <c r="N22" s="391"/>
      <c r="O22" s="391"/>
      <c r="P22" s="391"/>
      <c r="Q22" s="391"/>
      <c r="S22" s="391"/>
      <c r="T22" s="391"/>
      <c r="U22" s="391"/>
      <c r="V22" s="391"/>
      <c r="W22" s="391"/>
      <c r="X22" s="391"/>
      <c r="Y22" s="391"/>
      <c r="Z22" s="391"/>
      <c r="AA22" s="391"/>
      <c r="AB22" s="391"/>
      <c r="AC22" s="391"/>
      <c r="AD22" s="391"/>
      <c r="AE22" s="391"/>
      <c r="AF22" s="391"/>
      <c r="AG22" s="391"/>
    </row>
    <row r="23" spans="1:36" outlineLevel="1" x14ac:dyDescent="0.45">
      <c r="C23" s="391"/>
      <c r="D23" s="391"/>
      <c r="E23" s="391"/>
      <c r="F23" s="391"/>
      <c r="G23" s="391"/>
      <c r="H23" s="391"/>
      <c r="I23" s="391"/>
      <c r="J23" s="391"/>
      <c r="K23" s="391"/>
      <c r="L23" s="391"/>
      <c r="M23" s="391"/>
      <c r="N23" s="391"/>
      <c r="O23" s="391"/>
      <c r="P23" s="391"/>
      <c r="Q23" s="391"/>
      <c r="S23" s="391"/>
      <c r="T23" s="391"/>
      <c r="U23" s="391"/>
      <c r="V23" s="391"/>
      <c r="W23" s="391"/>
      <c r="X23" s="391"/>
      <c r="Y23" s="391"/>
      <c r="Z23" s="391"/>
      <c r="AA23" s="391"/>
      <c r="AB23" s="391"/>
      <c r="AC23" s="391"/>
      <c r="AD23" s="391"/>
      <c r="AE23" s="391"/>
      <c r="AF23" s="391"/>
      <c r="AG23" s="391"/>
    </row>
    <row r="24" spans="1:36" outlineLevel="1" x14ac:dyDescent="0.45"/>
    <row r="25" spans="1:36" x14ac:dyDescent="0.45">
      <c r="C25" s="385">
        <v>46082</v>
      </c>
      <c r="D25" s="375"/>
      <c r="E25" s="375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</row>
    <row r="26" spans="1:36" outlineLevel="1" x14ac:dyDescent="0.45">
      <c r="C26" s="23" t="str">
        <f t="shared" ref="C26:AG26" si="4">TEXT(C27,"aaa")</f>
        <v>日</v>
      </c>
      <c r="D26" s="23" t="str">
        <f t="shared" si="4"/>
        <v>月</v>
      </c>
      <c r="E26" s="23" t="str">
        <f t="shared" si="4"/>
        <v>火</v>
      </c>
      <c r="F26" s="23" t="str">
        <f t="shared" si="4"/>
        <v>水</v>
      </c>
      <c r="G26" s="23" t="str">
        <f t="shared" si="4"/>
        <v>木</v>
      </c>
      <c r="H26" s="23" t="str">
        <f t="shared" si="4"/>
        <v>金</v>
      </c>
      <c r="I26" s="23" t="str">
        <f t="shared" si="4"/>
        <v>土</v>
      </c>
      <c r="J26" s="23" t="str">
        <f t="shared" si="4"/>
        <v>日</v>
      </c>
      <c r="K26" s="23" t="str">
        <f t="shared" si="4"/>
        <v>月</v>
      </c>
      <c r="L26" s="23" t="str">
        <f t="shared" si="4"/>
        <v>火</v>
      </c>
      <c r="M26" s="23" t="str">
        <f t="shared" si="4"/>
        <v>水</v>
      </c>
      <c r="N26" s="23" t="str">
        <f t="shared" si="4"/>
        <v>木</v>
      </c>
      <c r="O26" s="23" t="str">
        <f t="shared" si="4"/>
        <v>金</v>
      </c>
      <c r="P26" s="23" t="str">
        <f t="shared" si="4"/>
        <v>土</v>
      </c>
      <c r="Q26" s="23" t="str">
        <f t="shared" si="4"/>
        <v>日</v>
      </c>
      <c r="R26" s="23" t="str">
        <f t="shared" si="4"/>
        <v>月</v>
      </c>
      <c r="S26" s="23" t="str">
        <f t="shared" si="4"/>
        <v>火</v>
      </c>
      <c r="T26" s="23" t="str">
        <f t="shared" si="4"/>
        <v>水</v>
      </c>
      <c r="U26" s="23" t="str">
        <f t="shared" si="4"/>
        <v>木</v>
      </c>
      <c r="V26" s="23" t="str">
        <f t="shared" si="4"/>
        <v>金</v>
      </c>
      <c r="W26" s="23" t="str">
        <f t="shared" si="4"/>
        <v>土</v>
      </c>
      <c r="X26" s="23" t="str">
        <f t="shared" si="4"/>
        <v>日</v>
      </c>
      <c r="Y26" s="23" t="str">
        <f t="shared" si="4"/>
        <v>月</v>
      </c>
      <c r="Z26" s="23" t="str">
        <f t="shared" si="4"/>
        <v>火</v>
      </c>
      <c r="AA26" s="23" t="str">
        <f t="shared" si="4"/>
        <v>水</v>
      </c>
      <c r="AB26" s="23" t="str">
        <f t="shared" si="4"/>
        <v>木</v>
      </c>
      <c r="AC26" s="23" t="str">
        <f t="shared" si="4"/>
        <v>金</v>
      </c>
      <c r="AD26" s="23" t="str">
        <f t="shared" si="4"/>
        <v>土</v>
      </c>
      <c r="AE26" s="23" t="str">
        <f t="shared" si="4"/>
        <v>日</v>
      </c>
      <c r="AF26" s="23" t="str">
        <f t="shared" si="4"/>
        <v>月</v>
      </c>
      <c r="AG26" s="23" t="str">
        <f t="shared" si="4"/>
        <v>火</v>
      </c>
      <c r="AI26" s="19" t="s">
        <v>41</v>
      </c>
      <c r="AJ26" s="21">
        <f>COUNT(C28:AG28)</f>
        <v>21</v>
      </c>
    </row>
    <row r="27" spans="1:36" outlineLevel="1" x14ac:dyDescent="0.45">
      <c r="C27" s="25">
        <f>C25</f>
        <v>46082</v>
      </c>
      <c r="D27" s="25">
        <f t="shared" ref="D27:AG27" si="5">IF(C27="","",IF(C27+1&lt;=EOMONTH($C25,0),C27+1,""))</f>
        <v>46083</v>
      </c>
      <c r="E27" s="25">
        <f t="shared" si="5"/>
        <v>46084</v>
      </c>
      <c r="F27" s="25">
        <f t="shared" si="5"/>
        <v>46085</v>
      </c>
      <c r="G27" s="25">
        <f t="shared" si="5"/>
        <v>46086</v>
      </c>
      <c r="H27" s="25">
        <f t="shared" si="5"/>
        <v>46087</v>
      </c>
      <c r="I27" s="25">
        <f t="shared" si="5"/>
        <v>46088</v>
      </c>
      <c r="J27" s="25">
        <f t="shared" si="5"/>
        <v>46089</v>
      </c>
      <c r="K27" s="25">
        <f t="shared" si="5"/>
        <v>46090</v>
      </c>
      <c r="L27" s="25">
        <f t="shared" si="5"/>
        <v>46091</v>
      </c>
      <c r="M27" s="25">
        <f t="shared" si="5"/>
        <v>46092</v>
      </c>
      <c r="N27" s="25">
        <f t="shared" si="5"/>
        <v>46093</v>
      </c>
      <c r="O27" s="25">
        <f t="shared" si="5"/>
        <v>46094</v>
      </c>
      <c r="P27" s="25">
        <f t="shared" si="5"/>
        <v>46095</v>
      </c>
      <c r="Q27" s="25">
        <f t="shared" si="5"/>
        <v>46096</v>
      </c>
      <c r="R27" s="25">
        <f t="shared" si="5"/>
        <v>46097</v>
      </c>
      <c r="S27" s="25">
        <f t="shared" si="5"/>
        <v>46098</v>
      </c>
      <c r="T27" s="25">
        <f t="shared" si="5"/>
        <v>46099</v>
      </c>
      <c r="U27" s="25">
        <f t="shared" si="5"/>
        <v>46100</v>
      </c>
      <c r="V27" s="25">
        <f t="shared" si="5"/>
        <v>46101</v>
      </c>
      <c r="W27" s="25">
        <f t="shared" si="5"/>
        <v>46102</v>
      </c>
      <c r="X27" s="25">
        <f t="shared" si="5"/>
        <v>46103</v>
      </c>
      <c r="Y27" s="25">
        <f t="shared" si="5"/>
        <v>46104</v>
      </c>
      <c r="Z27" s="25">
        <f t="shared" si="5"/>
        <v>46105</v>
      </c>
      <c r="AA27" s="25">
        <f t="shared" si="5"/>
        <v>46106</v>
      </c>
      <c r="AB27" s="25">
        <f t="shared" si="5"/>
        <v>46107</v>
      </c>
      <c r="AC27" s="25">
        <f t="shared" si="5"/>
        <v>46108</v>
      </c>
      <c r="AD27" s="25">
        <f t="shared" si="5"/>
        <v>46109</v>
      </c>
      <c r="AE27" s="25">
        <f t="shared" si="5"/>
        <v>46110</v>
      </c>
      <c r="AF27" s="25">
        <f t="shared" si="5"/>
        <v>46111</v>
      </c>
      <c r="AG27" s="25">
        <f t="shared" si="5"/>
        <v>46112</v>
      </c>
      <c r="AI27" s="19" t="s">
        <v>42</v>
      </c>
      <c r="AJ27" s="20" t="str">
        <f>_xlfn.LET(_xlpm.v,SUM(C28:AG28),IF(_xlpm.v=INT(_xlpm.v),TEXT(_xlpm.v,"0")&amp;" h",TEXT(_xlpm.v,"0.###")&amp;" h"))</f>
        <v>168 h</v>
      </c>
    </row>
    <row r="28" spans="1:36" outlineLevel="1" x14ac:dyDescent="0.45">
      <c r="A28" s="19" t="s">
        <v>38</v>
      </c>
      <c r="C28" s="18"/>
      <c r="D28" s="18">
        <v>8</v>
      </c>
      <c r="E28" s="18">
        <v>8</v>
      </c>
      <c r="F28" s="18">
        <v>8</v>
      </c>
      <c r="G28" s="18">
        <v>8</v>
      </c>
      <c r="H28" s="18">
        <v>8</v>
      </c>
      <c r="I28" s="18"/>
      <c r="J28" s="18"/>
      <c r="K28" s="18">
        <v>8</v>
      </c>
      <c r="L28" s="18">
        <v>8</v>
      </c>
      <c r="M28" s="18">
        <v>8</v>
      </c>
      <c r="N28" s="18">
        <v>8</v>
      </c>
      <c r="O28" s="18">
        <v>8</v>
      </c>
      <c r="P28" s="18"/>
      <c r="Q28" s="18"/>
      <c r="R28" s="18">
        <v>8</v>
      </c>
      <c r="S28" s="18">
        <v>8</v>
      </c>
      <c r="T28" s="18">
        <v>8</v>
      </c>
      <c r="U28" s="18">
        <v>8</v>
      </c>
      <c r="V28" s="18"/>
      <c r="W28" s="18"/>
      <c r="X28" s="18"/>
      <c r="Y28" s="18">
        <v>8</v>
      </c>
      <c r="Z28" s="18">
        <v>8</v>
      </c>
      <c r="AA28" s="18">
        <v>8</v>
      </c>
      <c r="AB28" s="18">
        <v>8</v>
      </c>
      <c r="AC28" s="18">
        <v>8</v>
      </c>
      <c r="AD28" s="18"/>
      <c r="AE28" s="18"/>
      <c r="AF28" s="18">
        <v>8</v>
      </c>
      <c r="AG28" s="18">
        <v>8</v>
      </c>
      <c r="AI28" s="23" t="s">
        <v>43</v>
      </c>
      <c r="AJ28" s="26">
        <f>COUNT(C29:AG29)</f>
        <v>21</v>
      </c>
    </row>
    <row r="29" spans="1:36" outlineLevel="1" x14ac:dyDescent="0.45">
      <c r="A29" s="23" t="s">
        <v>39</v>
      </c>
      <c r="C29" s="23"/>
      <c r="D29" s="23">
        <v>8</v>
      </c>
      <c r="E29" s="23">
        <v>8</v>
      </c>
      <c r="F29" s="23">
        <v>8</v>
      </c>
      <c r="G29" s="23">
        <v>8</v>
      </c>
      <c r="H29" s="23">
        <v>8</v>
      </c>
      <c r="I29" s="23"/>
      <c r="J29" s="23"/>
      <c r="K29" s="23">
        <v>8</v>
      </c>
      <c r="L29" s="23">
        <v>8</v>
      </c>
      <c r="M29" s="23">
        <v>8</v>
      </c>
      <c r="N29" s="23">
        <v>8</v>
      </c>
      <c r="O29" s="23">
        <v>8</v>
      </c>
      <c r="P29" s="23"/>
      <c r="Q29" s="23"/>
      <c r="R29" s="23">
        <v>8</v>
      </c>
      <c r="S29" s="23">
        <v>8</v>
      </c>
      <c r="T29" s="23">
        <v>8</v>
      </c>
      <c r="U29" s="23">
        <v>8</v>
      </c>
      <c r="V29" s="23"/>
      <c r="W29" s="23"/>
      <c r="X29" s="23"/>
      <c r="Y29" s="23">
        <v>8</v>
      </c>
      <c r="Z29" s="23">
        <v>8</v>
      </c>
      <c r="AA29" s="23">
        <v>8</v>
      </c>
      <c r="AB29" s="23">
        <v>8</v>
      </c>
      <c r="AC29" s="23">
        <v>8</v>
      </c>
      <c r="AD29" s="23"/>
      <c r="AE29" s="23"/>
      <c r="AF29" s="23">
        <v>8</v>
      </c>
      <c r="AG29" s="23">
        <v>8</v>
      </c>
      <c r="AI29" s="23" t="s">
        <v>44</v>
      </c>
      <c r="AJ29" s="24" t="str">
        <f>_xlfn.LET(_xlpm.v,SUM(C29:AG29),IF(_xlpm.v=INT(_xlpm.v),TEXT(_xlpm.v,"0")&amp;" h",TEXT(_xlpm.v,"0.###")&amp;" h"))</f>
        <v>168 h</v>
      </c>
    </row>
    <row r="30" spans="1:36" outlineLevel="1" x14ac:dyDescent="0.45">
      <c r="A30" s="23" t="s">
        <v>37</v>
      </c>
      <c r="C30" s="23"/>
      <c r="D30" s="23" t="s">
        <v>22</v>
      </c>
      <c r="E30" s="23" t="s">
        <v>22</v>
      </c>
      <c r="F30" s="23" t="s">
        <v>22</v>
      </c>
      <c r="G30" s="23" t="s">
        <v>22</v>
      </c>
      <c r="H30" s="23" t="s">
        <v>22</v>
      </c>
      <c r="I30" s="23"/>
      <c r="J30" s="23"/>
      <c r="K30" s="23" t="s">
        <v>22</v>
      </c>
      <c r="L30" s="23" t="s">
        <v>22</v>
      </c>
      <c r="M30" s="23" t="s">
        <v>22</v>
      </c>
      <c r="N30" s="23" t="s">
        <v>22</v>
      </c>
      <c r="O30" s="23" t="s">
        <v>22</v>
      </c>
      <c r="P30" s="23"/>
      <c r="Q30" s="23"/>
      <c r="R30" s="23" t="s">
        <v>22</v>
      </c>
      <c r="S30" s="23" t="s">
        <v>22</v>
      </c>
      <c r="T30" s="23" t="s">
        <v>22</v>
      </c>
      <c r="U30" s="23" t="s">
        <v>22</v>
      </c>
      <c r="V30" s="23"/>
      <c r="W30" s="23"/>
      <c r="X30" s="23"/>
      <c r="Y30" s="23" t="s">
        <v>22</v>
      </c>
      <c r="Z30" s="23" t="s">
        <v>22</v>
      </c>
      <c r="AA30" s="23" t="s">
        <v>22</v>
      </c>
      <c r="AB30" s="23" t="s">
        <v>22</v>
      </c>
      <c r="AC30" s="23" t="s">
        <v>22</v>
      </c>
      <c r="AD30" s="23"/>
      <c r="AE30" s="23"/>
      <c r="AF30" s="23" t="s">
        <v>22</v>
      </c>
      <c r="AG30" s="23" t="s">
        <v>22</v>
      </c>
      <c r="AI30" s="23" t="s">
        <v>45</v>
      </c>
      <c r="AJ30" s="26">
        <f>COUNTIF(C30:AG30,"出")</f>
        <v>0</v>
      </c>
    </row>
    <row r="31" spans="1:36" outlineLevel="1" x14ac:dyDescent="0.45">
      <c r="A31" s="23" t="s">
        <v>40</v>
      </c>
      <c r="C31" s="391"/>
      <c r="D31" s="391"/>
      <c r="E31" s="391"/>
      <c r="F31" s="391"/>
      <c r="G31" s="391"/>
      <c r="H31" s="391"/>
      <c r="I31" s="391"/>
      <c r="J31" s="391"/>
      <c r="K31" s="391"/>
      <c r="L31" s="391"/>
      <c r="M31" s="391"/>
      <c r="N31" s="391"/>
      <c r="O31" s="391"/>
      <c r="P31" s="391"/>
      <c r="Q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391"/>
      <c r="AG31" s="391"/>
      <c r="AI31" s="23" t="s">
        <v>46</v>
      </c>
      <c r="AJ31" s="26">
        <f>COUNTIF(C30:AG30,"リ")</f>
        <v>21</v>
      </c>
    </row>
    <row r="32" spans="1:36" outlineLevel="1" x14ac:dyDescent="0.45">
      <c r="C32" s="391"/>
      <c r="D32" s="391"/>
      <c r="E32" s="391"/>
      <c r="F32" s="391"/>
      <c r="G32" s="391"/>
      <c r="H32" s="391"/>
      <c r="I32" s="391"/>
      <c r="J32" s="391"/>
      <c r="K32" s="391"/>
      <c r="L32" s="391"/>
      <c r="M32" s="391"/>
      <c r="N32" s="391"/>
      <c r="O32" s="391"/>
      <c r="P32" s="391"/>
      <c r="Q32" s="391"/>
      <c r="S32" s="391"/>
      <c r="T32" s="391"/>
      <c r="U32" s="391"/>
      <c r="V32" s="391"/>
      <c r="W32" s="391"/>
      <c r="X32" s="391"/>
      <c r="Y32" s="391"/>
      <c r="Z32" s="391"/>
      <c r="AA32" s="391"/>
      <c r="AB32" s="391"/>
      <c r="AC32" s="391"/>
      <c r="AD32" s="391"/>
      <c r="AE32" s="391"/>
      <c r="AF32" s="391"/>
      <c r="AG32" s="391"/>
      <c r="AI32" s="23" t="s">
        <v>25</v>
      </c>
      <c r="AJ32" s="27">
        <f>AJ30/(AJ30+AJ31)</f>
        <v>0</v>
      </c>
    </row>
    <row r="33" spans="1:36" outlineLevel="1" x14ac:dyDescent="0.45">
      <c r="C33" s="391"/>
      <c r="D33" s="391"/>
      <c r="E33" s="391"/>
      <c r="F33" s="391"/>
      <c r="G33" s="391"/>
      <c r="H33" s="391"/>
      <c r="I33" s="391"/>
      <c r="J33" s="391"/>
      <c r="K33" s="391"/>
      <c r="L33" s="391"/>
      <c r="M33" s="391"/>
      <c r="N33" s="391"/>
      <c r="O33" s="391"/>
      <c r="P33" s="391"/>
      <c r="Q33" s="391"/>
      <c r="S33" s="391"/>
      <c r="T33" s="391"/>
      <c r="U33" s="391"/>
      <c r="V33" s="391"/>
      <c r="W33" s="391"/>
      <c r="X33" s="391"/>
      <c r="Y33" s="391"/>
      <c r="Z33" s="391"/>
      <c r="AA33" s="391"/>
      <c r="AB33" s="391"/>
      <c r="AC33" s="391"/>
      <c r="AD33" s="391"/>
      <c r="AE33" s="391"/>
      <c r="AF33" s="391"/>
      <c r="AG33" s="391"/>
    </row>
    <row r="34" spans="1:36" outlineLevel="1" x14ac:dyDescent="0.45">
      <c r="C34" s="391"/>
      <c r="D34" s="391"/>
      <c r="E34" s="391"/>
      <c r="F34" s="391"/>
      <c r="G34" s="391"/>
      <c r="H34" s="391"/>
      <c r="I34" s="391"/>
      <c r="J34" s="391"/>
      <c r="K34" s="391"/>
      <c r="L34" s="391"/>
      <c r="M34" s="391"/>
      <c r="N34" s="391"/>
      <c r="O34" s="391"/>
      <c r="P34" s="391"/>
      <c r="Q34" s="391"/>
      <c r="S34" s="391"/>
      <c r="T34" s="391"/>
      <c r="U34" s="391"/>
      <c r="V34" s="391"/>
      <c r="W34" s="391"/>
      <c r="X34" s="391"/>
      <c r="Y34" s="391"/>
      <c r="Z34" s="391"/>
      <c r="AA34" s="391"/>
      <c r="AB34" s="391"/>
      <c r="AC34" s="391"/>
      <c r="AD34" s="391"/>
      <c r="AE34" s="391"/>
      <c r="AF34" s="391"/>
      <c r="AG34" s="391"/>
    </row>
    <row r="35" spans="1:36" outlineLevel="1" x14ac:dyDescent="0.45">
      <c r="C35" s="391"/>
      <c r="D35" s="391"/>
      <c r="E35" s="391"/>
      <c r="F35" s="391"/>
      <c r="G35" s="391"/>
      <c r="H35" s="391"/>
      <c r="I35" s="391"/>
      <c r="J35" s="391"/>
      <c r="K35" s="391"/>
      <c r="L35" s="391"/>
      <c r="M35" s="391"/>
      <c r="N35" s="391"/>
      <c r="O35" s="391"/>
      <c r="P35" s="391"/>
      <c r="Q35" s="391"/>
      <c r="S35" s="391"/>
      <c r="T35" s="391"/>
      <c r="U35" s="391"/>
      <c r="V35" s="391"/>
      <c r="W35" s="391"/>
      <c r="X35" s="391"/>
      <c r="Y35" s="391"/>
      <c r="Z35" s="391"/>
      <c r="AA35" s="391"/>
      <c r="AB35" s="391"/>
      <c r="AC35" s="391"/>
      <c r="AD35" s="391"/>
      <c r="AE35" s="391"/>
      <c r="AF35" s="391"/>
      <c r="AG35" s="391"/>
    </row>
    <row r="36" spans="1:36" outlineLevel="1" x14ac:dyDescent="0.45"/>
    <row r="37" spans="1:36" x14ac:dyDescent="0.45">
      <c r="C37" s="385">
        <v>46113</v>
      </c>
      <c r="D37" s="375"/>
      <c r="E37" s="375"/>
      <c r="F37" s="375"/>
      <c r="G37" s="375"/>
      <c r="H37" s="375"/>
      <c r="I37" s="375"/>
      <c r="J37" s="375"/>
      <c r="K37" s="375"/>
      <c r="L37" s="375"/>
      <c r="M37" s="375"/>
      <c r="N37" s="375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375"/>
      <c r="Z37" s="375"/>
      <c r="AA37" s="375"/>
      <c r="AB37" s="375"/>
      <c r="AC37" s="375"/>
      <c r="AD37" s="375"/>
      <c r="AE37" s="375"/>
      <c r="AF37" s="375"/>
      <c r="AG37" s="375"/>
    </row>
    <row r="38" spans="1:36" outlineLevel="1" x14ac:dyDescent="0.45">
      <c r="C38" s="23" t="str">
        <f t="shared" ref="C38:AG38" si="6">TEXT(C39,"aaa")</f>
        <v>水</v>
      </c>
      <c r="D38" s="23" t="str">
        <f t="shared" si="6"/>
        <v>木</v>
      </c>
      <c r="E38" s="23" t="str">
        <f t="shared" si="6"/>
        <v>金</v>
      </c>
      <c r="F38" s="23" t="str">
        <f t="shared" si="6"/>
        <v>土</v>
      </c>
      <c r="G38" s="23" t="str">
        <f t="shared" si="6"/>
        <v>日</v>
      </c>
      <c r="H38" s="23" t="str">
        <f t="shared" si="6"/>
        <v>月</v>
      </c>
      <c r="I38" s="23" t="str">
        <f t="shared" si="6"/>
        <v>火</v>
      </c>
      <c r="J38" s="23" t="str">
        <f t="shared" si="6"/>
        <v>水</v>
      </c>
      <c r="K38" s="23" t="str">
        <f t="shared" si="6"/>
        <v>木</v>
      </c>
      <c r="L38" s="23" t="str">
        <f t="shared" si="6"/>
        <v>金</v>
      </c>
      <c r="M38" s="23" t="str">
        <f t="shared" si="6"/>
        <v>土</v>
      </c>
      <c r="N38" s="23" t="str">
        <f t="shared" si="6"/>
        <v>日</v>
      </c>
      <c r="O38" s="23" t="str">
        <f t="shared" si="6"/>
        <v>月</v>
      </c>
      <c r="P38" s="23" t="str">
        <f t="shared" si="6"/>
        <v>火</v>
      </c>
      <c r="Q38" s="23" t="str">
        <f t="shared" si="6"/>
        <v>水</v>
      </c>
      <c r="R38" s="23" t="str">
        <f t="shared" si="6"/>
        <v>木</v>
      </c>
      <c r="S38" s="23" t="str">
        <f t="shared" si="6"/>
        <v>金</v>
      </c>
      <c r="T38" s="23" t="str">
        <f t="shared" si="6"/>
        <v>土</v>
      </c>
      <c r="U38" s="23" t="str">
        <f t="shared" si="6"/>
        <v>日</v>
      </c>
      <c r="V38" s="23" t="str">
        <f t="shared" si="6"/>
        <v>月</v>
      </c>
      <c r="W38" s="23" t="str">
        <f t="shared" si="6"/>
        <v>火</v>
      </c>
      <c r="X38" s="23" t="str">
        <f t="shared" si="6"/>
        <v>水</v>
      </c>
      <c r="Y38" s="23" t="str">
        <f t="shared" si="6"/>
        <v>木</v>
      </c>
      <c r="Z38" s="23" t="str">
        <f t="shared" si="6"/>
        <v>金</v>
      </c>
      <c r="AA38" s="23" t="str">
        <f t="shared" si="6"/>
        <v>土</v>
      </c>
      <c r="AB38" s="23" t="str">
        <f t="shared" si="6"/>
        <v>日</v>
      </c>
      <c r="AC38" s="23" t="str">
        <f t="shared" si="6"/>
        <v>月</v>
      </c>
      <c r="AD38" s="23" t="str">
        <f t="shared" si="6"/>
        <v>火</v>
      </c>
      <c r="AE38" s="23" t="str">
        <f t="shared" si="6"/>
        <v>水</v>
      </c>
      <c r="AF38" s="23" t="str">
        <f t="shared" si="6"/>
        <v>木</v>
      </c>
      <c r="AG38" s="23" t="str">
        <f t="shared" si="6"/>
        <v/>
      </c>
      <c r="AI38" s="19" t="s">
        <v>41</v>
      </c>
      <c r="AJ38" s="21">
        <f>COUNT(C40:AG40)</f>
        <v>21</v>
      </c>
    </row>
    <row r="39" spans="1:36" outlineLevel="1" x14ac:dyDescent="0.45">
      <c r="C39" s="25">
        <f>C37</f>
        <v>46113</v>
      </c>
      <c r="D39" s="25">
        <f t="shared" ref="D39:AG39" si="7">IF(C39="","",IF(C39+1&lt;=EOMONTH($C37,0),C39+1,""))</f>
        <v>46114</v>
      </c>
      <c r="E39" s="25">
        <f t="shared" si="7"/>
        <v>46115</v>
      </c>
      <c r="F39" s="25">
        <f t="shared" si="7"/>
        <v>46116</v>
      </c>
      <c r="G39" s="25">
        <f t="shared" si="7"/>
        <v>46117</v>
      </c>
      <c r="H39" s="25">
        <f t="shared" si="7"/>
        <v>46118</v>
      </c>
      <c r="I39" s="25">
        <f t="shared" si="7"/>
        <v>46119</v>
      </c>
      <c r="J39" s="25">
        <f t="shared" si="7"/>
        <v>46120</v>
      </c>
      <c r="K39" s="25">
        <f t="shared" si="7"/>
        <v>46121</v>
      </c>
      <c r="L39" s="25">
        <f t="shared" si="7"/>
        <v>46122</v>
      </c>
      <c r="M39" s="25">
        <f t="shared" si="7"/>
        <v>46123</v>
      </c>
      <c r="N39" s="25">
        <f t="shared" si="7"/>
        <v>46124</v>
      </c>
      <c r="O39" s="25">
        <f t="shared" si="7"/>
        <v>46125</v>
      </c>
      <c r="P39" s="25">
        <f t="shared" si="7"/>
        <v>46126</v>
      </c>
      <c r="Q39" s="25">
        <f t="shared" si="7"/>
        <v>46127</v>
      </c>
      <c r="R39" s="25">
        <f t="shared" si="7"/>
        <v>46128</v>
      </c>
      <c r="S39" s="25">
        <f t="shared" si="7"/>
        <v>46129</v>
      </c>
      <c r="T39" s="25">
        <f t="shared" si="7"/>
        <v>46130</v>
      </c>
      <c r="U39" s="25">
        <f t="shared" si="7"/>
        <v>46131</v>
      </c>
      <c r="V39" s="25">
        <f t="shared" si="7"/>
        <v>46132</v>
      </c>
      <c r="W39" s="25">
        <f t="shared" si="7"/>
        <v>46133</v>
      </c>
      <c r="X39" s="25">
        <f t="shared" si="7"/>
        <v>46134</v>
      </c>
      <c r="Y39" s="25">
        <f t="shared" si="7"/>
        <v>46135</v>
      </c>
      <c r="Z39" s="25">
        <f t="shared" si="7"/>
        <v>46136</v>
      </c>
      <c r="AA39" s="25">
        <f t="shared" si="7"/>
        <v>46137</v>
      </c>
      <c r="AB39" s="25">
        <f t="shared" si="7"/>
        <v>46138</v>
      </c>
      <c r="AC39" s="25">
        <f t="shared" si="7"/>
        <v>46139</v>
      </c>
      <c r="AD39" s="25">
        <f t="shared" si="7"/>
        <v>46140</v>
      </c>
      <c r="AE39" s="25">
        <f t="shared" si="7"/>
        <v>46141</v>
      </c>
      <c r="AF39" s="25">
        <f t="shared" si="7"/>
        <v>46142</v>
      </c>
      <c r="AG39" s="25" t="str">
        <f t="shared" si="7"/>
        <v/>
      </c>
      <c r="AI39" s="19" t="s">
        <v>42</v>
      </c>
      <c r="AJ39" s="20" t="str">
        <f>_xlfn.LET(_xlpm.v,SUM(C40:AG40),IF(_xlpm.v=INT(_xlpm.v),TEXT(_xlpm.v,"0")&amp;" h",TEXT(_xlpm.v,"0.###")&amp;" h"))</f>
        <v>168 h</v>
      </c>
    </row>
    <row r="40" spans="1:36" outlineLevel="1" x14ac:dyDescent="0.45">
      <c r="A40" s="19" t="s">
        <v>38</v>
      </c>
      <c r="C40" s="18">
        <v>8</v>
      </c>
      <c r="D40" s="18">
        <v>8</v>
      </c>
      <c r="E40" s="18">
        <v>8</v>
      </c>
      <c r="F40" s="18"/>
      <c r="G40" s="18"/>
      <c r="H40" s="18">
        <v>8</v>
      </c>
      <c r="I40" s="18">
        <v>8</v>
      </c>
      <c r="J40" s="18">
        <v>8</v>
      </c>
      <c r="K40" s="18">
        <v>8</v>
      </c>
      <c r="L40" s="18">
        <v>8</v>
      </c>
      <c r="M40" s="18"/>
      <c r="N40" s="18"/>
      <c r="O40" s="18">
        <v>8</v>
      </c>
      <c r="P40" s="18">
        <v>8</v>
      </c>
      <c r="Q40" s="18">
        <v>8</v>
      </c>
      <c r="R40" s="18">
        <v>8</v>
      </c>
      <c r="S40" s="18">
        <v>8</v>
      </c>
      <c r="T40" s="18"/>
      <c r="U40" s="18"/>
      <c r="V40" s="18">
        <v>8</v>
      </c>
      <c r="W40" s="18">
        <v>8</v>
      </c>
      <c r="X40" s="18">
        <v>8</v>
      </c>
      <c r="Y40" s="18">
        <v>8</v>
      </c>
      <c r="Z40" s="18">
        <v>8</v>
      </c>
      <c r="AA40" s="18"/>
      <c r="AB40" s="18"/>
      <c r="AC40" s="18">
        <v>8</v>
      </c>
      <c r="AD40" s="18">
        <v>8</v>
      </c>
      <c r="AE40" s="18"/>
      <c r="AF40" s="18">
        <v>8</v>
      </c>
      <c r="AG40" s="18"/>
      <c r="AI40" s="23" t="s">
        <v>43</v>
      </c>
      <c r="AJ40" s="26">
        <f>COUNT(C41:AG41)</f>
        <v>21</v>
      </c>
    </row>
    <row r="41" spans="1:36" outlineLevel="1" x14ac:dyDescent="0.45">
      <c r="A41" s="23" t="s">
        <v>39</v>
      </c>
      <c r="C41" s="23">
        <v>8</v>
      </c>
      <c r="D41" s="23">
        <v>8</v>
      </c>
      <c r="E41" s="23">
        <v>8</v>
      </c>
      <c r="F41" s="23"/>
      <c r="G41" s="23"/>
      <c r="H41" s="23">
        <v>8</v>
      </c>
      <c r="I41" s="23">
        <v>8</v>
      </c>
      <c r="J41" s="23">
        <v>8</v>
      </c>
      <c r="K41" s="23">
        <v>8</v>
      </c>
      <c r="L41" s="23">
        <v>8</v>
      </c>
      <c r="M41" s="23"/>
      <c r="N41" s="23"/>
      <c r="O41" s="23">
        <v>8</v>
      </c>
      <c r="P41" s="23">
        <v>8</v>
      </c>
      <c r="Q41" s="23">
        <v>8</v>
      </c>
      <c r="R41" s="23">
        <v>8</v>
      </c>
      <c r="S41" s="23">
        <v>8</v>
      </c>
      <c r="T41" s="23"/>
      <c r="U41" s="23"/>
      <c r="V41" s="23">
        <v>8</v>
      </c>
      <c r="W41" s="23">
        <v>8</v>
      </c>
      <c r="X41" s="23">
        <v>8</v>
      </c>
      <c r="Y41" s="23">
        <v>8</v>
      </c>
      <c r="Z41" s="23">
        <v>8</v>
      </c>
      <c r="AA41" s="23"/>
      <c r="AB41" s="23"/>
      <c r="AC41" s="23">
        <v>8</v>
      </c>
      <c r="AD41" s="23">
        <v>8</v>
      </c>
      <c r="AE41" s="23"/>
      <c r="AF41" s="23">
        <v>8</v>
      </c>
      <c r="AG41" s="23"/>
      <c r="AI41" s="23" t="s">
        <v>44</v>
      </c>
      <c r="AJ41" s="24" t="str">
        <f>_xlfn.LET(_xlpm.v,SUM(C41:AG41),IF(_xlpm.v=INT(_xlpm.v),TEXT(_xlpm.v,"0")&amp;" h",TEXT(_xlpm.v,"0.###")&amp;" h"))</f>
        <v>168 h</v>
      </c>
    </row>
    <row r="42" spans="1:36" outlineLevel="1" x14ac:dyDescent="0.45">
      <c r="A42" s="23" t="s">
        <v>37</v>
      </c>
      <c r="C42" s="23" t="s">
        <v>22</v>
      </c>
      <c r="D42" s="23" t="s">
        <v>22</v>
      </c>
      <c r="E42" s="23" t="s">
        <v>22</v>
      </c>
      <c r="F42" s="23"/>
      <c r="G42" s="23"/>
      <c r="H42" s="23" t="s">
        <v>22</v>
      </c>
      <c r="I42" s="23" t="s">
        <v>22</v>
      </c>
      <c r="J42" s="23" t="s">
        <v>22</v>
      </c>
      <c r="K42" s="23" t="s">
        <v>22</v>
      </c>
      <c r="L42" s="23" t="s">
        <v>22</v>
      </c>
      <c r="M42" s="23"/>
      <c r="N42" s="23"/>
      <c r="O42" s="23" t="s">
        <v>22</v>
      </c>
      <c r="P42" s="23" t="s">
        <v>22</v>
      </c>
      <c r="Q42" s="23" t="s">
        <v>22</v>
      </c>
      <c r="R42" s="23" t="s">
        <v>22</v>
      </c>
      <c r="S42" s="23" t="s">
        <v>22</v>
      </c>
      <c r="T42" s="23"/>
      <c r="U42" s="23"/>
      <c r="V42" s="23" t="s">
        <v>22</v>
      </c>
      <c r="W42" s="23" t="s">
        <v>22</v>
      </c>
      <c r="X42" s="23" t="s">
        <v>22</v>
      </c>
      <c r="Y42" s="23" t="s">
        <v>22</v>
      </c>
      <c r="Z42" s="23" t="s">
        <v>22</v>
      </c>
      <c r="AA42" s="23"/>
      <c r="AB42" s="23"/>
      <c r="AC42" s="23" t="s">
        <v>22</v>
      </c>
      <c r="AD42" s="23" t="s">
        <v>22</v>
      </c>
      <c r="AE42" s="23"/>
      <c r="AF42" s="23" t="s">
        <v>22</v>
      </c>
      <c r="AG42" s="23"/>
      <c r="AI42" s="23" t="s">
        <v>45</v>
      </c>
      <c r="AJ42" s="26">
        <f>COUNTIF(C42:AG42,"出")</f>
        <v>0</v>
      </c>
    </row>
    <row r="43" spans="1:36" outlineLevel="1" x14ac:dyDescent="0.45">
      <c r="A43" s="23" t="s">
        <v>40</v>
      </c>
      <c r="C43" s="391"/>
      <c r="D43" s="391"/>
      <c r="E43" s="391"/>
      <c r="F43" s="391"/>
      <c r="G43" s="391"/>
      <c r="H43" s="391"/>
      <c r="I43" s="391"/>
      <c r="J43" s="391"/>
      <c r="K43" s="391"/>
      <c r="L43" s="391"/>
      <c r="M43" s="391"/>
      <c r="N43" s="391"/>
      <c r="O43" s="391"/>
      <c r="P43" s="391"/>
      <c r="Q43" s="391"/>
      <c r="S43" s="391"/>
      <c r="T43" s="391"/>
      <c r="U43" s="391"/>
      <c r="V43" s="391"/>
      <c r="W43" s="391"/>
      <c r="X43" s="391"/>
      <c r="Y43" s="391"/>
      <c r="Z43" s="391"/>
      <c r="AA43" s="391"/>
      <c r="AB43" s="391"/>
      <c r="AC43" s="391"/>
      <c r="AD43" s="391"/>
      <c r="AE43" s="391"/>
      <c r="AF43" s="391"/>
      <c r="AG43" s="391"/>
      <c r="AI43" s="23" t="s">
        <v>46</v>
      </c>
      <c r="AJ43" s="26">
        <f>COUNTIF(C42:AG42,"リ")</f>
        <v>21</v>
      </c>
    </row>
    <row r="44" spans="1:36" outlineLevel="1" x14ac:dyDescent="0.45">
      <c r="C44" s="391"/>
      <c r="D44" s="391"/>
      <c r="E44" s="391"/>
      <c r="F44" s="391"/>
      <c r="G44" s="391"/>
      <c r="H44" s="391"/>
      <c r="I44" s="391"/>
      <c r="J44" s="391"/>
      <c r="K44" s="391"/>
      <c r="L44" s="391"/>
      <c r="M44" s="391"/>
      <c r="N44" s="391"/>
      <c r="O44" s="391"/>
      <c r="P44" s="391"/>
      <c r="Q44" s="391"/>
      <c r="S44" s="391"/>
      <c r="T44" s="391"/>
      <c r="U44" s="391"/>
      <c r="V44" s="391"/>
      <c r="W44" s="391"/>
      <c r="X44" s="391"/>
      <c r="Y44" s="391"/>
      <c r="Z44" s="391"/>
      <c r="AA44" s="391"/>
      <c r="AB44" s="391"/>
      <c r="AC44" s="391"/>
      <c r="AD44" s="391"/>
      <c r="AE44" s="391"/>
      <c r="AF44" s="391"/>
      <c r="AG44" s="391"/>
      <c r="AI44" s="23" t="s">
        <v>25</v>
      </c>
      <c r="AJ44" s="27">
        <f>AJ42/(AJ42+AJ43)</f>
        <v>0</v>
      </c>
    </row>
    <row r="45" spans="1:36" outlineLevel="1" x14ac:dyDescent="0.45">
      <c r="C45" s="391"/>
      <c r="D45" s="391"/>
      <c r="E45" s="391"/>
      <c r="F45" s="391"/>
      <c r="G45" s="391"/>
      <c r="H45" s="391"/>
      <c r="I45" s="391"/>
      <c r="J45" s="391"/>
      <c r="K45" s="391"/>
      <c r="L45" s="391"/>
      <c r="M45" s="391"/>
      <c r="N45" s="391"/>
      <c r="O45" s="391"/>
      <c r="P45" s="391"/>
      <c r="Q45" s="391"/>
      <c r="S45" s="391"/>
      <c r="T45" s="391"/>
      <c r="U45" s="391"/>
      <c r="V45" s="391"/>
      <c r="W45" s="391"/>
      <c r="X45" s="391"/>
      <c r="Y45" s="391"/>
      <c r="Z45" s="391"/>
      <c r="AA45" s="391"/>
      <c r="AB45" s="391"/>
      <c r="AC45" s="391"/>
      <c r="AD45" s="391"/>
      <c r="AE45" s="391"/>
      <c r="AF45" s="391"/>
      <c r="AG45" s="391"/>
    </row>
    <row r="46" spans="1:36" outlineLevel="1" x14ac:dyDescent="0.45"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M46" s="391"/>
      <c r="N46" s="391"/>
      <c r="O46" s="391"/>
      <c r="P46" s="391"/>
      <c r="Q46" s="391"/>
      <c r="S46" s="391"/>
      <c r="T46" s="391"/>
      <c r="U46" s="391"/>
      <c r="V46" s="391"/>
      <c r="W46" s="391"/>
      <c r="X46" s="391"/>
      <c r="Y46" s="391"/>
      <c r="Z46" s="391"/>
      <c r="AA46" s="391"/>
      <c r="AB46" s="391"/>
      <c r="AC46" s="391"/>
      <c r="AD46" s="391"/>
      <c r="AE46" s="391"/>
      <c r="AF46" s="391"/>
      <c r="AG46" s="391"/>
    </row>
    <row r="47" spans="1:36" outlineLevel="1" x14ac:dyDescent="0.45">
      <c r="C47" s="391"/>
      <c r="D47" s="391"/>
      <c r="E47" s="391"/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1"/>
      <c r="S47" s="391"/>
      <c r="T47" s="391"/>
      <c r="U47" s="391"/>
      <c r="V47" s="391"/>
      <c r="W47" s="391"/>
      <c r="X47" s="391"/>
      <c r="Y47" s="391"/>
      <c r="Z47" s="391"/>
      <c r="AA47" s="391"/>
      <c r="AB47" s="391"/>
      <c r="AC47" s="391"/>
      <c r="AD47" s="391"/>
      <c r="AE47" s="391"/>
      <c r="AF47" s="391"/>
      <c r="AG47" s="391"/>
    </row>
    <row r="48" spans="1:36" outlineLevel="1" x14ac:dyDescent="0.45"/>
    <row r="49" spans="1:36" x14ac:dyDescent="0.45">
      <c r="C49" s="385">
        <v>46143</v>
      </c>
      <c r="D49" s="375"/>
      <c r="E49" s="375"/>
      <c r="F49" s="375"/>
      <c r="G49" s="375"/>
      <c r="H49" s="375"/>
      <c r="I49" s="375"/>
      <c r="J49" s="375"/>
      <c r="K49" s="375"/>
      <c r="L49" s="375"/>
      <c r="M49" s="375"/>
      <c r="N49" s="375"/>
      <c r="O49" s="375"/>
      <c r="P49" s="375"/>
      <c r="Q49" s="375"/>
      <c r="R49" s="375"/>
      <c r="S49" s="375"/>
      <c r="T49" s="375"/>
      <c r="U49" s="375"/>
      <c r="V49" s="375"/>
      <c r="W49" s="375"/>
      <c r="X49" s="375"/>
      <c r="Y49" s="375"/>
      <c r="Z49" s="375"/>
      <c r="AA49" s="375"/>
      <c r="AB49" s="375"/>
      <c r="AC49" s="375"/>
      <c r="AD49" s="375"/>
      <c r="AE49" s="375"/>
      <c r="AF49" s="375"/>
      <c r="AG49" s="375"/>
    </row>
    <row r="50" spans="1:36" outlineLevel="1" x14ac:dyDescent="0.45">
      <c r="C50" s="23" t="str">
        <f t="shared" ref="C50:AG50" si="8">TEXT(C51,"aaa")</f>
        <v>金</v>
      </c>
      <c r="D50" s="23" t="str">
        <f t="shared" si="8"/>
        <v>土</v>
      </c>
      <c r="E50" s="23" t="str">
        <f t="shared" si="8"/>
        <v>日</v>
      </c>
      <c r="F50" s="23" t="str">
        <f t="shared" si="8"/>
        <v>月</v>
      </c>
      <c r="G50" s="23" t="str">
        <f t="shared" si="8"/>
        <v>火</v>
      </c>
      <c r="H50" s="23" t="str">
        <f t="shared" si="8"/>
        <v>水</v>
      </c>
      <c r="I50" s="23" t="str">
        <f t="shared" si="8"/>
        <v>木</v>
      </c>
      <c r="J50" s="23" t="str">
        <f t="shared" si="8"/>
        <v>金</v>
      </c>
      <c r="K50" s="23" t="str">
        <f t="shared" si="8"/>
        <v>土</v>
      </c>
      <c r="L50" s="23" t="str">
        <f t="shared" si="8"/>
        <v>日</v>
      </c>
      <c r="M50" s="23" t="str">
        <f t="shared" si="8"/>
        <v>月</v>
      </c>
      <c r="N50" s="23" t="str">
        <f t="shared" si="8"/>
        <v>火</v>
      </c>
      <c r="O50" s="23" t="str">
        <f t="shared" si="8"/>
        <v>水</v>
      </c>
      <c r="P50" s="23" t="str">
        <f t="shared" si="8"/>
        <v>木</v>
      </c>
      <c r="Q50" s="23" t="str">
        <f t="shared" si="8"/>
        <v>金</v>
      </c>
      <c r="R50" s="23" t="str">
        <f t="shared" si="8"/>
        <v>土</v>
      </c>
      <c r="S50" s="23" t="str">
        <f t="shared" si="8"/>
        <v>日</v>
      </c>
      <c r="T50" s="23" t="str">
        <f t="shared" si="8"/>
        <v>月</v>
      </c>
      <c r="U50" s="23" t="str">
        <f t="shared" si="8"/>
        <v>火</v>
      </c>
      <c r="V50" s="23" t="str">
        <f t="shared" si="8"/>
        <v>水</v>
      </c>
      <c r="W50" s="23" t="str">
        <f t="shared" si="8"/>
        <v>木</v>
      </c>
      <c r="X50" s="23" t="str">
        <f t="shared" si="8"/>
        <v>金</v>
      </c>
      <c r="Y50" s="23" t="str">
        <f t="shared" si="8"/>
        <v>土</v>
      </c>
      <c r="Z50" s="23" t="str">
        <f t="shared" si="8"/>
        <v>日</v>
      </c>
      <c r="AA50" s="23" t="str">
        <f t="shared" si="8"/>
        <v>月</v>
      </c>
      <c r="AB50" s="23" t="str">
        <f t="shared" si="8"/>
        <v>火</v>
      </c>
      <c r="AC50" s="23" t="str">
        <f t="shared" si="8"/>
        <v>水</v>
      </c>
      <c r="AD50" s="23" t="str">
        <f t="shared" si="8"/>
        <v>木</v>
      </c>
      <c r="AE50" s="23" t="str">
        <f t="shared" si="8"/>
        <v>金</v>
      </c>
      <c r="AF50" s="23" t="str">
        <f t="shared" si="8"/>
        <v>土</v>
      </c>
      <c r="AG50" s="23" t="str">
        <f t="shared" si="8"/>
        <v>日</v>
      </c>
      <c r="AI50" s="19" t="s">
        <v>41</v>
      </c>
      <c r="AJ50" s="21">
        <f>COUNT(C52:AG52)</f>
        <v>18</v>
      </c>
    </row>
    <row r="51" spans="1:36" outlineLevel="1" x14ac:dyDescent="0.45">
      <c r="C51" s="25">
        <f>C49</f>
        <v>46143</v>
      </c>
      <c r="D51" s="25">
        <f t="shared" ref="D51:AG51" si="9">IF(C51="","",IF(C51+1&lt;=EOMONTH($C49,0),C51+1,""))</f>
        <v>46144</v>
      </c>
      <c r="E51" s="25">
        <f t="shared" si="9"/>
        <v>46145</v>
      </c>
      <c r="F51" s="25">
        <f t="shared" si="9"/>
        <v>46146</v>
      </c>
      <c r="G51" s="25">
        <f t="shared" si="9"/>
        <v>46147</v>
      </c>
      <c r="H51" s="25">
        <f t="shared" si="9"/>
        <v>46148</v>
      </c>
      <c r="I51" s="25">
        <f t="shared" si="9"/>
        <v>46149</v>
      </c>
      <c r="J51" s="25">
        <f t="shared" si="9"/>
        <v>46150</v>
      </c>
      <c r="K51" s="25">
        <f t="shared" si="9"/>
        <v>46151</v>
      </c>
      <c r="L51" s="25">
        <f t="shared" si="9"/>
        <v>46152</v>
      </c>
      <c r="M51" s="25">
        <f t="shared" si="9"/>
        <v>46153</v>
      </c>
      <c r="N51" s="25">
        <f t="shared" si="9"/>
        <v>46154</v>
      </c>
      <c r="O51" s="25">
        <f t="shared" si="9"/>
        <v>46155</v>
      </c>
      <c r="P51" s="25">
        <f t="shared" si="9"/>
        <v>46156</v>
      </c>
      <c r="Q51" s="25">
        <f t="shared" si="9"/>
        <v>46157</v>
      </c>
      <c r="R51" s="25">
        <f t="shared" si="9"/>
        <v>46158</v>
      </c>
      <c r="S51" s="25">
        <f t="shared" si="9"/>
        <v>46159</v>
      </c>
      <c r="T51" s="25">
        <f t="shared" si="9"/>
        <v>46160</v>
      </c>
      <c r="U51" s="25">
        <f t="shared" si="9"/>
        <v>46161</v>
      </c>
      <c r="V51" s="25">
        <f t="shared" si="9"/>
        <v>46162</v>
      </c>
      <c r="W51" s="25">
        <f t="shared" si="9"/>
        <v>46163</v>
      </c>
      <c r="X51" s="25">
        <f t="shared" si="9"/>
        <v>46164</v>
      </c>
      <c r="Y51" s="25">
        <f t="shared" si="9"/>
        <v>46165</v>
      </c>
      <c r="Z51" s="25">
        <f t="shared" si="9"/>
        <v>46166</v>
      </c>
      <c r="AA51" s="25">
        <f t="shared" si="9"/>
        <v>46167</v>
      </c>
      <c r="AB51" s="25">
        <f t="shared" si="9"/>
        <v>46168</v>
      </c>
      <c r="AC51" s="25">
        <f t="shared" si="9"/>
        <v>46169</v>
      </c>
      <c r="AD51" s="25">
        <f t="shared" si="9"/>
        <v>46170</v>
      </c>
      <c r="AE51" s="25">
        <f t="shared" si="9"/>
        <v>46171</v>
      </c>
      <c r="AF51" s="25">
        <f t="shared" si="9"/>
        <v>46172</v>
      </c>
      <c r="AG51" s="25">
        <f t="shared" si="9"/>
        <v>46173</v>
      </c>
      <c r="AI51" s="19" t="s">
        <v>42</v>
      </c>
      <c r="AJ51" s="20" t="str">
        <f>_xlfn.LET(_xlpm.v,SUM(C52:AG52),IF(_xlpm.v=INT(_xlpm.v),TEXT(_xlpm.v,"0")&amp;" h",TEXT(_xlpm.v,"0.###")&amp;" h"))</f>
        <v>144 h</v>
      </c>
    </row>
    <row r="52" spans="1:36" outlineLevel="1" x14ac:dyDescent="0.45">
      <c r="A52" s="19" t="s">
        <v>38</v>
      </c>
      <c r="C52" s="18">
        <v>8</v>
      </c>
      <c r="D52" s="18"/>
      <c r="E52" s="18"/>
      <c r="F52" s="18"/>
      <c r="G52" s="18"/>
      <c r="H52" s="18"/>
      <c r="I52" s="18">
        <v>8</v>
      </c>
      <c r="J52" s="18">
        <v>8</v>
      </c>
      <c r="K52" s="18"/>
      <c r="L52" s="18"/>
      <c r="M52" s="18">
        <v>8</v>
      </c>
      <c r="N52" s="18">
        <v>8</v>
      </c>
      <c r="O52" s="18">
        <v>8</v>
      </c>
      <c r="P52" s="18">
        <v>8</v>
      </c>
      <c r="Q52" s="18">
        <v>8</v>
      </c>
      <c r="R52" s="18"/>
      <c r="S52" s="18"/>
      <c r="T52" s="18">
        <v>8</v>
      </c>
      <c r="U52" s="18">
        <v>8</v>
      </c>
      <c r="V52" s="18">
        <v>8</v>
      </c>
      <c r="W52" s="18">
        <v>8</v>
      </c>
      <c r="X52" s="18">
        <v>8</v>
      </c>
      <c r="Y52" s="18"/>
      <c r="Z52" s="18"/>
      <c r="AA52" s="18">
        <v>8</v>
      </c>
      <c r="AB52" s="18">
        <v>8</v>
      </c>
      <c r="AC52" s="18">
        <v>8</v>
      </c>
      <c r="AD52" s="18">
        <v>8</v>
      </c>
      <c r="AE52" s="18">
        <v>8</v>
      </c>
      <c r="AF52" s="18"/>
      <c r="AG52" s="18"/>
      <c r="AI52" s="23" t="s">
        <v>43</v>
      </c>
      <c r="AJ52" s="26">
        <f>COUNT(C53:AG53)</f>
        <v>18</v>
      </c>
    </row>
    <row r="53" spans="1:36" outlineLevel="1" x14ac:dyDescent="0.45">
      <c r="A53" s="23" t="s">
        <v>39</v>
      </c>
      <c r="C53" s="23">
        <v>8</v>
      </c>
      <c r="D53" s="23"/>
      <c r="E53" s="23"/>
      <c r="F53" s="23"/>
      <c r="G53" s="23"/>
      <c r="H53" s="23"/>
      <c r="I53" s="23">
        <v>8</v>
      </c>
      <c r="J53" s="23">
        <v>8</v>
      </c>
      <c r="K53" s="23"/>
      <c r="L53" s="23"/>
      <c r="M53" s="23">
        <v>8</v>
      </c>
      <c r="N53" s="23">
        <v>8</v>
      </c>
      <c r="O53" s="23">
        <v>8</v>
      </c>
      <c r="P53" s="23">
        <v>8</v>
      </c>
      <c r="Q53" s="23">
        <v>8</v>
      </c>
      <c r="R53" s="23"/>
      <c r="S53" s="23"/>
      <c r="T53" s="23">
        <v>8</v>
      </c>
      <c r="U53" s="23">
        <v>8</v>
      </c>
      <c r="V53" s="23">
        <v>8</v>
      </c>
      <c r="W53" s="23">
        <v>8</v>
      </c>
      <c r="X53" s="23">
        <v>8</v>
      </c>
      <c r="Y53" s="23"/>
      <c r="Z53" s="23"/>
      <c r="AA53" s="23">
        <v>8</v>
      </c>
      <c r="AB53" s="23">
        <v>8</v>
      </c>
      <c r="AC53" s="23">
        <v>8</v>
      </c>
      <c r="AD53" s="23">
        <v>8</v>
      </c>
      <c r="AE53" s="23">
        <v>8</v>
      </c>
      <c r="AF53" s="23"/>
      <c r="AG53" s="23"/>
      <c r="AI53" s="23" t="s">
        <v>44</v>
      </c>
      <c r="AJ53" s="24" t="str">
        <f>_xlfn.LET(_xlpm.v,SUM(C53:AG53),IF(_xlpm.v=INT(_xlpm.v),TEXT(_xlpm.v,"0")&amp;" h",TEXT(_xlpm.v,"0.###")&amp;" h"))</f>
        <v>144 h</v>
      </c>
    </row>
    <row r="54" spans="1:36" outlineLevel="1" x14ac:dyDescent="0.45">
      <c r="A54" s="23" t="s">
        <v>37</v>
      </c>
      <c r="C54" s="23" t="s">
        <v>22</v>
      </c>
      <c r="D54" s="23"/>
      <c r="E54" s="23"/>
      <c r="F54" s="23"/>
      <c r="G54" s="23"/>
      <c r="H54" s="23"/>
      <c r="I54" s="23" t="s">
        <v>22</v>
      </c>
      <c r="J54" s="23" t="s">
        <v>22</v>
      </c>
      <c r="K54" s="23"/>
      <c r="L54" s="23"/>
      <c r="M54" s="23" t="s">
        <v>22</v>
      </c>
      <c r="N54" s="23" t="s">
        <v>22</v>
      </c>
      <c r="O54" s="23" t="s">
        <v>22</v>
      </c>
      <c r="P54" s="23" t="s">
        <v>22</v>
      </c>
      <c r="Q54" s="23" t="s">
        <v>22</v>
      </c>
      <c r="R54" s="23"/>
      <c r="S54" s="23"/>
      <c r="T54" s="23" t="s">
        <v>22</v>
      </c>
      <c r="U54" s="23" t="s">
        <v>22</v>
      </c>
      <c r="V54" s="23" t="s">
        <v>22</v>
      </c>
      <c r="W54" s="23" t="s">
        <v>22</v>
      </c>
      <c r="X54" s="23" t="s">
        <v>22</v>
      </c>
      <c r="Y54" s="23"/>
      <c r="Z54" s="23"/>
      <c r="AA54" s="23" t="s">
        <v>22</v>
      </c>
      <c r="AB54" s="23" t="s">
        <v>22</v>
      </c>
      <c r="AC54" s="23" t="s">
        <v>22</v>
      </c>
      <c r="AD54" s="23" t="s">
        <v>22</v>
      </c>
      <c r="AE54" s="23" t="s">
        <v>22</v>
      </c>
      <c r="AF54" s="23"/>
      <c r="AG54" s="23"/>
      <c r="AI54" s="23" t="s">
        <v>45</v>
      </c>
      <c r="AJ54" s="26">
        <f>COUNTIF(C54:AG54,"出")</f>
        <v>0</v>
      </c>
    </row>
    <row r="55" spans="1:36" outlineLevel="1" x14ac:dyDescent="0.45">
      <c r="A55" s="23" t="s">
        <v>40</v>
      </c>
      <c r="C55" s="391"/>
      <c r="D55" s="391"/>
      <c r="E55" s="391"/>
      <c r="F55" s="391"/>
      <c r="G55" s="391"/>
      <c r="H55" s="391"/>
      <c r="I55" s="391"/>
      <c r="J55" s="391"/>
      <c r="K55" s="391"/>
      <c r="L55" s="391"/>
      <c r="M55" s="391"/>
      <c r="N55" s="391"/>
      <c r="O55" s="391"/>
      <c r="P55" s="391"/>
      <c r="Q55" s="391"/>
      <c r="S55" s="391"/>
      <c r="T55" s="391"/>
      <c r="U55" s="391"/>
      <c r="V55" s="391"/>
      <c r="W55" s="391"/>
      <c r="X55" s="391"/>
      <c r="Y55" s="391"/>
      <c r="Z55" s="391"/>
      <c r="AA55" s="391"/>
      <c r="AB55" s="391"/>
      <c r="AC55" s="391"/>
      <c r="AD55" s="391"/>
      <c r="AE55" s="391"/>
      <c r="AF55" s="391"/>
      <c r="AG55" s="391"/>
      <c r="AI55" s="23" t="s">
        <v>46</v>
      </c>
      <c r="AJ55" s="26">
        <f>COUNTIF(C54:AG54,"リ")</f>
        <v>18</v>
      </c>
    </row>
    <row r="56" spans="1:36" outlineLevel="1" x14ac:dyDescent="0.45">
      <c r="C56" s="391"/>
      <c r="D56" s="391"/>
      <c r="E56" s="391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1"/>
      <c r="S56" s="391"/>
      <c r="T56" s="391"/>
      <c r="U56" s="391"/>
      <c r="V56" s="391"/>
      <c r="W56" s="391"/>
      <c r="X56" s="391"/>
      <c r="Y56" s="391"/>
      <c r="Z56" s="391"/>
      <c r="AA56" s="391"/>
      <c r="AB56" s="391"/>
      <c r="AC56" s="391"/>
      <c r="AD56" s="391"/>
      <c r="AE56" s="391"/>
      <c r="AF56" s="391"/>
      <c r="AG56" s="391"/>
      <c r="AI56" s="23" t="s">
        <v>25</v>
      </c>
      <c r="AJ56" s="27">
        <f>AJ54/(AJ54+AJ55)</f>
        <v>0</v>
      </c>
    </row>
    <row r="57" spans="1:36" outlineLevel="1" x14ac:dyDescent="0.45">
      <c r="C57" s="391"/>
      <c r="D57" s="391"/>
      <c r="E57" s="391"/>
      <c r="F57" s="391"/>
      <c r="G57" s="391"/>
      <c r="H57" s="391"/>
      <c r="I57" s="391"/>
      <c r="J57" s="391"/>
      <c r="K57" s="391"/>
      <c r="L57" s="391"/>
      <c r="M57" s="391"/>
      <c r="N57" s="391"/>
      <c r="O57" s="391"/>
      <c r="P57" s="391"/>
      <c r="Q57" s="391"/>
      <c r="S57" s="391"/>
      <c r="T57" s="391"/>
      <c r="U57" s="391"/>
      <c r="V57" s="391"/>
      <c r="W57" s="391"/>
      <c r="X57" s="391"/>
      <c r="Y57" s="391"/>
      <c r="Z57" s="391"/>
      <c r="AA57" s="391"/>
      <c r="AB57" s="391"/>
      <c r="AC57" s="391"/>
      <c r="AD57" s="391"/>
      <c r="AE57" s="391"/>
      <c r="AF57" s="391"/>
      <c r="AG57" s="391"/>
    </row>
    <row r="58" spans="1:36" outlineLevel="1" x14ac:dyDescent="0.45">
      <c r="C58" s="391"/>
      <c r="D58" s="391"/>
      <c r="E58" s="391"/>
      <c r="F58" s="391"/>
      <c r="G58" s="391"/>
      <c r="H58" s="391"/>
      <c r="I58" s="391"/>
      <c r="J58" s="391"/>
      <c r="K58" s="391"/>
      <c r="L58" s="391"/>
      <c r="M58" s="391"/>
      <c r="N58" s="391"/>
      <c r="O58" s="391"/>
      <c r="P58" s="391"/>
      <c r="Q58" s="391"/>
      <c r="S58" s="391"/>
      <c r="T58" s="391"/>
      <c r="U58" s="391"/>
      <c r="V58" s="391"/>
      <c r="W58" s="391"/>
      <c r="X58" s="391"/>
      <c r="Y58" s="391"/>
      <c r="Z58" s="391"/>
      <c r="AA58" s="391"/>
      <c r="AB58" s="391"/>
      <c r="AC58" s="391"/>
      <c r="AD58" s="391"/>
      <c r="AE58" s="391"/>
      <c r="AF58" s="391"/>
      <c r="AG58" s="391"/>
    </row>
    <row r="59" spans="1:36" outlineLevel="1" x14ac:dyDescent="0.45">
      <c r="C59" s="391"/>
      <c r="D59" s="391"/>
      <c r="E59" s="391"/>
      <c r="F59" s="391"/>
      <c r="G59" s="391"/>
      <c r="H59" s="391"/>
      <c r="I59" s="391"/>
      <c r="J59" s="391"/>
      <c r="K59" s="391"/>
      <c r="L59" s="391"/>
      <c r="M59" s="391"/>
      <c r="N59" s="391"/>
      <c r="O59" s="391"/>
      <c r="P59" s="391"/>
      <c r="Q59" s="391"/>
      <c r="S59" s="391"/>
      <c r="T59" s="391"/>
      <c r="U59" s="391"/>
      <c r="V59" s="391"/>
      <c r="W59" s="391"/>
      <c r="X59" s="391"/>
      <c r="Y59" s="391"/>
      <c r="Z59" s="391"/>
      <c r="AA59" s="391"/>
      <c r="AB59" s="391"/>
      <c r="AC59" s="391"/>
      <c r="AD59" s="391"/>
      <c r="AE59" s="391"/>
      <c r="AF59" s="391"/>
      <c r="AG59" s="391"/>
    </row>
    <row r="60" spans="1:36" outlineLevel="1" x14ac:dyDescent="0.45"/>
    <row r="61" spans="1:36" x14ac:dyDescent="0.45">
      <c r="C61" s="385">
        <v>46174</v>
      </c>
      <c r="D61" s="375"/>
      <c r="E61" s="375"/>
      <c r="F61" s="375"/>
      <c r="G61" s="375"/>
      <c r="H61" s="375"/>
      <c r="I61" s="375"/>
      <c r="J61" s="375"/>
      <c r="K61" s="375"/>
      <c r="L61" s="375"/>
      <c r="M61" s="375"/>
      <c r="N61" s="375"/>
      <c r="O61" s="375"/>
      <c r="P61" s="375"/>
      <c r="Q61" s="375"/>
      <c r="R61" s="375"/>
      <c r="S61" s="375"/>
      <c r="T61" s="375"/>
      <c r="U61" s="375"/>
      <c r="V61" s="375"/>
      <c r="W61" s="375"/>
      <c r="X61" s="375"/>
      <c r="Y61" s="375"/>
      <c r="Z61" s="375"/>
      <c r="AA61" s="375"/>
      <c r="AB61" s="375"/>
      <c r="AC61" s="375"/>
      <c r="AD61" s="375"/>
      <c r="AE61" s="375"/>
      <c r="AF61" s="375"/>
      <c r="AG61" s="375"/>
    </row>
    <row r="62" spans="1:36" outlineLevel="1" x14ac:dyDescent="0.45">
      <c r="C62" s="23" t="str">
        <f t="shared" ref="C62:AG62" si="10">TEXT(C63,"aaa")</f>
        <v>月</v>
      </c>
      <c r="D62" s="23" t="str">
        <f t="shared" si="10"/>
        <v>火</v>
      </c>
      <c r="E62" s="23" t="str">
        <f t="shared" si="10"/>
        <v>水</v>
      </c>
      <c r="F62" s="23" t="str">
        <f t="shared" si="10"/>
        <v>木</v>
      </c>
      <c r="G62" s="23" t="str">
        <f t="shared" si="10"/>
        <v>金</v>
      </c>
      <c r="H62" s="23" t="str">
        <f t="shared" si="10"/>
        <v>土</v>
      </c>
      <c r="I62" s="23" t="str">
        <f t="shared" si="10"/>
        <v>日</v>
      </c>
      <c r="J62" s="23" t="str">
        <f t="shared" si="10"/>
        <v>月</v>
      </c>
      <c r="K62" s="23" t="str">
        <f t="shared" si="10"/>
        <v>火</v>
      </c>
      <c r="L62" s="23" t="str">
        <f t="shared" si="10"/>
        <v>水</v>
      </c>
      <c r="M62" s="23" t="str">
        <f t="shared" si="10"/>
        <v>木</v>
      </c>
      <c r="N62" s="23" t="str">
        <f t="shared" si="10"/>
        <v>金</v>
      </c>
      <c r="O62" s="23" t="str">
        <f t="shared" si="10"/>
        <v>土</v>
      </c>
      <c r="P62" s="23" t="str">
        <f t="shared" si="10"/>
        <v>日</v>
      </c>
      <c r="Q62" s="23" t="str">
        <f t="shared" si="10"/>
        <v>月</v>
      </c>
      <c r="R62" s="23" t="str">
        <f t="shared" si="10"/>
        <v>火</v>
      </c>
      <c r="S62" s="23" t="str">
        <f t="shared" si="10"/>
        <v>水</v>
      </c>
      <c r="T62" s="23" t="str">
        <f t="shared" si="10"/>
        <v>木</v>
      </c>
      <c r="U62" s="23" t="str">
        <f t="shared" si="10"/>
        <v>金</v>
      </c>
      <c r="V62" s="23" t="str">
        <f t="shared" si="10"/>
        <v>土</v>
      </c>
      <c r="W62" s="23" t="str">
        <f t="shared" si="10"/>
        <v>日</v>
      </c>
      <c r="X62" s="23" t="str">
        <f t="shared" si="10"/>
        <v>月</v>
      </c>
      <c r="Y62" s="23" t="str">
        <f t="shared" si="10"/>
        <v>火</v>
      </c>
      <c r="Z62" s="23" t="str">
        <f t="shared" si="10"/>
        <v>水</v>
      </c>
      <c r="AA62" s="23" t="str">
        <f t="shared" si="10"/>
        <v>木</v>
      </c>
      <c r="AB62" s="23" t="str">
        <f t="shared" si="10"/>
        <v>金</v>
      </c>
      <c r="AC62" s="23" t="str">
        <f t="shared" si="10"/>
        <v>土</v>
      </c>
      <c r="AD62" s="23" t="str">
        <f t="shared" si="10"/>
        <v>日</v>
      </c>
      <c r="AE62" s="23" t="str">
        <f t="shared" si="10"/>
        <v>月</v>
      </c>
      <c r="AF62" s="23" t="str">
        <f t="shared" si="10"/>
        <v>火</v>
      </c>
      <c r="AG62" s="23" t="str">
        <f t="shared" si="10"/>
        <v/>
      </c>
      <c r="AI62" s="19" t="s">
        <v>41</v>
      </c>
      <c r="AJ62" s="21">
        <f>COUNT(C64:AG64)</f>
        <v>22</v>
      </c>
    </row>
    <row r="63" spans="1:36" outlineLevel="1" x14ac:dyDescent="0.45">
      <c r="C63" s="25">
        <f>C61</f>
        <v>46174</v>
      </c>
      <c r="D63" s="25">
        <f t="shared" ref="D63:AG63" si="11">IF(C63="","",IF(C63+1&lt;=EOMONTH($C61,0),C63+1,""))</f>
        <v>46175</v>
      </c>
      <c r="E63" s="25">
        <f t="shared" si="11"/>
        <v>46176</v>
      </c>
      <c r="F63" s="25">
        <f t="shared" si="11"/>
        <v>46177</v>
      </c>
      <c r="G63" s="25">
        <f t="shared" si="11"/>
        <v>46178</v>
      </c>
      <c r="H63" s="25">
        <f t="shared" si="11"/>
        <v>46179</v>
      </c>
      <c r="I63" s="25">
        <f t="shared" si="11"/>
        <v>46180</v>
      </c>
      <c r="J63" s="25">
        <f t="shared" si="11"/>
        <v>46181</v>
      </c>
      <c r="K63" s="25">
        <f t="shared" si="11"/>
        <v>46182</v>
      </c>
      <c r="L63" s="25">
        <f t="shared" si="11"/>
        <v>46183</v>
      </c>
      <c r="M63" s="25">
        <f t="shared" si="11"/>
        <v>46184</v>
      </c>
      <c r="N63" s="25">
        <f t="shared" si="11"/>
        <v>46185</v>
      </c>
      <c r="O63" s="25">
        <f t="shared" si="11"/>
        <v>46186</v>
      </c>
      <c r="P63" s="25">
        <f t="shared" si="11"/>
        <v>46187</v>
      </c>
      <c r="Q63" s="25">
        <f t="shared" si="11"/>
        <v>46188</v>
      </c>
      <c r="R63" s="25">
        <f t="shared" si="11"/>
        <v>46189</v>
      </c>
      <c r="S63" s="25">
        <f t="shared" si="11"/>
        <v>46190</v>
      </c>
      <c r="T63" s="25">
        <f t="shared" si="11"/>
        <v>46191</v>
      </c>
      <c r="U63" s="25">
        <f t="shared" si="11"/>
        <v>46192</v>
      </c>
      <c r="V63" s="25">
        <f t="shared" si="11"/>
        <v>46193</v>
      </c>
      <c r="W63" s="25">
        <f t="shared" si="11"/>
        <v>46194</v>
      </c>
      <c r="X63" s="25">
        <f t="shared" si="11"/>
        <v>46195</v>
      </c>
      <c r="Y63" s="25">
        <f t="shared" si="11"/>
        <v>46196</v>
      </c>
      <c r="Z63" s="25">
        <f t="shared" si="11"/>
        <v>46197</v>
      </c>
      <c r="AA63" s="25">
        <f t="shared" si="11"/>
        <v>46198</v>
      </c>
      <c r="AB63" s="25">
        <f t="shared" si="11"/>
        <v>46199</v>
      </c>
      <c r="AC63" s="25">
        <f t="shared" si="11"/>
        <v>46200</v>
      </c>
      <c r="AD63" s="25">
        <f t="shared" si="11"/>
        <v>46201</v>
      </c>
      <c r="AE63" s="25">
        <f t="shared" si="11"/>
        <v>46202</v>
      </c>
      <c r="AF63" s="25">
        <f t="shared" si="11"/>
        <v>46203</v>
      </c>
      <c r="AG63" s="25" t="str">
        <f t="shared" si="11"/>
        <v/>
      </c>
      <c r="AI63" s="19" t="s">
        <v>42</v>
      </c>
      <c r="AJ63" s="20" t="str">
        <f>_xlfn.LET(_xlpm.v,SUM(C64:AG64),IF(_xlpm.v=INT(_xlpm.v),TEXT(_xlpm.v,"0")&amp;" h",TEXT(_xlpm.v,"0.###")&amp;" h"))</f>
        <v>176 h</v>
      </c>
    </row>
    <row r="64" spans="1:36" outlineLevel="1" x14ac:dyDescent="0.45">
      <c r="A64" s="19" t="s">
        <v>38</v>
      </c>
      <c r="C64" s="18">
        <v>8</v>
      </c>
      <c r="D64" s="18">
        <v>8</v>
      </c>
      <c r="E64" s="18">
        <v>8</v>
      </c>
      <c r="F64" s="18">
        <v>8</v>
      </c>
      <c r="G64" s="18">
        <v>8</v>
      </c>
      <c r="H64" s="18"/>
      <c r="I64" s="18"/>
      <c r="J64" s="18">
        <v>8</v>
      </c>
      <c r="K64" s="18">
        <v>8</v>
      </c>
      <c r="L64" s="18">
        <v>8</v>
      </c>
      <c r="M64" s="18">
        <v>8</v>
      </c>
      <c r="N64" s="18">
        <v>8</v>
      </c>
      <c r="O64" s="18"/>
      <c r="P64" s="18"/>
      <c r="Q64" s="18">
        <v>8</v>
      </c>
      <c r="R64" s="18">
        <v>8</v>
      </c>
      <c r="S64" s="18">
        <v>8</v>
      </c>
      <c r="T64" s="18">
        <v>8</v>
      </c>
      <c r="U64" s="18">
        <v>8</v>
      </c>
      <c r="V64" s="18"/>
      <c r="W64" s="18"/>
      <c r="X64" s="18">
        <v>8</v>
      </c>
      <c r="Y64" s="18">
        <v>8</v>
      </c>
      <c r="Z64" s="18">
        <v>8</v>
      </c>
      <c r="AA64" s="18">
        <v>8</v>
      </c>
      <c r="AB64" s="18">
        <v>8</v>
      </c>
      <c r="AC64" s="18"/>
      <c r="AD64" s="18"/>
      <c r="AE64" s="18">
        <v>8</v>
      </c>
      <c r="AF64" s="18">
        <v>8</v>
      </c>
      <c r="AG64" s="18"/>
      <c r="AI64" s="23" t="s">
        <v>43</v>
      </c>
      <c r="AJ64" s="26">
        <f>COUNT(C65:AG65)</f>
        <v>22</v>
      </c>
    </row>
    <row r="65" spans="1:36" outlineLevel="1" x14ac:dyDescent="0.45">
      <c r="A65" s="23" t="s">
        <v>39</v>
      </c>
      <c r="C65" s="23">
        <v>8</v>
      </c>
      <c r="D65" s="23">
        <v>8</v>
      </c>
      <c r="E65" s="23">
        <v>8</v>
      </c>
      <c r="F65" s="23">
        <v>8</v>
      </c>
      <c r="G65" s="23">
        <v>8</v>
      </c>
      <c r="H65" s="23"/>
      <c r="I65" s="23"/>
      <c r="J65" s="23">
        <v>8</v>
      </c>
      <c r="K65" s="23">
        <v>8</v>
      </c>
      <c r="L65" s="23">
        <v>8</v>
      </c>
      <c r="M65" s="23">
        <v>8</v>
      </c>
      <c r="N65" s="23">
        <v>8</v>
      </c>
      <c r="O65" s="23"/>
      <c r="P65" s="23"/>
      <c r="Q65" s="23">
        <v>8</v>
      </c>
      <c r="R65" s="23">
        <v>8</v>
      </c>
      <c r="S65" s="23">
        <v>8</v>
      </c>
      <c r="T65" s="23">
        <v>8</v>
      </c>
      <c r="U65" s="23">
        <v>8</v>
      </c>
      <c r="V65" s="23"/>
      <c r="W65" s="23"/>
      <c r="X65" s="23">
        <v>8</v>
      </c>
      <c r="Y65" s="23">
        <v>8</v>
      </c>
      <c r="Z65" s="23">
        <v>8</v>
      </c>
      <c r="AA65" s="23">
        <v>8</v>
      </c>
      <c r="AB65" s="23">
        <v>8</v>
      </c>
      <c r="AC65" s="23"/>
      <c r="AD65" s="23"/>
      <c r="AE65" s="23">
        <v>8</v>
      </c>
      <c r="AF65" s="23">
        <v>8</v>
      </c>
      <c r="AG65" s="23"/>
      <c r="AI65" s="23" t="s">
        <v>44</v>
      </c>
      <c r="AJ65" s="24" t="str">
        <f>_xlfn.LET(_xlpm.v,SUM(C65:AG65),IF(_xlpm.v=INT(_xlpm.v),TEXT(_xlpm.v,"0")&amp;" h",TEXT(_xlpm.v,"0.###")&amp;" h"))</f>
        <v>176 h</v>
      </c>
    </row>
    <row r="66" spans="1:36" outlineLevel="1" x14ac:dyDescent="0.45">
      <c r="A66" s="23" t="s">
        <v>37</v>
      </c>
      <c r="C66" s="23" t="s">
        <v>22</v>
      </c>
      <c r="D66" s="23" t="s">
        <v>22</v>
      </c>
      <c r="E66" s="23" t="s">
        <v>22</v>
      </c>
      <c r="F66" s="23" t="s">
        <v>22</v>
      </c>
      <c r="G66" s="23" t="s">
        <v>22</v>
      </c>
      <c r="H66" s="23"/>
      <c r="I66" s="23"/>
      <c r="J66" s="23" t="s">
        <v>22</v>
      </c>
      <c r="K66" s="23" t="s">
        <v>22</v>
      </c>
      <c r="L66" s="23" t="s">
        <v>22</v>
      </c>
      <c r="M66" s="23" t="s">
        <v>22</v>
      </c>
      <c r="N66" s="23" t="s">
        <v>22</v>
      </c>
      <c r="O66" s="23"/>
      <c r="P66" s="23"/>
      <c r="Q66" s="23" t="s">
        <v>22</v>
      </c>
      <c r="R66" s="23" t="s">
        <v>22</v>
      </c>
      <c r="S66" s="23" t="s">
        <v>22</v>
      </c>
      <c r="T66" s="23" t="s">
        <v>22</v>
      </c>
      <c r="U66" s="23" t="s">
        <v>22</v>
      </c>
      <c r="V66" s="23"/>
      <c r="W66" s="23"/>
      <c r="X66" s="23" t="s">
        <v>22</v>
      </c>
      <c r="Y66" s="23" t="s">
        <v>22</v>
      </c>
      <c r="Z66" s="23" t="s">
        <v>22</v>
      </c>
      <c r="AA66" s="23" t="s">
        <v>22</v>
      </c>
      <c r="AB66" s="23" t="s">
        <v>22</v>
      </c>
      <c r="AC66" s="23"/>
      <c r="AD66" s="23"/>
      <c r="AE66" s="23" t="s">
        <v>22</v>
      </c>
      <c r="AF66" s="23" t="s">
        <v>22</v>
      </c>
      <c r="AG66" s="23"/>
      <c r="AI66" s="23" t="s">
        <v>45</v>
      </c>
      <c r="AJ66" s="26">
        <f>COUNTIF(C66:AG66,"出")</f>
        <v>0</v>
      </c>
    </row>
    <row r="67" spans="1:36" outlineLevel="1" x14ac:dyDescent="0.45">
      <c r="A67" s="23" t="s">
        <v>40</v>
      </c>
      <c r="C67" s="391"/>
      <c r="D67" s="391"/>
      <c r="E67" s="391"/>
      <c r="F67" s="391"/>
      <c r="G67" s="391"/>
      <c r="H67" s="391"/>
      <c r="I67" s="391"/>
      <c r="J67" s="391"/>
      <c r="K67" s="391"/>
      <c r="L67" s="391"/>
      <c r="M67" s="391"/>
      <c r="N67" s="391"/>
      <c r="O67" s="391"/>
      <c r="P67" s="391"/>
      <c r="Q67" s="391"/>
      <c r="S67" s="391"/>
      <c r="T67" s="391"/>
      <c r="U67" s="391"/>
      <c r="V67" s="391"/>
      <c r="W67" s="391"/>
      <c r="X67" s="391"/>
      <c r="Y67" s="391"/>
      <c r="Z67" s="391"/>
      <c r="AA67" s="391"/>
      <c r="AB67" s="391"/>
      <c r="AC67" s="391"/>
      <c r="AD67" s="391"/>
      <c r="AE67" s="391"/>
      <c r="AF67" s="391"/>
      <c r="AG67" s="391"/>
      <c r="AI67" s="23" t="s">
        <v>46</v>
      </c>
      <c r="AJ67" s="26">
        <f>COUNTIF(C66:AG66,"リ")</f>
        <v>22</v>
      </c>
    </row>
    <row r="68" spans="1:36" outlineLevel="1" x14ac:dyDescent="0.45">
      <c r="C68" s="391"/>
      <c r="D68" s="391"/>
      <c r="E68" s="391"/>
      <c r="F68" s="391"/>
      <c r="G68" s="391"/>
      <c r="H68" s="391"/>
      <c r="I68" s="391"/>
      <c r="J68" s="391"/>
      <c r="K68" s="391"/>
      <c r="L68" s="391"/>
      <c r="M68" s="391"/>
      <c r="N68" s="391"/>
      <c r="O68" s="391"/>
      <c r="P68" s="391"/>
      <c r="Q68" s="391"/>
      <c r="S68" s="391"/>
      <c r="T68" s="391"/>
      <c r="U68" s="391"/>
      <c r="V68" s="391"/>
      <c r="W68" s="391"/>
      <c r="X68" s="391"/>
      <c r="Y68" s="391"/>
      <c r="Z68" s="391"/>
      <c r="AA68" s="391"/>
      <c r="AB68" s="391"/>
      <c r="AC68" s="391"/>
      <c r="AD68" s="391"/>
      <c r="AE68" s="391"/>
      <c r="AF68" s="391"/>
      <c r="AG68" s="391"/>
      <c r="AI68" s="23" t="s">
        <v>25</v>
      </c>
      <c r="AJ68" s="27">
        <f>AJ66/(AJ66+AJ67)</f>
        <v>0</v>
      </c>
    </row>
    <row r="69" spans="1:36" outlineLevel="1" x14ac:dyDescent="0.45">
      <c r="C69" s="391"/>
      <c r="D69" s="391"/>
      <c r="E69" s="391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1"/>
      <c r="S69" s="391"/>
      <c r="T69" s="391"/>
      <c r="U69" s="391"/>
      <c r="V69" s="391"/>
      <c r="W69" s="391"/>
      <c r="X69" s="391"/>
      <c r="Y69" s="391"/>
      <c r="Z69" s="391"/>
      <c r="AA69" s="391"/>
      <c r="AB69" s="391"/>
      <c r="AC69" s="391"/>
      <c r="AD69" s="391"/>
      <c r="AE69" s="391"/>
      <c r="AF69" s="391"/>
      <c r="AG69" s="391"/>
    </row>
    <row r="70" spans="1:36" outlineLevel="1" x14ac:dyDescent="0.45">
      <c r="C70" s="391"/>
      <c r="D70" s="391"/>
      <c r="E70" s="391"/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S70" s="391"/>
      <c r="T70" s="391"/>
      <c r="U70" s="391"/>
      <c r="V70" s="391"/>
      <c r="W70" s="391"/>
      <c r="X70" s="391"/>
      <c r="Y70" s="391"/>
      <c r="Z70" s="391"/>
      <c r="AA70" s="391"/>
      <c r="AB70" s="391"/>
      <c r="AC70" s="391"/>
      <c r="AD70" s="391"/>
      <c r="AE70" s="391"/>
      <c r="AF70" s="391"/>
      <c r="AG70" s="391"/>
    </row>
    <row r="71" spans="1:36" outlineLevel="1" x14ac:dyDescent="0.45">
      <c r="C71" s="391"/>
      <c r="D71" s="391"/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S71" s="391"/>
      <c r="T71" s="391"/>
      <c r="U71" s="391"/>
      <c r="V71" s="391"/>
      <c r="W71" s="391"/>
      <c r="X71" s="391"/>
      <c r="Y71" s="391"/>
      <c r="Z71" s="391"/>
      <c r="AA71" s="391"/>
      <c r="AB71" s="391"/>
      <c r="AC71" s="391"/>
      <c r="AD71" s="391"/>
      <c r="AE71" s="391"/>
      <c r="AF71" s="391"/>
      <c r="AG71" s="391"/>
    </row>
    <row r="72" spans="1:36" outlineLevel="1" x14ac:dyDescent="0.45"/>
    <row r="73" spans="1:36" x14ac:dyDescent="0.45">
      <c r="C73" s="385">
        <v>46204</v>
      </c>
      <c r="D73" s="375"/>
      <c r="E73" s="375"/>
      <c r="F73" s="375"/>
      <c r="G73" s="375"/>
      <c r="H73" s="375"/>
      <c r="I73" s="375"/>
      <c r="J73" s="375"/>
      <c r="K73" s="375"/>
      <c r="L73" s="375"/>
      <c r="M73" s="375"/>
      <c r="N73" s="375"/>
      <c r="O73" s="375"/>
      <c r="P73" s="375"/>
      <c r="Q73" s="375"/>
      <c r="R73" s="375"/>
      <c r="S73" s="375"/>
      <c r="T73" s="375"/>
      <c r="U73" s="375"/>
      <c r="V73" s="375"/>
      <c r="W73" s="375"/>
      <c r="X73" s="375"/>
      <c r="Y73" s="375"/>
      <c r="Z73" s="375"/>
      <c r="AA73" s="375"/>
      <c r="AB73" s="375"/>
      <c r="AC73" s="375"/>
      <c r="AD73" s="375"/>
      <c r="AE73" s="375"/>
      <c r="AF73" s="375"/>
      <c r="AG73" s="375"/>
    </row>
    <row r="74" spans="1:36" outlineLevel="1" x14ac:dyDescent="0.45">
      <c r="C74" s="23" t="str">
        <f t="shared" ref="C74:AG74" si="12">TEXT(C75,"aaa")</f>
        <v>水</v>
      </c>
      <c r="D74" s="23" t="str">
        <f t="shared" si="12"/>
        <v>木</v>
      </c>
      <c r="E74" s="23" t="str">
        <f t="shared" si="12"/>
        <v>金</v>
      </c>
      <c r="F74" s="23" t="str">
        <f t="shared" si="12"/>
        <v>土</v>
      </c>
      <c r="G74" s="23" t="str">
        <f t="shared" si="12"/>
        <v>日</v>
      </c>
      <c r="H74" s="23" t="str">
        <f t="shared" si="12"/>
        <v>月</v>
      </c>
      <c r="I74" s="23" t="str">
        <f t="shared" si="12"/>
        <v>火</v>
      </c>
      <c r="J74" s="23" t="str">
        <f t="shared" si="12"/>
        <v>水</v>
      </c>
      <c r="K74" s="23" t="str">
        <f t="shared" si="12"/>
        <v>木</v>
      </c>
      <c r="L74" s="23" t="str">
        <f t="shared" si="12"/>
        <v>金</v>
      </c>
      <c r="M74" s="23" t="str">
        <f t="shared" si="12"/>
        <v>土</v>
      </c>
      <c r="N74" s="23" t="str">
        <f t="shared" si="12"/>
        <v>日</v>
      </c>
      <c r="O74" s="23" t="str">
        <f t="shared" si="12"/>
        <v>月</v>
      </c>
      <c r="P74" s="23" t="str">
        <f t="shared" si="12"/>
        <v>火</v>
      </c>
      <c r="Q74" s="23" t="str">
        <f t="shared" si="12"/>
        <v>水</v>
      </c>
      <c r="R74" s="23" t="str">
        <f t="shared" si="12"/>
        <v>木</v>
      </c>
      <c r="S74" s="23" t="str">
        <f t="shared" si="12"/>
        <v>金</v>
      </c>
      <c r="T74" s="23" t="str">
        <f t="shared" si="12"/>
        <v>土</v>
      </c>
      <c r="U74" s="23" t="str">
        <f t="shared" si="12"/>
        <v>日</v>
      </c>
      <c r="V74" s="23" t="str">
        <f t="shared" si="12"/>
        <v>月</v>
      </c>
      <c r="W74" s="23" t="str">
        <f t="shared" si="12"/>
        <v>火</v>
      </c>
      <c r="X74" s="23" t="str">
        <f t="shared" si="12"/>
        <v>水</v>
      </c>
      <c r="Y74" s="23" t="str">
        <f t="shared" si="12"/>
        <v>木</v>
      </c>
      <c r="Z74" s="23" t="str">
        <f t="shared" si="12"/>
        <v>金</v>
      </c>
      <c r="AA74" s="23" t="str">
        <f t="shared" si="12"/>
        <v>土</v>
      </c>
      <c r="AB74" s="23" t="str">
        <f t="shared" si="12"/>
        <v>日</v>
      </c>
      <c r="AC74" s="23" t="str">
        <f t="shared" si="12"/>
        <v>月</v>
      </c>
      <c r="AD74" s="23" t="str">
        <f t="shared" si="12"/>
        <v>火</v>
      </c>
      <c r="AE74" s="23" t="str">
        <f t="shared" si="12"/>
        <v>水</v>
      </c>
      <c r="AF74" s="23" t="str">
        <f t="shared" si="12"/>
        <v>木</v>
      </c>
      <c r="AG74" s="23" t="str">
        <f t="shared" si="12"/>
        <v>金</v>
      </c>
      <c r="AI74" s="19" t="s">
        <v>41</v>
      </c>
      <c r="AJ74" s="21">
        <f>COUNT(C76:AG76)</f>
        <v>22</v>
      </c>
    </row>
    <row r="75" spans="1:36" outlineLevel="1" x14ac:dyDescent="0.45">
      <c r="C75" s="25">
        <f>C73</f>
        <v>46204</v>
      </c>
      <c r="D75" s="25">
        <f t="shared" ref="D75:AG75" si="13">IF(C75="","",IF(C75+1&lt;=EOMONTH($C73,0),C75+1,""))</f>
        <v>46205</v>
      </c>
      <c r="E75" s="25">
        <f t="shared" si="13"/>
        <v>46206</v>
      </c>
      <c r="F75" s="25">
        <f t="shared" si="13"/>
        <v>46207</v>
      </c>
      <c r="G75" s="25">
        <f t="shared" si="13"/>
        <v>46208</v>
      </c>
      <c r="H75" s="25">
        <f t="shared" si="13"/>
        <v>46209</v>
      </c>
      <c r="I75" s="25">
        <f t="shared" si="13"/>
        <v>46210</v>
      </c>
      <c r="J75" s="25">
        <f t="shared" si="13"/>
        <v>46211</v>
      </c>
      <c r="K75" s="25">
        <f t="shared" si="13"/>
        <v>46212</v>
      </c>
      <c r="L75" s="25">
        <f t="shared" si="13"/>
        <v>46213</v>
      </c>
      <c r="M75" s="25">
        <f t="shared" si="13"/>
        <v>46214</v>
      </c>
      <c r="N75" s="25">
        <f t="shared" si="13"/>
        <v>46215</v>
      </c>
      <c r="O75" s="25">
        <f t="shared" si="13"/>
        <v>46216</v>
      </c>
      <c r="P75" s="25">
        <f t="shared" si="13"/>
        <v>46217</v>
      </c>
      <c r="Q75" s="25">
        <f t="shared" si="13"/>
        <v>46218</v>
      </c>
      <c r="R75" s="25">
        <f t="shared" si="13"/>
        <v>46219</v>
      </c>
      <c r="S75" s="25">
        <f t="shared" si="13"/>
        <v>46220</v>
      </c>
      <c r="T75" s="25">
        <f t="shared" si="13"/>
        <v>46221</v>
      </c>
      <c r="U75" s="25">
        <f t="shared" si="13"/>
        <v>46222</v>
      </c>
      <c r="V75" s="25">
        <f t="shared" si="13"/>
        <v>46223</v>
      </c>
      <c r="W75" s="25">
        <f t="shared" si="13"/>
        <v>46224</v>
      </c>
      <c r="X75" s="25">
        <f t="shared" si="13"/>
        <v>46225</v>
      </c>
      <c r="Y75" s="25">
        <f t="shared" si="13"/>
        <v>46226</v>
      </c>
      <c r="Z75" s="25">
        <f t="shared" si="13"/>
        <v>46227</v>
      </c>
      <c r="AA75" s="25">
        <f t="shared" si="13"/>
        <v>46228</v>
      </c>
      <c r="AB75" s="25">
        <f t="shared" si="13"/>
        <v>46229</v>
      </c>
      <c r="AC75" s="25">
        <f t="shared" si="13"/>
        <v>46230</v>
      </c>
      <c r="AD75" s="25">
        <f t="shared" si="13"/>
        <v>46231</v>
      </c>
      <c r="AE75" s="25">
        <f t="shared" si="13"/>
        <v>46232</v>
      </c>
      <c r="AF75" s="25">
        <f t="shared" si="13"/>
        <v>46233</v>
      </c>
      <c r="AG75" s="25">
        <f t="shared" si="13"/>
        <v>46234</v>
      </c>
      <c r="AI75" s="19" t="s">
        <v>42</v>
      </c>
      <c r="AJ75" s="20" t="str">
        <f>_xlfn.LET(_xlpm.v,SUM(C76:AG76),IF(_xlpm.v=INT(_xlpm.v),TEXT(_xlpm.v,"0")&amp;" h",TEXT(_xlpm.v,"0.###")&amp;" h"))</f>
        <v>176 h</v>
      </c>
    </row>
    <row r="76" spans="1:36" outlineLevel="1" x14ac:dyDescent="0.45">
      <c r="A76" s="19" t="s">
        <v>38</v>
      </c>
      <c r="C76" s="18">
        <v>8</v>
      </c>
      <c r="D76" s="18">
        <v>8</v>
      </c>
      <c r="E76" s="18">
        <v>8</v>
      </c>
      <c r="F76" s="18"/>
      <c r="G76" s="18"/>
      <c r="H76" s="18">
        <v>8</v>
      </c>
      <c r="I76" s="18">
        <v>8</v>
      </c>
      <c r="J76" s="18">
        <v>8</v>
      </c>
      <c r="K76" s="18">
        <v>8</v>
      </c>
      <c r="L76" s="18">
        <v>8</v>
      </c>
      <c r="M76" s="18"/>
      <c r="N76" s="18"/>
      <c r="O76" s="18">
        <v>8</v>
      </c>
      <c r="P76" s="18">
        <v>8</v>
      </c>
      <c r="Q76" s="18">
        <v>8</v>
      </c>
      <c r="R76" s="18">
        <v>8</v>
      </c>
      <c r="S76" s="18">
        <v>8</v>
      </c>
      <c r="T76" s="18"/>
      <c r="U76" s="18"/>
      <c r="V76" s="18"/>
      <c r="W76" s="18">
        <v>8</v>
      </c>
      <c r="X76" s="18">
        <v>8</v>
      </c>
      <c r="Y76" s="18">
        <v>8</v>
      </c>
      <c r="Z76" s="18">
        <v>8</v>
      </c>
      <c r="AA76" s="18"/>
      <c r="AB76" s="18"/>
      <c r="AC76" s="18">
        <v>8</v>
      </c>
      <c r="AD76" s="18">
        <v>8</v>
      </c>
      <c r="AE76" s="18">
        <v>8</v>
      </c>
      <c r="AF76" s="18">
        <v>8</v>
      </c>
      <c r="AG76" s="18">
        <v>8</v>
      </c>
      <c r="AI76" s="23" t="s">
        <v>43</v>
      </c>
      <c r="AJ76" s="26">
        <f>COUNT(C77:AG77)</f>
        <v>22</v>
      </c>
    </row>
    <row r="77" spans="1:36" outlineLevel="1" x14ac:dyDescent="0.45">
      <c r="A77" s="23" t="s">
        <v>39</v>
      </c>
      <c r="C77" s="23">
        <v>8</v>
      </c>
      <c r="D77" s="23">
        <v>8</v>
      </c>
      <c r="E77" s="23">
        <v>8</v>
      </c>
      <c r="F77" s="23"/>
      <c r="G77" s="23"/>
      <c r="H77" s="23">
        <v>8</v>
      </c>
      <c r="I77" s="23">
        <v>8</v>
      </c>
      <c r="J77" s="23">
        <v>8</v>
      </c>
      <c r="K77" s="23">
        <v>8</v>
      </c>
      <c r="L77" s="23">
        <v>8</v>
      </c>
      <c r="M77" s="23"/>
      <c r="N77" s="23"/>
      <c r="O77" s="23">
        <v>8</v>
      </c>
      <c r="P77" s="23">
        <v>8</v>
      </c>
      <c r="Q77" s="23">
        <v>8</v>
      </c>
      <c r="R77" s="23">
        <v>8</v>
      </c>
      <c r="S77" s="23">
        <v>8</v>
      </c>
      <c r="T77" s="23"/>
      <c r="U77" s="23"/>
      <c r="V77" s="23"/>
      <c r="W77" s="23">
        <v>8</v>
      </c>
      <c r="X77" s="23">
        <v>8</v>
      </c>
      <c r="Y77" s="23">
        <v>8</v>
      </c>
      <c r="Z77" s="23">
        <v>8</v>
      </c>
      <c r="AA77" s="23"/>
      <c r="AB77" s="23"/>
      <c r="AC77" s="23">
        <v>8</v>
      </c>
      <c r="AD77" s="23">
        <v>8</v>
      </c>
      <c r="AE77" s="23">
        <v>8</v>
      </c>
      <c r="AF77" s="23">
        <v>8</v>
      </c>
      <c r="AG77" s="23">
        <v>8</v>
      </c>
      <c r="AI77" s="23" t="s">
        <v>44</v>
      </c>
      <c r="AJ77" s="24" t="str">
        <f>_xlfn.LET(_xlpm.v,SUM(C77:AG77),IF(_xlpm.v=INT(_xlpm.v),TEXT(_xlpm.v,"0")&amp;" h",TEXT(_xlpm.v,"0.###")&amp;" h"))</f>
        <v>176 h</v>
      </c>
    </row>
    <row r="78" spans="1:36" outlineLevel="1" x14ac:dyDescent="0.45">
      <c r="A78" s="23" t="s">
        <v>37</v>
      </c>
      <c r="C78" s="23" t="s">
        <v>22</v>
      </c>
      <c r="D78" s="23" t="s">
        <v>22</v>
      </c>
      <c r="E78" s="23" t="s">
        <v>22</v>
      </c>
      <c r="F78" s="23"/>
      <c r="G78" s="23"/>
      <c r="H78" s="23" t="s">
        <v>22</v>
      </c>
      <c r="I78" s="23" t="s">
        <v>22</v>
      </c>
      <c r="J78" s="23" t="s">
        <v>22</v>
      </c>
      <c r="K78" s="23" t="s">
        <v>22</v>
      </c>
      <c r="L78" s="23" t="s">
        <v>22</v>
      </c>
      <c r="M78" s="23"/>
      <c r="N78" s="23"/>
      <c r="O78" s="23" t="s">
        <v>22</v>
      </c>
      <c r="P78" s="23" t="s">
        <v>22</v>
      </c>
      <c r="Q78" s="23" t="s">
        <v>22</v>
      </c>
      <c r="R78" s="23" t="s">
        <v>22</v>
      </c>
      <c r="S78" s="23" t="s">
        <v>22</v>
      </c>
      <c r="T78" s="23"/>
      <c r="U78" s="23"/>
      <c r="V78" s="23"/>
      <c r="W78" s="23" t="s">
        <v>22</v>
      </c>
      <c r="X78" s="23" t="s">
        <v>22</v>
      </c>
      <c r="Y78" s="23" t="s">
        <v>22</v>
      </c>
      <c r="Z78" s="23" t="s">
        <v>22</v>
      </c>
      <c r="AA78" s="23"/>
      <c r="AB78" s="23"/>
      <c r="AC78" s="23" t="s">
        <v>22</v>
      </c>
      <c r="AD78" s="23" t="s">
        <v>22</v>
      </c>
      <c r="AE78" s="23" t="s">
        <v>22</v>
      </c>
      <c r="AF78" s="23" t="s">
        <v>22</v>
      </c>
      <c r="AG78" s="23" t="s">
        <v>22</v>
      </c>
      <c r="AI78" s="23" t="s">
        <v>45</v>
      </c>
      <c r="AJ78" s="26">
        <f>COUNTIF(C78:AG78,"出")</f>
        <v>0</v>
      </c>
    </row>
    <row r="79" spans="1:36" outlineLevel="1" x14ac:dyDescent="0.45">
      <c r="A79" s="23" t="s">
        <v>40</v>
      </c>
      <c r="C79" s="391"/>
      <c r="D79" s="391"/>
      <c r="E79" s="391"/>
      <c r="F79" s="391"/>
      <c r="G79" s="391"/>
      <c r="H79" s="391"/>
      <c r="I79" s="391"/>
      <c r="J79" s="391"/>
      <c r="K79" s="391"/>
      <c r="L79" s="391"/>
      <c r="M79" s="391"/>
      <c r="N79" s="391"/>
      <c r="O79" s="391"/>
      <c r="P79" s="391"/>
      <c r="Q79" s="391"/>
      <c r="S79" s="391"/>
      <c r="T79" s="391"/>
      <c r="U79" s="391"/>
      <c r="V79" s="391"/>
      <c r="W79" s="391"/>
      <c r="X79" s="391"/>
      <c r="Y79" s="391"/>
      <c r="Z79" s="391"/>
      <c r="AA79" s="391"/>
      <c r="AB79" s="391"/>
      <c r="AC79" s="391"/>
      <c r="AD79" s="391"/>
      <c r="AE79" s="391"/>
      <c r="AF79" s="391"/>
      <c r="AG79" s="391"/>
      <c r="AI79" s="23" t="s">
        <v>46</v>
      </c>
      <c r="AJ79" s="26">
        <f>COUNTIF(C78:AG78,"リ")</f>
        <v>22</v>
      </c>
    </row>
    <row r="80" spans="1:36" outlineLevel="1" x14ac:dyDescent="0.45">
      <c r="C80" s="391"/>
      <c r="D80" s="391"/>
      <c r="E80" s="391"/>
      <c r="F80" s="391"/>
      <c r="G80" s="391"/>
      <c r="H80" s="391"/>
      <c r="I80" s="391"/>
      <c r="J80" s="391"/>
      <c r="K80" s="391"/>
      <c r="L80" s="391"/>
      <c r="M80" s="391"/>
      <c r="N80" s="391"/>
      <c r="O80" s="391"/>
      <c r="P80" s="391"/>
      <c r="Q80" s="391"/>
      <c r="S80" s="391"/>
      <c r="T80" s="391"/>
      <c r="U80" s="391"/>
      <c r="V80" s="391"/>
      <c r="W80" s="391"/>
      <c r="X80" s="391"/>
      <c r="Y80" s="391"/>
      <c r="Z80" s="391"/>
      <c r="AA80" s="391"/>
      <c r="AB80" s="391"/>
      <c r="AC80" s="391"/>
      <c r="AD80" s="391"/>
      <c r="AE80" s="391"/>
      <c r="AF80" s="391"/>
      <c r="AG80" s="391"/>
      <c r="AI80" s="23" t="s">
        <v>25</v>
      </c>
      <c r="AJ80" s="27">
        <f>AJ78/(AJ78+AJ79)</f>
        <v>0</v>
      </c>
    </row>
    <row r="81" spans="1:36" outlineLevel="1" x14ac:dyDescent="0.45">
      <c r="C81" s="391"/>
      <c r="D81" s="391"/>
      <c r="E81" s="391"/>
      <c r="F81" s="391"/>
      <c r="G81" s="391"/>
      <c r="H81" s="391"/>
      <c r="I81" s="391"/>
      <c r="J81" s="391"/>
      <c r="K81" s="391"/>
      <c r="L81" s="391"/>
      <c r="M81" s="391"/>
      <c r="N81" s="391"/>
      <c r="O81" s="391"/>
      <c r="P81" s="391"/>
      <c r="Q81" s="391"/>
      <c r="S81" s="391"/>
      <c r="T81" s="391"/>
      <c r="U81" s="391"/>
      <c r="V81" s="391"/>
      <c r="W81" s="391"/>
      <c r="X81" s="391"/>
      <c r="Y81" s="391"/>
      <c r="Z81" s="391"/>
      <c r="AA81" s="391"/>
      <c r="AB81" s="391"/>
      <c r="AC81" s="391"/>
      <c r="AD81" s="391"/>
      <c r="AE81" s="391"/>
      <c r="AF81" s="391"/>
      <c r="AG81" s="391"/>
    </row>
    <row r="82" spans="1:36" outlineLevel="1" x14ac:dyDescent="0.45">
      <c r="C82" s="391"/>
      <c r="D82" s="391"/>
      <c r="E82" s="391"/>
      <c r="F82" s="391"/>
      <c r="G82" s="391"/>
      <c r="H82" s="391"/>
      <c r="I82" s="391"/>
      <c r="J82" s="391"/>
      <c r="K82" s="391"/>
      <c r="L82" s="391"/>
      <c r="M82" s="391"/>
      <c r="N82" s="391"/>
      <c r="O82" s="391"/>
      <c r="P82" s="391"/>
      <c r="Q82" s="391"/>
      <c r="S82" s="391"/>
      <c r="T82" s="391"/>
      <c r="U82" s="391"/>
      <c r="V82" s="391"/>
      <c r="W82" s="391"/>
      <c r="X82" s="391"/>
      <c r="Y82" s="391"/>
      <c r="Z82" s="391"/>
      <c r="AA82" s="391"/>
      <c r="AB82" s="391"/>
      <c r="AC82" s="391"/>
      <c r="AD82" s="391"/>
      <c r="AE82" s="391"/>
      <c r="AF82" s="391"/>
      <c r="AG82" s="391"/>
    </row>
    <row r="83" spans="1:36" outlineLevel="1" x14ac:dyDescent="0.45">
      <c r="C83" s="391"/>
      <c r="D83" s="391"/>
      <c r="E83" s="391"/>
      <c r="F83" s="391"/>
      <c r="G83" s="391"/>
      <c r="H83" s="391"/>
      <c r="I83" s="391"/>
      <c r="J83" s="391"/>
      <c r="K83" s="391"/>
      <c r="L83" s="391"/>
      <c r="M83" s="391"/>
      <c r="N83" s="391"/>
      <c r="O83" s="391"/>
      <c r="P83" s="391"/>
      <c r="Q83" s="391"/>
      <c r="S83" s="391"/>
      <c r="T83" s="391"/>
      <c r="U83" s="391"/>
      <c r="V83" s="391"/>
      <c r="W83" s="391"/>
      <c r="X83" s="391"/>
      <c r="Y83" s="391"/>
      <c r="Z83" s="391"/>
      <c r="AA83" s="391"/>
      <c r="AB83" s="391"/>
      <c r="AC83" s="391"/>
      <c r="AD83" s="391"/>
      <c r="AE83" s="391"/>
      <c r="AF83" s="391"/>
      <c r="AG83" s="391"/>
    </row>
    <row r="84" spans="1:36" outlineLevel="1" x14ac:dyDescent="0.45"/>
    <row r="85" spans="1:36" x14ac:dyDescent="0.45">
      <c r="C85" s="385">
        <v>46235</v>
      </c>
      <c r="D85" s="375"/>
      <c r="E85" s="375"/>
      <c r="F85" s="375"/>
      <c r="G85" s="375"/>
      <c r="H85" s="375"/>
      <c r="I85" s="375"/>
      <c r="J85" s="375"/>
      <c r="K85" s="375"/>
      <c r="L85" s="375"/>
      <c r="M85" s="375"/>
      <c r="N85" s="375"/>
      <c r="O85" s="375"/>
      <c r="P85" s="375"/>
      <c r="Q85" s="375"/>
      <c r="R85" s="375"/>
      <c r="S85" s="375"/>
      <c r="T85" s="375"/>
      <c r="U85" s="375"/>
      <c r="V85" s="375"/>
      <c r="W85" s="375"/>
      <c r="X85" s="375"/>
      <c r="Y85" s="375"/>
      <c r="Z85" s="375"/>
      <c r="AA85" s="375"/>
      <c r="AB85" s="375"/>
      <c r="AC85" s="375"/>
      <c r="AD85" s="375"/>
      <c r="AE85" s="375"/>
      <c r="AF85" s="375"/>
      <c r="AG85" s="375"/>
    </row>
    <row r="86" spans="1:36" outlineLevel="1" x14ac:dyDescent="0.45">
      <c r="C86" s="23" t="str">
        <f t="shared" ref="C86:AG86" si="14">TEXT(C87,"aaa")</f>
        <v>土</v>
      </c>
      <c r="D86" s="23" t="str">
        <f t="shared" si="14"/>
        <v>日</v>
      </c>
      <c r="E86" s="23" t="str">
        <f t="shared" si="14"/>
        <v>月</v>
      </c>
      <c r="F86" s="23" t="str">
        <f t="shared" si="14"/>
        <v>火</v>
      </c>
      <c r="G86" s="23" t="str">
        <f t="shared" si="14"/>
        <v>水</v>
      </c>
      <c r="H86" s="23" t="str">
        <f t="shared" si="14"/>
        <v>木</v>
      </c>
      <c r="I86" s="23" t="str">
        <f t="shared" si="14"/>
        <v>金</v>
      </c>
      <c r="J86" s="23" t="str">
        <f t="shared" si="14"/>
        <v>土</v>
      </c>
      <c r="K86" s="23" t="str">
        <f t="shared" si="14"/>
        <v>日</v>
      </c>
      <c r="L86" s="23" t="str">
        <f t="shared" si="14"/>
        <v>月</v>
      </c>
      <c r="M86" s="23" t="str">
        <f t="shared" si="14"/>
        <v>火</v>
      </c>
      <c r="N86" s="23" t="str">
        <f t="shared" si="14"/>
        <v>水</v>
      </c>
      <c r="O86" s="23" t="str">
        <f t="shared" si="14"/>
        <v>木</v>
      </c>
      <c r="P86" s="23" t="str">
        <f t="shared" si="14"/>
        <v>金</v>
      </c>
      <c r="Q86" s="23" t="str">
        <f t="shared" si="14"/>
        <v>土</v>
      </c>
      <c r="R86" s="23" t="str">
        <f t="shared" si="14"/>
        <v>日</v>
      </c>
      <c r="S86" s="23" t="str">
        <f t="shared" si="14"/>
        <v>月</v>
      </c>
      <c r="T86" s="23" t="str">
        <f t="shared" si="14"/>
        <v>火</v>
      </c>
      <c r="U86" s="23" t="str">
        <f t="shared" si="14"/>
        <v>水</v>
      </c>
      <c r="V86" s="23" t="str">
        <f t="shared" si="14"/>
        <v>木</v>
      </c>
      <c r="W86" s="23" t="str">
        <f t="shared" si="14"/>
        <v>金</v>
      </c>
      <c r="X86" s="23" t="str">
        <f t="shared" si="14"/>
        <v>土</v>
      </c>
      <c r="Y86" s="23" t="str">
        <f t="shared" si="14"/>
        <v>日</v>
      </c>
      <c r="Z86" s="23" t="str">
        <f t="shared" si="14"/>
        <v>月</v>
      </c>
      <c r="AA86" s="23" t="str">
        <f t="shared" si="14"/>
        <v>火</v>
      </c>
      <c r="AB86" s="23" t="str">
        <f t="shared" si="14"/>
        <v>水</v>
      </c>
      <c r="AC86" s="23" t="str">
        <f t="shared" si="14"/>
        <v>木</v>
      </c>
      <c r="AD86" s="23" t="str">
        <f t="shared" si="14"/>
        <v>金</v>
      </c>
      <c r="AE86" s="23" t="str">
        <f t="shared" si="14"/>
        <v>土</v>
      </c>
      <c r="AF86" s="23" t="str">
        <f t="shared" si="14"/>
        <v>日</v>
      </c>
      <c r="AG86" s="23" t="str">
        <f t="shared" si="14"/>
        <v>月</v>
      </c>
      <c r="AI86" s="19" t="s">
        <v>41</v>
      </c>
      <c r="AJ86" s="21">
        <f>COUNT(C88:AG88)</f>
        <v>20</v>
      </c>
    </row>
    <row r="87" spans="1:36" outlineLevel="1" x14ac:dyDescent="0.45">
      <c r="C87" s="25">
        <f>C85</f>
        <v>46235</v>
      </c>
      <c r="D87" s="25">
        <f t="shared" ref="D87:AG87" si="15">IF(C87="","",IF(C87+1&lt;=EOMONTH($C85,0),C87+1,""))</f>
        <v>46236</v>
      </c>
      <c r="E87" s="25">
        <f t="shared" si="15"/>
        <v>46237</v>
      </c>
      <c r="F87" s="25">
        <f t="shared" si="15"/>
        <v>46238</v>
      </c>
      <c r="G87" s="25">
        <f t="shared" si="15"/>
        <v>46239</v>
      </c>
      <c r="H87" s="25">
        <f t="shared" si="15"/>
        <v>46240</v>
      </c>
      <c r="I87" s="25">
        <f t="shared" si="15"/>
        <v>46241</v>
      </c>
      <c r="J87" s="25">
        <f t="shared" si="15"/>
        <v>46242</v>
      </c>
      <c r="K87" s="25">
        <f t="shared" si="15"/>
        <v>46243</v>
      </c>
      <c r="L87" s="25">
        <f t="shared" si="15"/>
        <v>46244</v>
      </c>
      <c r="M87" s="25">
        <f t="shared" si="15"/>
        <v>46245</v>
      </c>
      <c r="N87" s="25">
        <f t="shared" si="15"/>
        <v>46246</v>
      </c>
      <c r="O87" s="25">
        <f t="shared" si="15"/>
        <v>46247</v>
      </c>
      <c r="P87" s="25">
        <f t="shared" si="15"/>
        <v>46248</v>
      </c>
      <c r="Q87" s="25">
        <f t="shared" si="15"/>
        <v>46249</v>
      </c>
      <c r="R87" s="25">
        <f t="shared" si="15"/>
        <v>46250</v>
      </c>
      <c r="S87" s="25">
        <f t="shared" si="15"/>
        <v>46251</v>
      </c>
      <c r="T87" s="25">
        <f t="shared" si="15"/>
        <v>46252</v>
      </c>
      <c r="U87" s="25">
        <f t="shared" si="15"/>
        <v>46253</v>
      </c>
      <c r="V87" s="25">
        <f t="shared" si="15"/>
        <v>46254</v>
      </c>
      <c r="W87" s="25">
        <f t="shared" si="15"/>
        <v>46255</v>
      </c>
      <c r="X87" s="25">
        <f t="shared" si="15"/>
        <v>46256</v>
      </c>
      <c r="Y87" s="25">
        <f t="shared" si="15"/>
        <v>46257</v>
      </c>
      <c r="Z87" s="25">
        <f t="shared" si="15"/>
        <v>46258</v>
      </c>
      <c r="AA87" s="25">
        <f t="shared" si="15"/>
        <v>46259</v>
      </c>
      <c r="AB87" s="25">
        <f t="shared" si="15"/>
        <v>46260</v>
      </c>
      <c r="AC87" s="25">
        <f t="shared" si="15"/>
        <v>46261</v>
      </c>
      <c r="AD87" s="25">
        <f t="shared" si="15"/>
        <v>46262</v>
      </c>
      <c r="AE87" s="25">
        <f t="shared" si="15"/>
        <v>46263</v>
      </c>
      <c r="AF87" s="25">
        <f t="shared" si="15"/>
        <v>46264</v>
      </c>
      <c r="AG87" s="25">
        <f t="shared" si="15"/>
        <v>46265</v>
      </c>
      <c r="AI87" s="19" t="s">
        <v>42</v>
      </c>
      <c r="AJ87" s="20" t="str">
        <f>_xlfn.LET(_xlpm.v,SUM(C88:AG88),IF(_xlpm.v=INT(_xlpm.v),TEXT(_xlpm.v,"0")&amp;" h",TEXT(_xlpm.v,"0.###")&amp;" h"))</f>
        <v>160 h</v>
      </c>
    </row>
    <row r="88" spans="1:36" outlineLevel="1" x14ac:dyDescent="0.45">
      <c r="A88" s="19" t="s">
        <v>38</v>
      </c>
      <c r="C88" s="18"/>
      <c r="D88" s="18"/>
      <c r="E88" s="18">
        <v>8</v>
      </c>
      <c r="F88" s="18">
        <v>8</v>
      </c>
      <c r="G88" s="18">
        <v>8</v>
      </c>
      <c r="H88" s="18">
        <v>8</v>
      </c>
      <c r="I88" s="18">
        <v>8</v>
      </c>
      <c r="J88" s="18"/>
      <c r="K88" s="18"/>
      <c r="L88" s="18">
        <v>8</v>
      </c>
      <c r="M88" s="18"/>
      <c r="N88" s="18">
        <v>8</v>
      </c>
      <c r="O88" s="18">
        <v>8</v>
      </c>
      <c r="P88" s="18">
        <v>8</v>
      </c>
      <c r="Q88" s="18"/>
      <c r="R88" s="18"/>
      <c r="S88" s="18">
        <v>8</v>
      </c>
      <c r="T88" s="18">
        <v>8</v>
      </c>
      <c r="U88" s="18">
        <v>8</v>
      </c>
      <c r="V88" s="18">
        <v>8</v>
      </c>
      <c r="W88" s="18">
        <v>8</v>
      </c>
      <c r="X88" s="18"/>
      <c r="Y88" s="18"/>
      <c r="Z88" s="18">
        <v>8</v>
      </c>
      <c r="AA88" s="18">
        <v>8</v>
      </c>
      <c r="AB88" s="18">
        <v>8</v>
      </c>
      <c r="AC88" s="18">
        <v>8</v>
      </c>
      <c r="AD88" s="18">
        <v>8</v>
      </c>
      <c r="AE88" s="18"/>
      <c r="AF88" s="18"/>
      <c r="AG88" s="18">
        <v>8</v>
      </c>
      <c r="AI88" s="23" t="s">
        <v>43</v>
      </c>
      <c r="AJ88" s="26">
        <f>COUNT(C89:AG89)</f>
        <v>20</v>
      </c>
    </row>
    <row r="89" spans="1:36" outlineLevel="1" x14ac:dyDescent="0.45">
      <c r="A89" s="23" t="s">
        <v>39</v>
      </c>
      <c r="C89" s="23"/>
      <c r="D89" s="23"/>
      <c r="E89" s="23">
        <v>8</v>
      </c>
      <c r="F89" s="23">
        <v>8</v>
      </c>
      <c r="G89" s="23">
        <v>8</v>
      </c>
      <c r="H89" s="23">
        <v>8</v>
      </c>
      <c r="I89" s="23">
        <v>8</v>
      </c>
      <c r="J89" s="23"/>
      <c r="K89" s="23"/>
      <c r="L89" s="23">
        <v>8</v>
      </c>
      <c r="M89" s="23"/>
      <c r="N89" s="23">
        <v>8</v>
      </c>
      <c r="O89" s="23">
        <v>8</v>
      </c>
      <c r="P89" s="23">
        <v>8</v>
      </c>
      <c r="Q89" s="23"/>
      <c r="R89" s="23"/>
      <c r="S89" s="23">
        <v>8</v>
      </c>
      <c r="T89" s="23">
        <v>8</v>
      </c>
      <c r="U89" s="23">
        <v>8</v>
      </c>
      <c r="V89" s="23">
        <v>8</v>
      </c>
      <c r="W89" s="23">
        <v>8</v>
      </c>
      <c r="X89" s="23"/>
      <c r="Y89" s="23"/>
      <c r="Z89" s="23">
        <v>8</v>
      </c>
      <c r="AA89" s="23">
        <v>8</v>
      </c>
      <c r="AB89" s="23">
        <v>8</v>
      </c>
      <c r="AC89" s="23">
        <v>8</v>
      </c>
      <c r="AD89" s="23">
        <v>8</v>
      </c>
      <c r="AE89" s="23"/>
      <c r="AF89" s="23"/>
      <c r="AG89" s="23">
        <v>8</v>
      </c>
      <c r="AI89" s="23" t="s">
        <v>44</v>
      </c>
      <c r="AJ89" s="24" t="str">
        <f>_xlfn.LET(_xlpm.v,SUM(C89:AG89),IF(_xlpm.v=INT(_xlpm.v),TEXT(_xlpm.v,"0")&amp;" h",TEXT(_xlpm.v,"0.###")&amp;" h"))</f>
        <v>160 h</v>
      </c>
    </row>
    <row r="90" spans="1:36" outlineLevel="1" x14ac:dyDescent="0.45">
      <c r="A90" s="23" t="s">
        <v>37</v>
      </c>
      <c r="C90" s="23"/>
      <c r="D90" s="23"/>
      <c r="E90" s="23" t="s">
        <v>22</v>
      </c>
      <c r="F90" s="23" t="s">
        <v>22</v>
      </c>
      <c r="G90" s="23" t="s">
        <v>22</v>
      </c>
      <c r="H90" s="23" t="s">
        <v>22</v>
      </c>
      <c r="I90" s="23" t="s">
        <v>22</v>
      </c>
      <c r="J90" s="23"/>
      <c r="K90" s="23"/>
      <c r="L90" s="23" t="s">
        <v>22</v>
      </c>
      <c r="M90" s="23"/>
      <c r="N90" s="23" t="s">
        <v>22</v>
      </c>
      <c r="O90" s="23" t="s">
        <v>22</v>
      </c>
      <c r="P90" s="23" t="s">
        <v>22</v>
      </c>
      <c r="Q90" s="23"/>
      <c r="R90" s="23"/>
      <c r="S90" s="23" t="s">
        <v>22</v>
      </c>
      <c r="T90" s="23" t="s">
        <v>22</v>
      </c>
      <c r="U90" s="23" t="s">
        <v>22</v>
      </c>
      <c r="V90" s="23" t="s">
        <v>22</v>
      </c>
      <c r="W90" s="23" t="s">
        <v>22</v>
      </c>
      <c r="X90" s="23"/>
      <c r="Y90" s="23"/>
      <c r="Z90" s="23" t="s">
        <v>22</v>
      </c>
      <c r="AA90" s="23" t="s">
        <v>22</v>
      </c>
      <c r="AB90" s="23" t="s">
        <v>22</v>
      </c>
      <c r="AC90" s="23" t="s">
        <v>22</v>
      </c>
      <c r="AD90" s="23" t="s">
        <v>22</v>
      </c>
      <c r="AE90" s="23"/>
      <c r="AF90" s="23"/>
      <c r="AG90" s="23" t="s">
        <v>22</v>
      </c>
      <c r="AI90" s="23" t="s">
        <v>45</v>
      </c>
      <c r="AJ90" s="26">
        <f>COUNTIF(C90:AG90,"出")</f>
        <v>0</v>
      </c>
    </row>
    <row r="91" spans="1:36" outlineLevel="1" x14ac:dyDescent="0.45">
      <c r="A91" s="23" t="s">
        <v>40</v>
      </c>
      <c r="C91" s="391"/>
      <c r="D91" s="391"/>
      <c r="E91" s="391"/>
      <c r="F91" s="391"/>
      <c r="G91" s="391"/>
      <c r="H91" s="391"/>
      <c r="I91" s="391"/>
      <c r="J91" s="391"/>
      <c r="K91" s="391"/>
      <c r="L91" s="391"/>
      <c r="M91" s="391"/>
      <c r="N91" s="391"/>
      <c r="O91" s="391"/>
      <c r="P91" s="391"/>
      <c r="Q91" s="391"/>
      <c r="S91" s="391"/>
      <c r="T91" s="391"/>
      <c r="U91" s="391"/>
      <c r="V91" s="391"/>
      <c r="W91" s="391"/>
      <c r="X91" s="391"/>
      <c r="Y91" s="391"/>
      <c r="Z91" s="391"/>
      <c r="AA91" s="391"/>
      <c r="AB91" s="391"/>
      <c r="AC91" s="391"/>
      <c r="AD91" s="391"/>
      <c r="AE91" s="391"/>
      <c r="AF91" s="391"/>
      <c r="AG91" s="391"/>
      <c r="AI91" s="23" t="s">
        <v>46</v>
      </c>
      <c r="AJ91" s="26">
        <f>COUNTIF(C90:AG90,"リ")</f>
        <v>20</v>
      </c>
    </row>
    <row r="92" spans="1:36" outlineLevel="1" x14ac:dyDescent="0.45">
      <c r="C92" s="391"/>
      <c r="D92" s="391"/>
      <c r="E92" s="391"/>
      <c r="F92" s="391"/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1"/>
      <c r="S92" s="391"/>
      <c r="T92" s="391"/>
      <c r="U92" s="391"/>
      <c r="V92" s="391"/>
      <c r="W92" s="391"/>
      <c r="X92" s="391"/>
      <c r="Y92" s="391"/>
      <c r="Z92" s="391"/>
      <c r="AA92" s="391"/>
      <c r="AB92" s="391"/>
      <c r="AC92" s="391"/>
      <c r="AD92" s="391"/>
      <c r="AE92" s="391"/>
      <c r="AF92" s="391"/>
      <c r="AG92" s="391"/>
      <c r="AI92" s="23" t="s">
        <v>25</v>
      </c>
      <c r="AJ92" s="27">
        <f>AJ90/(AJ90+AJ91)</f>
        <v>0</v>
      </c>
    </row>
    <row r="93" spans="1:36" outlineLevel="1" x14ac:dyDescent="0.45">
      <c r="C93" s="391"/>
      <c r="D93" s="391"/>
      <c r="E93" s="391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</row>
    <row r="94" spans="1:36" outlineLevel="1" x14ac:dyDescent="0.45">
      <c r="C94" s="391"/>
      <c r="D94" s="391"/>
      <c r="E94" s="391"/>
      <c r="F94" s="391"/>
      <c r="G94" s="391"/>
      <c r="H94" s="391"/>
      <c r="I94" s="391"/>
      <c r="J94" s="391"/>
      <c r="K94" s="391"/>
      <c r="L94" s="391"/>
      <c r="M94" s="391"/>
      <c r="N94" s="391"/>
      <c r="O94" s="391"/>
      <c r="P94" s="391"/>
      <c r="Q94" s="391"/>
      <c r="S94" s="391"/>
      <c r="T94" s="391"/>
      <c r="U94" s="391"/>
      <c r="V94" s="391"/>
      <c r="W94" s="391"/>
      <c r="X94" s="391"/>
      <c r="Y94" s="391"/>
      <c r="Z94" s="391"/>
      <c r="AA94" s="391"/>
      <c r="AB94" s="391"/>
      <c r="AC94" s="391"/>
      <c r="AD94" s="391"/>
      <c r="AE94" s="391"/>
      <c r="AF94" s="391"/>
      <c r="AG94" s="391"/>
    </row>
    <row r="95" spans="1:36" outlineLevel="1" x14ac:dyDescent="0.45">
      <c r="C95" s="391"/>
      <c r="D95" s="391"/>
      <c r="E95" s="391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1"/>
      <c r="S95" s="391"/>
      <c r="T95" s="391"/>
      <c r="U95" s="391"/>
      <c r="V95" s="391"/>
      <c r="W95" s="391"/>
      <c r="X95" s="391"/>
      <c r="Y95" s="391"/>
      <c r="Z95" s="391"/>
      <c r="AA95" s="391"/>
      <c r="AB95" s="391"/>
      <c r="AC95" s="391"/>
      <c r="AD95" s="391"/>
      <c r="AE95" s="391"/>
      <c r="AF95" s="391"/>
      <c r="AG95" s="391"/>
    </row>
    <row r="96" spans="1:36" outlineLevel="1" x14ac:dyDescent="0.45"/>
    <row r="97" spans="1:36" x14ac:dyDescent="0.45">
      <c r="C97" s="385">
        <v>46266</v>
      </c>
      <c r="D97" s="375"/>
      <c r="E97" s="375"/>
      <c r="F97" s="375"/>
      <c r="G97" s="375"/>
      <c r="H97" s="375"/>
      <c r="I97" s="375"/>
      <c r="J97" s="375"/>
      <c r="K97" s="375"/>
      <c r="L97" s="375"/>
      <c r="M97" s="375"/>
      <c r="N97" s="375"/>
      <c r="O97" s="375"/>
      <c r="P97" s="375"/>
      <c r="Q97" s="375"/>
      <c r="R97" s="375"/>
      <c r="S97" s="375"/>
      <c r="T97" s="375"/>
      <c r="U97" s="375"/>
      <c r="V97" s="375"/>
      <c r="W97" s="375"/>
      <c r="X97" s="375"/>
      <c r="Y97" s="375"/>
      <c r="Z97" s="375"/>
      <c r="AA97" s="375"/>
      <c r="AB97" s="375"/>
      <c r="AC97" s="375"/>
      <c r="AD97" s="375"/>
      <c r="AE97" s="375"/>
      <c r="AF97" s="375"/>
      <c r="AG97" s="375"/>
    </row>
    <row r="98" spans="1:36" outlineLevel="1" x14ac:dyDescent="0.45">
      <c r="C98" s="23" t="str">
        <f t="shared" ref="C98:AG98" si="16">TEXT(C99,"aaa")</f>
        <v>火</v>
      </c>
      <c r="D98" s="23" t="str">
        <f t="shared" si="16"/>
        <v>水</v>
      </c>
      <c r="E98" s="23" t="str">
        <f t="shared" si="16"/>
        <v>木</v>
      </c>
      <c r="F98" s="23" t="str">
        <f t="shared" si="16"/>
        <v>金</v>
      </c>
      <c r="G98" s="23" t="str">
        <f t="shared" si="16"/>
        <v>土</v>
      </c>
      <c r="H98" s="23" t="str">
        <f t="shared" si="16"/>
        <v>日</v>
      </c>
      <c r="I98" s="23" t="str">
        <f t="shared" si="16"/>
        <v>月</v>
      </c>
      <c r="J98" s="23" t="str">
        <f t="shared" si="16"/>
        <v>火</v>
      </c>
      <c r="K98" s="23" t="str">
        <f t="shared" si="16"/>
        <v>水</v>
      </c>
      <c r="L98" s="23" t="str">
        <f t="shared" si="16"/>
        <v>木</v>
      </c>
      <c r="M98" s="23" t="str">
        <f t="shared" si="16"/>
        <v>金</v>
      </c>
      <c r="N98" s="23" t="str">
        <f t="shared" si="16"/>
        <v>土</v>
      </c>
      <c r="O98" s="23" t="str">
        <f t="shared" si="16"/>
        <v>日</v>
      </c>
      <c r="P98" s="23" t="str">
        <f t="shared" si="16"/>
        <v>月</v>
      </c>
      <c r="Q98" s="23" t="str">
        <f t="shared" si="16"/>
        <v>火</v>
      </c>
      <c r="R98" s="23" t="str">
        <f t="shared" si="16"/>
        <v>水</v>
      </c>
      <c r="S98" s="23" t="str">
        <f t="shared" si="16"/>
        <v>木</v>
      </c>
      <c r="T98" s="23" t="str">
        <f t="shared" si="16"/>
        <v>金</v>
      </c>
      <c r="U98" s="23" t="str">
        <f t="shared" si="16"/>
        <v>土</v>
      </c>
      <c r="V98" s="23" t="str">
        <f t="shared" si="16"/>
        <v>日</v>
      </c>
      <c r="W98" s="23" t="str">
        <f t="shared" si="16"/>
        <v>月</v>
      </c>
      <c r="X98" s="23" t="str">
        <f t="shared" si="16"/>
        <v>火</v>
      </c>
      <c r="Y98" s="23" t="str">
        <f t="shared" si="16"/>
        <v>水</v>
      </c>
      <c r="Z98" s="23" t="str">
        <f t="shared" si="16"/>
        <v>木</v>
      </c>
      <c r="AA98" s="23" t="str">
        <f t="shared" si="16"/>
        <v>金</v>
      </c>
      <c r="AB98" s="23" t="str">
        <f t="shared" si="16"/>
        <v>土</v>
      </c>
      <c r="AC98" s="23" t="str">
        <f t="shared" si="16"/>
        <v>日</v>
      </c>
      <c r="AD98" s="23" t="str">
        <f t="shared" si="16"/>
        <v>月</v>
      </c>
      <c r="AE98" s="23" t="str">
        <f t="shared" si="16"/>
        <v>火</v>
      </c>
      <c r="AF98" s="23" t="str">
        <f t="shared" si="16"/>
        <v>水</v>
      </c>
      <c r="AG98" s="23" t="str">
        <f t="shared" si="16"/>
        <v/>
      </c>
      <c r="AI98" s="19" t="s">
        <v>41</v>
      </c>
      <c r="AJ98" s="21">
        <f>COUNT(C100:AG100)</f>
        <v>19</v>
      </c>
    </row>
    <row r="99" spans="1:36" outlineLevel="1" x14ac:dyDescent="0.45">
      <c r="C99" s="25">
        <f>C97</f>
        <v>46266</v>
      </c>
      <c r="D99" s="25">
        <f t="shared" ref="D99:AG99" si="17">IF(C99="","",IF(C99+1&lt;=EOMONTH($C97,0),C99+1,""))</f>
        <v>46267</v>
      </c>
      <c r="E99" s="25">
        <f t="shared" si="17"/>
        <v>46268</v>
      </c>
      <c r="F99" s="25">
        <f t="shared" si="17"/>
        <v>46269</v>
      </c>
      <c r="G99" s="25">
        <f t="shared" si="17"/>
        <v>46270</v>
      </c>
      <c r="H99" s="25">
        <f t="shared" si="17"/>
        <v>46271</v>
      </c>
      <c r="I99" s="25">
        <f t="shared" si="17"/>
        <v>46272</v>
      </c>
      <c r="J99" s="25">
        <f t="shared" si="17"/>
        <v>46273</v>
      </c>
      <c r="K99" s="25">
        <f t="shared" si="17"/>
        <v>46274</v>
      </c>
      <c r="L99" s="25">
        <f t="shared" si="17"/>
        <v>46275</v>
      </c>
      <c r="M99" s="25">
        <f t="shared" si="17"/>
        <v>46276</v>
      </c>
      <c r="N99" s="25">
        <f t="shared" si="17"/>
        <v>46277</v>
      </c>
      <c r="O99" s="25">
        <f t="shared" si="17"/>
        <v>46278</v>
      </c>
      <c r="P99" s="25">
        <f t="shared" si="17"/>
        <v>46279</v>
      </c>
      <c r="Q99" s="25">
        <f t="shared" si="17"/>
        <v>46280</v>
      </c>
      <c r="R99" s="25">
        <f t="shared" si="17"/>
        <v>46281</v>
      </c>
      <c r="S99" s="25">
        <f t="shared" si="17"/>
        <v>46282</v>
      </c>
      <c r="T99" s="25">
        <f t="shared" si="17"/>
        <v>46283</v>
      </c>
      <c r="U99" s="25">
        <f t="shared" si="17"/>
        <v>46284</v>
      </c>
      <c r="V99" s="25">
        <f t="shared" si="17"/>
        <v>46285</v>
      </c>
      <c r="W99" s="25">
        <f t="shared" si="17"/>
        <v>46286</v>
      </c>
      <c r="X99" s="25">
        <f t="shared" si="17"/>
        <v>46287</v>
      </c>
      <c r="Y99" s="25">
        <f t="shared" si="17"/>
        <v>46288</v>
      </c>
      <c r="Z99" s="25">
        <f t="shared" si="17"/>
        <v>46289</v>
      </c>
      <c r="AA99" s="25">
        <f t="shared" si="17"/>
        <v>46290</v>
      </c>
      <c r="AB99" s="25">
        <f t="shared" si="17"/>
        <v>46291</v>
      </c>
      <c r="AC99" s="25">
        <f t="shared" si="17"/>
        <v>46292</v>
      </c>
      <c r="AD99" s="25">
        <f t="shared" si="17"/>
        <v>46293</v>
      </c>
      <c r="AE99" s="25">
        <f t="shared" si="17"/>
        <v>46294</v>
      </c>
      <c r="AF99" s="25">
        <f t="shared" si="17"/>
        <v>46295</v>
      </c>
      <c r="AG99" s="25" t="str">
        <f t="shared" si="17"/>
        <v/>
      </c>
      <c r="AI99" s="19" t="s">
        <v>42</v>
      </c>
      <c r="AJ99" s="2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9" t="s">
        <v>38</v>
      </c>
      <c r="C100" s="18">
        <v>8</v>
      </c>
      <c r="D100" s="18">
        <v>8</v>
      </c>
      <c r="E100" s="18">
        <v>8</v>
      </c>
      <c r="F100" s="18">
        <v>8</v>
      </c>
      <c r="G100" s="18"/>
      <c r="H100" s="18"/>
      <c r="I100" s="18">
        <v>8</v>
      </c>
      <c r="J100" s="18">
        <v>8</v>
      </c>
      <c r="K100" s="18">
        <v>8</v>
      </c>
      <c r="L100" s="18">
        <v>8</v>
      </c>
      <c r="M100" s="18">
        <v>8</v>
      </c>
      <c r="N100" s="18"/>
      <c r="O100" s="18"/>
      <c r="P100" s="18">
        <v>8</v>
      </c>
      <c r="Q100" s="18">
        <v>8</v>
      </c>
      <c r="R100" s="18">
        <v>8</v>
      </c>
      <c r="S100" s="18">
        <v>8</v>
      </c>
      <c r="T100" s="18">
        <v>8</v>
      </c>
      <c r="U100" s="18"/>
      <c r="V100" s="18"/>
      <c r="W100" s="18"/>
      <c r="X100" s="18"/>
      <c r="Y100" s="18"/>
      <c r="Z100" s="18">
        <v>8</v>
      </c>
      <c r="AA100" s="18">
        <v>8</v>
      </c>
      <c r="AB100" s="18"/>
      <c r="AC100" s="18"/>
      <c r="AD100" s="18">
        <v>8</v>
      </c>
      <c r="AE100" s="18">
        <v>8</v>
      </c>
      <c r="AF100" s="18">
        <v>8</v>
      </c>
      <c r="AG100" s="18"/>
      <c r="AI100" s="23" t="s">
        <v>43</v>
      </c>
      <c r="AJ100" s="26">
        <f>COUNT(C101:AG101)</f>
        <v>19</v>
      </c>
    </row>
    <row r="101" spans="1:36" outlineLevel="1" x14ac:dyDescent="0.45">
      <c r="A101" s="23" t="s">
        <v>39</v>
      </c>
      <c r="C101" s="23">
        <v>8</v>
      </c>
      <c r="D101" s="23">
        <v>8</v>
      </c>
      <c r="E101" s="23">
        <v>8</v>
      </c>
      <c r="F101" s="23">
        <v>8</v>
      </c>
      <c r="G101" s="23"/>
      <c r="H101" s="23"/>
      <c r="I101" s="23">
        <v>8</v>
      </c>
      <c r="J101" s="23">
        <v>8</v>
      </c>
      <c r="K101" s="23">
        <v>8</v>
      </c>
      <c r="L101" s="23">
        <v>8</v>
      </c>
      <c r="M101" s="23">
        <v>8</v>
      </c>
      <c r="N101" s="23"/>
      <c r="O101" s="23"/>
      <c r="P101" s="23">
        <v>8</v>
      </c>
      <c r="Q101" s="23">
        <v>8</v>
      </c>
      <c r="R101" s="23">
        <v>8</v>
      </c>
      <c r="S101" s="23">
        <v>8</v>
      </c>
      <c r="T101" s="23">
        <v>8</v>
      </c>
      <c r="U101" s="23"/>
      <c r="V101" s="23"/>
      <c r="W101" s="23"/>
      <c r="X101" s="23"/>
      <c r="Y101" s="23"/>
      <c r="Z101" s="23">
        <v>8</v>
      </c>
      <c r="AA101" s="23">
        <v>8</v>
      </c>
      <c r="AB101" s="23"/>
      <c r="AC101" s="23"/>
      <c r="AD101" s="23">
        <v>8</v>
      </c>
      <c r="AE101" s="23">
        <v>8</v>
      </c>
      <c r="AF101" s="23">
        <v>8</v>
      </c>
      <c r="AG101" s="23"/>
      <c r="AI101" s="23" t="s">
        <v>44</v>
      </c>
      <c r="AJ101" s="24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3" t="s">
        <v>37</v>
      </c>
      <c r="C102" s="23" t="s">
        <v>22</v>
      </c>
      <c r="D102" s="23" t="s">
        <v>22</v>
      </c>
      <c r="E102" s="23" t="s">
        <v>22</v>
      </c>
      <c r="F102" s="23" t="s">
        <v>22</v>
      </c>
      <c r="G102" s="23"/>
      <c r="H102" s="23"/>
      <c r="I102" s="23" t="s">
        <v>22</v>
      </c>
      <c r="J102" s="23" t="s">
        <v>22</v>
      </c>
      <c r="K102" s="23" t="s">
        <v>22</v>
      </c>
      <c r="L102" s="23" t="s">
        <v>22</v>
      </c>
      <c r="M102" s="23" t="s">
        <v>22</v>
      </c>
      <c r="N102" s="23"/>
      <c r="O102" s="23"/>
      <c r="P102" s="23" t="s">
        <v>22</v>
      </c>
      <c r="Q102" s="23" t="s">
        <v>22</v>
      </c>
      <c r="R102" s="23" t="s">
        <v>22</v>
      </c>
      <c r="S102" s="23" t="s">
        <v>22</v>
      </c>
      <c r="T102" s="23" t="s">
        <v>22</v>
      </c>
      <c r="U102" s="23"/>
      <c r="V102" s="23"/>
      <c r="W102" s="23"/>
      <c r="X102" s="23"/>
      <c r="Y102" s="23"/>
      <c r="Z102" s="23" t="s">
        <v>22</v>
      </c>
      <c r="AA102" s="23" t="s">
        <v>22</v>
      </c>
      <c r="AB102" s="23"/>
      <c r="AC102" s="23"/>
      <c r="AD102" s="23" t="s">
        <v>22</v>
      </c>
      <c r="AE102" s="23" t="s">
        <v>22</v>
      </c>
      <c r="AF102" s="23" t="s">
        <v>22</v>
      </c>
      <c r="AG102" s="23"/>
      <c r="AI102" s="23" t="s">
        <v>45</v>
      </c>
      <c r="AJ102" s="26">
        <f>COUNTIF(C102:AG102,"出")</f>
        <v>0</v>
      </c>
    </row>
    <row r="103" spans="1:36" outlineLevel="1" x14ac:dyDescent="0.45">
      <c r="A103" s="23" t="s">
        <v>40</v>
      </c>
      <c r="C103" s="391"/>
      <c r="D103" s="391"/>
      <c r="E103" s="391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1"/>
      <c r="S103" s="391"/>
      <c r="T103" s="391"/>
      <c r="U103" s="391"/>
      <c r="V103" s="391"/>
      <c r="W103" s="391"/>
      <c r="X103" s="391"/>
      <c r="Y103" s="391"/>
      <c r="Z103" s="391"/>
      <c r="AA103" s="391"/>
      <c r="AB103" s="391"/>
      <c r="AC103" s="391"/>
      <c r="AD103" s="391"/>
      <c r="AE103" s="391"/>
      <c r="AF103" s="391"/>
      <c r="AG103" s="391"/>
      <c r="AI103" s="23" t="s">
        <v>46</v>
      </c>
      <c r="AJ103" s="26">
        <f>COUNTIF(C102:AG102,"リ")</f>
        <v>19</v>
      </c>
    </row>
    <row r="104" spans="1:36" outlineLevel="1" x14ac:dyDescent="0.45">
      <c r="C104" s="391"/>
      <c r="D104" s="391"/>
      <c r="E104" s="391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1"/>
      <c r="S104" s="391"/>
      <c r="T104" s="391"/>
      <c r="U104" s="391"/>
      <c r="V104" s="391"/>
      <c r="W104" s="391"/>
      <c r="X104" s="391"/>
      <c r="Y104" s="391"/>
      <c r="Z104" s="391"/>
      <c r="AA104" s="391"/>
      <c r="AB104" s="391"/>
      <c r="AC104" s="391"/>
      <c r="AD104" s="391"/>
      <c r="AE104" s="391"/>
      <c r="AF104" s="391"/>
      <c r="AG104" s="391"/>
      <c r="AI104" s="23" t="s">
        <v>25</v>
      </c>
      <c r="AJ104" s="27">
        <f>AJ102/(AJ102+AJ103)</f>
        <v>0</v>
      </c>
    </row>
    <row r="105" spans="1:36" outlineLevel="1" x14ac:dyDescent="0.45">
      <c r="C105" s="391"/>
      <c r="D105" s="391"/>
      <c r="E105" s="391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1"/>
      <c r="S105" s="391"/>
      <c r="T105" s="391"/>
      <c r="U105" s="391"/>
      <c r="V105" s="391"/>
      <c r="W105" s="391"/>
      <c r="X105" s="391"/>
      <c r="Y105" s="391"/>
      <c r="Z105" s="391"/>
      <c r="AA105" s="391"/>
      <c r="AB105" s="391"/>
      <c r="AC105" s="391"/>
      <c r="AD105" s="391"/>
      <c r="AE105" s="391"/>
      <c r="AF105" s="391"/>
      <c r="AG105" s="391"/>
    </row>
    <row r="106" spans="1:36" outlineLevel="1" x14ac:dyDescent="0.45">
      <c r="C106" s="391"/>
      <c r="D106" s="391"/>
      <c r="E106" s="391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1"/>
      <c r="S106" s="391"/>
      <c r="T106" s="391"/>
      <c r="U106" s="391"/>
      <c r="V106" s="391"/>
      <c r="W106" s="391"/>
      <c r="X106" s="391"/>
      <c r="Y106" s="391"/>
      <c r="Z106" s="391"/>
      <c r="AA106" s="391"/>
      <c r="AB106" s="391"/>
      <c r="AC106" s="391"/>
      <c r="AD106" s="391"/>
      <c r="AE106" s="391"/>
      <c r="AF106" s="391"/>
      <c r="AG106" s="391"/>
    </row>
    <row r="107" spans="1:36" outlineLevel="1" x14ac:dyDescent="0.45">
      <c r="C107" s="391"/>
      <c r="D107" s="391"/>
      <c r="E107" s="391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1"/>
      <c r="S107" s="391"/>
      <c r="T107" s="391"/>
      <c r="U107" s="391"/>
      <c r="V107" s="391"/>
      <c r="W107" s="391"/>
      <c r="X107" s="391"/>
      <c r="Y107" s="391"/>
      <c r="Z107" s="391"/>
      <c r="AA107" s="391"/>
      <c r="AB107" s="391"/>
      <c r="AC107" s="391"/>
      <c r="AD107" s="391"/>
      <c r="AE107" s="391"/>
      <c r="AF107" s="391"/>
      <c r="AG107" s="391"/>
    </row>
    <row r="108" spans="1:36" outlineLevel="1" x14ac:dyDescent="0.45"/>
    <row r="109" spans="1:36" x14ac:dyDescent="0.45">
      <c r="C109" s="385">
        <v>46296</v>
      </c>
      <c r="D109" s="375"/>
      <c r="E109" s="375"/>
      <c r="F109" s="375"/>
      <c r="G109" s="375"/>
      <c r="H109" s="375"/>
      <c r="I109" s="375"/>
      <c r="J109" s="375"/>
      <c r="K109" s="375"/>
      <c r="L109" s="375"/>
      <c r="M109" s="375"/>
      <c r="N109" s="375"/>
      <c r="O109" s="375"/>
      <c r="P109" s="375"/>
      <c r="Q109" s="375"/>
      <c r="R109" s="375"/>
      <c r="S109" s="375"/>
      <c r="T109" s="375"/>
      <c r="U109" s="375"/>
      <c r="V109" s="375"/>
      <c r="W109" s="375"/>
      <c r="X109" s="375"/>
      <c r="Y109" s="375"/>
      <c r="Z109" s="375"/>
      <c r="AA109" s="375"/>
      <c r="AB109" s="375"/>
      <c r="AC109" s="375"/>
      <c r="AD109" s="375"/>
      <c r="AE109" s="375"/>
      <c r="AF109" s="375"/>
      <c r="AG109" s="375"/>
    </row>
    <row r="110" spans="1:36" outlineLevel="1" x14ac:dyDescent="0.45">
      <c r="C110" s="23" t="str">
        <f t="shared" ref="C110:AG110" si="18">TEXT(C111,"aaa")</f>
        <v>木</v>
      </c>
      <c r="D110" s="23" t="str">
        <f t="shared" si="18"/>
        <v>金</v>
      </c>
      <c r="E110" s="23" t="str">
        <f t="shared" si="18"/>
        <v>土</v>
      </c>
      <c r="F110" s="23" t="str">
        <f t="shared" si="18"/>
        <v>日</v>
      </c>
      <c r="G110" s="23" t="str">
        <f t="shared" si="18"/>
        <v>月</v>
      </c>
      <c r="H110" s="23" t="str">
        <f t="shared" si="18"/>
        <v>火</v>
      </c>
      <c r="I110" s="23" t="str">
        <f t="shared" si="18"/>
        <v>水</v>
      </c>
      <c r="J110" s="23" t="str">
        <f t="shared" si="18"/>
        <v>木</v>
      </c>
      <c r="K110" s="23" t="str">
        <f t="shared" si="18"/>
        <v>金</v>
      </c>
      <c r="L110" s="23" t="str">
        <f t="shared" si="18"/>
        <v>土</v>
      </c>
      <c r="M110" s="23" t="str">
        <f t="shared" si="18"/>
        <v>日</v>
      </c>
      <c r="N110" s="23" t="str">
        <f t="shared" si="18"/>
        <v>月</v>
      </c>
      <c r="O110" s="23" t="str">
        <f t="shared" si="18"/>
        <v>火</v>
      </c>
      <c r="P110" s="23" t="str">
        <f t="shared" si="18"/>
        <v>水</v>
      </c>
      <c r="Q110" s="23" t="str">
        <f t="shared" si="18"/>
        <v>木</v>
      </c>
      <c r="R110" s="23" t="str">
        <f t="shared" si="18"/>
        <v>金</v>
      </c>
      <c r="S110" s="23" t="str">
        <f t="shared" si="18"/>
        <v>土</v>
      </c>
      <c r="T110" s="23" t="str">
        <f t="shared" si="18"/>
        <v>日</v>
      </c>
      <c r="U110" s="23" t="str">
        <f t="shared" si="18"/>
        <v>月</v>
      </c>
      <c r="V110" s="23" t="str">
        <f t="shared" si="18"/>
        <v>火</v>
      </c>
      <c r="W110" s="23" t="str">
        <f t="shared" si="18"/>
        <v>水</v>
      </c>
      <c r="X110" s="23" t="str">
        <f t="shared" si="18"/>
        <v>木</v>
      </c>
      <c r="Y110" s="23" t="str">
        <f t="shared" si="18"/>
        <v>金</v>
      </c>
      <c r="Z110" s="23" t="str">
        <f t="shared" si="18"/>
        <v>土</v>
      </c>
      <c r="AA110" s="23" t="str">
        <f t="shared" si="18"/>
        <v>日</v>
      </c>
      <c r="AB110" s="23" t="str">
        <f t="shared" si="18"/>
        <v>月</v>
      </c>
      <c r="AC110" s="23" t="str">
        <f t="shared" si="18"/>
        <v>火</v>
      </c>
      <c r="AD110" s="23" t="str">
        <f t="shared" si="18"/>
        <v>水</v>
      </c>
      <c r="AE110" s="23" t="str">
        <f t="shared" si="18"/>
        <v>木</v>
      </c>
      <c r="AF110" s="23" t="str">
        <f t="shared" si="18"/>
        <v>金</v>
      </c>
      <c r="AG110" s="23" t="str">
        <f t="shared" si="18"/>
        <v>土</v>
      </c>
      <c r="AI110" s="19" t="s">
        <v>41</v>
      </c>
      <c r="AJ110" s="21">
        <f>COUNT(C112:AG112)</f>
        <v>21</v>
      </c>
    </row>
    <row r="111" spans="1:36" outlineLevel="1" x14ac:dyDescent="0.45">
      <c r="C111" s="25">
        <f>C109</f>
        <v>46296</v>
      </c>
      <c r="D111" s="25">
        <f t="shared" ref="D111:AG111" si="19">IF(C111="","",IF(C111+1&lt;=EOMONTH($C109,0),C111+1,""))</f>
        <v>46297</v>
      </c>
      <c r="E111" s="25">
        <f t="shared" si="19"/>
        <v>46298</v>
      </c>
      <c r="F111" s="25">
        <f t="shared" si="19"/>
        <v>46299</v>
      </c>
      <c r="G111" s="25">
        <f t="shared" si="19"/>
        <v>46300</v>
      </c>
      <c r="H111" s="25">
        <f t="shared" si="19"/>
        <v>46301</v>
      </c>
      <c r="I111" s="25">
        <f t="shared" si="19"/>
        <v>46302</v>
      </c>
      <c r="J111" s="25">
        <f t="shared" si="19"/>
        <v>46303</v>
      </c>
      <c r="K111" s="25">
        <f t="shared" si="19"/>
        <v>46304</v>
      </c>
      <c r="L111" s="25">
        <f t="shared" si="19"/>
        <v>46305</v>
      </c>
      <c r="M111" s="25">
        <f t="shared" si="19"/>
        <v>46306</v>
      </c>
      <c r="N111" s="25">
        <f t="shared" si="19"/>
        <v>46307</v>
      </c>
      <c r="O111" s="25">
        <f t="shared" si="19"/>
        <v>46308</v>
      </c>
      <c r="P111" s="25">
        <f t="shared" si="19"/>
        <v>46309</v>
      </c>
      <c r="Q111" s="25">
        <f t="shared" si="19"/>
        <v>46310</v>
      </c>
      <c r="R111" s="25">
        <f t="shared" si="19"/>
        <v>46311</v>
      </c>
      <c r="S111" s="25">
        <f t="shared" si="19"/>
        <v>46312</v>
      </c>
      <c r="T111" s="25">
        <f t="shared" si="19"/>
        <v>46313</v>
      </c>
      <c r="U111" s="25">
        <f t="shared" si="19"/>
        <v>46314</v>
      </c>
      <c r="V111" s="25">
        <f t="shared" si="19"/>
        <v>46315</v>
      </c>
      <c r="W111" s="25">
        <f t="shared" si="19"/>
        <v>46316</v>
      </c>
      <c r="X111" s="25">
        <f t="shared" si="19"/>
        <v>46317</v>
      </c>
      <c r="Y111" s="25">
        <f t="shared" si="19"/>
        <v>46318</v>
      </c>
      <c r="Z111" s="25">
        <f t="shared" si="19"/>
        <v>46319</v>
      </c>
      <c r="AA111" s="25">
        <f t="shared" si="19"/>
        <v>46320</v>
      </c>
      <c r="AB111" s="25">
        <f t="shared" si="19"/>
        <v>46321</v>
      </c>
      <c r="AC111" s="25">
        <f t="shared" si="19"/>
        <v>46322</v>
      </c>
      <c r="AD111" s="25">
        <f t="shared" si="19"/>
        <v>46323</v>
      </c>
      <c r="AE111" s="25">
        <f t="shared" si="19"/>
        <v>46324</v>
      </c>
      <c r="AF111" s="25">
        <f t="shared" si="19"/>
        <v>46325</v>
      </c>
      <c r="AG111" s="25">
        <f t="shared" si="19"/>
        <v>46326</v>
      </c>
      <c r="AI111" s="19" t="s">
        <v>42</v>
      </c>
      <c r="AJ111" s="2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9" t="s">
        <v>38</v>
      </c>
      <c r="C112" s="18">
        <v>8</v>
      </c>
      <c r="D112" s="18">
        <v>8</v>
      </c>
      <c r="E112" s="18"/>
      <c r="F112" s="18"/>
      <c r="G112" s="18">
        <v>8</v>
      </c>
      <c r="H112" s="18">
        <v>8</v>
      </c>
      <c r="I112" s="18">
        <v>8</v>
      </c>
      <c r="J112" s="18">
        <v>8</v>
      </c>
      <c r="K112" s="18">
        <v>8</v>
      </c>
      <c r="L112" s="18"/>
      <c r="M112" s="18"/>
      <c r="N112" s="18"/>
      <c r="O112" s="18">
        <v>8</v>
      </c>
      <c r="P112" s="18">
        <v>8</v>
      </c>
      <c r="Q112" s="18">
        <v>8</v>
      </c>
      <c r="R112" s="18">
        <v>8</v>
      </c>
      <c r="S112" s="18"/>
      <c r="T112" s="18"/>
      <c r="U112" s="18">
        <v>8</v>
      </c>
      <c r="V112" s="18">
        <v>8</v>
      </c>
      <c r="W112" s="18">
        <v>8</v>
      </c>
      <c r="X112" s="18">
        <v>8</v>
      </c>
      <c r="Y112" s="18">
        <v>8</v>
      </c>
      <c r="Z112" s="18"/>
      <c r="AA112" s="18"/>
      <c r="AB112" s="18">
        <v>8</v>
      </c>
      <c r="AC112" s="18">
        <v>8</v>
      </c>
      <c r="AD112" s="18">
        <v>8</v>
      </c>
      <c r="AE112" s="18">
        <v>8</v>
      </c>
      <c r="AF112" s="18">
        <v>8</v>
      </c>
      <c r="AG112" s="18"/>
      <c r="AI112" s="23" t="s">
        <v>43</v>
      </c>
      <c r="AJ112" s="26">
        <f>COUNT(C113:AG113)</f>
        <v>21</v>
      </c>
    </row>
    <row r="113" spans="1:36" outlineLevel="1" x14ac:dyDescent="0.45">
      <c r="A113" s="23" t="s">
        <v>39</v>
      </c>
      <c r="C113" s="23">
        <v>8</v>
      </c>
      <c r="D113" s="23">
        <v>8</v>
      </c>
      <c r="E113" s="23"/>
      <c r="F113" s="23"/>
      <c r="G113" s="23">
        <v>8</v>
      </c>
      <c r="H113" s="23">
        <v>8</v>
      </c>
      <c r="I113" s="23">
        <v>8</v>
      </c>
      <c r="J113" s="23">
        <v>8</v>
      </c>
      <c r="K113" s="23">
        <v>8</v>
      </c>
      <c r="L113" s="23"/>
      <c r="M113" s="23"/>
      <c r="N113" s="23"/>
      <c r="O113" s="23">
        <v>8</v>
      </c>
      <c r="P113" s="23">
        <v>8</v>
      </c>
      <c r="Q113" s="23">
        <v>8</v>
      </c>
      <c r="R113" s="23">
        <v>8</v>
      </c>
      <c r="S113" s="23"/>
      <c r="T113" s="23"/>
      <c r="U113" s="23">
        <v>8</v>
      </c>
      <c r="V113" s="23">
        <v>8</v>
      </c>
      <c r="W113" s="23">
        <v>8</v>
      </c>
      <c r="X113" s="23">
        <v>8</v>
      </c>
      <c r="Y113" s="23">
        <v>8</v>
      </c>
      <c r="Z113" s="23"/>
      <c r="AA113" s="23"/>
      <c r="AB113" s="23">
        <v>8</v>
      </c>
      <c r="AC113" s="23">
        <v>8</v>
      </c>
      <c r="AD113" s="23">
        <v>8</v>
      </c>
      <c r="AE113" s="23">
        <v>8</v>
      </c>
      <c r="AF113" s="23">
        <v>8</v>
      </c>
      <c r="AG113" s="23"/>
      <c r="AI113" s="23" t="s">
        <v>44</v>
      </c>
      <c r="AJ113" s="24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3" t="s">
        <v>37</v>
      </c>
      <c r="C114" s="23" t="s">
        <v>22</v>
      </c>
      <c r="D114" s="23" t="s">
        <v>22</v>
      </c>
      <c r="E114" s="23"/>
      <c r="F114" s="23"/>
      <c r="G114" s="23" t="s">
        <v>22</v>
      </c>
      <c r="H114" s="23" t="s">
        <v>22</v>
      </c>
      <c r="I114" s="23" t="s">
        <v>22</v>
      </c>
      <c r="J114" s="23" t="s">
        <v>22</v>
      </c>
      <c r="K114" s="23" t="s">
        <v>22</v>
      </c>
      <c r="L114" s="23"/>
      <c r="M114" s="23"/>
      <c r="N114" s="23"/>
      <c r="O114" s="23" t="s">
        <v>22</v>
      </c>
      <c r="P114" s="23" t="s">
        <v>22</v>
      </c>
      <c r="Q114" s="23" t="s">
        <v>22</v>
      </c>
      <c r="R114" s="23" t="s">
        <v>22</v>
      </c>
      <c r="S114" s="23"/>
      <c r="T114" s="23"/>
      <c r="U114" s="23" t="s">
        <v>22</v>
      </c>
      <c r="V114" s="23" t="s">
        <v>22</v>
      </c>
      <c r="W114" s="23" t="s">
        <v>22</v>
      </c>
      <c r="X114" s="23" t="s">
        <v>22</v>
      </c>
      <c r="Y114" s="23" t="s">
        <v>22</v>
      </c>
      <c r="Z114" s="23"/>
      <c r="AA114" s="23"/>
      <c r="AB114" s="23" t="s">
        <v>22</v>
      </c>
      <c r="AC114" s="23" t="s">
        <v>22</v>
      </c>
      <c r="AD114" s="23" t="s">
        <v>22</v>
      </c>
      <c r="AE114" s="23" t="s">
        <v>22</v>
      </c>
      <c r="AF114" s="23" t="s">
        <v>22</v>
      </c>
      <c r="AG114" s="23"/>
      <c r="AI114" s="23" t="s">
        <v>45</v>
      </c>
      <c r="AJ114" s="26">
        <f>COUNTIF(C114:AG114,"出")</f>
        <v>0</v>
      </c>
    </row>
    <row r="115" spans="1:36" outlineLevel="1" x14ac:dyDescent="0.45">
      <c r="A115" s="23" t="s">
        <v>40</v>
      </c>
      <c r="C115" s="391"/>
      <c r="D115" s="391"/>
      <c r="E115" s="391"/>
      <c r="F115" s="391"/>
      <c r="G115" s="391"/>
      <c r="H115" s="391"/>
      <c r="I115" s="391"/>
      <c r="J115" s="391"/>
      <c r="K115" s="391"/>
      <c r="L115" s="391"/>
      <c r="M115" s="391"/>
      <c r="N115" s="391"/>
      <c r="O115" s="391"/>
      <c r="P115" s="391"/>
      <c r="Q115" s="391"/>
      <c r="S115" s="391"/>
      <c r="T115" s="391"/>
      <c r="U115" s="391"/>
      <c r="V115" s="391"/>
      <c r="W115" s="391"/>
      <c r="X115" s="391"/>
      <c r="Y115" s="391"/>
      <c r="Z115" s="391"/>
      <c r="AA115" s="391"/>
      <c r="AB115" s="391"/>
      <c r="AC115" s="391"/>
      <c r="AD115" s="391"/>
      <c r="AE115" s="391"/>
      <c r="AF115" s="391"/>
      <c r="AG115" s="391"/>
      <c r="AI115" s="23" t="s">
        <v>46</v>
      </c>
      <c r="AJ115" s="26">
        <f>COUNTIF(C114:AG114,"リ")</f>
        <v>21</v>
      </c>
    </row>
    <row r="116" spans="1:36" outlineLevel="1" x14ac:dyDescent="0.45">
      <c r="C116" s="391"/>
      <c r="D116" s="391"/>
      <c r="E116" s="391"/>
      <c r="F116" s="391"/>
      <c r="G116" s="391"/>
      <c r="H116" s="391"/>
      <c r="I116" s="391"/>
      <c r="J116" s="391"/>
      <c r="K116" s="391"/>
      <c r="L116" s="391"/>
      <c r="M116" s="391"/>
      <c r="N116" s="391"/>
      <c r="O116" s="391"/>
      <c r="P116" s="391"/>
      <c r="Q116" s="391"/>
      <c r="S116" s="391"/>
      <c r="T116" s="391"/>
      <c r="U116" s="391"/>
      <c r="V116" s="391"/>
      <c r="W116" s="391"/>
      <c r="X116" s="391"/>
      <c r="Y116" s="391"/>
      <c r="Z116" s="391"/>
      <c r="AA116" s="391"/>
      <c r="AB116" s="391"/>
      <c r="AC116" s="391"/>
      <c r="AD116" s="391"/>
      <c r="AE116" s="391"/>
      <c r="AF116" s="391"/>
      <c r="AG116" s="391"/>
      <c r="AI116" s="23" t="s">
        <v>25</v>
      </c>
      <c r="AJ116" s="27">
        <f>AJ114/(AJ114+AJ115)</f>
        <v>0</v>
      </c>
    </row>
    <row r="117" spans="1:36" outlineLevel="1" x14ac:dyDescent="0.45">
      <c r="C117" s="391"/>
      <c r="D117" s="391"/>
      <c r="E117" s="391"/>
      <c r="F117" s="391"/>
      <c r="G117" s="391"/>
      <c r="H117" s="391"/>
      <c r="I117" s="391"/>
      <c r="J117" s="391"/>
      <c r="K117" s="391"/>
      <c r="L117" s="391"/>
      <c r="M117" s="391"/>
      <c r="N117" s="391"/>
      <c r="O117" s="391"/>
      <c r="P117" s="391"/>
      <c r="Q117" s="391"/>
      <c r="S117" s="391"/>
      <c r="T117" s="391"/>
      <c r="U117" s="391"/>
      <c r="V117" s="391"/>
      <c r="W117" s="391"/>
      <c r="X117" s="391"/>
      <c r="Y117" s="391"/>
      <c r="Z117" s="391"/>
      <c r="AA117" s="391"/>
      <c r="AB117" s="391"/>
      <c r="AC117" s="391"/>
      <c r="AD117" s="391"/>
      <c r="AE117" s="391"/>
      <c r="AF117" s="391"/>
      <c r="AG117" s="391"/>
    </row>
    <row r="118" spans="1:36" outlineLevel="1" x14ac:dyDescent="0.45">
      <c r="C118" s="391"/>
      <c r="D118" s="391"/>
      <c r="E118" s="391"/>
      <c r="F118" s="391"/>
      <c r="G118" s="391"/>
      <c r="H118" s="391"/>
      <c r="I118" s="391"/>
      <c r="J118" s="391"/>
      <c r="K118" s="391"/>
      <c r="L118" s="391"/>
      <c r="M118" s="391"/>
      <c r="N118" s="391"/>
      <c r="O118" s="391"/>
      <c r="P118" s="391"/>
      <c r="Q118" s="391"/>
      <c r="S118" s="391"/>
      <c r="T118" s="391"/>
      <c r="U118" s="391"/>
      <c r="V118" s="391"/>
      <c r="W118" s="391"/>
      <c r="X118" s="391"/>
      <c r="Y118" s="391"/>
      <c r="Z118" s="391"/>
      <c r="AA118" s="391"/>
      <c r="AB118" s="391"/>
      <c r="AC118" s="391"/>
      <c r="AD118" s="391"/>
      <c r="AE118" s="391"/>
      <c r="AF118" s="391"/>
      <c r="AG118" s="391"/>
    </row>
    <row r="119" spans="1:36" outlineLevel="1" x14ac:dyDescent="0.45">
      <c r="C119" s="391"/>
      <c r="D119" s="391"/>
      <c r="E119" s="391"/>
      <c r="F119" s="391"/>
      <c r="G119" s="391"/>
      <c r="H119" s="391"/>
      <c r="I119" s="391"/>
      <c r="J119" s="391"/>
      <c r="K119" s="391"/>
      <c r="L119" s="391"/>
      <c r="M119" s="391"/>
      <c r="N119" s="391"/>
      <c r="O119" s="391"/>
      <c r="P119" s="391"/>
      <c r="Q119" s="391"/>
      <c r="S119" s="391"/>
      <c r="T119" s="391"/>
      <c r="U119" s="391"/>
      <c r="V119" s="391"/>
      <c r="W119" s="391"/>
      <c r="X119" s="391"/>
      <c r="Y119" s="391"/>
      <c r="Z119" s="391"/>
      <c r="AA119" s="391"/>
      <c r="AB119" s="391"/>
      <c r="AC119" s="391"/>
      <c r="AD119" s="391"/>
      <c r="AE119" s="391"/>
      <c r="AF119" s="391"/>
      <c r="AG119" s="391"/>
    </row>
    <row r="120" spans="1:36" outlineLevel="1" x14ac:dyDescent="0.45"/>
    <row r="121" spans="1:36" x14ac:dyDescent="0.45">
      <c r="C121" s="385">
        <v>46327</v>
      </c>
      <c r="D121" s="375"/>
      <c r="E121" s="375"/>
      <c r="F121" s="375"/>
      <c r="G121" s="375"/>
      <c r="H121" s="375"/>
      <c r="I121" s="375"/>
      <c r="J121" s="375"/>
      <c r="K121" s="375"/>
      <c r="L121" s="375"/>
      <c r="M121" s="375"/>
      <c r="N121" s="375"/>
      <c r="O121" s="375"/>
      <c r="P121" s="375"/>
      <c r="Q121" s="375"/>
      <c r="R121" s="375"/>
      <c r="S121" s="375"/>
      <c r="T121" s="375"/>
      <c r="U121" s="375"/>
      <c r="V121" s="375"/>
      <c r="W121" s="375"/>
      <c r="X121" s="375"/>
      <c r="Y121" s="375"/>
      <c r="Z121" s="375"/>
      <c r="AA121" s="375"/>
      <c r="AB121" s="375"/>
      <c r="AC121" s="375"/>
      <c r="AD121" s="375"/>
      <c r="AE121" s="375"/>
      <c r="AF121" s="375"/>
      <c r="AG121" s="375"/>
    </row>
    <row r="122" spans="1:36" outlineLevel="1" x14ac:dyDescent="0.45">
      <c r="C122" s="23" t="str">
        <f t="shared" ref="C122:AG122" si="20">TEXT(C123,"aaa")</f>
        <v>日</v>
      </c>
      <c r="D122" s="23" t="str">
        <f t="shared" si="20"/>
        <v>月</v>
      </c>
      <c r="E122" s="23" t="str">
        <f t="shared" si="20"/>
        <v>火</v>
      </c>
      <c r="F122" s="23" t="str">
        <f t="shared" si="20"/>
        <v>水</v>
      </c>
      <c r="G122" s="23" t="str">
        <f t="shared" si="20"/>
        <v>木</v>
      </c>
      <c r="H122" s="23" t="str">
        <f t="shared" si="20"/>
        <v>金</v>
      </c>
      <c r="I122" s="23" t="str">
        <f t="shared" si="20"/>
        <v>土</v>
      </c>
      <c r="J122" s="23" t="str">
        <f t="shared" si="20"/>
        <v>日</v>
      </c>
      <c r="K122" s="23" t="str">
        <f t="shared" si="20"/>
        <v>月</v>
      </c>
      <c r="L122" s="23" t="str">
        <f t="shared" si="20"/>
        <v>火</v>
      </c>
      <c r="M122" s="23" t="str">
        <f t="shared" si="20"/>
        <v>水</v>
      </c>
      <c r="N122" s="23" t="str">
        <f t="shared" si="20"/>
        <v>木</v>
      </c>
      <c r="O122" s="23" t="str">
        <f t="shared" si="20"/>
        <v>金</v>
      </c>
      <c r="P122" s="23" t="str">
        <f t="shared" si="20"/>
        <v>土</v>
      </c>
      <c r="Q122" s="23" t="str">
        <f t="shared" si="20"/>
        <v>日</v>
      </c>
      <c r="R122" s="23" t="str">
        <f t="shared" si="20"/>
        <v>月</v>
      </c>
      <c r="S122" s="23" t="str">
        <f t="shared" si="20"/>
        <v>火</v>
      </c>
      <c r="T122" s="23" t="str">
        <f t="shared" si="20"/>
        <v>水</v>
      </c>
      <c r="U122" s="23" t="str">
        <f t="shared" si="20"/>
        <v>木</v>
      </c>
      <c r="V122" s="23" t="str">
        <f t="shared" si="20"/>
        <v>金</v>
      </c>
      <c r="W122" s="23" t="str">
        <f t="shared" si="20"/>
        <v>土</v>
      </c>
      <c r="X122" s="23" t="str">
        <f t="shared" si="20"/>
        <v>日</v>
      </c>
      <c r="Y122" s="23" t="str">
        <f t="shared" si="20"/>
        <v>月</v>
      </c>
      <c r="Z122" s="23" t="str">
        <f t="shared" si="20"/>
        <v>火</v>
      </c>
      <c r="AA122" s="23" t="str">
        <f t="shared" si="20"/>
        <v>水</v>
      </c>
      <c r="AB122" s="23" t="str">
        <f t="shared" si="20"/>
        <v>木</v>
      </c>
      <c r="AC122" s="23" t="str">
        <f t="shared" si="20"/>
        <v>金</v>
      </c>
      <c r="AD122" s="23" t="str">
        <f t="shared" si="20"/>
        <v>土</v>
      </c>
      <c r="AE122" s="23" t="str">
        <f t="shared" si="20"/>
        <v>日</v>
      </c>
      <c r="AF122" s="23" t="str">
        <f t="shared" si="20"/>
        <v>月</v>
      </c>
      <c r="AG122" s="23" t="str">
        <f t="shared" si="20"/>
        <v/>
      </c>
      <c r="AI122" s="19" t="s">
        <v>41</v>
      </c>
      <c r="AJ122" s="21">
        <f>COUNT(C124:AG124)</f>
        <v>19</v>
      </c>
    </row>
    <row r="123" spans="1:36" outlineLevel="1" x14ac:dyDescent="0.45">
      <c r="C123" s="25">
        <f>C121</f>
        <v>46327</v>
      </c>
      <c r="D123" s="25">
        <f t="shared" ref="D123:AG123" si="21">IF(C123="","",IF(C123+1&lt;=EOMONTH($C121,0),C123+1,""))</f>
        <v>46328</v>
      </c>
      <c r="E123" s="25">
        <f t="shared" si="21"/>
        <v>46329</v>
      </c>
      <c r="F123" s="25">
        <f t="shared" si="21"/>
        <v>46330</v>
      </c>
      <c r="G123" s="25">
        <f t="shared" si="21"/>
        <v>46331</v>
      </c>
      <c r="H123" s="25">
        <f t="shared" si="21"/>
        <v>46332</v>
      </c>
      <c r="I123" s="25">
        <f t="shared" si="21"/>
        <v>46333</v>
      </c>
      <c r="J123" s="25">
        <f t="shared" si="21"/>
        <v>46334</v>
      </c>
      <c r="K123" s="25">
        <f t="shared" si="21"/>
        <v>46335</v>
      </c>
      <c r="L123" s="25">
        <f t="shared" si="21"/>
        <v>46336</v>
      </c>
      <c r="M123" s="25">
        <f t="shared" si="21"/>
        <v>46337</v>
      </c>
      <c r="N123" s="25">
        <f t="shared" si="21"/>
        <v>46338</v>
      </c>
      <c r="O123" s="25">
        <f t="shared" si="21"/>
        <v>46339</v>
      </c>
      <c r="P123" s="25">
        <f t="shared" si="21"/>
        <v>46340</v>
      </c>
      <c r="Q123" s="25">
        <f t="shared" si="21"/>
        <v>46341</v>
      </c>
      <c r="R123" s="25">
        <f t="shared" si="21"/>
        <v>46342</v>
      </c>
      <c r="S123" s="25">
        <f t="shared" si="21"/>
        <v>46343</v>
      </c>
      <c r="T123" s="25">
        <f t="shared" si="21"/>
        <v>46344</v>
      </c>
      <c r="U123" s="25">
        <f t="shared" si="21"/>
        <v>46345</v>
      </c>
      <c r="V123" s="25">
        <f t="shared" si="21"/>
        <v>46346</v>
      </c>
      <c r="W123" s="25">
        <f t="shared" si="21"/>
        <v>46347</v>
      </c>
      <c r="X123" s="25">
        <f t="shared" si="21"/>
        <v>46348</v>
      </c>
      <c r="Y123" s="25">
        <f t="shared" si="21"/>
        <v>46349</v>
      </c>
      <c r="Z123" s="25">
        <f t="shared" si="21"/>
        <v>46350</v>
      </c>
      <c r="AA123" s="25">
        <f t="shared" si="21"/>
        <v>46351</v>
      </c>
      <c r="AB123" s="25">
        <f t="shared" si="21"/>
        <v>46352</v>
      </c>
      <c r="AC123" s="25">
        <f t="shared" si="21"/>
        <v>46353</v>
      </c>
      <c r="AD123" s="25">
        <f t="shared" si="21"/>
        <v>46354</v>
      </c>
      <c r="AE123" s="25">
        <f t="shared" si="21"/>
        <v>46355</v>
      </c>
      <c r="AF123" s="25">
        <f t="shared" si="21"/>
        <v>46356</v>
      </c>
      <c r="AG123" s="25" t="str">
        <f t="shared" si="21"/>
        <v/>
      </c>
      <c r="AI123" s="19" t="s">
        <v>42</v>
      </c>
      <c r="AJ123" s="2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9" t="s">
        <v>38</v>
      </c>
      <c r="C124" s="18"/>
      <c r="D124" s="18">
        <v>8</v>
      </c>
      <c r="E124" s="18"/>
      <c r="F124" s="18">
        <v>8</v>
      </c>
      <c r="G124" s="18">
        <v>8</v>
      </c>
      <c r="H124" s="18">
        <v>8</v>
      </c>
      <c r="I124" s="18"/>
      <c r="J124" s="18"/>
      <c r="K124" s="18">
        <v>8</v>
      </c>
      <c r="L124" s="18">
        <v>8</v>
      </c>
      <c r="M124" s="18">
        <v>8</v>
      </c>
      <c r="N124" s="18">
        <v>8</v>
      </c>
      <c r="O124" s="18">
        <v>8</v>
      </c>
      <c r="P124" s="18"/>
      <c r="Q124" s="18"/>
      <c r="R124" s="18">
        <v>8</v>
      </c>
      <c r="S124" s="18">
        <v>8</v>
      </c>
      <c r="T124" s="18">
        <v>8</v>
      </c>
      <c r="U124" s="18">
        <v>8</v>
      </c>
      <c r="V124" s="18">
        <v>8</v>
      </c>
      <c r="W124" s="18"/>
      <c r="X124" s="18"/>
      <c r="Y124" s="18"/>
      <c r="Z124" s="18">
        <v>8</v>
      </c>
      <c r="AA124" s="18">
        <v>8</v>
      </c>
      <c r="AB124" s="18">
        <v>8</v>
      </c>
      <c r="AC124" s="18">
        <v>8</v>
      </c>
      <c r="AD124" s="18"/>
      <c r="AE124" s="18"/>
      <c r="AF124" s="18">
        <v>8</v>
      </c>
      <c r="AG124" s="18"/>
      <c r="AI124" s="23" t="s">
        <v>43</v>
      </c>
      <c r="AJ124" s="26">
        <f>COUNT(C125:AG125)</f>
        <v>19</v>
      </c>
    </row>
    <row r="125" spans="1:36" outlineLevel="1" x14ac:dyDescent="0.45">
      <c r="A125" s="23" t="s">
        <v>39</v>
      </c>
      <c r="C125" s="23"/>
      <c r="D125" s="23">
        <v>8</v>
      </c>
      <c r="E125" s="23"/>
      <c r="F125" s="23">
        <v>8</v>
      </c>
      <c r="G125" s="23">
        <v>8</v>
      </c>
      <c r="H125" s="23">
        <v>8</v>
      </c>
      <c r="I125" s="23"/>
      <c r="J125" s="23"/>
      <c r="K125" s="23">
        <v>8</v>
      </c>
      <c r="L125" s="23">
        <v>8</v>
      </c>
      <c r="M125" s="23">
        <v>8</v>
      </c>
      <c r="N125" s="23">
        <v>8</v>
      </c>
      <c r="O125" s="23">
        <v>8</v>
      </c>
      <c r="P125" s="23"/>
      <c r="Q125" s="23"/>
      <c r="R125" s="23">
        <v>8</v>
      </c>
      <c r="S125" s="23">
        <v>8</v>
      </c>
      <c r="T125" s="23">
        <v>8</v>
      </c>
      <c r="U125" s="23">
        <v>8</v>
      </c>
      <c r="V125" s="23">
        <v>8</v>
      </c>
      <c r="W125" s="23"/>
      <c r="X125" s="23"/>
      <c r="Y125" s="23"/>
      <c r="Z125" s="23">
        <v>8</v>
      </c>
      <c r="AA125" s="23">
        <v>8</v>
      </c>
      <c r="AB125" s="23">
        <v>8</v>
      </c>
      <c r="AC125" s="23">
        <v>8</v>
      </c>
      <c r="AD125" s="23"/>
      <c r="AE125" s="23"/>
      <c r="AF125" s="23">
        <v>8</v>
      </c>
      <c r="AG125" s="23"/>
      <c r="AI125" s="23" t="s">
        <v>44</v>
      </c>
      <c r="AJ125" s="24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3" t="s">
        <v>37</v>
      </c>
      <c r="C126" s="23"/>
      <c r="D126" s="23" t="s">
        <v>22</v>
      </c>
      <c r="E126" s="23"/>
      <c r="F126" s="23" t="s">
        <v>22</v>
      </c>
      <c r="G126" s="23" t="s">
        <v>22</v>
      </c>
      <c r="H126" s="23" t="s">
        <v>22</v>
      </c>
      <c r="I126" s="23"/>
      <c r="J126" s="23"/>
      <c r="K126" s="23" t="s">
        <v>22</v>
      </c>
      <c r="L126" s="23" t="s">
        <v>22</v>
      </c>
      <c r="M126" s="23" t="s">
        <v>22</v>
      </c>
      <c r="N126" s="23" t="s">
        <v>22</v>
      </c>
      <c r="O126" s="23" t="s">
        <v>22</v>
      </c>
      <c r="P126" s="23"/>
      <c r="Q126" s="23"/>
      <c r="R126" s="23" t="s">
        <v>22</v>
      </c>
      <c r="S126" s="23" t="s">
        <v>22</v>
      </c>
      <c r="T126" s="23" t="s">
        <v>22</v>
      </c>
      <c r="U126" s="23" t="s">
        <v>22</v>
      </c>
      <c r="V126" s="23" t="s">
        <v>22</v>
      </c>
      <c r="W126" s="23"/>
      <c r="X126" s="23"/>
      <c r="Y126" s="23"/>
      <c r="Z126" s="23" t="s">
        <v>22</v>
      </c>
      <c r="AA126" s="23" t="s">
        <v>22</v>
      </c>
      <c r="AB126" s="23" t="s">
        <v>22</v>
      </c>
      <c r="AC126" s="23" t="s">
        <v>22</v>
      </c>
      <c r="AD126" s="23"/>
      <c r="AE126" s="23"/>
      <c r="AF126" s="23" t="s">
        <v>22</v>
      </c>
      <c r="AG126" s="23"/>
      <c r="AI126" s="23" t="s">
        <v>45</v>
      </c>
      <c r="AJ126" s="26">
        <f>COUNTIF(C126:AG126,"出")</f>
        <v>0</v>
      </c>
    </row>
    <row r="127" spans="1:36" outlineLevel="1" x14ac:dyDescent="0.45">
      <c r="A127" s="23" t="s">
        <v>40</v>
      </c>
      <c r="C127" s="391"/>
      <c r="D127" s="391"/>
      <c r="E127" s="391"/>
      <c r="F127" s="391"/>
      <c r="G127" s="391"/>
      <c r="H127" s="391"/>
      <c r="I127" s="391"/>
      <c r="J127" s="391"/>
      <c r="K127" s="391"/>
      <c r="L127" s="391"/>
      <c r="M127" s="391"/>
      <c r="N127" s="391"/>
      <c r="O127" s="391"/>
      <c r="P127" s="391"/>
      <c r="Q127" s="391"/>
      <c r="S127" s="391"/>
      <c r="T127" s="391"/>
      <c r="U127" s="391"/>
      <c r="V127" s="391"/>
      <c r="W127" s="391"/>
      <c r="X127" s="391"/>
      <c r="Y127" s="391"/>
      <c r="Z127" s="391"/>
      <c r="AA127" s="391"/>
      <c r="AB127" s="391"/>
      <c r="AC127" s="391"/>
      <c r="AD127" s="391"/>
      <c r="AE127" s="391"/>
      <c r="AF127" s="391"/>
      <c r="AG127" s="391"/>
      <c r="AI127" s="23" t="s">
        <v>46</v>
      </c>
      <c r="AJ127" s="26">
        <f>COUNTIF(C126:AG126,"リ")</f>
        <v>19</v>
      </c>
    </row>
    <row r="128" spans="1:36" outlineLevel="1" x14ac:dyDescent="0.45">
      <c r="C128" s="391"/>
      <c r="D128" s="391"/>
      <c r="E128" s="391"/>
      <c r="F128" s="391"/>
      <c r="G128" s="391"/>
      <c r="H128" s="391"/>
      <c r="I128" s="391"/>
      <c r="J128" s="391"/>
      <c r="K128" s="391"/>
      <c r="L128" s="391"/>
      <c r="M128" s="391"/>
      <c r="N128" s="391"/>
      <c r="O128" s="391"/>
      <c r="P128" s="391"/>
      <c r="Q128" s="391"/>
      <c r="S128" s="391"/>
      <c r="T128" s="391"/>
      <c r="U128" s="391"/>
      <c r="V128" s="391"/>
      <c r="W128" s="391"/>
      <c r="X128" s="391"/>
      <c r="Y128" s="391"/>
      <c r="Z128" s="391"/>
      <c r="AA128" s="391"/>
      <c r="AB128" s="391"/>
      <c r="AC128" s="391"/>
      <c r="AD128" s="391"/>
      <c r="AE128" s="391"/>
      <c r="AF128" s="391"/>
      <c r="AG128" s="391"/>
      <c r="AI128" s="23" t="s">
        <v>25</v>
      </c>
      <c r="AJ128" s="27">
        <f>AJ126/(AJ126+AJ127)</f>
        <v>0</v>
      </c>
    </row>
    <row r="129" spans="1:36" outlineLevel="1" x14ac:dyDescent="0.45">
      <c r="C129" s="391"/>
      <c r="D129" s="391"/>
      <c r="E129" s="391"/>
      <c r="F129" s="391"/>
      <c r="G129" s="391"/>
      <c r="H129" s="391"/>
      <c r="I129" s="391"/>
      <c r="J129" s="391"/>
      <c r="K129" s="391"/>
      <c r="L129" s="391"/>
      <c r="M129" s="391"/>
      <c r="N129" s="391"/>
      <c r="O129" s="391"/>
      <c r="P129" s="391"/>
      <c r="Q129" s="391"/>
      <c r="S129" s="391"/>
      <c r="T129" s="391"/>
      <c r="U129" s="391"/>
      <c r="V129" s="391"/>
      <c r="W129" s="391"/>
      <c r="X129" s="391"/>
      <c r="Y129" s="391"/>
      <c r="Z129" s="391"/>
      <c r="AA129" s="391"/>
      <c r="AB129" s="391"/>
      <c r="AC129" s="391"/>
      <c r="AD129" s="391"/>
      <c r="AE129" s="391"/>
      <c r="AF129" s="391"/>
      <c r="AG129" s="391"/>
    </row>
    <row r="130" spans="1:36" outlineLevel="1" x14ac:dyDescent="0.45">
      <c r="C130" s="391"/>
      <c r="D130" s="391"/>
      <c r="E130" s="391"/>
      <c r="F130" s="391"/>
      <c r="G130" s="391"/>
      <c r="H130" s="391"/>
      <c r="I130" s="391"/>
      <c r="J130" s="391"/>
      <c r="K130" s="391"/>
      <c r="L130" s="391"/>
      <c r="M130" s="391"/>
      <c r="N130" s="391"/>
      <c r="O130" s="391"/>
      <c r="P130" s="391"/>
      <c r="Q130" s="391"/>
      <c r="S130" s="391"/>
      <c r="T130" s="391"/>
      <c r="U130" s="391"/>
      <c r="V130" s="391"/>
      <c r="W130" s="391"/>
      <c r="X130" s="391"/>
      <c r="Y130" s="391"/>
      <c r="Z130" s="391"/>
      <c r="AA130" s="391"/>
      <c r="AB130" s="391"/>
      <c r="AC130" s="391"/>
      <c r="AD130" s="391"/>
      <c r="AE130" s="391"/>
      <c r="AF130" s="391"/>
      <c r="AG130" s="391"/>
    </row>
    <row r="131" spans="1:36" outlineLevel="1" x14ac:dyDescent="0.45">
      <c r="C131" s="391"/>
      <c r="D131" s="391"/>
      <c r="E131" s="391"/>
      <c r="F131" s="391"/>
      <c r="G131" s="391"/>
      <c r="H131" s="391"/>
      <c r="I131" s="391"/>
      <c r="J131" s="391"/>
      <c r="K131" s="391"/>
      <c r="L131" s="391"/>
      <c r="M131" s="391"/>
      <c r="N131" s="391"/>
      <c r="O131" s="391"/>
      <c r="P131" s="391"/>
      <c r="Q131" s="391"/>
      <c r="S131" s="391"/>
      <c r="T131" s="391"/>
      <c r="U131" s="391"/>
      <c r="V131" s="391"/>
      <c r="W131" s="391"/>
      <c r="X131" s="391"/>
      <c r="Y131" s="391"/>
      <c r="Z131" s="391"/>
      <c r="AA131" s="391"/>
      <c r="AB131" s="391"/>
      <c r="AC131" s="391"/>
      <c r="AD131" s="391"/>
      <c r="AE131" s="391"/>
      <c r="AF131" s="391"/>
      <c r="AG131" s="391"/>
    </row>
    <row r="132" spans="1:36" outlineLevel="1" x14ac:dyDescent="0.45"/>
    <row r="133" spans="1:36" x14ac:dyDescent="0.45">
      <c r="C133" s="385">
        <v>46357</v>
      </c>
      <c r="D133" s="375"/>
      <c r="E133" s="375"/>
      <c r="F133" s="375"/>
      <c r="G133" s="375"/>
      <c r="H133" s="375"/>
      <c r="I133" s="375"/>
      <c r="J133" s="375"/>
      <c r="K133" s="375"/>
      <c r="L133" s="375"/>
      <c r="M133" s="375"/>
      <c r="N133" s="375"/>
      <c r="O133" s="375"/>
      <c r="P133" s="375"/>
      <c r="Q133" s="375"/>
      <c r="R133" s="375"/>
      <c r="S133" s="375"/>
      <c r="T133" s="375"/>
      <c r="U133" s="375"/>
      <c r="V133" s="375"/>
      <c r="W133" s="375"/>
      <c r="X133" s="375"/>
      <c r="Y133" s="375"/>
      <c r="Z133" s="375"/>
      <c r="AA133" s="375"/>
      <c r="AB133" s="375"/>
      <c r="AC133" s="375"/>
      <c r="AD133" s="375"/>
      <c r="AE133" s="375"/>
      <c r="AF133" s="375"/>
      <c r="AG133" s="375"/>
    </row>
    <row r="134" spans="1:36" outlineLevel="1" x14ac:dyDescent="0.45">
      <c r="C134" s="23" t="str">
        <f t="shared" ref="C134:AG134" si="22">TEXT(C135,"aaa")</f>
        <v>火</v>
      </c>
      <c r="D134" s="23" t="str">
        <f t="shared" si="22"/>
        <v>水</v>
      </c>
      <c r="E134" s="23" t="str">
        <f t="shared" si="22"/>
        <v>木</v>
      </c>
      <c r="F134" s="23" t="str">
        <f t="shared" si="22"/>
        <v>金</v>
      </c>
      <c r="G134" s="23" t="str">
        <f t="shared" si="22"/>
        <v>土</v>
      </c>
      <c r="H134" s="23" t="str">
        <f t="shared" si="22"/>
        <v>日</v>
      </c>
      <c r="I134" s="23" t="str">
        <f t="shared" si="22"/>
        <v>月</v>
      </c>
      <c r="J134" s="23" t="str">
        <f t="shared" si="22"/>
        <v>火</v>
      </c>
      <c r="K134" s="23" t="str">
        <f t="shared" si="22"/>
        <v>水</v>
      </c>
      <c r="L134" s="23" t="str">
        <f t="shared" si="22"/>
        <v>木</v>
      </c>
      <c r="M134" s="23" t="str">
        <f t="shared" si="22"/>
        <v>金</v>
      </c>
      <c r="N134" s="23" t="str">
        <f t="shared" si="22"/>
        <v>土</v>
      </c>
      <c r="O134" s="23" t="str">
        <f t="shared" si="22"/>
        <v>日</v>
      </c>
      <c r="P134" s="23" t="str">
        <f t="shared" si="22"/>
        <v>月</v>
      </c>
      <c r="Q134" s="23" t="str">
        <f t="shared" si="22"/>
        <v>火</v>
      </c>
      <c r="R134" s="23" t="str">
        <f t="shared" si="22"/>
        <v>水</v>
      </c>
      <c r="S134" s="23" t="str">
        <f t="shared" si="22"/>
        <v>木</v>
      </c>
      <c r="T134" s="23" t="str">
        <f t="shared" si="22"/>
        <v>金</v>
      </c>
      <c r="U134" s="23" t="str">
        <f t="shared" si="22"/>
        <v>土</v>
      </c>
      <c r="V134" s="23" t="str">
        <f t="shared" si="22"/>
        <v>日</v>
      </c>
      <c r="W134" s="23" t="str">
        <f t="shared" si="22"/>
        <v>月</v>
      </c>
      <c r="X134" s="23" t="str">
        <f t="shared" si="22"/>
        <v>火</v>
      </c>
      <c r="Y134" s="23" t="str">
        <f t="shared" si="22"/>
        <v>水</v>
      </c>
      <c r="Z134" s="23" t="str">
        <f t="shared" si="22"/>
        <v>木</v>
      </c>
      <c r="AA134" s="23" t="str">
        <f t="shared" si="22"/>
        <v>金</v>
      </c>
      <c r="AB134" s="23" t="str">
        <f t="shared" si="22"/>
        <v>土</v>
      </c>
      <c r="AC134" s="23" t="str">
        <f t="shared" si="22"/>
        <v>日</v>
      </c>
      <c r="AD134" s="23" t="str">
        <f t="shared" si="22"/>
        <v>月</v>
      </c>
      <c r="AE134" s="23" t="str">
        <f t="shared" si="22"/>
        <v>火</v>
      </c>
      <c r="AF134" s="23" t="str">
        <f t="shared" si="22"/>
        <v>水</v>
      </c>
      <c r="AG134" s="23" t="str">
        <f t="shared" si="22"/>
        <v>木</v>
      </c>
      <c r="AI134" s="19" t="s">
        <v>41</v>
      </c>
      <c r="AJ134" s="21">
        <f>COUNT(C136:AG136)</f>
        <v>20</v>
      </c>
    </row>
    <row r="135" spans="1:36" outlineLevel="1" x14ac:dyDescent="0.45">
      <c r="C135" s="25">
        <f>C133</f>
        <v>46357</v>
      </c>
      <c r="D135" s="25">
        <f t="shared" ref="D135:AG135" si="23">IF(C135="","",IF(C135+1&lt;=EOMONTH($C133,0),C135+1,""))</f>
        <v>46358</v>
      </c>
      <c r="E135" s="25">
        <f t="shared" si="23"/>
        <v>46359</v>
      </c>
      <c r="F135" s="25">
        <f t="shared" si="23"/>
        <v>46360</v>
      </c>
      <c r="G135" s="25">
        <f t="shared" si="23"/>
        <v>46361</v>
      </c>
      <c r="H135" s="25">
        <f t="shared" si="23"/>
        <v>46362</v>
      </c>
      <c r="I135" s="25">
        <f t="shared" si="23"/>
        <v>46363</v>
      </c>
      <c r="J135" s="25">
        <f t="shared" si="23"/>
        <v>46364</v>
      </c>
      <c r="K135" s="25">
        <f t="shared" si="23"/>
        <v>46365</v>
      </c>
      <c r="L135" s="25">
        <f t="shared" si="23"/>
        <v>46366</v>
      </c>
      <c r="M135" s="25">
        <f t="shared" si="23"/>
        <v>46367</v>
      </c>
      <c r="N135" s="25">
        <f t="shared" si="23"/>
        <v>46368</v>
      </c>
      <c r="O135" s="25">
        <f t="shared" si="23"/>
        <v>46369</v>
      </c>
      <c r="P135" s="25">
        <f t="shared" si="23"/>
        <v>46370</v>
      </c>
      <c r="Q135" s="25">
        <f t="shared" si="23"/>
        <v>46371</v>
      </c>
      <c r="R135" s="25">
        <f t="shared" si="23"/>
        <v>46372</v>
      </c>
      <c r="S135" s="25">
        <f t="shared" si="23"/>
        <v>46373</v>
      </c>
      <c r="T135" s="25">
        <f t="shared" si="23"/>
        <v>46374</v>
      </c>
      <c r="U135" s="25">
        <f t="shared" si="23"/>
        <v>46375</v>
      </c>
      <c r="V135" s="25">
        <f t="shared" si="23"/>
        <v>46376</v>
      </c>
      <c r="W135" s="25">
        <f t="shared" si="23"/>
        <v>46377</v>
      </c>
      <c r="X135" s="25">
        <f t="shared" si="23"/>
        <v>46378</v>
      </c>
      <c r="Y135" s="25">
        <f t="shared" si="23"/>
        <v>46379</v>
      </c>
      <c r="Z135" s="25">
        <f t="shared" si="23"/>
        <v>46380</v>
      </c>
      <c r="AA135" s="25">
        <f t="shared" si="23"/>
        <v>46381</v>
      </c>
      <c r="AB135" s="25">
        <f t="shared" si="23"/>
        <v>46382</v>
      </c>
      <c r="AC135" s="25">
        <f t="shared" si="23"/>
        <v>46383</v>
      </c>
      <c r="AD135" s="25">
        <f t="shared" si="23"/>
        <v>46384</v>
      </c>
      <c r="AE135" s="25">
        <f t="shared" si="23"/>
        <v>46385</v>
      </c>
      <c r="AF135" s="25">
        <f t="shared" si="23"/>
        <v>46386</v>
      </c>
      <c r="AG135" s="25">
        <f t="shared" si="23"/>
        <v>46387</v>
      </c>
      <c r="AI135" s="19" t="s">
        <v>42</v>
      </c>
      <c r="AJ135" s="2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9" t="s">
        <v>38</v>
      </c>
      <c r="C136" s="18">
        <v>8</v>
      </c>
      <c r="D136" s="18">
        <v>8</v>
      </c>
      <c r="E136" s="18">
        <v>8</v>
      </c>
      <c r="F136" s="18">
        <v>8</v>
      </c>
      <c r="G136" s="18"/>
      <c r="H136" s="18"/>
      <c r="I136" s="18">
        <v>8</v>
      </c>
      <c r="J136" s="18">
        <v>8</v>
      </c>
      <c r="K136" s="18">
        <v>8</v>
      </c>
      <c r="L136" s="18">
        <v>8</v>
      </c>
      <c r="M136" s="18">
        <v>8</v>
      </c>
      <c r="N136" s="18"/>
      <c r="O136" s="18"/>
      <c r="P136" s="18">
        <v>8</v>
      </c>
      <c r="Q136" s="18">
        <v>8</v>
      </c>
      <c r="R136" s="18">
        <v>8</v>
      </c>
      <c r="S136" s="18">
        <v>8</v>
      </c>
      <c r="T136" s="18">
        <v>8</v>
      </c>
      <c r="U136" s="18"/>
      <c r="V136" s="18"/>
      <c r="W136" s="18">
        <v>8</v>
      </c>
      <c r="X136" s="18">
        <v>8</v>
      </c>
      <c r="Y136" s="18">
        <v>8</v>
      </c>
      <c r="Z136" s="18">
        <v>8</v>
      </c>
      <c r="AA136" s="18">
        <v>8</v>
      </c>
      <c r="AB136" s="18"/>
      <c r="AC136" s="18"/>
      <c r="AD136" s="18">
        <v>8</v>
      </c>
      <c r="AE136" s="18"/>
      <c r="AF136" s="18"/>
      <c r="AG136" s="18"/>
      <c r="AI136" s="23" t="s">
        <v>43</v>
      </c>
      <c r="AJ136" s="26">
        <f>COUNT(C137:AG137)</f>
        <v>20</v>
      </c>
    </row>
    <row r="137" spans="1:36" outlineLevel="1" x14ac:dyDescent="0.45">
      <c r="A137" s="23" t="s">
        <v>39</v>
      </c>
      <c r="C137" s="23">
        <v>8</v>
      </c>
      <c r="D137" s="23">
        <v>8</v>
      </c>
      <c r="E137" s="23">
        <v>8</v>
      </c>
      <c r="F137" s="23">
        <v>8</v>
      </c>
      <c r="G137" s="23"/>
      <c r="H137" s="23"/>
      <c r="I137" s="23">
        <v>8</v>
      </c>
      <c r="J137" s="23">
        <v>8</v>
      </c>
      <c r="K137" s="23">
        <v>8</v>
      </c>
      <c r="L137" s="23">
        <v>8</v>
      </c>
      <c r="M137" s="23">
        <v>8</v>
      </c>
      <c r="N137" s="23"/>
      <c r="O137" s="23"/>
      <c r="P137" s="23">
        <v>8</v>
      </c>
      <c r="Q137" s="23">
        <v>8</v>
      </c>
      <c r="R137" s="23">
        <v>8</v>
      </c>
      <c r="S137" s="23">
        <v>8</v>
      </c>
      <c r="T137" s="23">
        <v>8</v>
      </c>
      <c r="U137" s="23"/>
      <c r="V137" s="23"/>
      <c r="W137" s="23">
        <v>8</v>
      </c>
      <c r="X137" s="23">
        <v>8</v>
      </c>
      <c r="Y137" s="23">
        <v>8</v>
      </c>
      <c r="Z137" s="23">
        <v>8</v>
      </c>
      <c r="AA137" s="23">
        <v>8</v>
      </c>
      <c r="AB137" s="23"/>
      <c r="AC137" s="23"/>
      <c r="AD137" s="23">
        <v>8</v>
      </c>
      <c r="AE137" s="23"/>
      <c r="AF137" s="23"/>
      <c r="AG137" s="23"/>
      <c r="AI137" s="23" t="s">
        <v>44</v>
      </c>
      <c r="AJ137" s="24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3" t="s">
        <v>37</v>
      </c>
      <c r="C138" s="23" t="s">
        <v>22</v>
      </c>
      <c r="D138" s="23" t="s">
        <v>22</v>
      </c>
      <c r="E138" s="23" t="s">
        <v>22</v>
      </c>
      <c r="F138" s="23" t="s">
        <v>22</v>
      </c>
      <c r="G138" s="23"/>
      <c r="H138" s="23"/>
      <c r="I138" s="23" t="s">
        <v>22</v>
      </c>
      <c r="J138" s="23" t="s">
        <v>22</v>
      </c>
      <c r="K138" s="23" t="s">
        <v>22</v>
      </c>
      <c r="L138" s="23" t="s">
        <v>22</v>
      </c>
      <c r="M138" s="23" t="s">
        <v>22</v>
      </c>
      <c r="N138" s="23"/>
      <c r="O138" s="23"/>
      <c r="P138" s="23" t="s">
        <v>22</v>
      </c>
      <c r="Q138" s="23" t="s">
        <v>22</v>
      </c>
      <c r="R138" s="23" t="s">
        <v>22</v>
      </c>
      <c r="S138" s="23" t="s">
        <v>22</v>
      </c>
      <c r="T138" s="23" t="s">
        <v>22</v>
      </c>
      <c r="U138" s="23"/>
      <c r="V138" s="23"/>
      <c r="W138" s="23" t="s">
        <v>22</v>
      </c>
      <c r="X138" s="23" t="s">
        <v>22</v>
      </c>
      <c r="Y138" s="23" t="s">
        <v>22</v>
      </c>
      <c r="Z138" s="23" t="s">
        <v>22</v>
      </c>
      <c r="AA138" s="23" t="s">
        <v>22</v>
      </c>
      <c r="AB138" s="23"/>
      <c r="AC138" s="23"/>
      <c r="AD138" s="23" t="s">
        <v>22</v>
      </c>
      <c r="AE138" s="23"/>
      <c r="AF138" s="23"/>
      <c r="AG138" s="23"/>
      <c r="AI138" s="23" t="s">
        <v>45</v>
      </c>
      <c r="AJ138" s="26">
        <f>COUNTIF(C138:AG138,"出")</f>
        <v>0</v>
      </c>
    </row>
    <row r="139" spans="1:36" outlineLevel="1" x14ac:dyDescent="0.45">
      <c r="A139" s="23" t="s">
        <v>40</v>
      </c>
      <c r="C139" s="391"/>
      <c r="D139" s="391"/>
      <c r="E139" s="391"/>
      <c r="F139" s="391"/>
      <c r="G139" s="391"/>
      <c r="H139" s="391"/>
      <c r="I139" s="391"/>
      <c r="J139" s="391"/>
      <c r="K139" s="391"/>
      <c r="L139" s="391"/>
      <c r="M139" s="391"/>
      <c r="N139" s="391"/>
      <c r="O139" s="391"/>
      <c r="P139" s="391"/>
      <c r="Q139" s="391"/>
      <c r="S139" s="391"/>
      <c r="T139" s="391"/>
      <c r="U139" s="391"/>
      <c r="V139" s="391"/>
      <c r="W139" s="391"/>
      <c r="X139" s="391"/>
      <c r="Y139" s="391"/>
      <c r="Z139" s="391"/>
      <c r="AA139" s="391"/>
      <c r="AB139" s="391"/>
      <c r="AC139" s="391"/>
      <c r="AD139" s="391"/>
      <c r="AE139" s="391"/>
      <c r="AF139" s="391"/>
      <c r="AG139" s="391"/>
      <c r="AI139" s="23" t="s">
        <v>46</v>
      </c>
      <c r="AJ139" s="26">
        <f>COUNTIF(C138:AG138,"リ")</f>
        <v>20</v>
      </c>
    </row>
    <row r="140" spans="1:36" outlineLevel="1" x14ac:dyDescent="0.45">
      <c r="C140" s="391"/>
      <c r="D140" s="391"/>
      <c r="E140" s="391"/>
      <c r="F140" s="391"/>
      <c r="G140" s="391"/>
      <c r="H140" s="391"/>
      <c r="I140" s="391"/>
      <c r="J140" s="391"/>
      <c r="K140" s="391"/>
      <c r="L140" s="391"/>
      <c r="M140" s="391"/>
      <c r="N140" s="391"/>
      <c r="O140" s="391"/>
      <c r="P140" s="391"/>
      <c r="Q140" s="391"/>
      <c r="S140" s="391"/>
      <c r="T140" s="391"/>
      <c r="U140" s="391"/>
      <c r="V140" s="391"/>
      <c r="W140" s="391"/>
      <c r="X140" s="391"/>
      <c r="Y140" s="391"/>
      <c r="Z140" s="391"/>
      <c r="AA140" s="391"/>
      <c r="AB140" s="391"/>
      <c r="AC140" s="391"/>
      <c r="AD140" s="391"/>
      <c r="AE140" s="391"/>
      <c r="AF140" s="391"/>
      <c r="AG140" s="391"/>
      <c r="AI140" s="23" t="s">
        <v>25</v>
      </c>
      <c r="AJ140" s="27">
        <f>AJ138/(AJ138+AJ139)</f>
        <v>0</v>
      </c>
    </row>
    <row r="141" spans="1:36" outlineLevel="1" x14ac:dyDescent="0.45">
      <c r="C141" s="391"/>
      <c r="D141" s="391"/>
      <c r="E141" s="391"/>
      <c r="F141" s="391"/>
      <c r="G141" s="391"/>
      <c r="H141" s="391"/>
      <c r="I141" s="391"/>
      <c r="J141" s="391"/>
      <c r="K141" s="391"/>
      <c r="L141" s="391"/>
      <c r="M141" s="391"/>
      <c r="N141" s="391"/>
      <c r="O141" s="391"/>
      <c r="P141" s="391"/>
      <c r="Q141" s="391"/>
      <c r="S141" s="391"/>
      <c r="T141" s="391"/>
      <c r="U141" s="391"/>
      <c r="V141" s="391"/>
      <c r="W141" s="391"/>
      <c r="X141" s="391"/>
      <c r="Y141" s="391"/>
      <c r="Z141" s="391"/>
      <c r="AA141" s="391"/>
      <c r="AB141" s="391"/>
      <c r="AC141" s="391"/>
      <c r="AD141" s="391"/>
      <c r="AE141" s="391"/>
      <c r="AF141" s="391"/>
      <c r="AG141" s="391"/>
    </row>
    <row r="142" spans="1:36" outlineLevel="1" x14ac:dyDescent="0.45">
      <c r="C142" s="391"/>
      <c r="D142" s="391"/>
      <c r="E142" s="391"/>
      <c r="F142" s="391"/>
      <c r="G142" s="391"/>
      <c r="H142" s="391"/>
      <c r="I142" s="391"/>
      <c r="J142" s="391"/>
      <c r="K142" s="391"/>
      <c r="L142" s="391"/>
      <c r="M142" s="391"/>
      <c r="N142" s="391"/>
      <c r="O142" s="391"/>
      <c r="P142" s="391"/>
      <c r="Q142" s="391"/>
      <c r="S142" s="391"/>
      <c r="T142" s="391"/>
      <c r="U142" s="391"/>
      <c r="V142" s="391"/>
      <c r="W142" s="391"/>
      <c r="X142" s="391"/>
      <c r="Y142" s="391"/>
      <c r="Z142" s="391"/>
      <c r="AA142" s="391"/>
      <c r="AB142" s="391"/>
      <c r="AC142" s="391"/>
      <c r="AD142" s="391"/>
      <c r="AE142" s="391"/>
      <c r="AF142" s="391"/>
      <c r="AG142" s="391"/>
    </row>
    <row r="143" spans="1:36" outlineLevel="1" x14ac:dyDescent="0.45">
      <c r="C143" s="391"/>
      <c r="D143" s="391"/>
      <c r="E143" s="391"/>
      <c r="F143" s="391"/>
      <c r="G143" s="391"/>
      <c r="H143" s="391"/>
      <c r="I143" s="391"/>
      <c r="J143" s="391"/>
      <c r="K143" s="391"/>
      <c r="L143" s="391"/>
      <c r="M143" s="391"/>
      <c r="N143" s="391"/>
      <c r="O143" s="391"/>
      <c r="P143" s="391"/>
      <c r="Q143" s="391"/>
      <c r="S143" s="391"/>
      <c r="T143" s="391"/>
      <c r="U143" s="391"/>
      <c r="V143" s="391"/>
      <c r="W143" s="391"/>
      <c r="X143" s="391"/>
      <c r="Y143" s="391"/>
      <c r="Z143" s="391"/>
      <c r="AA143" s="391"/>
      <c r="AB143" s="391"/>
      <c r="AC143" s="391"/>
      <c r="AD143" s="391"/>
      <c r="AE143" s="391"/>
      <c r="AF143" s="391"/>
      <c r="AG143" s="391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7" priority="1" stopIfTrue="1">
      <formula>C$3=""</formula>
    </cfRule>
  </conditionalFormatting>
  <conditionalFormatting sqref="C2:AG2">
    <cfRule type="expression" dxfId="46" priority="3" stopIfTrue="1">
      <formula>WEEKDAY(C3,2)=7</formula>
    </cfRule>
    <cfRule type="expression" dxfId="45" priority="4" stopIfTrue="1">
      <formula>WEEKDAY(C3,2)=6</formula>
    </cfRule>
  </conditionalFormatting>
  <conditionalFormatting sqref="C14:AG18">
    <cfRule type="expression" dxfId="44" priority="5" stopIfTrue="1">
      <formula>C$15=""</formula>
    </cfRule>
  </conditionalFormatting>
  <conditionalFormatting sqref="C14:AG14">
    <cfRule type="expression" dxfId="43" priority="7" stopIfTrue="1">
      <formula>WEEKDAY(C15,2)=7</formula>
    </cfRule>
    <cfRule type="expression" dxfId="42" priority="8" stopIfTrue="1">
      <formula>WEEKDAY(C15,2)=6</formula>
    </cfRule>
  </conditionalFormatting>
  <conditionalFormatting sqref="C26:AG30">
    <cfRule type="expression" dxfId="41" priority="9" stopIfTrue="1">
      <formula>C$27=""</formula>
    </cfRule>
  </conditionalFormatting>
  <conditionalFormatting sqref="C26:AG26">
    <cfRule type="expression" dxfId="40" priority="11" stopIfTrue="1">
      <formula>WEEKDAY(C27,2)=7</formula>
    </cfRule>
    <cfRule type="expression" dxfId="39" priority="12" stopIfTrue="1">
      <formula>WEEKDAY(C27,2)=6</formula>
    </cfRule>
  </conditionalFormatting>
  <conditionalFormatting sqref="C38:AG42">
    <cfRule type="expression" dxfId="38" priority="13" stopIfTrue="1">
      <formula>C$39=""</formula>
    </cfRule>
  </conditionalFormatting>
  <conditionalFormatting sqref="C38:AG38">
    <cfRule type="expression" dxfId="37" priority="15" stopIfTrue="1">
      <formula>WEEKDAY(C39,2)=7</formula>
    </cfRule>
    <cfRule type="expression" dxfId="36" priority="16" stopIfTrue="1">
      <formula>WEEKDAY(C39,2)=6</formula>
    </cfRule>
  </conditionalFormatting>
  <conditionalFormatting sqref="C50:AG54">
    <cfRule type="expression" dxfId="35" priority="17" stopIfTrue="1">
      <formula>C$51=""</formula>
    </cfRule>
  </conditionalFormatting>
  <conditionalFormatting sqref="C50:AG50">
    <cfRule type="expression" dxfId="34" priority="19" stopIfTrue="1">
      <formula>WEEKDAY(C51,2)=7</formula>
    </cfRule>
    <cfRule type="expression" dxfId="33" priority="20" stopIfTrue="1">
      <formula>WEEKDAY(C51,2)=6</formula>
    </cfRule>
  </conditionalFormatting>
  <conditionalFormatting sqref="C62:AG66">
    <cfRule type="expression" dxfId="32" priority="21" stopIfTrue="1">
      <formula>C$63=""</formula>
    </cfRule>
  </conditionalFormatting>
  <conditionalFormatting sqref="C62:AG62">
    <cfRule type="expression" dxfId="31" priority="23" stopIfTrue="1">
      <formula>WEEKDAY(C63,2)=7</formula>
    </cfRule>
    <cfRule type="expression" dxfId="30" priority="24" stopIfTrue="1">
      <formula>WEEKDAY(C63,2)=6</formula>
    </cfRule>
  </conditionalFormatting>
  <conditionalFormatting sqref="C74:AG78">
    <cfRule type="expression" dxfId="29" priority="25" stopIfTrue="1">
      <formula>C$75=""</formula>
    </cfRule>
  </conditionalFormatting>
  <conditionalFormatting sqref="C74:AG74">
    <cfRule type="expression" dxfId="28" priority="27" stopIfTrue="1">
      <formula>WEEKDAY(C75,2)=7</formula>
    </cfRule>
    <cfRule type="expression" dxfId="27" priority="28" stopIfTrue="1">
      <formula>WEEKDAY(C75,2)=6</formula>
    </cfRule>
  </conditionalFormatting>
  <conditionalFormatting sqref="C86:AG90">
    <cfRule type="expression" dxfId="26" priority="29" stopIfTrue="1">
      <formula>C$87=""</formula>
    </cfRule>
  </conditionalFormatting>
  <conditionalFormatting sqref="C86:AG86">
    <cfRule type="expression" dxfId="25" priority="31" stopIfTrue="1">
      <formula>WEEKDAY(C87,2)=7</formula>
    </cfRule>
    <cfRule type="expression" dxfId="24" priority="32" stopIfTrue="1">
      <formula>WEEKDAY(C87,2)=6</formula>
    </cfRule>
  </conditionalFormatting>
  <conditionalFormatting sqref="C98:AG102">
    <cfRule type="expression" dxfId="23" priority="33" stopIfTrue="1">
      <formula>C$99=""</formula>
    </cfRule>
  </conditionalFormatting>
  <conditionalFormatting sqref="C98:AG98">
    <cfRule type="expression" dxfId="22" priority="35" stopIfTrue="1">
      <formula>WEEKDAY(C99,2)=7</formula>
    </cfRule>
    <cfRule type="expression" dxfId="21" priority="36" stopIfTrue="1">
      <formula>WEEKDAY(C99,2)=6</formula>
    </cfRule>
  </conditionalFormatting>
  <conditionalFormatting sqref="C110:AG114">
    <cfRule type="expression" dxfId="20" priority="37" stopIfTrue="1">
      <formula>C$111=""</formula>
    </cfRule>
  </conditionalFormatting>
  <conditionalFormatting sqref="C110:AG110">
    <cfRule type="expression" dxfId="19" priority="39" stopIfTrue="1">
      <formula>WEEKDAY(C111,2)=7</formula>
    </cfRule>
    <cfRule type="expression" dxfId="18" priority="40" stopIfTrue="1">
      <formula>WEEKDAY(C111,2)=6</formula>
    </cfRule>
  </conditionalFormatting>
  <conditionalFormatting sqref="C122:AG126">
    <cfRule type="expression" dxfId="17" priority="41" stopIfTrue="1">
      <formula>C$123=""</formula>
    </cfRule>
  </conditionalFormatting>
  <conditionalFormatting sqref="C122:AG122">
    <cfRule type="expression" dxfId="16" priority="43" stopIfTrue="1">
      <formula>WEEKDAY(C123,2)=7</formula>
    </cfRule>
  </conditionalFormatting>
  <conditionalFormatting sqref="C122:AG122">
    <cfRule type="expression" dxfId="15" priority="44" stopIfTrue="1">
      <formula>WEEKDAY(C123,2)=6</formula>
    </cfRule>
  </conditionalFormatting>
  <conditionalFormatting sqref="C134:AG138">
    <cfRule type="expression" dxfId="14" priority="45" stopIfTrue="1">
      <formula>C$135=""</formula>
    </cfRule>
  </conditionalFormatting>
  <conditionalFormatting sqref="C134:AG134">
    <cfRule type="expression" dxfId="13" priority="47" stopIfTrue="1">
      <formula>WEEKDAY(C135,2)=7</formula>
    </cfRule>
  </conditionalFormatting>
  <conditionalFormatting sqref="C134:AG134">
    <cfRule type="expression" dxfId="1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2F6916D-E072-46EF-BDA1-9804892D013F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CD0711E8-417A-4EB3-8DCC-060B81CDC8F2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61102CB3-9EC8-4344-83F2-EF54175140B8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C13455EE-363B-40F7-B086-FD8C754A9390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E5456D67-0000-48E9-8F1E-7E54C8729DBC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B30DDB1-C831-4C4C-94E9-E19E01218FEC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70A55D2B-825B-4ED2-AAC5-C09F2BA29D26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799EAD73-7633-4F5C-928B-A157EE93015B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3664430D-6980-407A-BDDD-38167699FD18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8E676CF4-8E0F-4EF9-8425-2F1DAE75D9C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BD5C3D88-45F0-4E7C-961B-89A48C3ECA19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AC84A1CB-B70B-4740-B1FE-158CA30CE1A1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8BD-F599-4FE5-98E2-9C6126363D6B}">
  <sheetPr codeName="Sheet70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Sheet2</vt:lpstr>
      <vt:lpstr>2026 (12)</vt:lpstr>
      <vt:lpstr>2026 (11)</vt:lpstr>
      <vt:lpstr>2026 (10)</vt:lpstr>
      <vt:lpstr>2026 (9)</vt:lpstr>
      <vt:lpstr>2026 (8)</vt:lpstr>
      <vt:lpstr>2026 (7)</vt:lpstr>
      <vt:lpstr>2026 (6)</vt:lpstr>
      <vt:lpstr>2026 (5)</vt:lpstr>
      <vt:lpstr>2026 (4)</vt:lpstr>
      <vt:lpstr>2026 (3)</vt:lpstr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2026-07-19T11:56:51Z</dcterms:modified>
</cp:coreProperties>
</file>