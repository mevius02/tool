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viu\Desktop\TOOL\MCR\WorkSchedule\"/>
    </mc:Choice>
  </mc:AlternateContent>
  <xr:revisionPtr revIDLastSave="0" documentId="8_{07529DDC-BA94-4D10-8251-50294F12F9C9}" xr6:coauthVersionLast="47" xr6:coauthVersionMax="47" xr10:uidLastSave="{00000000-0000-0000-0000-000000000000}"/>
  <bookViews>
    <workbookView xWindow="-108" yWindow="-108" windowWidth="23256" windowHeight="12456" xr2:uid="{2768ADBA-7D15-4F60-8858-BC089033EB3F}"/>
  </bookViews>
  <sheets>
    <sheet name="2026年7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8" i="1" l="1"/>
  <c r="I38" i="1"/>
  <c r="N37" i="1"/>
  <c r="I37" i="1"/>
  <c r="N36" i="1"/>
  <c r="I36" i="1"/>
  <c r="N35" i="1"/>
  <c r="I35" i="1"/>
  <c r="N34" i="1"/>
  <c r="I34" i="1"/>
  <c r="N33" i="1"/>
  <c r="I33" i="1"/>
  <c r="N32" i="1"/>
  <c r="I32" i="1"/>
  <c r="N31" i="1"/>
  <c r="I31" i="1"/>
  <c r="N30" i="1"/>
  <c r="I30" i="1"/>
  <c r="N29" i="1"/>
  <c r="I29" i="1"/>
  <c r="N28" i="1"/>
  <c r="I28" i="1"/>
  <c r="N27" i="1"/>
  <c r="I27" i="1"/>
  <c r="N26" i="1"/>
  <c r="K4" i="1" s="1" a="1"/>
  <c r="K4" i="1" s="1"/>
  <c r="I26" i="1"/>
  <c r="N25" i="1"/>
  <c r="I25" i="1"/>
  <c r="N24" i="1"/>
  <c r="I24" i="1"/>
  <c r="N23" i="1"/>
  <c r="I23" i="1"/>
  <c r="N22" i="1"/>
  <c r="I22" i="1"/>
  <c r="N21" i="1"/>
  <c r="I21" i="1"/>
  <c r="N20" i="1"/>
  <c r="I20" i="1"/>
  <c r="N19" i="1"/>
  <c r="I19" i="1"/>
  <c r="N18" i="1"/>
  <c r="I18" i="1"/>
  <c r="N17" i="1"/>
  <c r="I17" i="1"/>
  <c r="N16" i="1"/>
  <c r="I16" i="1"/>
  <c r="N15" i="1"/>
  <c r="I15" i="1"/>
  <c r="N14" i="1"/>
  <c r="I14" i="1"/>
  <c r="N13" i="1"/>
  <c r="I13" i="1"/>
  <c r="N12" i="1"/>
  <c r="I12" i="1"/>
  <c r="N11" i="1"/>
  <c r="I11" i="1"/>
  <c r="N10" i="1"/>
  <c r="I10" i="1"/>
  <c r="H4" i="1" s="1" a="1"/>
  <c r="H4" i="1" s="1"/>
  <c r="N9" i="1"/>
  <c r="I9" i="1"/>
  <c r="N8" i="1"/>
  <c r="I8" i="1"/>
  <c r="B8" i="1"/>
  <c r="C8" i="1" s="1"/>
  <c r="J4" i="1"/>
  <c r="G4" i="1"/>
  <c r="E3" i="1"/>
  <c r="E2" i="1"/>
  <c r="E4" i="1" s="1"/>
  <c r="B9" i="1" l="1"/>
  <c r="B10" i="1" l="1"/>
  <c r="C9" i="1"/>
  <c r="C10" i="1" l="1"/>
  <c r="B11" i="1"/>
  <c r="B12" i="1" l="1"/>
  <c r="C11" i="1"/>
  <c r="C12" i="1" l="1"/>
  <c r="B13" i="1"/>
  <c r="B14" i="1" l="1"/>
  <c r="C13" i="1"/>
  <c r="C14" i="1" l="1"/>
  <c r="B15" i="1"/>
  <c r="B16" i="1" l="1"/>
  <c r="C15" i="1"/>
  <c r="C16" i="1" l="1"/>
  <c r="B17" i="1"/>
  <c r="B18" i="1" l="1"/>
  <c r="C17" i="1"/>
  <c r="C18" i="1" l="1"/>
  <c r="B19" i="1"/>
  <c r="B20" i="1" l="1"/>
  <c r="C19" i="1"/>
  <c r="C20" i="1" l="1"/>
  <c r="B21" i="1"/>
  <c r="B22" i="1" l="1"/>
  <c r="C21" i="1"/>
  <c r="C22" i="1" l="1"/>
  <c r="B23" i="1"/>
  <c r="B24" i="1" l="1"/>
  <c r="C23" i="1"/>
  <c r="B25" i="1" l="1"/>
  <c r="C24" i="1"/>
  <c r="B26" i="1" l="1"/>
  <c r="C25" i="1"/>
  <c r="C26" i="1" l="1"/>
  <c r="B27" i="1"/>
  <c r="B28" i="1" l="1"/>
  <c r="C27" i="1"/>
  <c r="C28" i="1" l="1"/>
  <c r="B29" i="1"/>
  <c r="B30" i="1" l="1"/>
  <c r="C29" i="1"/>
  <c r="C30" i="1" l="1"/>
  <c r="B31" i="1"/>
  <c r="B32" i="1" l="1"/>
  <c r="C31" i="1"/>
  <c r="B33" i="1" l="1"/>
  <c r="C32" i="1"/>
  <c r="B34" i="1" l="1"/>
  <c r="C33" i="1"/>
  <c r="C34" i="1" l="1"/>
  <c r="B35" i="1"/>
  <c r="B36" i="1" l="1"/>
  <c r="C35" i="1"/>
  <c r="C36" i="1" l="1"/>
  <c r="B37" i="1"/>
  <c r="B38" i="1" l="1"/>
  <c r="C38" i="1" s="1"/>
  <c r="C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<sst xmlns="http://schemas.openxmlformats.org/spreadsheetml/2006/main" count="49" uniqueCount="18">
  <si>
    <t>出社日数</t>
  </si>
  <si>
    <t>実績(合計)</t>
  </si>
  <si>
    <t>予定(合計)</t>
  </si>
  <si>
    <t>リモ日数</t>
  </si>
  <si>
    <t>日数</t>
  </si>
  <si>
    <t>時間数</t>
  </si>
  <si>
    <t>出社率</t>
  </si>
  <si>
    <t>実績</t>
  </si>
  <si>
    <t>休憩</t>
  </si>
  <si>
    <t>予定</t>
  </si>
  <si>
    <t>出リ</t>
  </si>
  <si>
    <t>開始</t>
  </si>
  <si>
    <t>終了</t>
  </si>
  <si>
    <t>備考</t>
  </si>
  <si>
    <t>出</t>
    <phoneticPr fontId="1"/>
  </si>
  <si>
    <t>参画日</t>
    <rPh sb="0" eb="2">
      <t>サンカク</t>
    </rPh>
    <rPh sb="2" eb="3">
      <t>ヒ</t>
    </rPh>
    <phoneticPr fontId="1"/>
  </si>
  <si>
    <t>リ</t>
  </si>
  <si>
    <t>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</si>
</sst>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 月&quot;"/>
    <numFmt numFmtId="177" formatCode="0&quot; 日&quot;"/>
    <numFmt numFmtId="178" formatCode="0\ %"/>
    <numFmt numFmtId="179" formatCode="m\_x000a_&quot;月&quot;"/>
    <numFmt numFmtId="180" formatCode="d"/>
    <numFmt numFmtId="181" formatCode="0.###&quot; h&quot;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Noto Sans JP"/>
      <family val="3"/>
      <charset val="128"/>
    </font>
    <font>
      <b/>
      <sz val="11"/>
      <color rgb="FF000000"/>
      <name val="Noto Sans JP"/>
      <family val="3"/>
      <charset val="128"/>
    </font>
    <font>
      <sz val="11"/>
      <color rgb="FF000000"/>
      <name val="游ゴシック"/>
      <family val="2"/>
      <charset val="128"/>
      <scheme val="minor"/>
    </font>
    <font>
      <b/>
      <sz val="9.5"/>
      <color rgb="FF000000"/>
      <name val="Noto Sans JP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 applyFill="1" applyBorder="1" applyAlignment="1">
      <alignment horizontal="left" vertical="top"/>
    </xf>
    <xf numFmtId="176" fontId="3" fillId="0" borderId="0" xfId="0" applyNumberFormat="1" applyFont="1" applyFill="1" applyBorder="1" applyAlignment="1">
      <alignment horizontal="center" vertical="top"/>
    </xf>
    <xf numFmtId="14" fontId="3" fillId="0" borderId="0" xfId="0" applyNumberFormat="1" applyFont="1" applyFill="1" applyBorder="1" applyAlignment="1">
      <alignment horizontal="center" vertical="top"/>
    </xf>
    <xf numFmtId="0" fontId="4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179" fontId="5" fillId="0" borderId="0" xfId="0" applyNumberFormat="1" applyFont="1" applyFill="1" applyBorder="1" applyAlignment="1">
      <alignment horizontal="center" vertical="top" wrapText="1"/>
    </xf>
    <xf numFmtId="14" fontId="5" fillId="0" borderId="0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177" fontId="2" fillId="0" borderId="4" xfId="0" applyNumberFormat="1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left" vertical="top"/>
    </xf>
    <xf numFmtId="177" fontId="2" fillId="0" borderId="5" xfId="0" applyNumberFormat="1" applyFont="1" applyFill="1" applyBorder="1" applyAlignment="1">
      <alignment horizontal="right" vertical="top"/>
    </xf>
    <xf numFmtId="0" fontId="2" fillId="0" borderId="6" xfId="0" applyFont="1" applyFill="1" applyBorder="1" applyAlignment="1">
      <alignment horizontal="left" vertical="top"/>
    </xf>
    <xf numFmtId="178" fontId="2" fillId="0" borderId="6" xfId="0" applyNumberFormat="1" applyFont="1" applyFill="1" applyBorder="1" applyAlignment="1">
      <alignment horizontal="right" vertical="top"/>
    </xf>
    <xf numFmtId="0" fontId="2" fillId="0" borderId="4" xfId="0" applyFont="1" applyFill="1" applyBorder="1" applyAlignment="1">
      <alignment horizontal="center" vertical="top"/>
    </xf>
    <xf numFmtId="177" fontId="2" fillId="0" borderId="6" xfId="0" applyNumberFormat="1" applyFont="1" applyFill="1" applyBorder="1" applyAlignment="1">
      <alignment horizontal="right" vertical="top"/>
    </xf>
    <xf numFmtId="0" fontId="2" fillId="0" borderId="6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center" vertical="top"/>
    </xf>
    <xf numFmtId="177" fontId="2" fillId="2" borderId="6" xfId="0" applyNumberFormat="1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0" borderId="7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8" xfId="0" applyFont="1" applyFill="1" applyBorder="1" applyAlignment="1">
      <alignment horizontal="center" vertical="top"/>
    </xf>
    <xf numFmtId="180" fontId="2" fillId="0" borderId="9" xfId="0" applyNumberFormat="1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 vertical="top"/>
    </xf>
    <xf numFmtId="20" fontId="2" fillId="0" borderId="5" xfId="0" applyNumberFormat="1" applyFont="1" applyFill="1" applyBorder="1" applyAlignment="1">
      <alignment horizontal="right" vertical="top"/>
    </xf>
    <xf numFmtId="181" fontId="2" fillId="0" borderId="5" xfId="0" applyNumberFormat="1" applyFont="1" applyFill="1" applyBorder="1" applyAlignment="1">
      <alignment horizontal="right" vertical="top"/>
    </xf>
    <xf numFmtId="20" fontId="2" fillId="2" borderId="5" xfId="0" applyNumberFormat="1" applyFont="1" applyFill="1" applyBorder="1" applyAlignment="1">
      <alignment horizontal="right" vertical="top"/>
    </xf>
    <xf numFmtId="181" fontId="2" fillId="2" borderId="5" xfId="0" applyNumberFormat="1" applyFont="1" applyFill="1" applyBorder="1" applyAlignment="1">
      <alignment horizontal="right" vertical="top"/>
    </xf>
    <xf numFmtId="0" fontId="2" fillId="0" borderId="10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top"/>
    </xf>
    <xf numFmtId="180" fontId="2" fillId="0" borderId="11" xfId="0" applyNumberFormat="1" applyFont="1" applyFill="1" applyBorder="1" applyAlignment="1">
      <alignment horizontal="center" vertical="top"/>
    </xf>
    <xf numFmtId="0" fontId="2" fillId="0" borderId="12" xfId="0" applyFont="1" applyFill="1" applyBorder="1" applyAlignment="1">
      <alignment horizontal="center" vertical="top"/>
    </xf>
    <xf numFmtId="20" fontId="2" fillId="0" borderId="12" xfId="0" applyNumberFormat="1" applyFont="1" applyFill="1" applyBorder="1" applyAlignment="1">
      <alignment horizontal="right" vertical="top"/>
    </xf>
    <xf numFmtId="181" fontId="2" fillId="0" borderId="12" xfId="0" applyNumberFormat="1" applyFont="1" applyFill="1" applyBorder="1" applyAlignment="1">
      <alignment horizontal="right" vertical="top"/>
    </xf>
    <xf numFmtId="20" fontId="2" fillId="2" borderId="12" xfId="0" applyNumberFormat="1" applyFont="1" applyFill="1" applyBorder="1" applyAlignment="1">
      <alignment horizontal="right" vertical="top"/>
    </xf>
    <xf numFmtId="181" fontId="2" fillId="2" borderId="12" xfId="0" applyNumberFormat="1" applyFont="1" applyFill="1" applyBorder="1" applyAlignment="1">
      <alignment horizontal="right" vertical="top"/>
    </xf>
    <xf numFmtId="0" fontId="2" fillId="0" borderId="13" xfId="0" applyFont="1" applyFill="1" applyBorder="1" applyAlignment="1">
      <alignment horizontal="left" vertical="top" wrapText="1"/>
    </xf>
  </cellXfs>
  <cellStyles count="1">
    <cellStyle name="標準" xfId="0" builtinId="0"/>
  </cellStyles>
  <dxfs count="3">
    <dxf>
      <fill>
        <patternFill>
          <bgColor rgb="FFC6E8F3"/>
        </patternFill>
      </fill>
    </dxf>
    <dxf>
      <fill>
        <patternFill>
          <bgColor rgb="FFFFF1CB"/>
        </patternFill>
      </fill>
    </dxf>
    <dxf>
      <fill>
        <patternFill>
          <bgColor rgb="FFCAE5B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BD47-167D-4EA8-891F-B28867E343FD}">
  <dimension ref="A1:O38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8" outlineLevelRow="1" x14ac:dyDescent="0.45"/>
  <cols>
    <col min="1" max="1" width="4.19921875" style="4" customWidth="1"/>
    <col min="2" max="4" width="3.69921875" style="4" customWidth="1"/>
    <col min="5" max="14" width="6.69921875" style="4" customWidth="1"/>
    <col min="15" max="15" width="20.69921875" style="4" customWidth="1"/>
    <col min="16" max="16384" width="8.796875" style="4"/>
  </cols>
  <sheetData>
    <row r="1" spans="1:15" x14ac:dyDescent="0.45">
      <c r="A1" s="1"/>
      <c r="B1" s="2">
        <v>46204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outlineLevel="1" x14ac:dyDescent="0.45">
      <c r="A2" s="1"/>
      <c r="B2" s="17" t="s">
        <v>0</v>
      </c>
      <c r="C2" s="17"/>
      <c r="D2" s="17"/>
      <c r="E2" s="18">
        <f>COUNTIF(D8:D38,"出")</f>
        <v>8</v>
      </c>
      <c r="F2" s="1"/>
      <c r="G2" s="5" t="s">
        <v>1</v>
      </c>
      <c r="H2" s="5"/>
      <c r="I2" s="1"/>
      <c r="J2" s="6" t="s">
        <v>2</v>
      </c>
      <c r="K2" s="6"/>
      <c r="L2" s="1"/>
      <c r="M2" s="1"/>
      <c r="N2" s="1"/>
      <c r="O2" s="1"/>
    </row>
    <row r="3" spans="1:15" outlineLevel="1" x14ac:dyDescent="0.45">
      <c r="A3" s="1"/>
      <c r="B3" s="19" t="s">
        <v>3</v>
      </c>
      <c r="C3" s="19"/>
      <c r="D3" s="19"/>
      <c r="E3" s="20">
        <f>COUNTIF(D8:D38,"リ")</f>
        <v>14</v>
      </c>
      <c r="F3" s="1"/>
      <c r="G3" s="23" t="s">
        <v>4</v>
      </c>
      <c r="H3" s="23" t="s">
        <v>5</v>
      </c>
      <c r="I3" s="1"/>
      <c r="J3" s="26" t="s">
        <v>4</v>
      </c>
      <c r="K3" s="26" t="s">
        <v>5</v>
      </c>
      <c r="L3" s="1"/>
      <c r="M3" s="1"/>
      <c r="N3" s="1"/>
      <c r="O3" s="1"/>
    </row>
    <row r="4" spans="1:15" outlineLevel="1" x14ac:dyDescent="0.45">
      <c r="A4" s="1"/>
      <c r="B4" s="21" t="s">
        <v>6</v>
      </c>
      <c r="C4" s="21"/>
      <c r="D4" s="21"/>
      <c r="E4" s="22">
        <f>E2/(E2+E3)</f>
        <v>0.36363636363636365</v>
      </c>
      <c r="F4" s="1"/>
      <c r="G4" s="24">
        <f>COUNT(F8:F38)</f>
        <v>22</v>
      </c>
      <c r="H4" s="25" t="str" cm="1">
        <f t="array" ref="H4">_xlfn.LET(_xlpm.a,I8:I38,_xlpm.b,SUMPRODUCT(IFERROR(VALUE(SUBSTITUTE(SUBSTITUTE(LOWER(_xlpm.a&amp;"")," ",""),"h","")),0)),IF(_xlpm.b=INT(_xlpm.b),TEXT(_xlpm.b,"0")&amp;" h",TEXT(_xlpm.b,"0.###")&amp;" h"))</f>
        <v>176 h</v>
      </c>
      <c r="I4" s="1"/>
      <c r="J4" s="27">
        <f>COUNT(J8:J38)</f>
        <v>22</v>
      </c>
      <c r="K4" s="28" t="str" cm="1">
        <f t="array" ref="K4">_xlfn.LET(_xlpm.a,N8:N38,_xlpm.b,SUMPRODUCT(IFERROR(VALUE(SUBSTITUTE(SUBSTITUTE(LOWER(_xlpm.a&amp;"")," ",""),"h","")),0)),IF(_xlpm.b=INT(_xlpm.b),TEXT(_xlpm.b,"0")&amp;" h",TEXT(_xlpm.b,"0.###")&amp;" h"))</f>
        <v>176 h</v>
      </c>
      <c r="L4" s="1"/>
      <c r="M4" s="1"/>
      <c r="N4" s="1"/>
      <c r="O4" s="1"/>
    </row>
    <row r="5" spans="1:15" outlineLevel="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45">
      <c r="A6" s="8">
        <v>46204</v>
      </c>
      <c r="B6" s="16"/>
      <c r="C6" s="10"/>
      <c r="D6" s="11"/>
      <c r="E6" s="12" t="s">
        <v>7</v>
      </c>
      <c r="F6" s="12"/>
      <c r="G6" s="12" t="s">
        <v>8</v>
      </c>
      <c r="H6" s="12"/>
      <c r="I6" s="11"/>
      <c r="J6" s="13" t="s">
        <v>9</v>
      </c>
      <c r="K6" s="13"/>
      <c r="L6" s="13" t="s">
        <v>8</v>
      </c>
      <c r="M6" s="13"/>
      <c r="N6" s="14"/>
      <c r="O6" s="15"/>
    </row>
    <row r="7" spans="1:15" x14ac:dyDescent="0.45">
      <c r="A7" s="9"/>
      <c r="B7" s="29"/>
      <c r="C7" s="30"/>
      <c r="D7" s="23" t="s">
        <v>10</v>
      </c>
      <c r="E7" s="23" t="s">
        <v>11</v>
      </c>
      <c r="F7" s="23" t="s">
        <v>12</v>
      </c>
      <c r="G7" s="23" t="s">
        <v>11</v>
      </c>
      <c r="H7" s="23" t="s">
        <v>12</v>
      </c>
      <c r="I7" s="23" t="s">
        <v>5</v>
      </c>
      <c r="J7" s="26" t="s">
        <v>11</v>
      </c>
      <c r="K7" s="26" t="s">
        <v>12</v>
      </c>
      <c r="L7" s="26" t="s">
        <v>11</v>
      </c>
      <c r="M7" s="26" t="s">
        <v>12</v>
      </c>
      <c r="N7" s="26" t="s">
        <v>5</v>
      </c>
      <c r="O7" s="31" t="s">
        <v>13</v>
      </c>
    </row>
    <row r="8" spans="1:15" x14ac:dyDescent="0.45">
      <c r="A8" s="7"/>
      <c r="B8" s="32">
        <f>A6</f>
        <v>46204</v>
      </c>
      <c r="C8" s="33" t="str">
        <f t="shared" ref="C8:C38" si="0">TEXT(B8,"aaa")</f>
        <v>水</v>
      </c>
      <c r="D8" s="33" t="s">
        <v>14</v>
      </c>
      <c r="E8" s="34">
        <v>0.375</v>
      </c>
      <c r="F8" s="34">
        <v>0.75</v>
      </c>
      <c r="G8" s="34">
        <v>0.5</v>
      </c>
      <c r="H8" s="34">
        <v>0.54166666666666663</v>
      </c>
      <c r="I8" s="35" t="str">
        <f t="shared" ref="I8:I38" si="1">_xlfn.LET(_xlpm.ws,E8,_xlpm.we,F8,_xlpm.bs,G8,_xlpm.be,H8,_xlpm.bt,IF(OR(_xlpm.bs="",_xlpm.be=""),0,_xlpm.be-_xlpm.bs),_xlpm.w,(_xlpm.we-_xlpm.ws-_xlpm.bt)*24,IF(OR(_xlpm.ws="",_xlpm.we=""),"",IF(_xlpm.w=INT(_xlpm.w),TEXT(_xlpm.w,"0")&amp;"h",TEXT(_xlpm.w,"0.###")&amp;"h")))</f>
        <v>8h</v>
      </c>
      <c r="J8" s="36">
        <v>0.375</v>
      </c>
      <c r="K8" s="36">
        <v>0.75</v>
      </c>
      <c r="L8" s="36">
        <v>0.5</v>
      </c>
      <c r="M8" s="36">
        <v>0.54166666666666663</v>
      </c>
      <c r="N8" s="37" t="str">
        <f t="shared" ref="N8:N38" si="2">_xlfn.LET(_xlpm.ws,J8,_xlpm.we,K8,_xlpm.bs,L8,_xlpm.be,M8,_xlpm.bt,IF(OR(_xlpm.bs="",_xlpm.be=""),0,_xlpm.be-_xlpm.bs),_xlpm.w,(_xlpm.we-_xlpm.ws-_xlpm.bt)*24,IF(OR(_xlpm.ws="",_xlpm.we=""),"",IF(_xlpm.w=INT(_xlpm.w),TEXT(_xlpm.w,"0")&amp;"h",TEXT(_xlpm.w,"0.###")&amp;"h")))</f>
        <v>8h</v>
      </c>
      <c r="O8" s="38" t="s">
        <v>15</v>
      </c>
    </row>
    <row r="9" spans="1:15" x14ac:dyDescent="0.45">
      <c r="A9" s="1"/>
      <c r="B9" s="32">
        <f t="shared" ref="B9:B38" si="3">IF(B8="","",IF(B8+1&lt;=EOMONTH($A$6,0),B8+1,""))</f>
        <v>46205</v>
      </c>
      <c r="C9" s="33" t="str">
        <f t="shared" si="0"/>
        <v>木</v>
      </c>
      <c r="D9" s="33" t="s">
        <v>14</v>
      </c>
      <c r="E9" s="34">
        <v>0.375</v>
      </c>
      <c r="F9" s="34">
        <v>0.75</v>
      </c>
      <c r="G9" s="34">
        <v>0.5</v>
      </c>
      <c r="H9" s="34">
        <v>0.54166666666666663</v>
      </c>
      <c r="I9" s="35" t="str">
        <f t="shared" si="1"/>
        <v>8h</v>
      </c>
      <c r="J9" s="36">
        <v>0.375</v>
      </c>
      <c r="K9" s="36">
        <v>0.75</v>
      </c>
      <c r="L9" s="36">
        <v>0.5</v>
      </c>
      <c r="M9" s="36">
        <v>0.54166666666666663</v>
      </c>
      <c r="N9" s="37" t="str">
        <f t="shared" si="2"/>
        <v>8h</v>
      </c>
      <c r="O9" s="38"/>
    </row>
    <row r="10" spans="1:15" x14ac:dyDescent="0.45">
      <c r="A10" s="1"/>
      <c r="B10" s="32">
        <f t="shared" si="3"/>
        <v>46206</v>
      </c>
      <c r="C10" s="33" t="str">
        <f t="shared" si="0"/>
        <v>金</v>
      </c>
      <c r="D10" s="33" t="s">
        <v>14</v>
      </c>
      <c r="E10" s="34">
        <v>0.375</v>
      </c>
      <c r="F10" s="34">
        <v>0.75</v>
      </c>
      <c r="G10" s="34">
        <v>0.5</v>
      </c>
      <c r="H10" s="34">
        <v>0.54166666666666663</v>
      </c>
      <c r="I10" s="35" t="str">
        <f t="shared" si="1"/>
        <v>8h</v>
      </c>
      <c r="J10" s="36">
        <v>0.375</v>
      </c>
      <c r="K10" s="36">
        <v>0.75</v>
      </c>
      <c r="L10" s="36">
        <v>0.5</v>
      </c>
      <c r="M10" s="36">
        <v>0.54166666666666663</v>
      </c>
      <c r="N10" s="37" t="str">
        <f t="shared" si="2"/>
        <v>8h</v>
      </c>
      <c r="O10" s="38"/>
    </row>
    <row r="11" spans="1:15" x14ac:dyDescent="0.45">
      <c r="A11" s="1"/>
      <c r="B11" s="32">
        <f t="shared" si="3"/>
        <v>46207</v>
      </c>
      <c r="C11" s="39" t="str">
        <f t="shared" si="0"/>
        <v>土</v>
      </c>
      <c r="D11" s="33"/>
      <c r="E11" s="34"/>
      <c r="F11" s="34"/>
      <c r="G11" s="34"/>
      <c r="H11" s="34"/>
      <c r="I11" s="35" t="str">
        <f t="shared" si="1"/>
        <v/>
      </c>
      <c r="J11" s="36"/>
      <c r="K11" s="36"/>
      <c r="L11" s="36"/>
      <c r="M11" s="36"/>
      <c r="N11" s="37" t="str">
        <f t="shared" si="2"/>
        <v/>
      </c>
      <c r="O11" s="38"/>
    </row>
    <row r="12" spans="1:15" x14ac:dyDescent="0.45">
      <c r="A12" s="1"/>
      <c r="B12" s="32">
        <f t="shared" si="3"/>
        <v>46208</v>
      </c>
      <c r="C12" s="39" t="str">
        <f t="shared" si="0"/>
        <v>日</v>
      </c>
      <c r="D12" s="33"/>
      <c r="E12" s="34"/>
      <c r="F12" s="34"/>
      <c r="G12" s="34"/>
      <c r="H12" s="34"/>
      <c r="I12" s="35" t="str">
        <f t="shared" si="1"/>
        <v/>
      </c>
      <c r="J12" s="36"/>
      <c r="K12" s="36"/>
      <c r="L12" s="36"/>
      <c r="M12" s="36"/>
      <c r="N12" s="37" t="str">
        <f t="shared" si="2"/>
        <v/>
      </c>
      <c r="O12" s="38"/>
    </row>
    <row r="13" spans="1:15" x14ac:dyDescent="0.45">
      <c r="A13" s="1"/>
      <c r="B13" s="32">
        <f t="shared" si="3"/>
        <v>46209</v>
      </c>
      <c r="C13" s="33" t="str">
        <f t="shared" si="0"/>
        <v>月</v>
      </c>
      <c r="D13" s="33" t="s">
        <v>14</v>
      </c>
      <c r="E13" s="34">
        <v>0.375</v>
      </c>
      <c r="F13" s="34">
        <v>0.75</v>
      </c>
      <c r="G13" s="34">
        <v>0.5</v>
      </c>
      <c r="H13" s="34">
        <v>0.54166666666666663</v>
      </c>
      <c r="I13" s="35" t="str">
        <f t="shared" si="1"/>
        <v>8h</v>
      </c>
      <c r="J13" s="36">
        <v>0.375</v>
      </c>
      <c r="K13" s="36">
        <v>0.75</v>
      </c>
      <c r="L13" s="36">
        <v>0.5</v>
      </c>
      <c r="M13" s="36">
        <v>0.54166666666666663</v>
      </c>
      <c r="N13" s="37" t="str">
        <f t="shared" si="2"/>
        <v>8h</v>
      </c>
      <c r="O13" s="38"/>
    </row>
    <row r="14" spans="1:15" x14ac:dyDescent="0.45">
      <c r="A14" s="1"/>
      <c r="B14" s="32">
        <f t="shared" si="3"/>
        <v>46210</v>
      </c>
      <c r="C14" s="33" t="str">
        <f t="shared" si="0"/>
        <v>火</v>
      </c>
      <c r="D14" s="33" t="s">
        <v>14</v>
      </c>
      <c r="E14" s="34">
        <v>0.375</v>
      </c>
      <c r="F14" s="34">
        <v>0.75</v>
      </c>
      <c r="G14" s="34">
        <v>0.5</v>
      </c>
      <c r="H14" s="34">
        <v>0.54166666666666663</v>
      </c>
      <c r="I14" s="35" t="str">
        <f t="shared" si="1"/>
        <v>8h</v>
      </c>
      <c r="J14" s="36">
        <v>0.375</v>
      </c>
      <c r="K14" s="36">
        <v>0.75</v>
      </c>
      <c r="L14" s="36">
        <v>0.5</v>
      </c>
      <c r="M14" s="36">
        <v>0.54166666666666663</v>
      </c>
      <c r="N14" s="37" t="str">
        <f t="shared" si="2"/>
        <v>8h</v>
      </c>
      <c r="O14" s="38"/>
    </row>
    <row r="15" spans="1:15" x14ac:dyDescent="0.45">
      <c r="A15" s="1"/>
      <c r="B15" s="32">
        <f t="shared" si="3"/>
        <v>46211</v>
      </c>
      <c r="C15" s="33" t="str">
        <f t="shared" si="0"/>
        <v>水</v>
      </c>
      <c r="D15" s="33" t="s">
        <v>14</v>
      </c>
      <c r="E15" s="34">
        <v>0.375</v>
      </c>
      <c r="F15" s="34">
        <v>0.75</v>
      </c>
      <c r="G15" s="34">
        <v>0.5</v>
      </c>
      <c r="H15" s="34">
        <v>0.54166666666666663</v>
      </c>
      <c r="I15" s="35" t="str">
        <f t="shared" si="1"/>
        <v>8h</v>
      </c>
      <c r="J15" s="36">
        <v>0.375</v>
      </c>
      <c r="K15" s="36">
        <v>0.75</v>
      </c>
      <c r="L15" s="36">
        <v>0.5</v>
      </c>
      <c r="M15" s="36">
        <v>0.54166666666666663</v>
      </c>
      <c r="N15" s="37" t="str">
        <f t="shared" si="2"/>
        <v>8h</v>
      </c>
      <c r="O15" s="38"/>
    </row>
    <row r="16" spans="1:15" x14ac:dyDescent="0.45">
      <c r="A16" s="1"/>
      <c r="B16" s="32">
        <f t="shared" si="3"/>
        <v>46212</v>
      </c>
      <c r="C16" s="33" t="str">
        <f t="shared" si="0"/>
        <v>木</v>
      </c>
      <c r="D16" s="33" t="s">
        <v>14</v>
      </c>
      <c r="E16" s="34">
        <v>0.375</v>
      </c>
      <c r="F16" s="34">
        <v>0.75</v>
      </c>
      <c r="G16" s="34">
        <v>0.5</v>
      </c>
      <c r="H16" s="34">
        <v>0.54166666666666663</v>
      </c>
      <c r="I16" s="35" t="str">
        <f t="shared" si="1"/>
        <v>8h</v>
      </c>
      <c r="J16" s="36">
        <v>0.375</v>
      </c>
      <c r="K16" s="36">
        <v>0.75</v>
      </c>
      <c r="L16" s="36">
        <v>0.5</v>
      </c>
      <c r="M16" s="36">
        <v>0.54166666666666663</v>
      </c>
      <c r="N16" s="37" t="str">
        <f t="shared" si="2"/>
        <v>8h</v>
      </c>
      <c r="O16" s="38"/>
    </row>
    <row r="17" spans="1:15" x14ac:dyDescent="0.45">
      <c r="A17" s="1"/>
      <c r="B17" s="32">
        <f t="shared" si="3"/>
        <v>46213</v>
      </c>
      <c r="C17" s="33" t="str">
        <f t="shared" si="0"/>
        <v>金</v>
      </c>
      <c r="D17" s="33" t="s">
        <v>14</v>
      </c>
      <c r="E17" s="34">
        <v>0.375</v>
      </c>
      <c r="F17" s="34">
        <v>0.75</v>
      </c>
      <c r="G17" s="34">
        <v>0.5</v>
      </c>
      <c r="H17" s="34">
        <v>0.54166666666666663</v>
      </c>
      <c r="I17" s="35" t="str">
        <f t="shared" si="1"/>
        <v>8h</v>
      </c>
      <c r="J17" s="36">
        <v>0.375</v>
      </c>
      <c r="K17" s="36">
        <v>0.75</v>
      </c>
      <c r="L17" s="36">
        <v>0.5</v>
      </c>
      <c r="M17" s="36">
        <v>0.54166666666666663</v>
      </c>
      <c r="N17" s="37" t="str">
        <f t="shared" si="2"/>
        <v>8h</v>
      </c>
      <c r="O17" s="38"/>
    </row>
    <row r="18" spans="1:15" x14ac:dyDescent="0.45">
      <c r="A18" s="1"/>
      <c r="B18" s="32">
        <f t="shared" si="3"/>
        <v>46214</v>
      </c>
      <c r="C18" s="39" t="str">
        <f t="shared" si="0"/>
        <v>土</v>
      </c>
      <c r="D18" s="33"/>
      <c r="E18" s="34"/>
      <c r="F18" s="34"/>
      <c r="G18" s="34"/>
      <c r="H18" s="34"/>
      <c r="I18" s="35" t="str">
        <f t="shared" si="1"/>
        <v/>
      </c>
      <c r="J18" s="36"/>
      <c r="K18" s="36"/>
      <c r="L18" s="36"/>
      <c r="M18" s="36"/>
      <c r="N18" s="37" t="str">
        <f t="shared" si="2"/>
        <v/>
      </c>
      <c r="O18" s="38"/>
    </row>
    <row r="19" spans="1:15" x14ac:dyDescent="0.45">
      <c r="A19" s="1"/>
      <c r="B19" s="32">
        <f t="shared" si="3"/>
        <v>46215</v>
      </c>
      <c r="C19" s="39" t="str">
        <f t="shared" si="0"/>
        <v>日</v>
      </c>
      <c r="D19" s="33"/>
      <c r="E19" s="34"/>
      <c r="F19" s="34"/>
      <c r="G19" s="34"/>
      <c r="H19" s="34"/>
      <c r="I19" s="35" t="str">
        <f t="shared" si="1"/>
        <v/>
      </c>
      <c r="J19" s="36"/>
      <c r="K19" s="36"/>
      <c r="L19" s="36"/>
      <c r="M19" s="36"/>
      <c r="N19" s="37" t="str">
        <f t="shared" si="2"/>
        <v/>
      </c>
      <c r="O19" s="38"/>
    </row>
    <row r="20" spans="1:15" x14ac:dyDescent="0.45">
      <c r="A20" s="1"/>
      <c r="B20" s="32">
        <f t="shared" si="3"/>
        <v>46216</v>
      </c>
      <c r="C20" s="33" t="str">
        <f t="shared" si="0"/>
        <v>月</v>
      </c>
      <c r="D20" s="33" t="s">
        <v>16</v>
      </c>
      <c r="E20" s="34">
        <v>0.375</v>
      </c>
      <c r="F20" s="34">
        <v>0.75</v>
      </c>
      <c r="G20" s="34">
        <v>0.5</v>
      </c>
      <c r="H20" s="34">
        <v>0.54166666666666663</v>
      </c>
      <c r="I20" s="35" t="str">
        <f t="shared" si="1"/>
        <v>8h</v>
      </c>
      <c r="J20" s="36">
        <v>0.375</v>
      </c>
      <c r="K20" s="36">
        <v>0.75</v>
      </c>
      <c r="L20" s="36">
        <v>0.5</v>
      </c>
      <c r="M20" s="36">
        <v>0.54166666666666663</v>
      </c>
      <c r="N20" s="37" t="str">
        <f t="shared" si="2"/>
        <v>8h</v>
      </c>
      <c r="O20" s="38"/>
    </row>
    <row r="21" spans="1:15" x14ac:dyDescent="0.45">
      <c r="A21" s="1"/>
      <c r="B21" s="32">
        <f t="shared" si="3"/>
        <v>46217</v>
      </c>
      <c r="C21" s="33" t="str">
        <f t="shared" si="0"/>
        <v>火</v>
      </c>
      <c r="D21" s="33" t="s">
        <v>16</v>
      </c>
      <c r="E21" s="34">
        <v>0.375</v>
      </c>
      <c r="F21" s="34">
        <v>0.75</v>
      </c>
      <c r="G21" s="34">
        <v>0.5</v>
      </c>
      <c r="H21" s="34">
        <v>0.54166666666666663</v>
      </c>
      <c r="I21" s="35" t="str">
        <f t="shared" si="1"/>
        <v>8h</v>
      </c>
      <c r="J21" s="36">
        <v>0.375</v>
      </c>
      <c r="K21" s="36">
        <v>0.75</v>
      </c>
      <c r="L21" s="36">
        <v>0.5</v>
      </c>
      <c r="M21" s="36">
        <v>0.54166666666666663</v>
      </c>
      <c r="N21" s="37" t="str">
        <f t="shared" si="2"/>
        <v>8h</v>
      </c>
      <c r="O21" s="38"/>
    </row>
    <row r="22" spans="1:15" x14ac:dyDescent="0.45">
      <c r="A22" s="1"/>
      <c r="B22" s="32">
        <f t="shared" si="3"/>
        <v>46218</v>
      </c>
      <c r="C22" s="33" t="str">
        <f t="shared" si="0"/>
        <v>水</v>
      </c>
      <c r="D22" s="33" t="s">
        <v>16</v>
      </c>
      <c r="E22" s="34">
        <v>0.375</v>
      </c>
      <c r="F22" s="34">
        <v>0.75</v>
      </c>
      <c r="G22" s="34">
        <v>0.5</v>
      </c>
      <c r="H22" s="34">
        <v>0.54166666666666663</v>
      </c>
      <c r="I22" s="35" t="str">
        <f t="shared" si="1"/>
        <v>8h</v>
      </c>
      <c r="J22" s="36">
        <v>0.375</v>
      </c>
      <c r="K22" s="36">
        <v>0.75</v>
      </c>
      <c r="L22" s="36">
        <v>0.5</v>
      </c>
      <c r="M22" s="36">
        <v>0.54166666666666663</v>
      </c>
      <c r="N22" s="37" t="str">
        <f t="shared" si="2"/>
        <v>8h</v>
      </c>
      <c r="O22" s="38"/>
    </row>
    <row r="23" spans="1:15" x14ac:dyDescent="0.45">
      <c r="A23" s="1"/>
      <c r="B23" s="32">
        <f t="shared" si="3"/>
        <v>46219</v>
      </c>
      <c r="C23" s="33" t="str">
        <f t="shared" si="0"/>
        <v>木</v>
      </c>
      <c r="D23" s="33" t="s">
        <v>16</v>
      </c>
      <c r="E23" s="34">
        <v>0.375</v>
      </c>
      <c r="F23" s="34">
        <v>0.75</v>
      </c>
      <c r="G23" s="34">
        <v>0.5</v>
      </c>
      <c r="H23" s="34">
        <v>0.54166666666666663</v>
      </c>
      <c r="I23" s="35" t="str">
        <f t="shared" si="1"/>
        <v>8h</v>
      </c>
      <c r="J23" s="36">
        <v>0.375</v>
      </c>
      <c r="K23" s="36">
        <v>0.75</v>
      </c>
      <c r="L23" s="36">
        <v>0.5</v>
      </c>
      <c r="M23" s="36">
        <v>0.54166666666666663</v>
      </c>
      <c r="N23" s="37" t="str">
        <f t="shared" si="2"/>
        <v>8h</v>
      </c>
      <c r="O23" s="38"/>
    </row>
    <row r="24" spans="1:15" x14ac:dyDescent="0.45">
      <c r="A24" s="1"/>
      <c r="B24" s="32">
        <f t="shared" si="3"/>
        <v>46220</v>
      </c>
      <c r="C24" s="33" t="str">
        <f t="shared" si="0"/>
        <v>金</v>
      </c>
      <c r="D24" s="33" t="s">
        <v>16</v>
      </c>
      <c r="E24" s="34">
        <v>0.375</v>
      </c>
      <c r="F24" s="34">
        <v>0.75</v>
      </c>
      <c r="G24" s="34">
        <v>0.5</v>
      </c>
      <c r="H24" s="34">
        <v>0.54166666666666663</v>
      </c>
      <c r="I24" s="35" t="str">
        <f t="shared" si="1"/>
        <v>8h</v>
      </c>
      <c r="J24" s="36">
        <v>0.375</v>
      </c>
      <c r="K24" s="36">
        <v>0.75</v>
      </c>
      <c r="L24" s="36">
        <v>0.5</v>
      </c>
      <c r="M24" s="36">
        <v>0.54166666666666663</v>
      </c>
      <c r="N24" s="37" t="str">
        <f t="shared" si="2"/>
        <v>8h</v>
      </c>
      <c r="O24" s="38"/>
    </row>
    <row r="25" spans="1:15" x14ac:dyDescent="0.45">
      <c r="A25" s="1"/>
      <c r="B25" s="32">
        <f t="shared" si="3"/>
        <v>46221</v>
      </c>
      <c r="C25" s="39" t="str">
        <f t="shared" si="0"/>
        <v>土</v>
      </c>
      <c r="D25" s="33"/>
      <c r="E25" s="34"/>
      <c r="F25" s="34"/>
      <c r="G25" s="34"/>
      <c r="H25" s="34"/>
      <c r="I25" s="35" t="str">
        <f t="shared" si="1"/>
        <v/>
      </c>
      <c r="J25" s="36"/>
      <c r="K25" s="36"/>
      <c r="L25" s="36"/>
      <c r="M25" s="36"/>
      <c r="N25" s="37" t="str">
        <f t="shared" si="2"/>
        <v/>
      </c>
      <c r="O25" s="38"/>
    </row>
    <row r="26" spans="1:15" x14ac:dyDescent="0.45">
      <c r="A26" s="1"/>
      <c r="B26" s="32">
        <f t="shared" si="3"/>
        <v>46222</v>
      </c>
      <c r="C26" s="39" t="str">
        <f t="shared" si="0"/>
        <v>日</v>
      </c>
      <c r="D26" s="33"/>
      <c r="E26" s="34"/>
      <c r="F26" s="34"/>
      <c r="G26" s="34"/>
      <c r="H26" s="34"/>
      <c r="I26" s="35" t="str">
        <f t="shared" si="1"/>
        <v/>
      </c>
      <c r="J26" s="36"/>
      <c r="K26" s="36"/>
      <c r="L26" s="36"/>
      <c r="M26" s="36"/>
      <c r="N26" s="37" t="str">
        <f t="shared" si="2"/>
        <v/>
      </c>
      <c r="O26" s="38"/>
    </row>
    <row r="27" spans="1:15" x14ac:dyDescent="0.45">
      <c r="A27" s="1"/>
      <c r="B27" s="32">
        <f t="shared" si="3"/>
        <v>46223</v>
      </c>
      <c r="C27" s="39" t="str">
        <f t="shared" si="0"/>
        <v>月</v>
      </c>
      <c r="D27" s="33" t="s">
        <v>17</v>
      </c>
      <c r="E27" s="34"/>
      <c r="F27" s="34"/>
      <c r="G27" s="34"/>
      <c r="H27" s="34"/>
      <c r="I27" s="35" t="str">
        <f t="shared" si="1"/>
        <v/>
      </c>
      <c r="J27" s="36"/>
      <c r="K27" s="36"/>
      <c r="L27" s="36"/>
      <c r="M27" s="36"/>
      <c r="N27" s="37" t="str">
        <f t="shared" si="2"/>
        <v/>
      </c>
      <c r="O27" s="38"/>
    </row>
    <row r="28" spans="1:15" x14ac:dyDescent="0.45">
      <c r="A28" s="1"/>
      <c r="B28" s="32">
        <f t="shared" si="3"/>
        <v>46224</v>
      </c>
      <c r="C28" s="33" t="str">
        <f t="shared" si="0"/>
        <v>火</v>
      </c>
      <c r="D28" s="33" t="s">
        <v>16</v>
      </c>
      <c r="E28" s="34">
        <v>0.375</v>
      </c>
      <c r="F28" s="34">
        <v>0.75</v>
      </c>
      <c r="G28" s="34">
        <v>0.5</v>
      </c>
      <c r="H28" s="34">
        <v>0.54166666666666663</v>
      </c>
      <c r="I28" s="35" t="str">
        <f t="shared" si="1"/>
        <v>8h</v>
      </c>
      <c r="J28" s="36">
        <v>0.375</v>
      </c>
      <c r="K28" s="36">
        <v>0.75</v>
      </c>
      <c r="L28" s="36">
        <v>0.5</v>
      </c>
      <c r="M28" s="36">
        <v>0.54166666666666663</v>
      </c>
      <c r="N28" s="37" t="str">
        <f t="shared" si="2"/>
        <v>8h</v>
      </c>
      <c r="O28" s="38"/>
    </row>
    <row r="29" spans="1:15" x14ac:dyDescent="0.45">
      <c r="A29" s="1"/>
      <c r="B29" s="32">
        <f t="shared" si="3"/>
        <v>46225</v>
      </c>
      <c r="C29" s="33" t="str">
        <f t="shared" si="0"/>
        <v>水</v>
      </c>
      <c r="D29" s="33" t="s">
        <v>16</v>
      </c>
      <c r="E29" s="34">
        <v>0.375</v>
      </c>
      <c r="F29" s="34">
        <v>0.75</v>
      </c>
      <c r="G29" s="34">
        <v>0.5</v>
      </c>
      <c r="H29" s="34">
        <v>0.54166666666666663</v>
      </c>
      <c r="I29" s="35" t="str">
        <f t="shared" si="1"/>
        <v>8h</v>
      </c>
      <c r="J29" s="36">
        <v>0.375</v>
      </c>
      <c r="K29" s="36">
        <v>0.75</v>
      </c>
      <c r="L29" s="36">
        <v>0.5</v>
      </c>
      <c r="M29" s="36">
        <v>0.54166666666666663</v>
      </c>
      <c r="N29" s="37" t="str">
        <f t="shared" si="2"/>
        <v>8h</v>
      </c>
      <c r="O29" s="38"/>
    </row>
    <row r="30" spans="1:15" x14ac:dyDescent="0.45">
      <c r="A30" s="1"/>
      <c r="B30" s="32">
        <f t="shared" si="3"/>
        <v>46226</v>
      </c>
      <c r="C30" s="33" t="str">
        <f t="shared" si="0"/>
        <v>木</v>
      </c>
      <c r="D30" s="33" t="s">
        <v>16</v>
      </c>
      <c r="E30" s="34">
        <v>0.375</v>
      </c>
      <c r="F30" s="34">
        <v>0.75</v>
      </c>
      <c r="G30" s="34">
        <v>0.5</v>
      </c>
      <c r="H30" s="34">
        <v>0.54166666666666663</v>
      </c>
      <c r="I30" s="35" t="str">
        <f t="shared" si="1"/>
        <v>8h</v>
      </c>
      <c r="J30" s="36">
        <v>0.375</v>
      </c>
      <c r="K30" s="36">
        <v>0.75</v>
      </c>
      <c r="L30" s="36">
        <v>0.5</v>
      </c>
      <c r="M30" s="36">
        <v>0.54166666666666663</v>
      </c>
      <c r="N30" s="37" t="str">
        <f t="shared" si="2"/>
        <v>8h</v>
      </c>
      <c r="O30" s="38"/>
    </row>
    <row r="31" spans="1:15" x14ac:dyDescent="0.45">
      <c r="A31" s="1"/>
      <c r="B31" s="32">
        <f t="shared" si="3"/>
        <v>46227</v>
      </c>
      <c r="C31" s="33" t="str">
        <f t="shared" si="0"/>
        <v>金</v>
      </c>
      <c r="D31" s="33" t="s">
        <v>16</v>
      </c>
      <c r="E31" s="34">
        <v>0.375</v>
      </c>
      <c r="F31" s="34">
        <v>0.75</v>
      </c>
      <c r="G31" s="34">
        <v>0.5</v>
      </c>
      <c r="H31" s="34">
        <v>0.54166666666666663</v>
      </c>
      <c r="I31" s="35" t="str">
        <f t="shared" si="1"/>
        <v>8h</v>
      </c>
      <c r="J31" s="36">
        <v>0.375</v>
      </c>
      <c r="K31" s="36">
        <v>0.75</v>
      </c>
      <c r="L31" s="36">
        <v>0.5</v>
      </c>
      <c r="M31" s="36">
        <v>0.54166666666666663</v>
      </c>
      <c r="N31" s="37" t="str">
        <f t="shared" si="2"/>
        <v>8h</v>
      </c>
      <c r="O31" s="38"/>
    </row>
    <row r="32" spans="1:15" x14ac:dyDescent="0.45">
      <c r="A32" s="1"/>
      <c r="B32" s="32">
        <f t="shared" si="3"/>
        <v>46228</v>
      </c>
      <c r="C32" s="39" t="str">
        <f t="shared" si="0"/>
        <v>土</v>
      </c>
      <c r="D32" s="33"/>
      <c r="E32" s="34"/>
      <c r="F32" s="34"/>
      <c r="G32" s="34"/>
      <c r="H32" s="34"/>
      <c r="I32" s="35" t="str">
        <f t="shared" si="1"/>
        <v/>
      </c>
      <c r="J32" s="36"/>
      <c r="K32" s="36"/>
      <c r="L32" s="36"/>
      <c r="M32" s="36"/>
      <c r="N32" s="37" t="str">
        <f t="shared" si="2"/>
        <v/>
      </c>
      <c r="O32" s="38"/>
    </row>
    <row r="33" spans="1:15" x14ac:dyDescent="0.45">
      <c r="A33" s="1"/>
      <c r="B33" s="32">
        <f t="shared" si="3"/>
        <v>46229</v>
      </c>
      <c r="C33" s="39" t="str">
        <f t="shared" si="0"/>
        <v>日</v>
      </c>
      <c r="D33" s="33"/>
      <c r="E33" s="34"/>
      <c r="F33" s="34"/>
      <c r="G33" s="34"/>
      <c r="H33" s="34"/>
      <c r="I33" s="35" t="str">
        <f t="shared" si="1"/>
        <v/>
      </c>
      <c r="J33" s="36"/>
      <c r="K33" s="36"/>
      <c r="L33" s="36"/>
      <c r="M33" s="36"/>
      <c r="N33" s="37" t="str">
        <f t="shared" si="2"/>
        <v/>
      </c>
      <c r="O33" s="38"/>
    </row>
    <row r="34" spans="1:15" x14ac:dyDescent="0.45">
      <c r="A34" s="1"/>
      <c r="B34" s="32">
        <f t="shared" si="3"/>
        <v>46230</v>
      </c>
      <c r="C34" s="33" t="str">
        <f t="shared" si="0"/>
        <v>月</v>
      </c>
      <c r="D34" s="33" t="s">
        <v>16</v>
      </c>
      <c r="E34" s="34">
        <v>0.375</v>
      </c>
      <c r="F34" s="34">
        <v>0.75</v>
      </c>
      <c r="G34" s="34">
        <v>0.5</v>
      </c>
      <c r="H34" s="34">
        <v>0.54166666666666663</v>
      </c>
      <c r="I34" s="35" t="str">
        <f t="shared" si="1"/>
        <v>8h</v>
      </c>
      <c r="J34" s="36">
        <v>0.375</v>
      </c>
      <c r="K34" s="36">
        <v>0.75</v>
      </c>
      <c r="L34" s="36">
        <v>0.5</v>
      </c>
      <c r="M34" s="36">
        <v>0.54166666666666663</v>
      </c>
      <c r="N34" s="37" t="str">
        <f t="shared" si="2"/>
        <v>8h</v>
      </c>
      <c r="O34" s="38"/>
    </row>
    <row r="35" spans="1:15" x14ac:dyDescent="0.45">
      <c r="A35" s="1"/>
      <c r="B35" s="32">
        <f t="shared" si="3"/>
        <v>46231</v>
      </c>
      <c r="C35" s="33" t="str">
        <f t="shared" si="0"/>
        <v>火</v>
      </c>
      <c r="D35" s="33" t="s">
        <v>16</v>
      </c>
      <c r="E35" s="34">
        <v>0.375</v>
      </c>
      <c r="F35" s="34">
        <v>0.75</v>
      </c>
      <c r="G35" s="34">
        <v>0.5</v>
      </c>
      <c r="H35" s="34">
        <v>0.54166666666666663</v>
      </c>
      <c r="I35" s="35" t="str">
        <f t="shared" si="1"/>
        <v>8h</v>
      </c>
      <c r="J35" s="36">
        <v>0.375</v>
      </c>
      <c r="K35" s="36">
        <v>0.75</v>
      </c>
      <c r="L35" s="36">
        <v>0.5</v>
      </c>
      <c r="M35" s="36">
        <v>0.54166666666666663</v>
      </c>
      <c r="N35" s="37" t="str">
        <f t="shared" si="2"/>
        <v>8h</v>
      </c>
      <c r="O35" s="38"/>
    </row>
    <row r="36" spans="1:15" x14ac:dyDescent="0.45">
      <c r="A36" s="1"/>
      <c r="B36" s="32">
        <f t="shared" si="3"/>
        <v>46232</v>
      </c>
      <c r="C36" s="33" t="str">
        <f t="shared" si="0"/>
        <v>水</v>
      </c>
      <c r="D36" s="33" t="s">
        <v>16</v>
      </c>
      <c r="E36" s="34">
        <v>0.375</v>
      </c>
      <c r="F36" s="34">
        <v>0.75</v>
      </c>
      <c r="G36" s="34">
        <v>0.5</v>
      </c>
      <c r="H36" s="34">
        <v>0.54166666666666663</v>
      </c>
      <c r="I36" s="35" t="str">
        <f t="shared" si="1"/>
        <v>8h</v>
      </c>
      <c r="J36" s="36">
        <v>0.375</v>
      </c>
      <c r="K36" s="36">
        <v>0.75</v>
      </c>
      <c r="L36" s="36">
        <v>0.5</v>
      </c>
      <c r="M36" s="36">
        <v>0.54166666666666663</v>
      </c>
      <c r="N36" s="37" t="str">
        <f t="shared" si="2"/>
        <v>8h</v>
      </c>
      <c r="O36" s="38"/>
    </row>
    <row r="37" spans="1:15" x14ac:dyDescent="0.45">
      <c r="A37" s="1"/>
      <c r="B37" s="32">
        <f t="shared" si="3"/>
        <v>46233</v>
      </c>
      <c r="C37" s="33" t="str">
        <f t="shared" si="0"/>
        <v>木</v>
      </c>
      <c r="D37" s="33" t="s">
        <v>16</v>
      </c>
      <c r="E37" s="34">
        <v>0.375</v>
      </c>
      <c r="F37" s="34">
        <v>0.75</v>
      </c>
      <c r="G37" s="34">
        <v>0.5</v>
      </c>
      <c r="H37" s="34">
        <v>0.54166666666666663</v>
      </c>
      <c r="I37" s="35" t="str">
        <f t="shared" si="1"/>
        <v>8h</v>
      </c>
      <c r="J37" s="36">
        <v>0.375</v>
      </c>
      <c r="K37" s="36">
        <v>0.75</v>
      </c>
      <c r="L37" s="36">
        <v>0.5</v>
      </c>
      <c r="M37" s="36">
        <v>0.54166666666666663</v>
      </c>
      <c r="N37" s="37" t="str">
        <f t="shared" si="2"/>
        <v>8h</v>
      </c>
      <c r="O37" s="38"/>
    </row>
    <row r="38" spans="1:15" x14ac:dyDescent="0.45">
      <c r="A38" s="1"/>
      <c r="B38" s="40">
        <f t="shared" si="3"/>
        <v>46234</v>
      </c>
      <c r="C38" s="41" t="str">
        <f t="shared" si="0"/>
        <v>金</v>
      </c>
      <c r="D38" s="41" t="s">
        <v>16</v>
      </c>
      <c r="E38" s="42">
        <v>0.375</v>
      </c>
      <c r="F38" s="42">
        <v>0.75</v>
      </c>
      <c r="G38" s="42">
        <v>0.5</v>
      </c>
      <c r="H38" s="42">
        <v>0.54166666666666663</v>
      </c>
      <c r="I38" s="43" t="str">
        <f t="shared" si="1"/>
        <v>8h</v>
      </c>
      <c r="J38" s="44">
        <v>0.375</v>
      </c>
      <c r="K38" s="44">
        <v>0.75</v>
      </c>
      <c r="L38" s="44">
        <v>0.5</v>
      </c>
      <c r="M38" s="44">
        <v>0.54166666666666663</v>
      </c>
      <c r="N38" s="45" t="str">
        <f t="shared" si="2"/>
        <v>8h</v>
      </c>
      <c r="O38" s="46"/>
    </row>
  </sheetData>
  <mergeCells count="11">
    <mergeCell ref="A6:A7"/>
    <mergeCell ref="E6:F6"/>
    <mergeCell ref="G6:H6"/>
    <mergeCell ref="J6:K6"/>
    <mergeCell ref="L6:M6"/>
    <mergeCell ref="B1:O1"/>
    <mergeCell ref="B2:D2"/>
    <mergeCell ref="G2:H2"/>
    <mergeCell ref="J2:K2"/>
    <mergeCell ref="B3:D3"/>
    <mergeCell ref="B4:D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2026年7月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KEITA OONISHI</dc:creator>
  <cp:lastModifiedBy>KEITA OONISHI</cp:lastModifiedBy>
  <dcterms:created xsi:type="dcterms:W3CDTF">2026-07-31T07:42:38Z</dcterms:created>
  <dcterms:modified xsi:type="dcterms:W3CDTF">2026-07-31T07:42:38Z</dcterms:modified>
</cp:coreProperties>
</file>