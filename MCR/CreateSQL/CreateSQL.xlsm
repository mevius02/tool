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SQL\"/>
    </mc:Choice>
  </mc:AlternateContent>
  <xr:revisionPtr revIDLastSave="0" documentId="13_ncr:1_{5F4ECBE4-5369-4708-9C0B-C531A10EAC6D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Sheet作成" sheetId="99" r:id="rId1"/>
    <sheet name="TBL1" sheetId="98" r:id="rId2"/>
    <sheet name="TBL2" sheetId="97" r:id="rId3"/>
    <sheet name="TBL3" sheetId="96" r:id="rId4"/>
    <sheet name="SQL" sheetId="93" r:id="rId5"/>
    <sheet name="Sheet1" sheetId="92" r:id="rId6"/>
  </sheets>
  <definedNames>
    <definedName name="_xlnm._FilterDatabase" localSheetId="1" hidden="1">'TBL1'!$A$1:$K$1</definedName>
    <definedName name="_xlnm._FilterDatabase" localSheetId="2" hidden="1">'TBL2'!$A$1:$K$1</definedName>
    <definedName name="_xlnm._FilterDatabase" localSheetId="3" hidden="1">'TBL3'!$A$1:$K$1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99" l="1" a="1"/>
  <c r="B7" i="99" s="1"/>
  <c r="B8" i="99" a="1"/>
  <c r="B8" i="99" s="1"/>
  <c r="B9" i="99" a="1"/>
  <c r="B9" i="99" s="1"/>
  <c r="B10" i="99" a="1"/>
  <c r="B10" i="99" s="1"/>
  <c r="B11" i="99" a="1"/>
  <c r="B11" i="99" s="1"/>
  <c r="B12" i="99" a="1"/>
  <c r="B12" i="99" s="1"/>
  <c r="B13" i="99" a="1"/>
  <c r="B13" i="99" s="1"/>
  <c r="B14" i="99" a="1"/>
  <c r="B14" i="99" s="1"/>
  <c r="B15" i="99" a="1"/>
  <c r="B15" i="99" s="1"/>
  <c r="B16" i="99" a="1"/>
  <c r="B16" i="99" s="1"/>
  <c r="B17" i="99" a="1"/>
  <c r="B17" i="99" s="1"/>
  <c r="B18" i="99" a="1"/>
  <c r="B18" i="99" s="1"/>
  <c r="B19" i="99" a="1"/>
  <c r="B19" i="99" s="1"/>
  <c r="B20" i="99" a="1"/>
  <c r="B20" i="99" s="1"/>
  <c r="B21" i="99" a="1"/>
  <c r="B21" i="99" s="1"/>
  <c r="B22" i="99" a="1"/>
  <c r="B22" i="99" s="1"/>
  <c r="B23" i="99" a="1"/>
  <c r="B23" i="99" s="1"/>
  <c r="B24" i="99" a="1"/>
  <c r="B24" i="99" s="1"/>
  <c r="B25" i="99" a="1"/>
  <c r="B25" i="99" s="1"/>
  <c r="B26" i="99" a="1"/>
  <c r="B26" i="99" s="1"/>
  <c r="B27" i="99" a="1"/>
  <c r="B27" i="99" s="1"/>
  <c r="B28" i="99" a="1"/>
  <c r="B28" i="99" s="1"/>
  <c r="B29" i="99" a="1"/>
  <c r="B29" i="99" s="1"/>
  <c r="B30" i="99" a="1"/>
  <c r="B30" i="99" s="1"/>
  <c r="B31" i="99" a="1"/>
  <c r="B31" i="99" s="1"/>
  <c r="B32" i="99" a="1"/>
  <c r="B32" i="99" s="1"/>
  <c r="A3" i="99"/>
  <c r="A4" i="99"/>
  <c r="A5" i="99"/>
  <c r="A6" i="99"/>
  <c r="A7" i="99"/>
  <c r="A8" i="99"/>
  <c r="A9" i="99"/>
  <c r="A10" i="99"/>
  <c r="A11" i="99"/>
  <c r="A12" i="99"/>
  <c r="A13" i="99"/>
  <c r="A14" i="99"/>
  <c r="A15" i="99"/>
  <c r="A16" i="99"/>
  <c r="A17" i="99"/>
  <c r="A18" i="99"/>
  <c r="A19" i="99"/>
  <c r="A20" i="99"/>
  <c r="A21" i="99"/>
  <c r="A22" i="99"/>
  <c r="A23" i="99"/>
  <c r="A24" i="99"/>
  <c r="A25" i="99"/>
  <c r="A26" i="99"/>
  <c r="A27" i="99"/>
  <c r="A28" i="99"/>
  <c r="A29" i="99"/>
  <c r="A30" i="99"/>
  <c r="A31" i="99"/>
  <c r="A32" i="99"/>
  <c r="B6" i="99" a="1"/>
  <c r="B5" i="99" a="1"/>
  <c r="B3" i="99" a="1"/>
  <c r="B4" i="99" a="1"/>
  <c r="B6" i="99" l="1"/>
  <c r="B5" i="99"/>
  <c r="B4" i="99"/>
  <c r="B3" i="9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<sst xmlns="http://schemas.openxmlformats.org/spreadsheetml/2006/main" count="952" uniqueCount="290">
  <si>
    <t>-- ■■■■■■■■■■■■■■■■■■■■■■■■■■■■■■</t>
  </si>
  <si>
    <t>--   テーブル情報 取得(Oracle)</t>
  </si>
  <si>
    <t>SELECT</t>
  </si>
  <si>
    <t>FROM</t>
  </si>
  <si>
    <t xml:space="preserve">    ALL_TABLES TBL</t>
  </si>
  <si>
    <t xml:space="preserve">            CONST_COL.OWNER</t>
  </si>
  <si>
    <t xml:space="preserve">            , CONST_COL.TABLE_NAME</t>
  </si>
  <si>
    <t xml:space="preserve">            , CONST_COL.COLUMN_NAME</t>
  </si>
  <si>
    <t xml:space="preserve">            ALL_CONSTRAINTS CONST</t>
  </si>
  <si>
    <t xml:space="preserve">    ) PK</t>
  </si>
  <si>
    <t>WHERE</t>
  </si>
  <si>
    <t xml:space="preserve">    TBL.TABLE_NAME</t>
  </si>
  <si>
    <t xml:space="preserve">    , COL.COLUMN_ID;</t>
  </si>
  <si>
    <t>--   テーブル情報 取得(PostgreSQL)</t>
  </si>
  <si>
    <t xml:space="preserve">    information_schema.tables tbl</t>
  </si>
  <si>
    <t xml:space="preserve">            kcu.table_schema</t>
  </si>
  <si>
    <t xml:space="preserve">            , kcu.table_name</t>
  </si>
  <si>
    <t xml:space="preserve">            , kcu.column_name</t>
  </si>
  <si>
    <t xml:space="preserve">            information_schema.table_constraints tbl_const</t>
  </si>
  <si>
    <t xml:space="preserve">    ) pk</t>
  </si>
  <si>
    <t xml:space="preserve">            pg_class cls</t>
  </si>
  <si>
    <t xml:space="preserve">    ) tbl_alias</t>
  </si>
  <si>
    <t xml:space="preserve">            0 &lt; att.attnum</t>
  </si>
  <si>
    <t xml:space="preserve">    ) col_alias</t>
  </si>
  <si>
    <t xml:space="preserve">    tbl.table_name</t>
  </si>
  <si>
    <t xml:space="preserve">    , col.ordinal_position;</t>
  </si>
  <si>
    <t>--   テーブル情報 取得(SQLServer)</t>
  </si>
  <si>
    <t xml:space="preserve">    sys.tables tbl</t>
  </si>
  <si>
    <t xml:space="preserve">            ic.object_id</t>
  </si>
  <si>
    <t xml:space="preserve">            , ic.column_id</t>
  </si>
  <si>
    <t xml:space="preserve">            sys.indexes idx</t>
  </si>
  <si>
    <t xml:space="preserve">            idx.is_primary_key = 1</t>
  </si>
  <si>
    <t xml:space="preserve">            tbl.object_id</t>
  </si>
  <si>
    <t xml:space="preserve">            sys.tables tbl</t>
  </si>
  <si>
    <t xml:space="preserve">            col.object_id</t>
  </si>
  <si>
    <t xml:space="preserve">            , col.column_id</t>
  </si>
  <si>
    <t xml:space="preserve">            sys.columns col</t>
  </si>
  <si>
    <t xml:space="preserve">    tbl.name</t>
  </si>
  <si>
    <t xml:space="preserve">    , col.column_id;</t>
  </si>
  <si>
    <r>
      <t xml:space="preserve">    </t>
    </r>
    <r>
      <rPr>
        <sz val="11"/>
        <color rgb="FF0080FF"/>
        <rFont val="HGｺﾞｼｯｸM"/>
        <family val="3"/>
        <charset val="128"/>
      </rPr>
      <t>DENSE_RANK</t>
    </r>
    <r>
      <rPr>
        <sz val="11"/>
        <color theme="1"/>
        <rFont val="HGｺﾞｼｯｸM"/>
        <family val="3"/>
        <charset val="128"/>
      </rPr>
      <t xml:space="preserve">() </t>
    </r>
    <r>
      <rPr>
        <sz val="11"/>
        <color rgb="FF0080FF"/>
        <rFont val="HGｺﾞｼｯｸM"/>
        <family val="3"/>
        <charset val="128"/>
      </rPr>
      <t>OVER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0080FF"/>
        <rFont val="HGｺﾞｼｯｸM"/>
        <family val="3"/>
        <charset val="128"/>
      </rPr>
      <t>ORDER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BY</t>
    </r>
    <r>
      <rPr>
        <sz val="11"/>
        <color theme="1"/>
        <rFont val="HGｺﾞｼｯｸM"/>
        <family val="3"/>
        <charset val="128"/>
      </rPr>
      <t xml:space="preserve"> TBL.TABLE_NAME)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"TBL-No"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</si>
  <si>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 xml:space="preserve">(TBL_ALIAS.COMMENTS,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"TBL(論理)"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</si>
  <si>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 xml:space="preserve">(TBL.TABLE_NAME,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"TBL(物理)"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</si>
  <si>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TO_CHAR</t>
    </r>
    <r>
      <rPr>
        <sz val="11"/>
        <color theme="1"/>
        <rFont val="HGｺﾞｼｯｸM"/>
        <family val="3"/>
        <charset val="128"/>
      </rPr>
      <t xml:space="preserve">(COL.COLUMN_ID),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"COL-No"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</si>
  <si>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CASE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PK.COLUMN_NAME </t>
    </r>
    <r>
      <rPr>
        <sz val="11"/>
        <color rgb="FF0080FF"/>
        <rFont val="HGｺﾞｼｯｸM"/>
        <family val="3"/>
        <charset val="128"/>
      </rPr>
      <t>IS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NOT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NULL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'Y'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'N'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"PK"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</si>
  <si>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 xml:space="preserve">(COL_ALIAS.COMMENTS,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"COL(論理)"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</si>
  <si>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 xml:space="preserve">(COL.COLUMN_NAME,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"COL(物理)"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</si>
  <si>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 xml:space="preserve">(COL.DATA_TYPE,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"型"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</si>
  <si>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CASE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</si>
  <si>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COL.DATA_TYPE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'CHAR'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'VARCHAR2'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'NCHAR'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'NVARCHAR2'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</si>
  <si>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TO_CHAR</t>
    </r>
    <r>
      <rPr>
        <sz val="11"/>
        <color theme="1"/>
        <rFont val="HGｺﾞｼｯｸM"/>
        <family val="3"/>
        <charset val="128"/>
      </rPr>
      <t xml:space="preserve">(COL.DATA_LENGTH),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</si>
  <si>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COL.DATA_TYPE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'NUMBER'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</si>
  <si>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TO_CHAR</t>
    </r>
    <r>
      <rPr>
        <sz val="11"/>
        <color theme="1"/>
        <rFont val="HGｺﾞｼｯｸM"/>
        <family val="3"/>
        <charset val="128"/>
      </rPr>
      <t xml:space="preserve">(COL.DATA_PRECISION),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 xml:space="preserve">) || </t>
    </r>
    <r>
      <rPr>
        <sz val="11"/>
        <color rgb="FFFF2800"/>
        <rFont val="HGｺﾞｼｯｸM"/>
        <family val="3"/>
        <charset val="128"/>
      </rPr>
      <t>','</t>
    </r>
    <r>
      <rPr>
        <sz val="11"/>
        <color theme="1"/>
        <rFont val="HGｺﾞｼｯｸM"/>
        <family val="3"/>
        <charset val="128"/>
      </rPr>
      <t xml:space="preserve"> ||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TO_CHAR</t>
    </r>
    <r>
      <rPr>
        <sz val="11"/>
        <color theme="1"/>
        <rFont val="HGｺﾞｼｯｸM"/>
        <family val="3"/>
        <charset val="128"/>
      </rPr>
      <t xml:space="preserve">(COL.DATA_SCALE),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</si>
  <si>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 '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</si>
  <si>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"桁"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</si>
  <si>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CASE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COL.NULLABLE = </t>
    </r>
    <r>
      <rPr>
        <sz val="11"/>
        <color rgb="FFFF2800"/>
        <rFont val="HGｺﾞｼｯｸM"/>
        <family val="3"/>
        <charset val="128"/>
      </rPr>
      <t>'N'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'Y'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'N'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"NULL不可"</t>
    </r>
  </si>
  <si>
    <r>
      <t xml:space="preserve">    , COL.DATA_DEFAULT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"初期値"</t>
    </r>
  </si>
  <si>
    <r>
      <t xml:space="preserve">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ALL_TAB_COLUMNS COL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</si>
  <si>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TBL.OWNER = COL.OWNER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</si>
  <si>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TBL.TABLE_NAME = COL.TABLE_NAME</t>
    </r>
  </si>
  <si>
    <r>
      <t xml:space="preserve">    </t>
    </r>
    <r>
      <rPr>
        <sz val="11"/>
        <color rgb="FF0080FF"/>
        <rFont val="HGｺﾞｼｯｸM"/>
        <family val="3"/>
        <charset val="128"/>
      </rPr>
      <t>LEFT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(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</si>
  <si>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SELECT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</si>
  <si>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FROM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</si>
  <si>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ALL_CONS_COLUMNS CONST_COL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</si>
  <si>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CONST.OWNER = CONST_COL.OWNER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</si>
  <si>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CONST.CONSTRAINT_NAME = CONST_COL.CONSTRAINT_NAME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</si>
  <si>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WHERE</t>
    </r>
  </si>
  <si>
    <r>
      <t xml:space="preserve">            CONST.CONSTRAINT_TYPE = </t>
    </r>
    <r>
      <rPr>
        <sz val="11"/>
        <color rgb="FFFF2800"/>
        <rFont val="HGｺﾞｼｯｸM"/>
        <family val="3"/>
        <charset val="128"/>
      </rPr>
      <t>'P'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</si>
  <si>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COL.OWNER = PK.OWNER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</si>
  <si>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COL.TABLE_NAME = PK.TABLE_NAME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</si>
  <si>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COL.COLUMN_NAME = PK.COLUMN_NAME</t>
    </r>
  </si>
  <si>
    <r>
      <t xml:space="preserve">    </t>
    </r>
    <r>
      <rPr>
        <sz val="11"/>
        <color rgb="FF0080FF"/>
        <rFont val="HGｺﾞｼｯｸM"/>
        <family val="3"/>
        <charset val="128"/>
      </rPr>
      <t>LEFT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ALL_TAB_COMMENTS TBL_ALIAS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</si>
  <si>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TBL.OWNER = TBL_ALIAS.OWNER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</si>
  <si>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TBL.TABLE_NAME = TBL_ALIAS.TABLE_NAME</t>
    </r>
  </si>
  <si>
    <r>
      <t xml:space="preserve">    </t>
    </r>
    <r>
      <rPr>
        <sz val="11"/>
        <color rgb="FF0080FF"/>
        <rFont val="HGｺﾞｼｯｸM"/>
        <family val="3"/>
        <charset val="128"/>
      </rPr>
      <t>LEFT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ALL_COL_COMMENTS COL_ALIAS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</si>
  <si>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COL.OWNER = COL_ALIAS.OWNER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</si>
  <si>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COL.TABLE_NAME = COL_ALIAS.TABLE_NAME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</si>
  <si>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COL.COLUMN_NAME = COL_ALIAS.COLUMN_NAME</t>
    </r>
  </si>
  <si>
    <r>
      <t xml:space="preserve">    TBL.OWNER = </t>
    </r>
    <r>
      <rPr>
        <sz val="11"/>
        <color rgb="FFFF2800"/>
        <rFont val="HGｺﾞｼｯｸM"/>
        <family val="3"/>
        <charset val="128"/>
      </rPr>
      <t>'SCHEMA_NAME'</t>
    </r>
    <r>
      <rPr>
        <sz val="11"/>
        <color theme="1"/>
        <rFont val="HGｺﾞｼｯｸM"/>
        <family val="3"/>
        <charset val="128"/>
      </rPr>
      <t xml:space="preserve">           </t>
    </r>
    <r>
      <rPr>
        <sz val="11"/>
        <color rgb="FF35A16B"/>
        <rFont val="HGｺﾞｼｯｸM"/>
        <family val="3"/>
        <charset val="128"/>
      </rPr>
      <t>--★★★ スキーマ名指定 ★★★</t>
    </r>
  </si>
  <si>
    <r>
      <t xml:space="preserve">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TBL.TABLE_NAME </t>
    </r>
    <r>
      <rPr>
        <sz val="11"/>
        <color rgb="FF0080FF"/>
        <rFont val="HGｺﾞｼｯｸM"/>
        <family val="3"/>
        <charset val="128"/>
      </rPr>
      <t>LIKE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'TBL_NAME%'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35A16B"/>
        <rFont val="HGｺﾞｼｯｸM"/>
        <family val="3"/>
        <charset val="128"/>
      </rPr>
      <t>--★★★ テーブル名指定 ★★★</t>
    </r>
  </si>
  <si>
    <r>
      <t>ORDER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BY</t>
    </r>
  </si>
  <si>
    <r>
      <t xml:space="preserve">    </t>
    </r>
    <r>
      <rPr>
        <sz val="11"/>
        <color rgb="FF0080FF"/>
        <rFont val="HGｺﾞｼｯｸM"/>
        <family val="3"/>
        <charset val="128"/>
      </rPr>
      <t>DENSE_RANK</t>
    </r>
    <r>
      <rPr>
        <sz val="11"/>
        <color theme="1"/>
        <rFont val="HGｺﾞｼｯｸM"/>
        <family val="3"/>
        <charset val="128"/>
      </rPr>
      <t xml:space="preserve">() </t>
    </r>
    <r>
      <rPr>
        <sz val="11"/>
        <color rgb="FF0080FF"/>
        <rFont val="HGｺﾞｼｯｸM"/>
        <family val="3"/>
        <charset val="128"/>
      </rPr>
      <t>OVER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0080FF"/>
        <rFont val="HGｺﾞｼｯｸM"/>
        <family val="3"/>
        <charset val="128"/>
      </rPr>
      <t>ORDER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BY</t>
    </r>
    <r>
      <rPr>
        <sz val="11"/>
        <color theme="1"/>
        <rFont val="HGｺﾞｼｯｸM"/>
        <family val="3"/>
        <charset val="128"/>
      </rPr>
      <t xml:space="preserve"> tbl.table_name)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"TBL-No"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</si>
  <si>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(tbl_alias.description,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"TBL(論理)"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</si>
  <si>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(tbl.table_name,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"TBL(物理)"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</si>
  <si>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(col.ordinal_position ::text,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"COL-No"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</si>
  <si>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CASE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pk.column_name </t>
    </r>
    <r>
      <rPr>
        <sz val="11"/>
        <color rgb="FF0080FF"/>
        <rFont val="HGｺﾞｼｯｸM"/>
        <family val="3"/>
        <charset val="128"/>
      </rPr>
      <t>IS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NOT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NULL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'Y'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'N'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"PK"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</si>
  <si>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(col_alias.description,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"COL(論理)"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</si>
  <si>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(col.column_name,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"COL(物理)"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</si>
  <si>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(col.data_type,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"型"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</si>
  <si>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col.data_type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'character'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'character varying'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</si>
  <si>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(col.character_maximum_length ::text,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</si>
  <si>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col.data_type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'numeric'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</si>
  <si>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(col.numeric_precision ::text,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|| </t>
    </r>
    <r>
      <rPr>
        <sz val="11"/>
        <color rgb="FFFF2800"/>
        <rFont val="HGｺﾞｼｯｸM"/>
        <family val="3"/>
        <charset val="128"/>
      </rPr>
      <t>','</t>
    </r>
    <r>
      <rPr>
        <sz val="11"/>
        <color theme="1"/>
        <rFont val="HGｺﾞｼｯｸM"/>
        <family val="3"/>
        <charset val="128"/>
      </rPr>
      <t xml:space="preserve"> ||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(col.numeric_scale ::text,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</si>
  <si>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''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</si>
  <si>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CASE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col.is_nullable = </t>
    </r>
    <r>
      <rPr>
        <sz val="11"/>
        <color rgb="FFFF2800"/>
        <rFont val="HGｺﾞｼｯｸM"/>
        <family val="3"/>
        <charset val="128"/>
      </rPr>
      <t>'NO'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'Y'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'N'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"NULL不可"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</si>
  <si>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(col.column_default,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"初期値"</t>
    </r>
  </si>
  <si>
    <r>
      <t xml:space="preserve">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information_schema.columns col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</si>
  <si>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tbl.table_schema = col.table_schema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</si>
  <si>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tbl.table_name = col.table_name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</si>
  <si>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information_schema.key_column_usage kcu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</si>
  <si>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tbl_const.constraint_schema = kcu.constraint_schema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</si>
  <si>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tbl_const.constraint_name = kcu.constraint_name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</si>
  <si>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tbl_const.table_schema = kcu.table_schema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</si>
  <si>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tbl_const.table_name = kcu.table_name</t>
    </r>
  </si>
  <si>
    <r>
      <t xml:space="preserve">            tbl_const.constraint_type = </t>
    </r>
    <r>
      <rPr>
        <sz val="11"/>
        <color rgb="FFFF2800"/>
        <rFont val="HGｺﾞｼｯｸM"/>
        <family val="3"/>
        <charset val="128"/>
      </rPr>
      <t>'PRIMARY KEY'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</si>
  <si>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col.table_schema = pk.table_schema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</si>
  <si>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col.table_name = pk.table_name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</si>
  <si>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col.column_name = pk.column_name</t>
    </r>
  </si>
  <si>
    <r>
      <t xml:space="preserve">            nm.nspname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table_schema</t>
    </r>
  </si>
  <si>
    <r>
      <t xml:space="preserve">            , cls.relname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table_name</t>
    </r>
  </si>
  <si>
    <r>
      <t xml:space="preserve">            , </t>
    </r>
    <r>
      <rPr>
        <sz val="11"/>
        <color rgb="FF0080FF"/>
        <rFont val="HGｺﾞｼｯｸM"/>
        <family val="3"/>
        <charset val="128"/>
      </rPr>
      <t>OBJ_DESCRIPTION</t>
    </r>
    <r>
      <rPr>
        <sz val="11"/>
        <color theme="1"/>
        <rFont val="HGｺﾞｼｯｸM"/>
        <family val="3"/>
        <charset val="128"/>
      </rPr>
      <t xml:space="preserve">(cls.oid, </t>
    </r>
    <r>
      <rPr>
        <sz val="11"/>
        <color rgb="FFFF2800"/>
        <rFont val="HGｺﾞｼｯｸM"/>
        <family val="3"/>
        <charset val="128"/>
      </rPr>
      <t>'pg_class'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description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</si>
  <si>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pg_namespace nm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</si>
  <si>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cls.relnamespace = nm.oid</t>
    </r>
  </si>
  <si>
    <r>
      <t xml:space="preserve">            cls.relkind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'p'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</si>
  <si>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tbl.table_schema = tbl_alias.table_schema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</si>
  <si>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tbl.table_name = tbl_alias.table_name</t>
    </r>
  </si>
  <si>
    <r>
      <t xml:space="preserve">            , att.attname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column_name</t>
    </r>
  </si>
  <si>
    <r>
      <t xml:space="preserve">            , </t>
    </r>
    <r>
      <rPr>
        <sz val="11"/>
        <color rgb="FF0080FF"/>
        <rFont val="HGｺﾞｼｯｸM"/>
        <family val="3"/>
        <charset val="128"/>
      </rPr>
      <t>COL_DESCRIPTION</t>
    </r>
    <r>
      <rPr>
        <sz val="11"/>
        <color theme="1"/>
        <rFont val="HGｺﾞｼｯｸM"/>
        <family val="3"/>
        <charset val="128"/>
      </rPr>
      <t xml:space="preserve">(cls.oid, att.attnum)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description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</si>
  <si>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pg_attribute att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</si>
  <si>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cls.oid = att.attrelid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</si>
  <si>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NOT</t>
    </r>
    <r>
      <rPr>
        <sz val="11"/>
        <color theme="1"/>
        <rFont val="HGｺﾞｼｯｸM"/>
        <family val="3"/>
        <charset val="128"/>
      </rPr>
      <t xml:space="preserve"> att.attisdropped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</si>
  <si>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col.table_schema = col_alias.table_schema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</si>
  <si>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col.table_name = col_alias.table_name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</si>
  <si>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col.column_name = col_alias.column_name</t>
    </r>
  </si>
  <si>
    <r>
      <t xml:space="preserve">    tbl.table_type = </t>
    </r>
    <r>
      <rPr>
        <sz val="11"/>
        <color rgb="FFFF2800"/>
        <rFont val="HGｺﾞｼｯｸM"/>
        <family val="3"/>
        <charset val="128"/>
      </rPr>
      <t>'BASE TABLE'</t>
    </r>
  </si>
  <si>
    <r>
      <t xml:space="preserve">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tbl.table_schema = </t>
    </r>
    <r>
      <rPr>
        <sz val="11"/>
        <color rgb="FFFF2800"/>
        <rFont val="HGｺﾞｼｯｸM"/>
        <family val="3"/>
        <charset val="128"/>
      </rPr>
      <t>'schema_name'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35A16B"/>
        <rFont val="HGｺﾞｼｯｸM"/>
        <family val="3"/>
        <charset val="128"/>
      </rPr>
      <t>--★★★ スキーマ名指定 ★★★</t>
    </r>
  </si>
  <si>
    <r>
      <t xml:space="preserve">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tbl.table_name </t>
    </r>
    <r>
      <rPr>
        <sz val="11"/>
        <color rgb="FF0080FF"/>
        <rFont val="HGｺﾞｼｯｸM"/>
        <family val="3"/>
        <charset val="128"/>
      </rPr>
      <t>LIKE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'tbl_name%'</t>
    </r>
    <r>
      <rPr>
        <sz val="11"/>
        <color theme="1"/>
        <rFont val="HGｺﾞｼｯｸM"/>
        <family val="3"/>
        <charset val="128"/>
      </rPr>
      <t xml:space="preserve">  </t>
    </r>
    <r>
      <rPr>
        <sz val="11"/>
        <color rgb="FF35A16B"/>
        <rFont val="HGｺﾞｼｯｸM"/>
        <family val="3"/>
        <charset val="128"/>
      </rPr>
      <t>--★★★ テーブル名指定 ★★★</t>
    </r>
  </si>
  <si>
    <r>
      <t xml:space="preserve">    </t>
    </r>
    <r>
      <rPr>
        <sz val="11"/>
        <color rgb="FF0080FF"/>
        <rFont val="HGｺﾞｼｯｸM"/>
        <family val="3"/>
        <charset val="128"/>
      </rPr>
      <t>DENSE_RANK</t>
    </r>
    <r>
      <rPr>
        <sz val="11"/>
        <color theme="1"/>
        <rFont val="HGｺﾞｼｯｸM"/>
        <family val="3"/>
        <charset val="128"/>
      </rPr>
      <t xml:space="preserve">() </t>
    </r>
    <r>
      <rPr>
        <sz val="11"/>
        <color rgb="FF0080FF"/>
        <rFont val="HGｺﾞｼｯｸM"/>
        <family val="3"/>
        <charset val="128"/>
      </rPr>
      <t>OVER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0080FF"/>
        <rFont val="HGｺﾞｼｯｸM"/>
        <family val="3"/>
        <charset val="128"/>
      </rPr>
      <t>ORDER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BY</t>
    </r>
    <r>
      <rPr>
        <sz val="11"/>
        <color theme="1"/>
        <rFont val="HGｺﾞｼｯｸM"/>
        <family val="3"/>
        <charset val="128"/>
      </rPr>
      <t xml:space="preserve"> tbl.name)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[TBL-No]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</si>
  <si>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ISNULL</t>
    </r>
    <r>
      <rPr>
        <sz val="11"/>
        <color theme="1"/>
        <rFont val="HGｺﾞｼｯｸM"/>
        <family val="3"/>
        <charset val="128"/>
      </rPr>
      <t xml:space="preserve">(tbl_alias.description,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[TBL(論理)]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</si>
  <si>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ISNULL</t>
    </r>
    <r>
      <rPr>
        <sz val="11"/>
        <color theme="1"/>
        <rFont val="HGｺﾞｼｯｸM"/>
        <family val="3"/>
        <charset val="128"/>
      </rPr>
      <t xml:space="preserve">(tbl.name,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[TBL(物理)]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</si>
  <si>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ISNULL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CONVERT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VARCHAR</t>
    </r>
    <r>
      <rPr>
        <sz val="11"/>
        <color theme="1"/>
        <rFont val="HGｺﾞｼｯｸM"/>
        <family val="3"/>
        <charset val="128"/>
      </rPr>
      <t xml:space="preserve">, col.column_id),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[COL-No]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</si>
  <si>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CASE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pk.column_id </t>
    </r>
    <r>
      <rPr>
        <sz val="11"/>
        <color rgb="FF0080FF"/>
        <rFont val="HGｺﾞｼｯｸM"/>
        <family val="3"/>
        <charset val="128"/>
      </rPr>
      <t>IS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NOT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NULL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'Y'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'N'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[PK]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</si>
  <si>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ISNULL</t>
    </r>
    <r>
      <rPr>
        <sz val="11"/>
        <color theme="1"/>
        <rFont val="HGｺﾞｼｯｸM"/>
        <family val="3"/>
        <charset val="128"/>
      </rPr>
      <t xml:space="preserve">(col_alias.description,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[COL(論理)]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</si>
  <si>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ISNULL</t>
    </r>
    <r>
      <rPr>
        <sz val="11"/>
        <color theme="1"/>
        <rFont val="HGｺﾞｼｯｸM"/>
        <family val="3"/>
        <charset val="128"/>
      </rPr>
      <t xml:space="preserve">(col.name,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[COL(物理)]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</si>
  <si>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ISNULL</t>
    </r>
    <r>
      <rPr>
        <sz val="11"/>
        <color theme="1"/>
        <rFont val="HGｺﾞｼｯｸM"/>
        <family val="3"/>
        <charset val="128"/>
      </rPr>
      <t xml:space="preserve">(type_info.name,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[型]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</si>
  <si>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type_info.name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'char'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'varchar'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'nchar'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'nvarchar'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</si>
  <si>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THEN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</si>
  <si>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CASE</t>
    </r>
  </si>
  <si>
    <r>
      <t xml:space="preserve">            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col.max_length = - 1</t>
    </r>
  </si>
  <si>
    <r>
      <t xml:space="preserve">            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'MAX'</t>
    </r>
  </si>
  <si>
    <r>
      <t xml:space="preserve">            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type_info.name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'nchar'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'nvarchar'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</si>
  <si>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CONVERT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VARCHAR</t>
    </r>
    <r>
      <rPr>
        <sz val="11"/>
        <color theme="1"/>
        <rFont val="HGｺﾞｼｯｸM"/>
        <family val="3"/>
        <charset val="128"/>
      </rPr>
      <t>, col.max_length / 2)</t>
    </r>
  </si>
  <si>
    <r>
      <t xml:space="preserve">                   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CONVERT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VARCHAR</t>
    </r>
    <r>
      <rPr>
        <sz val="11"/>
        <color theme="1"/>
        <rFont val="HGｺﾞｼｯｸM"/>
        <family val="3"/>
        <charset val="128"/>
      </rPr>
      <t>, col.max_length)</t>
    </r>
  </si>
  <si>
    <r>
      <t xml:space="preserve">                    </t>
    </r>
    <r>
      <rPr>
        <sz val="11"/>
        <color rgb="FF0080FF"/>
        <rFont val="HGｺﾞｼｯｸM"/>
        <family val="3"/>
        <charset val="128"/>
      </rPr>
      <t>END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</si>
  <si>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type_info.name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'decimal'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'numeric'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</si>
  <si>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CONVERT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VARCHAR</t>
    </r>
    <r>
      <rPr>
        <sz val="11"/>
        <color theme="1"/>
        <rFont val="HGｺﾞｼｯｸM"/>
        <family val="3"/>
        <charset val="128"/>
      </rPr>
      <t xml:space="preserve">, col.PRECISION) + </t>
    </r>
    <r>
      <rPr>
        <sz val="11"/>
        <color rgb="FFFF2800"/>
        <rFont val="HGｺﾞｼｯｸM"/>
        <family val="3"/>
        <charset val="128"/>
      </rPr>
      <t>','</t>
    </r>
    <r>
      <rPr>
        <sz val="11"/>
        <color theme="1"/>
        <rFont val="HGｺﾞｼｯｸM"/>
        <family val="3"/>
        <charset val="128"/>
      </rPr>
      <t xml:space="preserve"> + </t>
    </r>
    <r>
      <rPr>
        <sz val="11"/>
        <color rgb="FF0080FF"/>
        <rFont val="HGｺﾞｼｯｸM"/>
        <family val="3"/>
        <charset val="128"/>
      </rPr>
      <t>CONVERT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VARCHAR</t>
    </r>
    <r>
      <rPr>
        <sz val="11"/>
        <color theme="1"/>
        <rFont val="HGｺﾞｼｯｸM"/>
        <family val="3"/>
        <charset val="128"/>
      </rPr>
      <t>, col.scale)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</si>
  <si>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[桁]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</si>
  <si>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CASE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col.is_nullable = 0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'Y'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'N'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[NULL不可]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</si>
  <si>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ISNULL</t>
    </r>
    <r>
      <rPr>
        <sz val="11"/>
        <color theme="1"/>
        <rFont val="HGｺﾞｼｯｸM"/>
        <family val="3"/>
        <charset val="128"/>
      </rPr>
      <t xml:space="preserve">(def_const.definition,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[初期値]</t>
    </r>
  </si>
  <si>
    <r>
      <t xml:space="preserve">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sys.columns col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</si>
  <si>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tbl.object_id = col.object_id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</si>
  <si>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sys.index_columns ic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</si>
  <si>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idx.object_id = ic.object_id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</si>
  <si>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idx.index_id = ic.index_id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</si>
  <si>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col.object_id = pk.object_id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</si>
  <si>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col.column_id = pk.column_id</t>
    </r>
  </si>
  <si>
    <r>
      <t xml:space="preserve">            , </t>
    </r>
    <r>
      <rPr>
        <sz val="11"/>
        <color rgb="FF0080FF"/>
        <rFont val="HGｺﾞｼｯｸM"/>
        <family val="3"/>
        <charset val="128"/>
      </rPr>
      <t>CAST</t>
    </r>
    <r>
      <rPr>
        <sz val="11"/>
        <color theme="1"/>
        <rFont val="HGｺﾞｼｯｸM"/>
        <family val="3"/>
        <charset val="128"/>
      </rPr>
      <t xml:space="preserve">(ep.value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NVARCHAR</t>
    </r>
    <r>
      <rPr>
        <sz val="11"/>
        <color theme="1"/>
        <rFont val="HGｺﾞｼｯｸM"/>
        <family val="3"/>
        <charset val="128"/>
      </rPr>
      <t xml:space="preserve">(4000))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description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</si>
  <si>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LEFT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sys.extended_properties ep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</si>
  <si>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tbl.object_id = ep.major_id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</si>
  <si>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ep.minor_id = 0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</si>
  <si>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ep.name = </t>
    </r>
    <r>
      <rPr>
        <sz val="11"/>
        <color rgb="FFFF2800"/>
        <rFont val="HGｺﾞｼｯｸM"/>
        <family val="3"/>
        <charset val="128"/>
      </rPr>
      <t>'MS_Description'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</si>
  <si>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tbl.object_id = tbl_alias.object_id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</si>
  <si>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col.object_id = ep.major_id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</si>
  <si>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col.column_id = ep.minor_id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</si>
  <si>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col.object_id = col_alias.object_id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</si>
  <si>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col.column_id = col_alias.column_id</t>
    </r>
  </si>
  <si>
    <r>
      <t xml:space="preserve">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sys.types type_info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</si>
  <si>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col.user_type_id = type_info.user_type_id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</si>
  <si>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col.system_type_id = type_info.system_type_id</t>
    </r>
  </si>
  <si>
    <r>
      <t xml:space="preserve">    </t>
    </r>
    <r>
      <rPr>
        <sz val="11"/>
        <color rgb="FF0080FF"/>
        <rFont val="HGｺﾞｼｯｸM"/>
        <family val="3"/>
        <charset val="128"/>
      </rPr>
      <t>LEFT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sys.default_constraints def_const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</si>
  <si>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col.default_object_id = def_const.object_id</t>
    </r>
  </si>
  <si>
    <r>
      <t xml:space="preserve">    </t>
    </r>
    <r>
      <rPr>
        <sz val="11"/>
        <color rgb="FF0080FF"/>
        <rFont val="HGｺﾞｼｯｸM"/>
        <family val="3"/>
        <charset val="128"/>
      </rPr>
      <t>SCHEMA_NAME</t>
    </r>
    <r>
      <rPr>
        <sz val="11"/>
        <color theme="1"/>
        <rFont val="HGｺﾞｼｯｸM"/>
        <family val="3"/>
        <charset val="128"/>
      </rPr>
      <t xml:space="preserve">(tbl.schema_id) = </t>
    </r>
    <r>
      <rPr>
        <sz val="11"/>
        <color rgb="FFFF2800"/>
        <rFont val="HGｺﾞｼｯｸM"/>
        <family val="3"/>
        <charset val="128"/>
      </rPr>
      <t>'schema_name'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35A16B"/>
        <rFont val="HGｺﾞｼｯｸM"/>
        <family val="3"/>
        <charset val="128"/>
      </rPr>
      <t>--★★★ スキーマ名指定 ★★★</t>
    </r>
  </si>
  <si>
    <r>
      <t xml:space="preserve">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tbl.name </t>
    </r>
    <r>
      <rPr>
        <sz val="11"/>
        <color rgb="FF0080FF"/>
        <rFont val="HGｺﾞｼｯｸM"/>
        <family val="3"/>
        <charset val="128"/>
      </rPr>
      <t>LIKE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'tbl_name%'</t>
    </r>
    <r>
      <rPr>
        <sz val="11"/>
        <color theme="1"/>
        <rFont val="HGｺﾞｼｯｸM"/>
        <family val="3"/>
        <charset val="128"/>
      </rPr>
      <t xml:space="preserve">              </t>
    </r>
    <r>
      <rPr>
        <sz val="11"/>
        <color rgb="FF35A16B"/>
        <rFont val="HGｺﾞｼｯｸM"/>
        <family val="3"/>
        <charset val="128"/>
      </rPr>
      <t>--★★★ テーブル名指定 ★★★</t>
    </r>
  </si>
  <si>
    <t>TBL-No</t>
  </si>
  <si>
    <t>TBL(論理)</t>
  </si>
  <si>
    <t>TBL(物理)</t>
  </si>
  <si>
    <t>COL-No</t>
  </si>
  <si>
    <t>PK</t>
  </si>
  <si>
    <t>COL(論理)</t>
  </si>
  <si>
    <t>COL(物理)</t>
  </si>
  <si>
    <t>型</t>
  </si>
  <si>
    <t>桁</t>
  </si>
  <si>
    <t>NULL不可</t>
  </si>
  <si>
    <t>初期値</t>
  </si>
  <si>
    <t>No</t>
  </si>
  <si>
    <t>TBL論理名</t>
  </si>
  <si>
    <t>TBL物理名</t>
  </si>
  <si>
    <t>参照Sheet名</t>
  </si>
  <si>
    <t>DB</t>
  </si>
  <si>
    <t>Schema名(任意)</t>
  </si>
  <si>
    <t>作成Sheet名(任意)</t>
  </si>
  <si>
    <t xml:space="preserve"> </t>
  </si>
  <si>
    <t>CUSTOMERS</t>
  </si>
  <si>
    <t>1</t>
  </si>
  <si>
    <t>Y</t>
  </si>
  <si>
    <t>CUSTOMER_ID</t>
  </si>
  <si>
    <t>NUMBER</t>
  </si>
  <si>
    <t>10,0</t>
  </si>
  <si>
    <t>« NULL »</t>
  </si>
  <si>
    <t>2</t>
  </si>
  <si>
    <t>N</t>
  </si>
  <si>
    <t>CUSTOMER_NAME</t>
  </si>
  <si>
    <t>VARCHAR2</t>
  </si>
  <si>
    <t>100</t>
  </si>
  <si>
    <t>3</t>
  </si>
  <si>
    <t>EMAIL</t>
  </si>
  <si>
    <t>255</t>
  </si>
  <si>
    <t>4</t>
  </si>
  <si>
    <t>PHONE</t>
  </si>
  <si>
    <t>20</t>
  </si>
  <si>
    <t>5</t>
  </si>
  <si>
    <t>ADDRESS</t>
  </si>
  <si>
    <t>6</t>
  </si>
  <si>
    <t>CREATED_AT</t>
  </si>
  <si>
    <t>TIMESTAMP(6)</t>
  </si>
  <si>
    <t xml:space="preserve">SYSTIMESTAMP </t>
  </si>
  <si>
    <t>7</t>
  </si>
  <si>
    <t>UPDATED_AT</t>
  </si>
  <si>
    <t>ORDERS</t>
  </si>
  <si>
    <t>ORDER_ID</t>
  </si>
  <si>
    <t>ORDER_DATE</t>
  </si>
  <si>
    <t>DATE</t>
  </si>
  <si>
    <t xml:space="preserve">SYSDATE </t>
  </si>
  <si>
    <t>STATUS</t>
  </si>
  <si>
    <t>ORDER_DETAILS</t>
  </si>
  <si>
    <t>ORDER_DETAIL_ID</t>
  </si>
  <si>
    <t>PRODUCT_ID</t>
  </si>
  <si>
    <t>QUANTITY</t>
  </si>
  <si>
    <t>UNIT_PRICE</t>
  </si>
  <si>
    <t>10,2</t>
  </si>
  <si>
    <t>PRODUCTS</t>
  </si>
  <si>
    <t>PRODUCT_NAME</t>
  </si>
  <si>
    <t>STOCK_QUANTITY</t>
  </si>
  <si>
    <t xml:space="preserve">0 </t>
  </si>
  <si>
    <t>customers</t>
  </si>
  <si>
    <t>customer_id</t>
  </si>
  <si>
    <t>numeric</t>
  </si>
  <si>
    <t>customer_name</t>
  </si>
  <si>
    <t>character varying</t>
  </si>
  <si>
    <t>email</t>
  </si>
  <si>
    <t>phone</t>
  </si>
  <si>
    <t>address</t>
  </si>
  <si>
    <t>created_at</t>
  </si>
  <si>
    <t>timestamp without time zone</t>
  </si>
  <si>
    <t>now()</t>
  </si>
  <si>
    <t>updated_at</t>
  </si>
  <si>
    <t>order_details</t>
  </si>
  <si>
    <t>order_detail_id</t>
  </si>
  <si>
    <t>order_id</t>
  </si>
  <si>
    <t>product_id</t>
  </si>
  <si>
    <t>quantity</t>
  </si>
  <si>
    <t>unit_price</t>
  </si>
  <si>
    <t>orders</t>
  </si>
  <si>
    <t>order_date</t>
  </si>
  <si>
    <t>date</t>
  </si>
  <si>
    <t>CURRENT_DATE</t>
  </si>
  <si>
    <t>status</t>
  </si>
  <si>
    <t>products</t>
  </si>
  <si>
    <t>product_name</t>
  </si>
  <si>
    <t>stock_quantity</t>
  </si>
  <si>
    <t>0</t>
  </si>
  <si>
    <t>nvarchar</t>
  </si>
  <si>
    <t>datetime2</t>
  </si>
  <si>
    <t>(sysdatetime())</t>
  </si>
  <si>
    <t>(CONVERT([date],sysdatetime()))</t>
  </si>
  <si>
    <t>((0))</t>
  </si>
  <si>
    <t>顧客</t>
  </si>
  <si>
    <t>顧客ID</t>
  </si>
  <si>
    <t>顧客名</t>
  </si>
  <si>
    <t>メールアドレス</t>
  </si>
  <si>
    <t>電話番号</t>
  </si>
  <si>
    <t>住所</t>
  </si>
  <si>
    <t>登録日時</t>
  </si>
  <si>
    <t>更新日時</t>
  </si>
  <si>
    <t>受注</t>
  </si>
  <si>
    <t>受注ID</t>
  </si>
  <si>
    <t>受注日</t>
  </si>
  <si>
    <t>ステータス</t>
  </si>
  <si>
    <t>受注明細</t>
  </si>
  <si>
    <t>受注明細ID</t>
  </si>
  <si>
    <t>商品ID</t>
  </si>
  <si>
    <t>数量</t>
  </si>
  <si>
    <t>受注時点の単価</t>
  </si>
  <si>
    <t>商品</t>
  </si>
  <si>
    <t>商品名</t>
  </si>
  <si>
    <t>単価</t>
  </si>
  <si>
    <t>在庫数</t>
  </si>
  <si>
    <t>SQLServer</t>
  </si>
  <si>
    <t>TBL3</t>
    <phoneticPr fontId="1"/>
  </si>
  <si>
    <t>dbo</t>
    <phoneticPr fontId="1"/>
  </si>
  <si>
    <t>8,0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</si>
</sst>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35A16B"/>
      <name val="HGｺﾞｼｯｸM"/>
      <family val="3"/>
      <charset val="128"/>
    </font>
    <font>
      <sz val="11"/>
      <color theme="1"/>
      <name val="HGｺﾞｼｯｸM"/>
      <family val="3"/>
      <charset val="128"/>
    </font>
    <font>
      <sz val="11"/>
      <color rgb="FF0080FF"/>
      <name val="HGｺﾞｼｯｸM"/>
      <family val="3"/>
      <charset val="128"/>
    </font>
    <font>
      <sz val="11"/>
      <color rgb="FFFF2800"/>
      <name val="HGｺﾞｼｯｸM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C0C0C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rgb="FFD9D9D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0" quotePrefix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top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3" borderId="5" xfId="0" applyFill="1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49" fontId="7" fillId="2" borderId="10" xfId="0" applyNumberFormat="1" applyFont="1" applyFill="1" applyBorder="1" applyAlignment="1">
      <alignment horizontal="left" vertical="center" wrapText="1"/>
    </xf>
    <xf numFmtId="1" fontId="0" fillId="0" borderId="10" xfId="0" applyNumberFormat="1" applyBorder="1" applyAlignment="1">
      <alignment horizontal="right" vertical="center"/>
    </xf>
    <xf numFmtId="49" fontId="0" fillId="0" borderId="10" xfId="0" applyNumberFormat="1" applyBorder="1">
      <alignment vertical="center"/>
    </xf>
    <xf numFmtId="0" fontId="8" fillId="0" borderId="10" xfId="0" applyFont="1" applyBorder="1">
      <alignment vertical="center"/>
    </xf>
  </cellXfs>
  <cellStyles count="1">
    <cellStyle name="標準" xfId="0" builtinId="0"/>
  </cellStyles>
  <dxfs count="2"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BDD7EE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50800</xdr:rowOff>
    </xdr:from>
    <xdr:to>
      <xdr:col>1</xdr:col>
      <xdr:colOff>1440000</xdr:colOff>
      <xdr:row>0</xdr:row>
      <xdr:rowOff>410800</xdr:rowOff>
    </xdr:to>
    <xdr:sp macro="Btn_CreateSheet_InputSq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D3ED020-58F5-302C-CB4B-26BBF24D83E7}"/>
            </a:ext>
          </a:extLst>
        </xdr:cNvPr>
        <xdr:cNvSpPr/>
      </xdr:nvSpPr>
      <xdr:spPr>
        <a:xfrm>
          <a:off x="358140" y="50800"/>
          <a:ext cx="144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Sheet</a:t>
          </a:r>
          <a:r>
            <a:rPr kumimoji="1" lang="ja-JP" altLang="en-US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70CE-44C0-463E-8FDD-B0DB26C37B4F}">
  <sheetPr codeName="Sheet3">
    <tabColor rgb="FF87E7AD"/>
  </sheetPr>
  <dimension ref="A1:G32"/>
  <sheetViews>
    <sheetView showGridLines="0" tabSelected="1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outlineLevelRow="1" x14ac:dyDescent="0.45"/>
  <cols>
    <col min="1" max="1" width="4.69921875" style="4" customWidth="1"/>
    <col min="2" max="2" width="55.69921875" style="4" customWidth="1"/>
    <col min="3" max="3" width="60.69921875" style="4" customWidth="1"/>
    <col min="4" max="7" width="20.69921875" style="4" customWidth="1"/>
    <col min="8" max="16384" width="8.796875" style="4"/>
  </cols>
  <sheetData>
    <row r="1" spans="1:7" ht="36" customHeight="1" outlineLevel="1" x14ac:dyDescent="0.45"/>
    <row r="2" spans="1:7" x14ac:dyDescent="0.45">
      <c r="A2" s="5" t="s">
        <v>183</v>
      </c>
      <c r="B2" s="6" t="s">
        <v>184</v>
      </c>
      <c r="C2" s="6" t="s">
        <v>185</v>
      </c>
      <c r="D2" s="6" t="s">
        <v>186</v>
      </c>
      <c r="E2" s="6" t="s">
        <v>187</v>
      </c>
      <c r="F2" s="6" t="s">
        <v>188</v>
      </c>
      <c r="G2" s="7" t="s">
        <v>189</v>
      </c>
    </row>
    <row r="3" spans="1:7" x14ac:dyDescent="0.45">
      <c r="A3" s="8">
        <f t="shared" ref="A3:A32" si="0">ROW()-2</f>
        <v>1</v>
      </c>
      <c r="B3" s="10" t="str" cm="1">
        <f t="array" aca="1" ref="B3" ca="1">IF(OR(TRIM(C3)="",TRIM(D3)=""),"",IFERROR(_xlfn.LET(_xlpm.tblNm,C3,_xlpm.sheetNm,D3,_xlpm.searchRng,INDIRECT("'"&amp;_xlpm.sheetNm&amp;"'!C:C"),_xlpm.returnRng,INDIRECT("'"&amp;_xlpm.sheetNm&amp;"'!B:B"),_xlfn.XLOOKUP(_xlpm.tblNm,_xlpm.searchRng,_xlpm.returnRng,"※TBL物理名が存在しません")),"※参照Sheet名が存在しません"))</f>
        <v>顧客</v>
      </c>
      <c r="C3" s="11" t="s">
        <v>191</v>
      </c>
      <c r="D3" s="11" t="s">
        <v>287</v>
      </c>
      <c r="E3" s="11" t="s">
        <v>286</v>
      </c>
      <c r="F3" s="11" t="s">
        <v>288</v>
      </c>
      <c r="G3" s="12"/>
    </row>
    <row r="4" spans="1:7" x14ac:dyDescent="0.45">
      <c r="A4" s="8">
        <f t="shared" si="0"/>
        <v>2</v>
      </c>
      <c r="B4" s="10" t="str" cm="1">
        <f t="array" aca="1" ref="B4" ca="1">IF(OR(TRIM(C4)="",TRIM(D4)=""),"",IFERROR(_xlfn.LET(_xlpm.tblNm,C4,_xlpm.sheetNm,D4,_xlpm.searchRng,INDIRECT("'"&amp;_xlpm.sheetNm&amp;"'!C:C"),_xlpm.returnRng,INDIRECT("'"&amp;_xlpm.sheetNm&amp;"'!B:B"),_xlfn.XLOOKUP(_xlpm.tblNm,_xlpm.searchRng,_xlpm.returnRng,"※TBL物理名が存在しません")),"※参照Sheet名が存在しません"))</f>
        <v>受注明細</v>
      </c>
      <c r="C4" s="11" t="s">
        <v>223</v>
      </c>
      <c r="D4" s="11" t="s">
        <v>287</v>
      </c>
      <c r="E4" s="11" t="s">
        <v>286</v>
      </c>
      <c r="F4" s="11" t="s">
        <v>288</v>
      </c>
      <c r="G4" s="12"/>
    </row>
    <row r="5" spans="1:7" x14ac:dyDescent="0.45">
      <c r="A5" s="8">
        <f t="shared" si="0"/>
        <v>3</v>
      </c>
      <c r="B5" s="10" t="str" cm="1">
        <f t="array" aca="1" ref="B5" ca="1">IF(OR(TRIM(C5)="",TRIM(D5)=""),"",IFERROR(_xlfn.LET(_xlpm.tblNm,C5,_xlpm.sheetNm,D5,_xlpm.searchRng,INDIRECT("'"&amp;_xlpm.sheetNm&amp;"'!C:C"),_xlpm.returnRng,INDIRECT("'"&amp;_xlpm.sheetNm&amp;"'!B:B"),_xlfn.XLOOKUP(_xlpm.tblNm,_xlpm.searchRng,_xlpm.returnRng,"※TBL物理名が存在しません")),"※参照Sheet名が存在しません"))</f>
        <v>受注</v>
      </c>
      <c r="C5" s="11" t="s">
        <v>217</v>
      </c>
      <c r="D5" s="11" t="s">
        <v>287</v>
      </c>
      <c r="E5" s="11" t="s">
        <v>286</v>
      </c>
      <c r="F5" s="11" t="s">
        <v>288</v>
      </c>
      <c r="G5" s="12"/>
    </row>
    <row r="6" spans="1:7" x14ac:dyDescent="0.45">
      <c r="A6" s="8">
        <f t="shared" si="0"/>
        <v>4</v>
      </c>
      <c r="B6" s="10" t="str" cm="1">
        <f t="array" aca="1" ref="B6" ca="1">IF(OR(TRIM(C6)="",TRIM(D6)=""),"",IFERROR(_xlfn.LET(_xlpm.tblNm,C6,_xlpm.sheetNm,D6,_xlpm.searchRng,INDIRECT("'"&amp;_xlpm.sheetNm&amp;"'!C:C"),_xlpm.returnRng,INDIRECT("'"&amp;_xlpm.sheetNm&amp;"'!B:B"),_xlfn.XLOOKUP(_xlpm.tblNm,_xlpm.searchRng,_xlpm.returnRng,"※TBL物理名が存在しません")),"※参照Sheet名が存在しません"))</f>
        <v>商品</v>
      </c>
      <c r="C6" s="11" t="s">
        <v>229</v>
      </c>
      <c r="D6" s="11" t="s">
        <v>287</v>
      </c>
      <c r="E6" s="11" t="s">
        <v>286</v>
      </c>
      <c r="F6" s="11" t="s">
        <v>288</v>
      </c>
      <c r="G6" s="12"/>
    </row>
    <row r="7" spans="1:7" x14ac:dyDescent="0.45">
      <c r="A7" s="8">
        <f t="shared" si="0"/>
        <v>5</v>
      </c>
      <c r="B7" s="10" t="str" cm="1">
        <f t="array" aca="1" ref="B7" ca="1">IF(OR(TRIM(C7)="",TRIM(D7)=""),"",IFERROR(_xlfn.LET(_xlpm.tblNm,C7,_xlpm.sheetNm,D7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7" s="11"/>
      <c r="D7" s="11"/>
      <c r="E7" s="11"/>
      <c r="F7" s="11"/>
      <c r="G7" s="12"/>
    </row>
    <row r="8" spans="1:7" x14ac:dyDescent="0.45">
      <c r="A8" s="8">
        <f t="shared" si="0"/>
        <v>6</v>
      </c>
      <c r="B8" s="10" t="str" cm="1">
        <f t="array" aca="1" ref="B8" ca="1">IF(OR(TRIM(C8)="",TRIM(D8)=""),"",IFERROR(_xlfn.LET(_xlpm.tblNm,C8,_xlpm.sheetNm,D8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8" s="11"/>
      <c r="D8" s="11"/>
      <c r="E8" s="11"/>
      <c r="F8" s="11"/>
      <c r="G8" s="12"/>
    </row>
    <row r="9" spans="1:7" x14ac:dyDescent="0.45">
      <c r="A9" s="8">
        <f t="shared" si="0"/>
        <v>7</v>
      </c>
      <c r="B9" s="10" t="str" cm="1">
        <f t="array" aca="1" ref="B9" ca="1">IF(OR(TRIM(C9)="",TRIM(D9)=""),"",IFERROR(_xlfn.LET(_xlpm.tblNm,C9,_xlpm.sheetNm,D9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9" s="11"/>
      <c r="D9" s="11"/>
      <c r="E9" s="11"/>
      <c r="F9" s="11"/>
      <c r="G9" s="12"/>
    </row>
    <row r="10" spans="1:7" x14ac:dyDescent="0.45">
      <c r="A10" s="8">
        <f t="shared" si="0"/>
        <v>8</v>
      </c>
      <c r="B10" s="10" t="str" cm="1">
        <f t="array" aca="1" ref="B10" ca="1">IF(OR(TRIM(C10)="",TRIM(D10)=""),"",IFERROR(_xlfn.LET(_xlpm.tblNm,C10,_xlpm.sheetNm,D10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0" s="11"/>
      <c r="D10" s="11"/>
      <c r="E10" s="11"/>
      <c r="F10" s="11"/>
      <c r="G10" s="12"/>
    </row>
    <row r="11" spans="1:7" x14ac:dyDescent="0.45">
      <c r="A11" s="8">
        <f t="shared" si="0"/>
        <v>9</v>
      </c>
      <c r="B11" s="10" t="str" cm="1">
        <f t="array" aca="1" ref="B11" ca="1">IF(OR(TRIM(C11)="",TRIM(D11)=""),"",IFERROR(_xlfn.LET(_xlpm.tblNm,C11,_xlpm.sheetNm,D11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1" s="11"/>
      <c r="D11" s="11"/>
      <c r="E11" s="11"/>
      <c r="F11" s="11"/>
      <c r="G11" s="12"/>
    </row>
    <row r="12" spans="1:7" x14ac:dyDescent="0.45">
      <c r="A12" s="8">
        <f t="shared" si="0"/>
        <v>10</v>
      </c>
      <c r="B12" s="10" t="str" cm="1">
        <f t="array" aca="1" ref="B12" ca="1">IF(OR(TRIM(C12)="",TRIM(D12)=""),"",IFERROR(_xlfn.LET(_xlpm.tblNm,C12,_xlpm.sheetNm,D12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2" s="11"/>
      <c r="D12" s="11"/>
      <c r="E12" s="11"/>
      <c r="F12" s="11"/>
      <c r="G12" s="12"/>
    </row>
    <row r="13" spans="1:7" x14ac:dyDescent="0.45">
      <c r="A13" s="8">
        <f t="shared" si="0"/>
        <v>11</v>
      </c>
      <c r="B13" s="10" t="str" cm="1">
        <f t="array" aca="1" ref="B13" ca="1">IF(OR(TRIM(C13)="",TRIM(D13)=""),"",IFERROR(_xlfn.LET(_xlpm.tblNm,C13,_xlpm.sheetNm,D13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3" s="11"/>
      <c r="D13" s="11"/>
      <c r="E13" s="11"/>
      <c r="F13" s="11"/>
      <c r="G13" s="12"/>
    </row>
    <row r="14" spans="1:7" x14ac:dyDescent="0.45">
      <c r="A14" s="8">
        <f t="shared" si="0"/>
        <v>12</v>
      </c>
      <c r="B14" s="10" t="str" cm="1">
        <f t="array" aca="1" ref="B14" ca="1">IF(OR(TRIM(C14)="",TRIM(D14)=""),"",IFERROR(_xlfn.LET(_xlpm.tblNm,C14,_xlpm.sheetNm,D14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4" s="11"/>
      <c r="D14" s="11"/>
      <c r="E14" s="11"/>
      <c r="F14" s="11"/>
      <c r="G14" s="12"/>
    </row>
    <row r="15" spans="1:7" x14ac:dyDescent="0.45">
      <c r="A15" s="8">
        <f t="shared" si="0"/>
        <v>13</v>
      </c>
      <c r="B15" s="10" t="str" cm="1">
        <f t="array" aca="1" ref="B15" ca="1">IF(OR(TRIM(C15)="",TRIM(D15)=""),"",IFERROR(_xlfn.LET(_xlpm.tblNm,C15,_xlpm.sheetNm,D15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5" s="11"/>
      <c r="D15" s="11"/>
      <c r="E15" s="11"/>
      <c r="F15" s="11"/>
      <c r="G15" s="12"/>
    </row>
    <row r="16" spans="1:7" x14ac:dyDescent="0.45">
      <c r="A16" s="8">
        <f t="shared" si="0"/>
        <v>14</v>
      </c>
      <c r="B16" s="10" t="str" cm="1">
        <f t="array" aca="1" ref="B16" ca="1">IF(OR(TRIM(C16)="",TRIM(D16)=""),"",IFERROR(_xlfn.LET(_xlpm.tblNm,C16,_xlpm.sheetNm,D16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6" s="11"/>
      <c r="D16" s="11"/>
      <c r="E16" s="11"/>
      <c r="F16" s="11"/>
      <c r="G16" s="12"/>
    </row>
    <row r="17" spans="1:7" x14ac:dyDescent="0.45">
      <c r="A17" s="8">
        <f t="shared" si="0"/>
        <v>15</v>
      </c>
      <c r="B17" s="10" t="str" cm="1">
        <f t="array" aca="1" ref="B17" ca="1">IF(OR(TRIM(C17)="",TRIM(D17)=""),"",IFERROR(_xlfn.LET(_xlpm.tblNm,C17,_xlpm.sheetNm,D17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7" s="11"/>
      <c r="D17" s="11"/>
      <c r="E17" s="11"/>
      <c r="F17" s="11"/>
      <c r="G17" s="12"/>
    </row>
    <row r="18" spans="1:7" x14ac:dyDescent="0.45">
      <c r="A18" s="8">
        <f t="shared" si="0"/>
        <v>16</v>
      </c>
      <c r="B18" s="10" t="str" cm="1">
        <f t="array" aca="1" ref="B18" ca="1">IF(OR(TRIM(C18)="",TRIM(D18)=""),"",IFERROR(_xlfn.LET(_xlpm.tblNm,C18,_xlpm.sheetNm,D18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8" s="11"/>
      <c r="D18" s="11"/>
      <c r="E18" s="11"/>
      <c r="F18" s="11"/>
      <c r="G18" s="12"/>
    </row>
    <row r="19" spans="1:7" x14ac:dyDescent="0.45">
      <c r="A19" s="8">
        <f t="shared" si="0"/>
        <v>17</v>
      </c>
      <c r="B19" s="10" t="str" cm="1">
        <f t="array" aca="1" ref="B19" ca="1">IF(OR(TRIM(C19)="",TRIM(D19)=""),"",IFERROR(_xlfn.LET(_xlpm.tblNm,C19,_xlpm.sheetNm,D19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9" s="11"/>
      <c r="D19" s="11"/>
      <c r="E19" s="11"/>
      <c r="F19" s="11"/>
      <c r="G19" s="12"/>
    </row>
    <row r="20" spans="1:7" x14ac:dyDescent="0.45">
      <c r="A20" s="8">
        <f t="shared" si="0"/>
        <v>18</v>
      </c>
      <c r="B20" s="10" t="str" cm="1">
        <f t="array" aca="1" ref="B20" ca="1">IF(OR(TRIM(C20)="",TRIM(D20)=""),"",IFERROR(_xlfn.LET(_xlpm.tblNm,C20,_xlpm.sheetNm,D20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0" s="11"/>
      <c r="D20" s="11"/>
      <c r="E20" s="11"/>
      <c r="F20" s="11"/>
      <c r="G20" s="12"/>
    </row>
    <row r="21" spans="1:7" x14ac:dyDescent="0.45">
      <c r="A21" s="8">
        <f t="shared" si="0"/>
        <v>19</v>
      </c>
      <c r="B21" s="10" t="str" cm="1">
        <f t="array" aca="1" ref="B21" ca="1">IF(OR(TRIM(C21)="",TRIM(D21)=""),"",IFERROR(_xlfn.LET(_xlpm.tblNm,C21,_xlpm.sheetNm,D21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1" s="11"/>
      <c r="D21" s="11"/>
      <c r="E21" s="11"/>
      <c r="F21" s="11"/>
      <c r="G21" s="12"/>
    </row>
    <row r="22" spans="1:7" x14ac:dyDescent="0.45">
      <c r="A22" s="8">
        <f t="shared" si="0"/>
        <v>20</v>
      </c>
      <c r="B22" s="10" t="str" cm="1">
        <f t="array" aca="1" ref="B22" ca="1">IF(OR(TRIM(C22)="",TRIM(D22)=""),"",IFERROR(_xlfn.LET(_xlpm.tblNm,C22,_xlpm.sheetNm,D22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2" s="11"/>
      <c r="D22" s="11"/>
      <c r="E22" s="11"/>
      <c r="F22" s="11"/>
      <c r="G22" s="12"/>
    </row>
    <row r="23" spans="1:7" x14ac:dyDescent="0.45">
      <c r="A23" s="8">
        <f t="shared" si="0"/>
        <v>21</v>
      </c>
      <c r="B23" s="10" t="str" cm="1">
        <f t="array" aca="1" ref="B23" ca="1">IF(OR(TRIM(C23)="",TRIM(D23)=""),"",IFERROR(_xlfn.LET(_xlpm.tblNm,C23,_xlpm.sheetNm,D23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3" s="11"/>
      <c r="D23" s="11"/>
      <c r="E23" s="11"/>
      <c r="F23" s="11"/>
      <c r="G23" s="12"/>
    </row>
    <row r="24" spans="1:7" x14ac:dyDescent="0.45">
      <c r="A24" s="8">
        <f t="shared" si="0"/>
        <v>22</v>
      </c>
      <c r="B24" s="10" t="str" cm="1">
        <f t="array" aca="1" ref="B24" ca="1">IF(OR(TRIM(C24)="",TRIM(D24)=""),"",IFERROR(_xlfn.LET(_xlpm.tblNm,C24,_xlpm.sheetNm,D24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4" s="11"/>
      <c r="D24" s="11"/>
      <c r="E24" s="11"/>
      <c r="F24" s="11"/>
      <c r="G24" s="12"/>
    </row>
    <row r="25" spans="1:7" x14ac:dyDescent="0.45">
      <c r="A25" s="8">
        <f t="shared" si="0"/>
        <v>23</v>
      </c>
      <c r="B25" s="10" t="str" cm="1">
        <f t="array" aca="1" ref="B25" ca="1">IF(OR(TRIM(C25)="",TRIM(D25)=""),"",IFERROR(_xlfn.LET(_xlpm.tblNm,C25,_xlpm.sheetNm,D25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5" s="11"/>
      <c r="D25" s="11"/>
      <c r="E25" s="11"/>
      <c r="F25" s="11"/>
      <c r="G25" s="12"/>
    </row>
    <row r="26" spans="1:7" x14ac:dyDescent="0.45">
      <c r="A26" s="8">
        <f t="shared" si="0"/>
        <v>24</v>
      </c>
      <c r="B26" s="10" t="str" cm="1">
        <f t="array" aca="1" ref="B26" ca="1">IF(OR(TRIM(C26)="",TRIM(D26)=""),"",IFERROR(_xlfn.LET(_xlpm.tblNm,C26,_xlpm.sheetNm,D26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6" s="11"/>
      <c r="D26" s="11"/>
      <c r="E26" s="11"/>
      <c r="F26" s="11"/>
      <c r="G26" s="12"/>
    </row>
    <row r="27" spans="1:7" x14ac:dyDescent="0.45">
      <c r="A27" s="8">
        <f t="shared" si="0"/>
        <v>25</v>
      </c>
      <c r="B27" s="10" t="str" cm="1">
        <f t="array" aca="1" ref="B27" ca="1">IF(OR(TRIM(C27)="",TRIM(D27)=""),"",IFERROR(_xlfn.LET(_xlpm.tblNm,C27,_xlpm.sheetNm,D27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7" s="11"/>
      <c r="D27" s="11"/>
      <c r="E27" s="11"/>
      <c r="F27" s="11"/>
      <c r="G27" s="12"/>
    </row>
    <row r="28" spans="1:7" x14ac:dyDescent="0.45">
      <c r="A28" s="8">
        <f t="shared" si="0"/>
        <v>26</v>
      </c>
      <c r="B28" s="10" t="str" cm="1">
        <f t="array" aca="1" ref="B28" ca="1">IF(OR(TRIM(C28)="",TRIM(D28)=""),"",IFERROR(_xlfn.LET(_xlpm.tblNm,C28,_xlpm.sheetNm,D28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8" s="11"/>
      <c r="D28" s="11"/>
      <c r="E28" s="11"/>
      <c r="F28" s="11"/>
      <c r="G28" s="12"/>
    </row>
    <row r="29" spans="1:7" x14ac:dyDescent="0.45">
      <c r="A29" s="8">
        <f t="shared" si="0"/>
        <v>27</v>
      </c>
      <c r="B29" s="10" t="str" cm="1">
        <f t="array" aca="1" ref="B29" ca="1">IF(OR(TRIM(C29)="",TRIM(D29)=""),"",IFERROR(_xlfn.LET(_xlpm.tblNm,C29,_xlpm.sheetNm,D29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9" s="11"/>
      <c r="D29" s="11"/>
      <c r="E29" s="11"/>
      <c r="F29" s="11"/>
      <c r="G29" s="12"/>
    </row>
    <row r="30" spans="1:7" x14ac:dyDescent="0.45">
      <c r="A30" s="8">
        <f t="shared" si="0"/>
        <v>28</v>
      </c>
      <c r="B30" s="10" t="str" cm="1">
        <f t="array" aca="1" ref="B30" ca="1">IF(OR(TRIM(C30)="",TRIM(D30)=""),"",IFERROR(_xlfn.LET(_xlpm.tblNm,C30,_xlpm.sheetNm,D30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30" s="11"/>
      <c r="D30" s="11"/>
      <c r="E30" s="11"/>
      <c r="F30" s="11"/>
      <c r="G30" s="12"/>
    </row>
    <row r="31" spans="1:7" x14ac:dyDescent="0.45">
      <c r="A31" s="8">
        <f t="shared" si="0"/>
        <v>29</v>
      </c>
      <c r="B31" s="10" t="str" cm="1">
        <f t="array" aca="1" ref="B31" ca="1">IF(OR(TRIM(C31)="",TRIM(D31)=""),"",IFERROR(_xlfn.LET(_xlpm.tblNm,C31,_xlpm.sheetNm,D31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31" s="11"/>
      <c r="D31" s="11"/>
      <c r="E31" s="11"/>
      <c r="F31" s="11"/>
      <c r="G31" s="12"/>
    </row>
    <row r="32" spans="1:7" x14ac:dyDescent="0.45">
      <c r="A32" s="9">
        <f t="shared" si="0"/>
        <v>30</v>
      </c>
      <c r="B32" s="13" t="str" cm="1">
        <f t="array" aca="1" ref="B32" ca="1">IF(OR(TRIM(C32)="",TRIM(D32)=""),"",IFERROR(_xlfn.LET(_xlpm.tblNm,C32,_xlpm.sheetNm,D32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32" s="14"/>
      <c r="D32" s="14"/>
      <c r="E32" s="14"/>
      <c r="F32" s="14"/>
      <c r="G32" s="15"/>
    </row>
  </sheetData>
  <phoneticPr fontId="1"/>
  <conditionalFormatting sqref="A3:A32">
    <cfRule type="expression" dxfId="1" priority="1" stopIfTrue="1">
      <formula>ISODD(ROW())</formula>
    </cfRule>
  </conditionalFormatting>
  <conditionalFormatting sqref="C3:G32">
    <cfRule type="expression" dxfId="0" priority="2" stopIfTrue="1">
      <formula>ISODD(ROW())</formula>
    </cfRule>
  </conditionalFormatting>
  <dataValidations count="1">
    <dataValidation type="list" allowBlank="1" showInputMessage="1" showErrorMessage="1" sqref="E3:E32" xr:uid="{9EDA087C-BA9E-42B2-A444-92EC900616D7}">
      <formula1>"Oracle,PostgreSQL,SQLServer"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2560D-28A6-4C41-84C0-281C3E300111}">
  <sheetPr codeName="Sheet4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10.69921875" style="4" customWidth="1"/>
    <col min="2" max="3" width="30.69921875" style="4" customWidth="1"/>
    <col min="4" max="4" width="10.69921875" style="4" customWidth="1"/>
    <col min="5" max="5" width="5.69921875" style="4" customWidth="1"/>
    <col min="6" max="7" width="30.69921875" style="4" customWidth="1"/>
    <col min="8" max="8" width="20.69921875" style="4" customWidth="1"/>
    <col min="9" max="9" width="10.69921875" style="4" customWidth="1"/>
    <col min="10" max="10" width="12.69921875" style="4" customWidth="1"/>
    <col min="11" max="11" width="20.69921875" style="4" customWidth="1"/>
    <col min="12" max="16384" width="8.796875" style="4"/>
  </cols>
  <sheetData>
    <row r="1" spans="1:11" x14ac:dyDescent="0.45">
      <c r="A1" s="16" t="s">
        <v>172</v>
      </c>
      <c r="B1" s="16" t="s">
        <v>173</v>
      </c>
      <c r="C1" s="16" t="s">
        <v>174</v>
      </c>
      <c r="D1" s="16" t="s">
        <v>175</v>
      </c>
      <c r="E1" s="16" t="s">
        <v>176</v>
      </c>
      <c r="F1" s="16" t="s">
        <v>177</v>
      </c>
      <c r="G1" s="16" t="s">
        <v>178</v>
      </c>
      <c r="H1" s="16" t="s">
        <v>179</v>
      </c>
      <c r="I1" s="16" t="s">
        <v>180</v>
      </c>
      <c r="J1" s="16" t="s">
        <v>181</v>
      </c>
      <c r="K1" s="16" t="s">
        <v>182</v>
      </c>
    </row>
    <row r="2" spans="1:11" x14ac:dyDescent="0.45">
      <c r="A2" s="17">
        <v>1</v>
      </c>
      <c r="B2" s="18" t="s">
        <v>265</v>
      </c>
      <c r="C2" s="18" t="s">
        <v>191</v>
      </c>
      <c r="D2" s="18" t="s">
        <v>192</v>
      </c>
      <c r="E2" s="18" t="s">
        <v>193</v>
      </c>
      <c r="F2" s="18" t="s">
        <v>266</v>
      </c>
      <c r="G2" s="18" t="s">
        <v>194</v>
      </c>
      <c r="H2" s="18" t="s">
        <v>195</v>
      </c>
      <c r="I2" s="18" t="s">
        <v>196</v>
      </c>
      <c r="J2" s="18" t="s">
        <v>193</v>
      </c>
      <c r="K2" s="19" t="s">
        <v>197</v>
      </c>
    </row>
    <row r="3" spans="1:11" x14ac:dyDescent="0.45">
      <c r="A3" s="17">
        <v>1</v>
      </c>
      <c r="B3" s="18" t="s">
        <v>265</v>
      </c>
      <c r="C3" s="18" t="s">
        <v>191</v>
      </c>
      <c r="D3" s="18" t="s">
        <v>198</v>
      </c>
      <c r="E3" s="18" t="s">
        <v>199</v>
      </c>
      <c r="F3" s="18" t="s">
        <v>267</v>
      </c>
      <c r="G3" s="18" t="s">
        <v>200</v>
      </c>
      <c r="H3" s="18" t="s">
        <v>201</v>
      </c>
      <c r="I3" s="18" t="s">
        <v>202</v>
      </c>
      <c r="J3" s="18" t="s">
        <v>193</v>
      </c>
      <c r="K3" s="19" t="s">
        <v>197</v>
      </c>
    </row>
    <row r="4" spans="1:11" x14ac:dyDescent="0.45">
      <c r="A4" s="17">
        <v>1</v>
      </c>
      <c r="B4" s="18" t="s">
        <v>265</v>
      </c>
      <c r="C4" s="18" t="s">
        <v>191</v>
      </c>
      <c r="D4" s="18" t="s">
        <v>203</v>
      </c>
      <c r="E4" s="18" t="s">
        <v>199</v>
      </c>
      <c r="F4" s="18" t="s">
        <v>268</v>
      </c>
      <c r="G4" s="18" t="s">
        <v>204</v>
      </c>
      <c r="H4" s="18" t="s">
        <v>201</v>
      </c>
      <c r="I4" s="18" t="s">
        <v>205</v>
      </c>
      <c r="J4" s="18" t="s">
        <v>199</v>
      </c>
      <c r="K4" s="19" t="s">
        <v>197</v>
      </c>
    </row>
    <row r="5" spans="1:11" x14ac:dyDescent="0.45">
      <c r="A5" s="17">
        <v>1</v>
      </c>
      <c r="B5" s="18" t="s">
        <v>265</v>
      </c>
      <c r="C5" s="18" t="s">
        <v>191</v>
      </c>
      <c r="D5" s="18" t="s">
        <v>206</v>
      </c>
      <c r="E5" s="18" t="s">
        <v>199</v>
      </c>
      <c r="F5" s="18" t="s">
        <v>269</v>
      </c>
      <c r="G5" s="18" t="s">
        <v>207</v>
      </c>
      <c r="H5" s="18" t="s">
        <v>201</v>
      </c>
      <c r="I5" s="18" t="s">
        <v>208</v>
      </c>
      <c r="J5" s="18" t="s">
        <v>199</v>
      </c>
      <c r="K5" s="19" t="s">
        <v>197</v>
      </c>
    </row>
    <row r="6" spans="1:11" x14ac:dyDescent="0.45">
      <c r="A6" s="17">
        <v>1</v>
      </c>
      <c r="B6" s="18" t="s">
        <v>265</v>
      </c>
      <c r="C6" s="18" t="s">
        <v>191</v>
      </c>
      <c r="D6" s="18" t="s">
        <v>209</v>
      </c>
      <c r="E6" s="18" t="s">
        <v>199</v>
      </c>
      <c r="F6" s="18" t="s">
        <v>270</v>
      </c>
      <c r="G6" s="18" t="s">
        <v>210</v>
      </c>
      <c r="H6" s="18" t="s">
        <v>201</v>
      </c>
      <c r="I6" s="18" t="s">
        <v>205</v>
      </c>
      <c r="J6" s="18" t="s">
        <v>199</v>
      </c>
      <c r="K6" s="19" t="s">
        <v>197</v>
      </c>
    </row>
    <row r="7" spans="1:11" x14ac:dyDescent="0.45">
      <c r="A7" s="17">
        <v>1</v>
      </c>
      <c r="B7" s="18" t="s">
        <v>265</v>
      </c>
      <c r="C7" s="18" t="s">
        <v>191</v>
      </c>
      <c r="D7" s="18" t="s">
        <v>211</v>
      </c>
      <c r="E7" s="18" t="s">
        <v>199</v>
      </c>
      <c r="F7" s="18" t="s">
        <v>271</v>
      </c>
      <c r="G7" s="18" t="s">
        <v>212</v>
      </c>
      <c r="H7" s="18" t="s">
        <v>213</v>
      </c>
      <c r="I7" s="18" t="s">
        <v>190</v>
      </c>
      <c r="J7" s="18" t="s">
        <v>193</v>
      </c>
      <c r="K7" s="18" t="s">
        <v>214</v>
      </c>
    </row>
    <row r="8" spans="1:11" x14ac:dyDescent="0.45">
      <c r="A8" s="17">
        <v>1</v>
      </c>
      <c r="B8" s="18" t="s">
        <v>265</v>
      </c>
      <c r="C8" s="18" t="s">
        <v>191</v>
      </c>
      <c r="D8" s="18" t="s">
        <v>215</v>
      </c>
      <c r="E8" s="18" t="s">
        <v>199</v>
      </c>
      <c r="F8" s="18" t="s">
        <v>272</v>
      </c>
      <c r="G8" s="18" t="s">
        <v>216</v>
      </c>
      <c r="H8" s="18" t="s">
        <v>213</v>
      </c>
      <c r="I8" s="18" t="s">
        <v>190</v>
      </c>
      <c r="J8" s="18" t="s">
        <v>193</v>
      </c>
      <c r="K8" s="18" t="s">
        <v>214</v>
      </c>
    </row>
    <row r="9" spans="1:11" x14ac:dyDescent="0.45">
      <c r="A9" s="17">
        <v>2</v>
      </c>
      <c r="B9" s="18" t="s">
        <v>277</v>
      </c>
      <c r="C9" s="18" t="s">
        <v>223</v>
      </c>
      <c r="D9" s="18" t="s">
        <v>192</v>
      </c>
      <c r="E9" s="18" t="s">
        <v>193</v>
      </c>
      <c r="F9" s="18" t="s">
        <v>278</v>
      </c>
      <c r="G9" s="18" t="s">
        <v>224</v>
      </c>
      <c r="H9" s="18" t="s">
        <v>195</v>
      </c>
      <c r="I9" s="18" t="s">
        <v>196</v>
      </c>
      <c r="J9" s="18" t="s">
        <v>193</v>
      </c>
      <c r="K9" s="19" t="s">
        <v>197</v>
      </c>
    </row>
    <row r="10" spans="1:11" x14ac:dyDescent="0.45">
      <c r="A10" s="17">
        <v>2</v>
      </c>
      <c r="B10" s="18" t="s">
        <v>277</v>
      </c>
      <c r="C10" s="18" t="s">
        <v>223</v>
      </c>
      <c r="D10" s="18" t="s">
        <v>198</v>
      </c>
      <c r="E10" s="18" t="s">
        <v>199</v>
      </c>
      <c r="F10" s="18" t="s">
        <v>274</v>
      </c>
      <c r="G10" s="18" t="s">
        <v>218</v>
      </c>
      <c r="H10" s="18" t="s">
        <v>195</v>
      </c>
      <c r="I10" s="18" t="s">
        <v>196</v>
      </c>
      <c r="J10" s="18" t="s">
        <v>193</v>
      </c>
      <c r="K10" s="19" t="s">
        <v>197</v>
      </c>
    </row>
    <row r="11" spans="1:11" x14ac:dyDescent="0.45">
      <c r="A11" s="17">
        <v>2</v>
      </c>
      <c r="B11" s="18" t="s">
        <v>277</v>
      </c>
      <c r="C11" s="18" t="s">
        <v>223</v>
      </c>
      <c r="D11" s="18" t="s">
        <v>203</v>
      </c>
      <c r="E11" s="18" t="s">
        <v>199</v>
      </c>
      <c r="F11" s="18" t="s">
        <v>279</v>
      </c>
      <c r="G11" s="18" t="s">
        <v>225</v>
      </c>
      <c r="H11" s="18" t="s">
        <v>195</v>
      </c>
      <c r="I11" s="18" t="s">
        <v>196</v>
      </c>
      <c r="J11" s="18" t="s">
        <v>193</v>
      </c>
      <c r="K11" s="19" t="s">
        <v>197</v>
      </c>
    </row>
    <row r="12" spans="1:11" x14ac:dyDescent="0.45">
      <c r="A12" s="17">
        <v>2</v>
      </c>
      <c r="B12" s="18" t="s">
        <v>277</v>
      </c>
      <c r="C12" s="18" t="s">
        <v>223</v>
      </c>
      <c r="D12" s="18" t="s">
        <v>206</v>
      </c>
      <c r="E12" s="18" t="s">
        <v>199</v>
      </c>
      <c r="F12" s="18" t="s">
        <v>280</v>
      </c>
      <c r="G12" s="18" t="s">
        <v>226</v>
      </c>
      <c r="H12" s="18" t="s">
        <v>195</v>
      </c>
      <c r="I12" s="18" t="s">
        <v>196</v>
      </c>
      <c r="J12" s="18" t="s">
        <v>193</v>
      </c>
      <c r="K12" s="19" t="s">
        <v>197</v>
      </c>
    </row>
    <row r="13" spans="1:11" x14ac:dyDescent="0.45">
      <c r="A13" s="17">
        <v>2</v>
      </c>
      <c r="B13" s="18" t="s">
        <v>277</v>
      </c>
      <c r="C13" s="18" t="s">
        <v>223</v>
      </c>
      <c r="D13" s="18" t="s">
        <v>209</v>
      </c>
      <c r="E13" s="18" t="s">
        <v>199</v>
      </c>
      <c r="F13" s="18" t="s">
        <v>281</v>
      </c>
      <c r="G13" s="18" t="s">
        <v>227</v>
      </c>
      <c r="H13" s="18" t="s">
        <v>195</v>
      </c>
      <c r="I13" s="18" t="s">
        <v>228</v>
      </c>
      <c r="J13" s="18" t="s">
        <v>193</v>
      </c>
      <c r="K13" s="19" t="s">
        <v>197</v>
      </c>
    </row>
    <row r="14" spans="1:11" x14ac:dyDescent="0.45">
      <c r="A14" s="17">
        <v>3</v>
      </c>
      <c r="B14" s="18" t="s">
        <v>273</v>
      </c>
      <c r="C14" s="18" t="s">
        <v>217</v>
      </c>
      <c r="D14" s="18" t="s">
        <v>192</v>
      </c>
      <c r="E14" s="18" t="s">
        <v>193</v>
      </c>
      <c r="F14" s="18" t="s">
        <v>274</v>
      </c>
      <c r="G14" s="18" t="s">
        <v>218</v>
      </c>
      <c r="H14" s="18" t="s">
        <v>195</v>
      </c>
      <c r="I14" s="18" t="s">
        <v>196</v>
      </c>
      <c r="J14" s="18" t="s">
        <v>193</v>
      </c>
      <c r="K14" s="19" t="s">
        <v>197</v>
      </c>
    </row>
    <row r="15" spans="1:11" x14ac:dyDescent="0.45">
      <c r="A15" s="17">
        <v>3</v>
      </c>
      <c r="B15" s="18" t="s">
        <v>273</v>
      </c>
      <c r="C15" s="18" t="s">
        <v>217</v>
      </c>
      <c r="D15" s="18" t="s">
        <v>198</v>
      </c>
      <c r="E15" s="18" t="s">
        <v>199</v>
      </c>
      <c r="F15" s="18" t="s">
        <v>266</v>
      </c>
      <c r="G15" s="18" t="s">
        <v>194</v>
      </c>
      <c r="H15" s="18" t="s">
        <v>195</v>
      </c>
      <c r="I15" s="18" t="s">
        <v>196</v>
      </c>
      <c r="J15" s="18" t="s">
        <v>193</v>
      </c>
      <c r="K15" s="19" t="s">
        <v>197</v>
      </c>
    </row>
    <row r="16" spans="1:11" x14ac:dyDescent="0.45">
      <c r="A16" s="17">
        <v>3</v>
      </c>
      <c r="B16" s="18" t="s">
        <v>273</v>
      </c>
      <c r="C16" s="18" t="s">
        <v>217</v>
      </c>
      <c r="D16" s="18" t="s">
        <v>203</v>
      </c>
      <c r="E16" s="18" t="s">
        <v>199</v>
      </c>
      <c r="F16" s="18" t="s">
        <v>275</v>
      </c>
      <c r="G16" s="18" t="s">
        <v>219</v>
      </c>
      <c r="H16" s="18" t="s">
        <v>220</v>
      </c>
      <c r="I16" s="18" t="s">
        <v>190</v>
      </c>
      <c r="J16" s="18" t="s">
        <v>193</v>
      </c>
      <c r="K16" s="18" t="s">
        <v>221</v>
      </c>
    </row>
    <row r="17" spans="1:11" x14ac:dyDescent="0.45">
      <c r="A17" s="17">
        <v>3</v>
      </c>
      <c r="B17" s="18" t="s">
        <v>273</v>
      </c>
      <c r="C17" s="18" t="s">
        <v>217</v>
      </c>
      <c r="D17" s="18" t="s">
        <v>206</v>
      </c>
      <c r="E17" s="18" t="s">
        <v>199</v>
      </c>
      <c r="F17" s="18" t="s">
        <v>276</v>
      </c>
      <c r="G17" s="18" t="s">
        <v>222</v>
      </c>
      <c r="H17" s="18" t="s">
        <v>201</v>
      </c>
      <c r="I17" s="18" t="s">
        <v>208</v>
      </c>
      <c r="J17" s="18" t="s">
        <v>193</v>
      </c>
      <c r="K17" s="19" t="s">
        <v>197</v>
      </c>
    </row>
    <row r="18" spans="1:11" x14ac:dyDescent="0.45">
      <c r="A18" s="17">
        <v>3</v>
      </c>
      <c r="B18" s="18" t="s">
        <v>273</v>
      </c>
      <c r="C18" s="18" t="s">
        <v>217</v>
      </c>
      <c r="D18" s="18" t="s">
        <v>209</v>
      </c>
      <c r="E18" s="18" t="s">
        <v>199</v>
      </c>
      <c r="F18" s="18" t="s">
        <v>271</v>
      </c>
      <c r="G18" s="18" t="s">
        <v>212</v>
      </c>
      <c r="H18" s="18" t="s">
        <v>213</v>
      </c>
      <c r="I18" s="18" t="s">
        <v>190</v>
      </c>
      <c r="J18" s="18" t="s">
        <v>193</v>
      </c>
      <c r="K18" s="18" t="s">
        <v>214</v>
      </c>
    </row>
    <row r="19" spans="1:11" x14ac:dyDescent="0.45">
      <c r="A19" s="17">
        <v>3</v>
      </c>
      <c r="B19" s="18" t="s">
        <v>273</v>
      </c>
      <c r="C19" s="18" t="s">
        <v>217</v>
      </c>
      <c r="D19" s="18" t="s">
        <v>211</v>
      </c>
      <c r="E19" s="18" t="s">
        <v>199</v>
      </c>
      <c r="F19" s="18" t="s">
        <v>272</v>
      </c>
      <c r="G19" s="18" t="s">
        <v>216</v>
      </c>
      <c r="H19" s="18" t="s">
        <v>213</v>
      </c>
      <c r="I19" s="18" t="s">
        <v>190</v>
      </c>
      <c r="J19" s="18" t="s">
        <v>193</v>
      </c>
      <c r="K19" s="18" t="s">
        <v>214</v>
      </c>
    </row>
    <row r="20" spans="1:11" x14ac:dyDescent="0.45">
      <c r="A20" s="17">
        <v>4</v>
      </c>
      <c r="B20" s="18" t="s">
        <v>282</v>
      </c>
      <c r="C20" s="18" t="s">
        <v>229</v>
      </c>
      <c r="D20" s="18" t="s">
        <v>192</v>
      </c>
      <c r="E20" s="18" t="s">
        <v>193</v>
      </c>
      <c r="F20" s="18" t="s">
        <v>279</v>
      </c>
      <c r="G20" s="18" t="s">
        <v>225</v>
      </c>
      <c r="H20" s="18" t="s">
        <v>195</v>
      </c>
      <c r="I20" s="18" t="s">
        <v>196</v>
      </c>
      <c r="J20" s="18" t="s">
        <v>193</v>
      </c>
      <c r="K20" s="19" t="s">
        <v>197</v>
      </c>
    </row>
    <row r="21" spans="1:11" x14ac:dyDescent="0.45">
      <c r="A21" s="17">
        <v>4</v>
      </c>
      <c r="B21" s="18" t="s">
        <v>282</v>
      </c>
      <c r="C21" s="18" t="s">
        <v>229</v>
      </c>
      <c r="D21" s="18" t="s">
        <v>198</v>
      </c>
      <c r="E21" s="18" t="s">
        <v>199</v>
      </c>
      <c r="F21" s="18" t="s">
        <v>283</v>
      </c>
      <c r="G21" s="18" t="s">
        <v>230</v>
      </c>
      <c r="H21" s="18" t="s">
        <v>201</v>
      </c>
      <c r="I21" s="18" t="s">
        <v>202</v>
      </c>
      <c r="J21" s="18" t="s">
        <v>193</v>
      </c>
      <c r="K21" s="19" t="s">
        <v>197</v>
      </c>
    </row>
    <row r="22" spans="1:11" x14ac:dyDescent="0.45">
      <c r="A22" s="17">
        <v>4</v>
      </c>
      <c r="B22" s="18" t="s">
        <v>282</v>
      </c>
      <c r="C22" s="18" t="s">
        <v>229</v>
      </c>
      <c r="D22" s="18" t="s">
        <v>203</v>
      </c>
      <c r="E22" s="18" t="s">
        <v>199</v>
      </c>
      <c r="F22" s="18" t="s">
        <v>284</v>
      </c>
      <c r="G22" s="18" t="s">
        <v>227</v>
      </c>
      <c r="H22" s="18" t="s">
        <v>195</v>
      </c>
      <c r="I22" s="18" t="s">
        <v>228</v>
      </c>
      <c r="J22" s="18" t="s">
        <v>193</v>
      </c>
      <c r="K22" s="19" t="s">
        <v>197</v>
      </c>
    </row>
    <row r="23" spans="1:11" x14ac:dyDescent="0.45">
      <c r="A23" s="17">
        <v>4</v>
      </c>
      <c r="B23" s="18" t="s">
        <v>282</v>
      </c>
      <c r="C23" s="18" t="s">
        <v>229</v>
      </c>
      <c r="D23" s="18" t="s">
        <v>206</v>
      </c>
      <c r="E23" s="18" t="s">
        <v>199</v>
      </c>
      <c r="F23" s="18" t="s">
        <v>285</v>
      </c>
      <c r="G23" s="18" t="s">
        <v>231</v>
      </c>
      <c r="H23" s="18" t="s">
        <v>195</v>
      </c>
      <c r="I23" s="18" t="s">
        <v>289</v>
      </c>
      <c r="J23" s="18" t="s">
        <v>193</v>
      </c>
      <c r="K23" s="18" t="s">
        <v>232</v>
      </c>
    </row>
    <row r="24" spans="1:11" x14ac:dyDescent="0.45">
      <c r="A24" s="17">
        <v>4</v>
      </c>
      <c r="B24" s="18" t="s">
        <v>282</v>
      </c>
      <c r="C24" s="18" t="s">
        <v>229</v>
      </c>
      <c r="D24" s="18" t="s">
        <v>209</v>
      </c>
      <c r="E24" s="18" t="s">
        <v>199</v>
      </c>
      <c r="F24" s="18" t="s">
        <v>271</v>
      </c>
      <c r="G24" s="18" t="s">
        <v>212</v>
      </c>
      <c r="H24" s="18" t="s">
        <v>213</v>
      </c>
      <c r="I24" s="18" t="s">
        <v>190</v>
      </c>
      <c r="J24" s="18" t="s">
        <v>193</v>
      </c>
      <c r="K24" s="18" t="s">
        <v>214</v>
      </c>
    </row>
    <row r="25" spans="1:11" x14ac:dyDescent="0.45">
      <c r="A25" s="17">
        <v>4</v>
      </c>
      <c r="B25" s="18" t="s">
        <v>282</v>
      </c>
      <c r="C25" s="18" t="s">
        <v>229</v>
      </c>
      <c r="D25" s="18" t="s">
        <v>211</v>
      </c>
      <c r="E25" s="18" t="s">
        <v>199</v>
      </c>
      <c r="F25" s="18" t="s">
        <v>272</v>
      </c>
      <c r="G25" s="18" t="s">
        <v>216</v>
      </c>
      <c r="H25" s="18" t="s">
        <v>213</v>
      </c>
      <c r="I25" s="18" t="s">
        <v>190</v>
      </c>
      <c r="J25" s="18" t="s">
        <v>193</v>
      </c>
      <c r="K25" s="18" t="s">
        <v>214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DAEE7-0545-4534-8AF7-A18358A1DA42}">
  <sheetPr codeName="Sheet5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10.69921875" style="4" customWidth="1"/>
    <col min="2" max="3" width="30.69921875" style="4" customWidth="1"/>
    <col min="4" max="4" width="10.69921875" style="4" customWidth="1"/>
    <col min="5" max="5" width="5.69921875" style="4" customWidth="1"/>
    <col min="6" max="7" width="30.69921875" style="4" customWidth="1"/>
    <col min="8" max="8" width="20.69921875" style="4" customWidth="1"/>
    <col min="9" max="9" width="10.69921875" style="4" customWidth="1"/>
    <col min="10" max="10" width="12.69921875" style="4" customWidth="1"/>
    <col min="11" max="11" width="20.69921875" style="4" customWidth="1"/>
    <col min="12" max="16384" width="8.796875" style="4"/>
  </cols>
  <sheetData>
    <row r="1" spans="1:11" x14ac:dyDescent="0.45">
      <c r="A1" s="16" t="s">
        <v>172</v>
      </c>
      <c r="B1" s="16" t="s">
        <v>173</v>
      </c>
      <c r="C1" s="16" t="s">
        <v>174</v>
      </c>
      <c r="D1" s="16" t="s">
        <v>175</v>
      </c>
      <c r="E1" s="16" t="s">
        <v>176</v>
      </c>
      <c r="F1" s="16" t="s">
        <v>177</v>
      </c>
      <c r="G1" s="16" t="s">
        <v>178</v>
      </c>
      <c r="H1" s="16" t="s">
        <v>179</v>
      </c>
      <c r="I1" s="16" t="s">
        <v>180</v>
      </c>
      <c r="J1" s="16" t="s">
        <v>181</v>
      </c>
      <c r="K1" s="16" t="s">
        <v>182</v>
      </c>
    </row>
    <row r="2" spans="1:11" x14ac:dyDescent="0.45">
      <c r="A2" s="17">
        <v>1</v>
      </c>
      <c r="B2" s="18" t="s">
        <v>265</v>
      </c>
      <c r="C2" s="18" t="s">
        <v>233</v>
      </c>
      <c r="D2" s="18" t="s">
        <v>192</v>
      </c>
      <c r="E2" s="18" t="s">
        <v>193</v>
      </c>
      <c r="F2" s="18" t="s">
        <v>266</v>
      </c>
      <c r="G2" s="18" t="s">
        <v>234</v>
      </c>
      <c r="H2" s="18" t="s">
        <v>235</v>
      </c>
      <c r="I2" s="18" t="s">
        <v>196</v>
      </c>
      <c r="J2" s="18" t="s">
        <v>193</v>
      </c>
      <c r="K2" s="18"/>
    </row>
    <row r="3" spans="1:11" x14ac:dyDescent="0.45">
      <c r="A3" s="17">
        <v>1</v>
      </c>
      <c r="B3" s="18" t="s">
        <v>265</v>
      </c>
      <c r="C3" s="18" t="s">
        <v>233</v>
      </c>
      <c r="D3" s="18" t="s">
        <v>198</v>
      </c>
      <c r="E3" s="18" t="s">
        <v>199</v>
      </c>
      <c r="F3" s="18" t="s">
        <v>267</v>
      </c>
      <c r="G3" s="18" t="s">
        <v>236</v>
      </c>
      <c r="H3" s="18" t="s">
        <v>237</v>
      </c>
      <c r="I3" s="18" t="s">
        <v>202</v>
      </c>
      <c r="J3" s="18" t="s">
        <v>193</v>
      </c>
      <c r="K3" s="18"/>
    </row>
    <row r="4" spans="1:11" x14ac:dyDescent="0.45">
      <c r="A4" s="17">
        <v>1</v>
      </c>
      <c r="B4" s="18" t="s">
        <v>265</v>
      </c>
      <c r="C4" s="18" t="s">
        <v>233</v>
      </c>
      <c r="D4" s="18" t="s">
        <v>203</v>
      </c>
      <c r="E4" s="18" t="s">
        <v>199</v>
      </c>
      <c r="F4" s="18" t="s">
        <v>268</v>
      </c>
      <c r="G4" s="18" t="s">
        <v>238</v>
      </c>
      <c r="H4" s="18" t="s">
        <v>237</v>
      </c>
      <c r="I4" s="18" t="s">
        <v>205</v>
      </c>
      <c r="J4" s="18" t="s">
        <v>199</v>
      </c>
      <c r="K4" s="18"/>
    </row>
    <row r="5" spans="1:11" x14ac:dyDescent="0.45">
      <c r="A5" s="17">
        <v>1</v>
      </c>
      <c r="B5" s="18" t="s">
        <v>265</v>
      </c>
      <c r="C5" s="18" t="s">
        <v>233</v>
      </c>
      <c r="D5" s="18" t="s">
        <v>206</v>
      </c>
      <c r="E5" s="18" t="s">
        <v>199</v>
      </c>
      <c r="F5" s="18" t="s">
        <v>269</v>
      </c>
      <c r="G5" s="18" t="s">
        <v>239</v>
      </c>
      <c r="H5" s="18" t="s">
        <v>237</v>
      </c>
      <c r="I5" s="18" t="s">
        <v>208</v>
      </c>
      <c r="J5" s="18" t="s">
        <v>199</v>
      </c>
      <c r="K5" s="18"/>
    </row>
    <row r="6" spans="1:11" x14ac:dyDescent="0.45">
      <c r="A6" s="17">
        <v>1</v>
      </c>
      <c r="B6" s="18" t="s">
        <v>265</v>
      </c>
      <c r="C6" s="18" t="s">
        <v>233</v>
      </c>
      <c r="D6" s="18" t="s">
        <v>209</v>
      </c>
      <c r="E6" s="18" t="s">
        <v>199</v>
      </c>
      <c r="F6" s="18" t="s">
        <v>270</v>
      </c>
      <c r="G6" s="18" t="s">
        <v>240</v>
      </c>
      <c r="H6" s="18" t="s">
        <v>237</v>
      </c>
      <c r="I6" s="18" t="s">
        <v>205</v>
      </c>
      <c r="J6" s="18" t="s">
        <v>199</v>
      </c>
      <c r="K6" s="18"/>
    </row>
    <row r="7" spans="1:11" x14ac:dyDescent="0.45">
      <c r="A7" s="17">
        <v>1</v>
      </c>
      <c r="B7" s="18" t="s">
        <v>265</v>
      </c>
      <c r="C7" s="18" t="s">
        <v>233</v>
      </c>
      <c r="D7" s="18" t="s">
        <v>211</v>
      </c>
      <c r="E7" s="18" t="s">
        <v>199</v>
      </c>
      <c r="F7" s="18" t="s">
        <v>271</v>
      </c>
      <c r="G7" s="18" t="s">
        <v>241</v>
      </c>
      <c r="H7" s="18" t="s">
        <v>242</v>
      </c>
      <c r="I7" s="18"/>
      <c r="J7" s="18" t="s">
        <v>193</v>
      </c>
      <c r="K7" s="18" t="s">
        <v>243</v>
      </c>
    </row>
    <row r="8" spans="1:11" x14ac:dyDescent="0.45">
      <c r="A8" s="17">
        <v>1</v>
      </c>
      <c r="B8" s="18" t="s">
        <v>265</v>
      </c>
      <c r="C8" s="18" t="s">
        <v>233</v>
      </c>
      <c r="D8" s="18" t="s">
        <v>215</v>
      </c>
      <c r="E8" s="18" t="s">
        <v>199</v>
      </c>
      <c r="F8" s="18" t="s">
        <v>272</v>
      </c>
      <c r="G8" s="18" t="s">
        <v>244</v>
      </c>
      <c r="H8" s="18" t="s">
        <v>242</v>
      </c>
      <c r="I8" s="18"/>
      <c r="J8" s="18" t="s">
        <v>193</v>
      </c>
      <c r="K8" s="18" t="s">
        <v>243</v>
      </c>
    </row>
    <row r="9" spans="1:11" x14ac:dyDescent="0.45">
      <c r="A9" s="17">
        <v>2</v>
      </c>
      <c r="B9" s="18" t="s">
        <v>277</v>
      </c>
      <c r="C9" s="18" t="s">
        <v>245</v>
      </c>
      <c r="D9" s="18" t="s">
        <v>192</v>
      </c>
      <c r="E9" s="18" t="s">
        <v>193</v>
      </c>
      <c r="F9" s="18" t="s">
        <v>278</v>
      </c>
      <c r="G9" s="18" t="s">
        <v>246</v>
      </c>
      <c r="H9" s="18" t="s">
        <v>235</v>
      </c>
      <c r="I9" s="18" t="s">
        <v>196</v>
      </c>
      <c r="J9" s="18" t="s">
        <v>193</v>
      </c>
      <c r="K9" s="18"/>
    </row>
    <row r="10" spans="1:11" x14ac:dyDescent="0.45">
      <c r="A10" s="17">
        <v>2</v>
      </c>
      <c r="B10" s="18" t="s">
        <v>277</v>
      </c>
      <c r="C10" s="18" t="s">
        <v>245</v>
      </c>
      <c r="D10" s="18" t="s">
        <v>198</v>
      </c>
      <c r="E10" s="18" t="s">
        <v>199</v>
      </c>
      <c r="F10" s="18" t="s">
        <v>274</v>
      </c>
      <c r="G10" s="18" t="s">
        <v>247</v>
      </c>
      <c r="H10" s="18" t="s">
        <v>235</v>
      </c>
      <c r="I10" s="18" t="s">
        <v>196</v>
      </c>
      <c r="J10" s="18" t="s">
        <v>193</v>
      </c>
      <c r="K10" s="18"/>
    </row>
    <row r="11" spans="1:11" x14ac:dyDescent="0.45">
      <c r="A11" s="17">
        <v>2</v>
      </c>
      <c r="B11" s="18" t="s">
        <v>277</v>
      </c>
      <c r="C11" s="18" t="s">
        <v>245</v>
      </c>
      <c r="D11" s="18" t="s">
        <v>203</v>
      </c>
      <c r="E11" s="18" t="s">
        <v>199</v>
      </c>
      <c r="F11" s="18" t="s">
        <v>279</v>
      </c>
      <c r="G11" s="18" t="s">
        <v>248</v>
      </c>
      <c r="H11" s="18" t="s">
        <v>235</v>
      </c>
      <c r="I11" s="18" t="s">
        <v>196</v>
      </c>
      <c r="J11" s="18" t="s">
        <v>193</v>
      </c>
      <c r="K11" s="18"/>
    </row>
    <row r="12" spans="1:11" x14ac:dyDescent="0.45">
      <c r="A12" s="17">
        <v>2</v>
      </c>
      <c r="B12" s="18" t="s">
        <v>277</v>
      </c>
      <c r="C12" s="18" t="s">
        <v>245</v>
      </c>
      <c r="D12" s="18" t="s">
        <v>206</v>
      </c>
      <c r="E12" s="18" t="s">
        <v>199</v>
      </c>
      <c r="F12" s="18" t="s">
        <v>280</v>
      </c>
      <c r="G12" s="18" t="s">
        <v>249</v>
      </c>
      <c r="H12" s="18" t="s">
        <v>235</v>
      </c>
      <c r="I12" s="18" t="s">
        <v>196</v>
      </c>
      <c r="J12" s="18" t="s">
        <v>193</v>
      </c>
      <c r="K12" s="18"/>
    </row>
    <row r="13" spans="1:11" x14ac:dyDescent="0.45">
      <c r="A13" s="17">
        <v>2</v>
      </c>
      <c r="B13" s="18" t="s">
        <v>277</v>
      </c>
      <c r="C13" s="18" t="s">
        <v>245</v>
      </c>
      <c r="D13" s="18" t="s">
        <v>209</v>
      </c>
      <c r="E13" s="18" t="s">
        <v>199</v>
      </c>
      <c r="F13" s="18" t="s">
        <v>281</v>
      </c>
      <c r="G13" s="18" t="s">
        <v>250</v>
      </c>
      <c r="H13" s="18" t="s">
        <v>235</v>
      </c>
      <c r="I13" s="18" t="s">
        <v>228</v>
      </c>
      <c r="J13" s="18" t="s">
        <v>193</v>
      </c>
      <c r="K13" s="18"/>
    </row>
    <row r="14" spans="1:11" x14ac:dyDescent="0.45">
      <c r="A14" s="17">
        <v>3</v>
      </c>
      <c r="B14" s="18" t="s">
        <v>273</v>
      </c>
      <c r="C14" s="18" t="s">
        <v>251</v>
      </c>
      <c r="D14" s="18" t="s">
        <v>192</v>
      </c>
      <c r="E14" s="18" t="s">
        <v>193</v>
      </c>
      <c r="F14" s="18" t="s">
        <v>274</v>
      </c>
      <c r="G14" s="18" t="s">
        <v>247</v>
      </c>
      <c r="H14" s="18" t="s">
        <v>235</v>
      </c>
      <c r="I14" s="18" t="s">
        <v>196</v>
      </c>
      <c r="J14" s="18" t="s">
        <v>193</v>
      </c>
      <c r="K14" s="18"/>
    </row>
    <row r="15" spans="1:11" x14ac:dyDescent="0.45">
      <c r="A15" s="17">
        <v>3</v>
      </c>
      <c r="B15" s="18" t="s">
        <v>273</v>
      </c>
      <c r="C15" s="18" t="s">
        <v>251</v>
      </c>
      <c r="D15" s="18" t="s">
        <v>198</v>
      </c>
      <c r="E15" s="18" t="s">
        <v>199</v>
      </c>
      <c r="F15" s="18" t="s">
        <v>266</v>
      </c>
      <c r="G15" s="18" t="s">
        <v>234</v>
      </c>
      <c r="H15" s="18" t="s">
        <v>235</v>
      </c>
      <c r="I15" s="18" t="s">
        <v>196</v>
      </c>
      <c r="J15" s="18" t="s">
        <v>193</v>
      </c>
      <c r="K15" s="18"/>
    </row>
    <row r="16" spans="1:11" x14ac:dyDescent="0.45">
      <c r="A16" s="17">
        <v>3</v>
      </c>
      <c r="B16" s="18" t="s">
        <v>273</v>
      </c>
      <c r="C16" s="18" t="s">
        <v>251</v>
      </c>
      <c r="D16" s="18" t="s">
        <v>203</v>
      </c>
      <c r="E16" s="18" t="s">
        <v>199</v>
      </c>
      <c r="F16" s="18" t="s">
        <v>275</v>
      </c>
      <c r="G16" s="18" t="s">
        <v>252</v>
      </c>
      <c r="H16" s="18" t="s">
        <v>253</v>
      </c>
      <c r="I16" s="18"/>
      <c r="J16" s="18" t="s">
        <v>193</v>
      </c>
      <c r="K16" s="18" t="s">
        <v>254</v>
      </c>
    </row>
    <row r="17" spans="1:11" x14ac:dyDescent="0.45">
      <c r="A17" s="17">
        <v>3</v>
      </c>
      <c r="B17" s="18" t="s">
        <v>273</v>
      </c>
      <c r="C17" s="18" t="s">
        <v>251</v>
      </c>
      <c r="D17" s="18" t="s">
        <v>206</v>
      </c>
      <c r="E17" s="18" t="s">
        <v>199</v>
      </c>
      <c r="F17" s="18" t="s">
        <v>276</v>
      </c>
      <c r="G17" s="18" t="s">
        <v>255</v>
      </c>
      <c r="H17" s="18" t="s">
        <v>237</v>
      </c>
      <c r="I17" s="18" t="s">
        <v>208</v>
      </c>
      <c r="J17" s="18" t="s">
        <v>193</v>
      </c>
      <c r="K17" s="18"/>
    </row>
    <row r="18" spans="1:11" x14ac:dyDescent="0.45">
      <c r="A18" s="17">
        <v>3</v>
      </c>
      <c r="B18" s="18" t="s">
        <v>273</v>
      </c>
      <c r="C18" s="18" t="s">
        <v>251</v>
      </c>
      <c r="D18" s="18" t="s">
        <v>209</v>
      </c>
      <c r="E18" s="18" t="s">
        <v>199</v>
      </c>
      <c r="F18" s="18" t="s">
        <v>271</v>
      </c>
      <c r="G18" s="18" t="s">
        <v>241</v>
      </c>
      <c r="H18" s="18" t="s">
        <v>242</v>
      </c>
      <c r="I18" s="18"/>
      <c r="J18" s="18" t="s">
        <v>193</v>
      </c>
      <c r="K18" s="18" t="s">
        <v>243</v>
      </c>
    </row>
    <row r="19" spans="1:11" x14ac:dyDescent="0.45">
      <c r="A19" s="17">
        <v>3</v>
      </c>
      <c r="B19" s="18" t="s">
        <v>273</v>
      </c>
      <c r="C19" s="18" t="s">
        <v>251</v>
      </c>
      <c r="D19" s="18" t="s">
        <v>211</v>
      </c>
      <c r="E19" s="18" t="s">
        <v>199</v>
      </c>
      <c r="F19" s="18" t="s">
        <v>272</v>
      </c>
      <c r="G19" s="18" t="s">
        <v>244</v>
      </c>
      <c r="H19" s="18" t="s">
        <v>242</v>
      </c>
      <c r="I19" s="18"/>
      <c r="J19" s="18" t="s">
        <v>193</v>
      </c>
      <c r="K19" s="18" t="s">
        <v>243</v>
      </c>
    </row>
    <row r="20" spans="1:11" x14ac:dyDescent="0.45">
      <c r="A20" s="17">
        <v>4</v>
      </c>
      <c r="B20" s="18" t="s">
        <v>282</v>
      </c>
      <c r="C20" s="18" t="s">
        <v>256</v>
      </c>
      <c r="D20" s="18" t="s">
        <v>192</v>
      </c>
      <c r="E20" s="18" t="s">
        <v>193</v>
      </c>
      <c r="F20" s="18" t="s">
        <v>279</v>
      </c>
      <c r="G20" s="18" t="s">
        <v>248</v>
      </c>
      <c r="H20" s="18" t="s">
        <v>235</v>
      </c>
      <c r="I20" s="18" t="s">
        <v>196</v>
      </c>
      <c r="J20" s="18" t="s">
        <v>193</v>
      </c>
      <c r="K20" s="18"/>
    </row>
    <row r="21" spans="1:11" x14ac:dyDescent="0.45">
      <c r="A21" s="17">
        <v>4</v>
      </c>
      <c r="B21" s="18" t="s">
        <v>282</v>
      </c>
      <c r="C21" s="18" t="s">
        <v>256</v>
      </c>
      <c r="D21" s="18" t="s">
        <v>198</v>
      </c>
      <c r="E21" s="18" t="s">
        <v>199</v>
      </c>
      <c r="F21" s="18" t="s">
        <v>283</v>
      </c>
      <c r="G21" s="18" t="s">
        <v>257</v>
      </c>
      <c r="H21" s="18" t="s">
        <v>237</v>
      </c>
      <c r="I21" s="18" t="s">
        <v>202</v>
      </c>
      <c r="J21" s="18" t="s">
        <v>193</v>
      </c>
      <c r="K21" s="18"/>
    </row>
    <row r="22" spans="1:11" x14ac:dyDescent="0.45">
      <c r="A22" s="17">
        <v>4</v>
      </c>
      <c r="B22" s="18" t="s">
        <v>282</v>
      </c>
      <c r="C22" s="18" t="s">
        <v>256</v>
      </c>
      <c r="D22" s="18" t="s">
        <v>203</v>
      </c>
      <c r="E22" s="18" t="s">
        <v>199</v>
      </c>
      <c r="F22" s="18" t="s">
        <v>284</v>
      </c>
      <c r="G22" s="18" t="s">
        <v>250</v>
      </c>
      <c r="H22" s="18" t="s">
        <v>235</v>
      </c>
      <c r="I22" s="18" t="s">
        <v>228</v>
      </c>
      <c r="J22" s="18" t="s">
        <v>193</v>
      </c>
      <c r="K22" s="18"/>
    </row>
    <row r="23" spans="1:11" x14ac:dyDescent="0.45">
      <c r="A23" s="17">
        <v>4</v>
      </c>
      <c r="B23" s="18" t="s">
        <v>282</v>
      </c>
      <c r="C23" s="18" t="s">
        <v>256</v>
      </c>
      <c r="D23" s="18" t="s">
        <v>206</v>
      </c>
      <c r="E23" s="18" t="s">
        <v>199</v>
      </c>
      <c r="F23" s="18" t="s">
        <v>285</v>
      </c>
      <c r="G23" s="18" t="s">
        <v>258</v>
      </c>
      <c r="H23" s="18" t="s">
        <v>235</v>
      </c>
      <c r="I23" s="18" t="s">
        <v>289</v>
      </c>
      <c r="J23" s="18" t="s">
        <v>193</v>
      </c>
      <c r="K23" s="18" t="s">
        <v>259</v>
      </c>
    </row>
    <row r="24" spans="1:11" x14ac:dyDescent="0.45">
      <c r="A24" s="17">
        <v>4</v>
      </c>
      <c r="B24" s="18" t="s">
        <v>282</v>
      </c>
      <c r="C24" s="18" t="s">
        <v>256</v>
      </c>
      <c r="D24" s="18" t="s">
        <v>209</v>
      </c>
      <c r="E24" s="18" t="s">
        <v>199</v>
      </c>
      <c r="F24" s="18" t="s">
        <v>271</v>
      </c>
      <c r="G24" s="18" t="s">
        <v>241</v>
      </c>
      <c r="H24" s="18" t="s">
        <v>242</v>
      </c>
      <c r="I24" s="18"/>
      <c r="J24" s="18" t="s">
        <v>193</v>
      </c>
      <c r="K24" s="18" t="s">
        <v>243</v>
      </c>
    </row>
    <row r="25" spans="1:11" x14ac:dyDescent="0.45">
      <c r="A25" s="17">
        <v>4</v>
      </c>
      <c r="B25" s="18" t="s">
        <v>282</v>
      </c>
      <c r="C25" s="18" t="s">
        <v>256</v>
      </c>
      <c r="D25" s="18" t="s">
        <v>211</v>
      </c>
      <c r="E25" s="18" t="s">
        <v>199</v>
      </c>
      <c r="F25" s="18" t="s">
        <v>272</v>
      </c>
      <c r="G25" s="18" t="s">
        <v>244</v>
      </c>
      <c r="H25" s="18" t="s">
        <v>242</v>
      </c>
      <c r="I25" s="18"/>
      <c r="J25" s="18" t="s">
        <v>193</v>
      </c>
      <c r="K25" s="18" t="s">
        <v>243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1A60B-00B7-405C-B928-D05618758EBE}">
  <sheetPr codeName="Sheet6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10.69921875" style="4" customWidth="1"/>
    <col min="2" max="3" width="30.69921875" style="4" customWidth="1"/>
    <col min="4" max="4" width="10.69921875" style="4" customWidth="1"/>
    <col min="5" max="5" width="5.69921875" style="4" customWidth="1"/>
    <col min="6" max="7" width="30.69921875" style="4" customWidth="1"/>
    <col min="8" max="8" width="20.69921875" style="4" customWidth="1"/>
    <col min="9" max="9" width="10.69921875" style="4" customWidth="1"/>
    <col min="10" max="10" width="12.69921875" style="4" customWidth="1"/>
    <col min="11" max="11" width="20.69921875" style="4" customWidth="1"/>
    <col min="12" max="16384" width="8.796875" style="4"/>
  </cols>
  <sheetData>
    <row r="1" spans="1:11" x14ac:dyDescent="0.45">
      <c r="A1" s="16" t="s">
        <v>172</v>
      </c>
      <c r="B1" s="16" t="s">
        <v>173</v>
      </c>
      <c r="C1" s="16" t="s">
        <v>174</v>
      </c>
      <c r="D1" s="16" t="s">
        <v>175</v>
      </c>
      <c r="E1" s="16" t="s">
        <v>176</v>
      </c>
      <c r="F1" s="16" t="s">
        <v>177</v>
      </c>
      <c r="G1" s="16" t="s">
        <v>178</v>
      </c>
      <c r="H1" s="16" t="s">
        <v>179</v>
      </c>
      <c r="I1" s="16" t="s">
        <v>180</v>
      </c>
      <c r="J1" s="16" t="s">
        <v>181</v>
      </c>
      <c r="K1" s="16" t="s">
        <v>182</v>
      </c>
    </row>
    <row r="2" spans="1:11" x14ac:dyDescent="0.45">
      <c r="A2" s="17">
        <v>1</v>
      </c>
      <c r="B2" s="18" t="s">
        <v>265</v>
      </c>
      <c r="C2" s="18" t="s">
        <v>233</v>
      </c>
      <c r="D2" s="18" t="s">
        <v>192</v>
      </c>
      <c r="E2" s="18" t="s">
        <v>193</v>
      </c>
      <c r="F2" s="18" t="s">
        <v>266</v>
      </c>
      <c r="G2" s="18" t="s">
        <v>234</v>
      </c>
      <c r="H2" s="18" t="s">
        <v>235</v>
      </c>
      <c r="I2" s="18" t="s">
        <v>196</v>
      </c>
      <c r="J2" s="18" t="s">
        <v>193</v>
      </c>
      <c r="K2" s="18"/>
    </row>
    <row r="3" spans="1:11" x14ac:dyDescent="0.45">
      <c r="A3" s="17">
        <v>1</v>
      </c>
      <c r="B3" s="18" t="s">
        <v>265</v>
      </c>
      <c r="C3" s="18" t="s">
        <v>233</v>
      </c>
      <c r="D3" s="18" t="s">
        <v>198</v>
      </c>
      <c r="E3" s="18" t="s">
        <v>199</v>
      </c>
      <c r="F3" s="18" t="s">
        <v>267</v>
      </c>
      <c r="G3" s="18" t="s">
        <v>236</v>
      </c>
      <c r="H3" s="18" t="s">
        <v>260</v>
      </c>
      <c r="I3" s="18" t="s">
        <v>202</v>
      </c>
      <c r="J3" s="18" t="s">
        <v>193</v>
      </c>
      <c r="K3" s="18"/>
    </row>
    <row r="4" spans="1:11" x14ac:dyDescent="0.45">
      <c r="A4" s="17">
        <v>1</v>
      </c>
      <c r="B4" s="18" t="s">
        <v>265</v>
      </c>
      <c r="C4" s="18" t="s">
        <v>233</v>
      </c>
      <c r="D4" s="18" t="s">
        <v>203</v>
      </c>
      <c r="E4" s="18" t="s">
        <v>199</v>
      </c>
      <c r="F4" s="18" t="s">
        <v>268</v>
      </c>
      <c r="G4" s="18" t="s">
        <v>238</v>
      </c>
      <c r="H4" s="18" t="s">
        <v>260</v>
      </c>
      <c r="I4" s="18" t="s">
        <v>205</v>
      </c>
      <c r="J4" s="18" t="s">
        <v>199</v>
      </c>
      <c r="K4" s="18"/>
    </row>
    <row r="5" spans="1:11" x14ac:dyDescent="0.45">
      <c r="A5" s="17">
        <v>1</v>
      </c>
      <c r="B5" s="18" t="s">
        <v>265</v>
      </c>
      <c r="C5" s="18" t="s">
        <v>233</v>
      </c>
      <c r="D5" s="18" t="s">
        <v>206</v>
      </c>
      <c r="E5" s="18" t="s">
        <v>199</v>
      </c>
      <c r="F5" s="18" t="s">
        <v>269</v>
      </c>
      <c r="G5" s="18" t="s">
        <v>239</v>
      </c>
      <c r="H5" s="18" t="s">
        <v>260</v>
      </c>
      <c r="I5" s="18" t="s">
        <v>208</v>
      </c>
      <c r="J5" s="18" t="s">
        <v>199</v>
      </c>
      <c r="K5" s="18"/>
    </row>
    <row r="6" spans="1:11" x14ac:dyDescent="0.45">
      <c r="A6" s="17">
        <v>1</v>
      </c>
      <c r="B6" s="18" t="s">
        <v>265</v>
      </c>
      <c r="C6" s="18" t="s">
        <v>233</v>
      </c>
      <c r="D6" s="18" t="s">
        <v>209</v>
      </c>
      <c r="E6" s="18" t="s">
        <v>199</v>
      </c>
      <c r="F6" s="18" t="s">
        <v>270</v>
      </c>
      <c r="G6" s="18" t="s">
        <v>240</v>
      </c>
      <c r="H6" s="18" t="s">
        <v>260</v>
      </c>
      <c r="I6" s="18" t="s">
        <v>205</v>
      </c>
      <c r="J6" s="18" t="s">
        <v>199</v>
      </c>
      <c r="K6" s="18"/>
    </row>
    <row r="7" spans="1:11" x14ac:dyDescent="0.45">
      <c r="A7" s="17">
        <v>1</v>
      </c>
      <c r="B7" s="18" t="s">
        <v>265</v>
      </c>
      <c r="C7" s="18" t="s">
        <v>233</v>
      </c>
      <c r="D7" s="18" t="s">
        <v>211</v>
      </c>
      <c r="E7" s="18" t="s">
        <v>199</v>
      </c>
      <c r="F7" s="18" t="s">
        <v>271</v>
      </c>
      <c r="G7" s="18" t="s">
        <v>241</v>
      </c>
      <c r="H7" s="18" t="s">
        <v>261</v>
      </c>
      <c r="I7" s="18"/>
      <c r="J7" s="18" t="s">
        <v>193</v>
      </c>
      <c r="K7" s="18" t="s">
        <v>262</v>
      </c>
    </row>
    <row r="8" spans="1:11" x14ac:dyDescent="0.45">
      <c r="A8" s="17">
        <v>1</v>
      </c>
      <c r="B8" s="18" t="s">
        <v>265</v>
      </c>
      <c r="C8" s="18" t="s">
        <v>233</v>
      </c>
      <c r="D8" s="18" t="s">
        <v>215</v>
      </c>
      <c r="E8" s="18" t="s">
        <v>199</v>
      </c>
      <c r="F8" s="18" t="s">
        <v>272</v>
      </c>
      <c r="G8" s="18" t="s">
        <v>244</v>
      </c>
      <c r="H8" s="18" t="s">
        <v>261</v>
      </c>
      <c r="I8" s="18"/>
      <c r="J8" s="18" t="s">
        <v>193</v>
      </c>
      <c r="K8" s="18" t="s">
        <v>262</v>
      </c>
    </row>
    <row r="9" spans="1:11" x14ac:dyDescent="0.45">
      <c r="A9" s="17">
        <v>2</v>
      </c>
      <c r="B9" s="18" t="s">
        <v>277</v>
      </c>
      <c r="C9" s="18" t="s">
        <v>245</v>
      </c>
      <c r="D9" s="18" t="s">
        <v>192</v>
      </c>
      <c r="E9" s="18" t="s">
        <v>193</v>
      </c>
      <c r="F9" s="18" t="s">
        <v>278</v>
      </c>
      <c r="G9" s="18" t="s">
        <v>246</v>
      </c>
      <c r="H9" s="18" t="s">
        <v>235</v>
      </c>
      <c r="I9" s="18" t="s">
        <v>196</v>
      </c>
      <c r="J9" s="18" t="s">
        <v>193</v>
      </c>
      <c r="K9" s="18"/>
    </row>
    <row r="10" spans="1:11" x14ac:dyDescent="0.45">
      <c r="A10" s="17">
        <v>2</v>
      </c>
      <c r="B10" s="18" t="s">
        <v>277</v>
      </c>
      <c r="C10" s="18" t="s">
        <v>245</v>
      </c>
      <c r="D10" s="18" t="s">
        <v>198</v>
      </c>
      <c r="E10" s="18" t="s">
        <v>199</v>
      </c>
      <c r="F10" s="18" t="s">
        <v>274</v>
      </c>
      <c r="G10" s="18" t="s">
        <v>247</v>
      </c>
      <c r="H10" s="18" t="s">
        <v>235</v>
      </c>
      <c r="I10" s="18" t="s">
        <v>196</v>
      </c>
      <c r="J10" s="18" t="s">
        <v>193</v>
      </c>
      <c r="K10" s="18"/>
    </row>
    <row r="11" spans="1:11" x14ac:dyDescent="0.45">
      <c r="A11" s="17">
        <v>2</v>
      </c>
      <c r="B11" s="18" t="s">
        <v>277</v>
      </c>
      <c r="C11" s="18" t="s">
        <v>245</v>
      </c>
      <c r="D11" s="18" t="s">
        <v>203</v>
      </c>
      <c r="E11" s="18" t="s">
        <v>199</v>
      </c>
      <c r="F11" s="18" t="s">
        <v>279</v>
      </c>
      <c r="G11" s="18" t="s">
        <v>248</v>
      </c>
      <c r="H11" s="18" t="s">
        <v>235</v>
      </c>
      <c r="I11" s="18" t="s">
        <v>196</v>
      </c>
      <c r="J11" s="18" t="s">
        <v>193</v>
      </c>
      <c r="K11" s="18"/>
    </row>
    <row r="12" spans="1:11" x14ac:dyDescent="0.45">
      <c r="A12" s="17">
        <v>2</v>
      </c>
      <c r="B12" s="18" t="s">
        <v>277</v>
      </c>
      <c r="C12" s="18" t="s">
        <v>245</v>
      </c>
      <c r="D12" s="18" t="s">
        <v>206</v>
      </c>
      <c r="E12" s="18" t="s">
        <v>199</v>
      </c>
      <c r="F12" s="18" t="s">
        <v>280</v>
      </c>
      <c r="G12" s="18" t="s">
        <v>249</v>
      </c>
      <c r="H12" s="18" t="s">
        <v>235</v>
      </c>
      <c r="I12" s="18" t="s">
        <v>196</v>
      </c>
      <c r="J12" s="18" t="s">
        <v>193</v>
      </c>
      <c r="K12" s="18"/>
    </row>
    <row r="13" spans="1:11" x14ac:dyDescent="0.45">
      <c r="A13" s="17">
        <v>2</v>
      </c>
      <c r="B13" s="18" t="s">
        <v>277</v>
      </c>
      <c r="C13" s="18" t="s">
        <v>245</v>
      </c>
      <c r="D13" s="18" t="s">
        <v>209</v>
      </c>
      <c r="E13" s="18" t="s">
        <v>199</v>
      </c>
      <c r="F13" s="18" t="s">
        <v>281</v>
      </c>
      <c r="G13" s="18" t="s">
        <v>250</v>
      </c>
      <c r="H13" s="18" t="s">
        <v>235</v>
      </c>
      <c r="I13" s="18" t="s">
        <v>228</v>
      </c>
      <c r="J13" s="18" t="s">
        <v>193</v>
      </c>
      <c r="K13" s="18"/>
    </row>
    <row r="14" spans="1:11" x14ac:dyDescent="0.45">
      <c r="A14" s="17">
        <v>3</v>
      </c>
      <c r="B14" s="18" t="s">
        <v>273</v>
      </c>
      <c r="C14" s="18" t="s">
        <v>251</v>
      </c>
      <c r="D14" s="18" t="s">
        <v>192</v>
      </c>
      <c r="E14" s="18" t="s">
        <v>193</v>
      </c>
      <c r="F14" s="18" t="s">
        <v>274</v>
      </c>
      <c r="G14" s="18" t="s">
        <v>247</v>
      </c>
      <c r="H14" s="18" t="s">
        <v>235</v>
      </c>
      <c r="I14" s="18" t="s">
        <v>196</v>
      </c>
      <c r="J14" s="18" t="s">
        <v>193</v>
      </c>
      <c r="K14" s="18"/>
    </row>
    <row r="15" spans="1:11" x14ac:dyDescent="0.45">
      <c r="A15" s="17">
        <v>3</v>
      </c>
      <c r="B15" s="18" t="s">
        <v>273</v>
      </c>
      <c r="C15" s="18" t="s">
        <v>251</v>
      </c>
      <c r="D15" s="18" t="s">
        <v>198</v>
      </c>
      <c r="E15" s="18" t="s">
        <v>199</v>
      </c>
      <c r="F15" s="18" t="s">
        <v>266</v>
      </c>
      <c r="G15" s="18" t="s">
        <v>234</v>
      </c>
      <c r="H15" s="18" t="s">
        <v>235</v>
      </c>
      <c r="I15" s="18" t="s">
        <v>196</v>
      </c>
      <c r="J15" s="18" t="s">
        <v>193</v>
      </c>
      <c r="K15" s="18"/>
    </row>
    <row r="16" spans="1:11" x14ac:dyDescent="0.45">
      <c r="A16" s="17">
        <v>3</v>
      </c>
      <c r="B16" s="18" t="s">
        <v>273</v>
      </c>
      <c r="C16" s="18" t="s">
        <v>251</v>
      </c>
      <c r="D16" s="18" t="s">
        <v>203</v>
      </c>
      <c r="E16" s="18" t="s">
        <v>199</v>
      </c>
      <c r="F16" s="18" t="s">
        <v>275</v>
      </c>
      <c r="G16" s="18" t="s">
        <v>252</v>
      </c>
      <c r="H16" s="18" t="s">
        <v>253</v>
      </c>
      <c r="I16" s="18"/>
      <c r="J16" s="18" t="s">
        <v>193</v>
      </c>
      <c r="K16" s="18" t="s">
        <v>263</v>
      </c>
    </row>
    <row r="17" spans="1:11" x14ac:dyDescent="0.45">
      <c r="A17" s="17">
        <v>3</v>
      </c>
      <c r="B17" s="18" t="s">
        <v>273</v>
      </c>
      <c r="C17" s="18" t="s">
        <v>251</v>
      </c>
      <c r="D17" s="18" t="s">
        <v>206</v>
      </c>
      <c r="E17" s="18" t="s">
        <v>199</v>
      </c>
      <c r="F17" s="18" t="s">
        <v>276</v>
      </c>
      <c r="G17" s="18" t="s">
        <v>255</v>
      </c>
      <c r="H17" s="18" t="s">
        <v>260</v>
      </c>
      <c r="I17" s="18" t="s">
        <v>208</v>
      </c>
      <c r="J17" s="18" t="s">
        <v>193</v>
      </c>
      <c r="K17" s="18"/>
    </row>
    <row r="18" spans="1:11" x14ac:dyDescent="0.45">
      <c r="A18" s="17">
        <v>3</v>
      </c>
      <c r="B18" s="18" t="s">
        <v>273</v>
      </c>
      <c r="C18" s="18" t="s">
        <v>251</v>
      </c>
      <c r="D18" s="18" t="s">
        <v>209</v>
      </c>
      <c r="E18" s="18" t="s">
        <v>199</v>
      </c>
      <c r="F18" s="18" t="s">
        <v>271</v>
      </c>
      <c r="G18" s="18" t="s">
        <v>241</v>
      </c>
      <c r="H18" s="18" t="s">
        <v>261</v>
      </c>
      <c r="I18" s="18"/>
      <c r="J18" s="18" t="s">
        <v>193</v>
      </c>
      <c r="K18" s="18" t="s">
        <v>262</v>
      </c>
    </row>
    <row r="19" spans="1:11" x14ac:dyDescent="0.45">
      <c r="A19" s="17">
        <v>3</v>
      </c>
      <c r="B19" s="18" t="s">
        <v>273</v>
      </c>
      <c r="C19" s="18" t="s">
        <v>251</v>
      </c>
      <c r="D19" s="18" t="s">
        <v>211</v>
      </c>
      <c r="E19" s="18" t="s">
        <v>199</v>
      </c>
      <c r="F19" s="18" t="s">
        <v>272</v>
      </c>
      <c r="G19" s="18" t="s">
        <v>244</v>
      </c>
      <c r="H19" s="18" t="s">
        <v>261</v>
      </c>
      <c r="I19" s="18"/>
      <c r="J19" s="18" t="s">
        <v>193</v>
      </c>
      <c r="K19" s="18" t="s">
        <v>262</v>
      </c>
    </row>
    <row r="20" spans="1:11" x14ac:dyDescent="0.45">
      <c r="A20" s="17">
        <v>4</v>
      </c>
      <c r="B20" s="18" t="s">
        <v>282</v>
      </c>
      <c r="C20" s="18" t="s">
        <v>256</v>
      </c>
      <c r="D20" s="18" t="s">
        <v>192</v>
      </c>
      <c r="E20" s="18" t="s">
        <v>193</v>
      </c>
      <c r="F20" s="18" t="s">
        <v>279</v>
      </c>
      <c r="G20" s="18" t="s">
        <v>248</v>
      </c>
      <c r="H20" s="18" t="s">
        <v>235</v>
      </c>
      <c r="I20" s="18" t="s">
        <v>196</v>
      </c>
      <c r="J20" s="18" t="s">
        <v>193</v>
      </c>
      <c r="K20" s="18"/>
    </row>
    <row r="21" spans="1:11" x14ac:dyDescent="0.45">
      <c r="A21" s="17">
        <v>4</v>
      </c>
      <c r="B21" s="18" t="s">
        <v>282</v>
      </c>
      <c r="C21" s="18" t="s">
        <v>256</v>
      </c>
      <c r="D21" s="18" t="s">
        <v>198</v>
      </c>
      <c r="E21" s="18" t="s">
        <v>199</v>
      </c>
      <c r="F21" s="18" t="s">
        <v>283</v>
      </c>
      <c r="G21" s="18" t="s">
        <v>257</v>
      </c>
      <c r="H21" s="18" t="s">
        <v>260</v>
      </c>
      <c r="I21" s="18" t="s">
        <v>202</v>
      </c>
      <c r="J21" s="18" t="s">
        <v>193</v>
      </c>
      <c r="K21" s="18"/>
    </row>
    <row r="22" spans="1:11" x14ac:dyDescent="0.45">
      <c r="A22" s="17">
        <v>4</v>
      </c>
      <c r="B22" s="18" t="s">
        <v>282</v>
      </c>
      <c r="C22" s="18" t="s">
        <v>256</v>
      </c>
      <c r="D22" s="18" t="s">
        <v>203</v>
      </c>
      <c r="E22" s="18" t="s">
        <v>199</v>
      </c>
      <c r="F22" s="18" t="s">
        <v>284</v>
      </c>
      <c r="G22" s="18" t="s">
        <v>250</v>
      </c>
      <c r="H22" s="18" t="s">
        <v>235</v>
      </c>
      <c r="I22" s="18" t="s">
        <v>228</v>
      </c>
      <c r="J22" s="18" t="s">
        <v>193</v>
      </c>
      <c r="K22" s="18"/>
    </row>
    <row r="23" spans="1:11" x14ac:dyDescent="0.45">
      <c r="A23" s="17">
        <v>4</v>
      </c>
      <c r="B23" s="18" t="s">
        <v>282</v>
      </c>
      <c r="C23" s="18" t="s">
        <v>256</v>
      </c>
      <c r="D23" s="18" t="s">
        <v>206</v>
      </c>
      <c r="E23" s="18" t="s">
        <v>199</v>
      </c>
      <c r="F23" s="18" t="s">
        <v>285</v>
      </c>
      <c r="G23" s="18" t="s">
        <v>258</v>
      </c>
      <c r="H23" s="18" t="s">
        <v>235</v>
      </c>
      <c r="I23" s="18" t="s">
        <v>289</v>
      </c>
      <c r="J23" s="18" t="s">
        <v>193</v>
      </c>
      <c r="K23" s="18" t="s">
        <v>264</v>
      </c>
    </row>
    <row r="24" spans="1:11" x14ac:dyDescent="0.45">
      <c r="A24" s="17">
        <v>4</v>
      </c>
      <c r="B24" s="18" t="s">
        <v>282</v>
      </c>
      <c r="C24" s="18" t="s">
        <v>256</v>
      </c>
      <c r="D24" s="18" t="s">
        <v>209</v>
      </c>
      <c r="E24" s="18" t="s">
        <v>199</v>
      </c>
      <c r="F24" s="18" t="s">
        <v>271</v>
      </c>
      <c r="G24" s="18" t="s">
        <v>241</v>
      </c>
      <c r="H24" s="18" t="s">
        <v>261</v>
      </c>
      <c r="I24" s="18"/>
      <c r="J24" s="18" t="s">
        <v>193</v>
      </c>
      <c r="K24" s="18" t="s">
        <v>262</v>
      </c>
    </row>
    <row r="25" spans="1:11" x14ac:dyDescent="0.45">
      <c r="A25" s="17">
        <v>4</v>
      </c>
      <c r="B25" s="18" t="s">
        <v>282</v>
      </c>
      <c r="C25" s="18" t="s">
        <v>256</v>
      </c>
      <c r="D25" s="18" t="s">
        <v>211</v>
      </c>
      <c r="E25" s="18" t="s">
        <v>199</v>
      </c>
      <c r="F25" s="18" t="s">
        <v>272</v>
      </c>
      <c r="G25" s="18" t="s">
        <v>244</v>
      </c>
      <c r="H25" s="18" t="s">
        <v>261</v>
      </c>
      <c r="I25" s="18"/>
      <c r="J25" s="18" t="s">
        <v>193</v>
      </c>
      <c r="K25" s="18" t="s">
        <v>262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168EB-DF3F-4DBF-915C-495D56C5AF10}">
  <sheetPr codeName="Sheet7"/>
  <dimension ref="A1:A224"/>
  <sheetViews>
    <sheetView showGridLines="0" workbookViewId="0"/>
  </sheetViews>
  <sheetFormatPr defaultRowHeight="13.2" outlineLevelRow="1" x14ac:dyDescent="0.45"/>
  <cols>
    <col min="1" max="1" width="110.69921875" style="2" customWidth="1"/>
    <col min="2" max="16384" width="8.796875" style="2"/>
  </cols>
  <sheetData>
    <row r="1" spans="1:1" x14ac:dyDescent="0.45">
      <c r="A1" s="1" t="s">
        <v>0</v>
      </c>
    </row>
    <row r="2" spans="1:1" x14ac:dyDescent="0.45">
      <c r="A2" s="1" t="s">
        <v>1</v>
      </c>
    </row>
    <row r="3" spans="1:1" x14ac:dyDescent="0.45">
      <c r="A3" s="1" t="s">
        <v>0</v>
      </c>
    </row>
    <row r="4" spans="1:1" outlineLevel="1" x14ac:dyDescent="0.45">
      <c r="A4" s="3" t="s">
        <v>2</v>
      </c>
    </row>
    <row r="5" spans="1:1" outlineLevel="1" x14ac:dyDescent="0.45">
      <c r="A5" s="2" t="s">
        <v>39</v>
      </c>
    </row>
    <row r="6" spans="1:1" outlineLevel="1" x14ac:dyDescent="0.45">
      <c r="A6" s="2" t="s">
        <v>40</v>
      </c>
    </row>
    <row r="7" spans="1:1" outlineLevel="1" x14ac:dyDescent="0.45">
      <c r="A7" s="2" t="s">
        <v>41</v>
      </c>
    </row>
    <row r="8" spans="1:1" outlineLevel="1" x14ac:dyDescent="0.45">
      <c r="A8" s="2" t="s">
        <v>42</v>
      </c>
    </row>
    <row r="9" spans="1:1" outlineLevel="1" x14ac:dyDescent="0.45">
      <c r="A9" s="2" t="s">
        <v>43</v>
      </c>
    </row>
    <row r="10" spans="1:1" outlineLevel="1" x14ac:dyDescent="0.45">
      <c r="A10" s="2" t="s">
        <v>44</v>
      </c>
    </row>
    <row r="11" spans="1:1" outlineLevel="1" x14ac:dyDescent="0.45">
      <c r="A11" s="2" t="s">
        <v>45</v>
      </c>
    </row>
    <row r="12" spans="1:1" outlineLevel="1" x14ac:dyDescent="0.45">
      <c r="A12" s="2" t="s">
        <v>46</v>
      </c>
    </row>
    <row r="13" spans="1:1" outlineLevel="1" x14ac:dyDescent="0.45">
      <c r="A13" s="2" t="s">
        <v>47</v>
      </c>
    </row>
    <row r="14" spans="1:1" outlineLevel="1" x14ac:dyDescent="0.45">
      <c r="A14" s="2" t="s">
        <v>48</v>
      </c>
    </row>
    <row r="15" spans="1:1" outlineLevel="1" x14ac:dyDescent="0.45">
      <c r="A15" s="2" t="s">
        <v>49</v>
      </c>
    </row>
    <row r="16" spans="1:1" outlineLevel="1" x14ac:dyDescent="0.45">
      <c r="A16" s="2" t="s">
        <v>50</v>
      </c>
    </row>
    <row r="17" spans="1:1" outlineLevel="1" x14ac:dyDescent="0.45">
      <c r="A17" s="2" t="s">
        <v>51</v>
      </c>
    </row>
    <row r="18" spans="1:1" outlineLevel="1" x14ac:dyDescent="0.45">
      <c r="A18" s="2" t="s">
        <v>52</v>
      </c>
    </row>
    <row r="19" spans="1:1" outlineLevel="1" x14ac:dyDescent="0.45">
      <c r="A19" s="2" t="s">
        <v>53</v>
      </c>
    </row>
    <row r="20" spans="1:1" outlineLevel="1" x14ac:dyDescent="0.45">
      <c r="A20" s="2" t="s">
        <v>54</v>
      </c>
    </row>
    <row r="21" spans="1:1" outlineLevel="1" x14ac:dyDescent="0.45">
      <c r="A21" s="2" t="s">
        <v>55</v>
      </c>
    </row>
    <row r="22" spans="1:1" outlineLevel="1" x14ac:dyDescent="0.45">
      <c r="A22" s="3" t="s">
        <v>3</v>
      </c>
    </row>
    <row r="23" spans="1:1" outlineLevel="1" x14ac:dyDescent="0.45">
      <c r="A23" s="2" t="s">
        <v>4</v>
      </c>
    </row>
    <row r="24" spans="1:1" outlineLevel="1" x14ac:dyDescent="0.45">
      <c r="A24" s="2" t="s">
        <v>56</v>
      </c>
    </row>
    <row r="25" spans="1:1" outlineLevel="1" x14ac:dyDescent="0.45">
      <c r="A25" s="2" t="s">
        <v>57</v>
      </c>
    </row>
    <row r="26" spans="1:1" outlineLevel="1" x14ac:dyDescent="0.45">
      <c r="A26" s="2" t="s">
        <v>58</v>
      </c>
    </row>
    <row r="27" spans="1:1" outlineLevel="1" x14ac:dyDescent="0.45">
      <c r="A27" s="2" t="s">
        <v>59</v>
      </c>
    </row>
    <row r="28" spans="1:1" outlineLevel="1" x14ac:dyDescent="0.45">
      <c r="A28" s="2" t="s">
        <v>60</v>
      </c>
    </row>
    <row r="29" spans="1:1" outlineLevel="1" x14ac:dyDescent="0.45">
      <c r="A29" s="2" t="s">
        <v>5</v>
      </c>
    </row>
    <row r="30" spans="1:1" outlineLevel="1" x14ac:dyDescent="0.45">
      <c r="A30" s="2" t="s">
        <v>6</v>
      </c>
    </row>
    <row r="31" spans="1:1" outlineLevel="1" x14ac:dyDescent="0.45">
      <c r="A31" s="2" t="s">
        <v>7</v>
      </c>
    </row>
    <row r="32" spans="1:1" outlineLevel="1" x14ac:dyDescent="0.45">
      <c r="A32" s="2" t="s">
        <v>61</v>
      </c>
    </row>
    <row r="33" spans="1:1" outlineLevel="1" x14ac:dyDescent="0.45">
      <c r="A33" s="2" t="s">
        <v>8</v>
      </c>
    </row>
    <row r="34" spans="1:1" outlineLevel="1" x14ac:dyDescent="0.45">
      <c r="A34" s="2" t="s">
        <v>62</v>
      </c>
    </row>
    <row r="35" spans="1:1" outlineLevel="1" x14ac:dyDescent="0.45">
      <c r="A35" s="2" t="s">
        <v>63</v>
      </c>
    </row>
    <row r="36" spans="1:1" outlineLevel="1" x14ac:dyDescent="0.45">
      <c r="A36" s="2" t="s">
        <v>64</v>
      </c>
    </row>
    <row r="37" spans="1:1" outlineLevel="1" x14ac:dyDescent="0.45">
      <c r="A37" s="2" t="s">
        <v>65</v>
      </c>
    </row>
    <row r="38" spans="1:1" outlineLevel="1" x14ac:dyDescent="0.45">
      <c r="A38" s="2" t="s">
        <v>66</v>
      </c>
    </row>
    <row r="39" spans="1:1" outlineLevel="1" x14ac:dyDescent="0.45">
      <c r="A39" s="2" t="s">
        <v>9</v>
      </c>
    </row>
    <row r="40" spans="1:1" outlineLevel="1" x14ac:dyDescent="0.45">
      <c r="A40" s="2" t="s">
        <v>67</v>
      </c>
    </row>
    <row r="41" spans="1:1" outlineLevel="1" x14ac:dyDescent="0.45">
      <c r="A41" s="2" t="s">
        <v>68</v>
      </c>
    </row>
    <row r="42" spans="1:1" outlineLevel="1" x14ac:dyDescent="0.45">
      <c r="A42" s="2" t="s">
        <v>69</v>
      </c>
    </row>
    <row r="43" spans="1:1" outlineLevel="1" x14ac:dyDescent="0.45">
      <c r="A43" s="2" t="s">
        <v>70</v>
      </c>
    </row>
    <row r="44" spans="1:1" outlineLevel="1" x14ac:dyDescent="0.45">
      <c r="A44" s="2" t="s">
        <v>71</v>
      </c>
    </row>
    <row r="45" spans="1:1" outlineLevel="1" x14ac:dyDescent="0.45">
      <c r="A45" s="2" t="s">
        <v>72</v>
      </c>
    </row>
    <row r="46" spans="1:1" outlineLevel="1" x14ac:dyDescent="0.45">
      <c r="A46" s="2" t="s">
        <v>73</v>
      </c>
    </row>
    <row r="47" spans="1:1" outlineLevel="1" x14ac:dyDescent="0.45">
      <c r="A47" s="2" t="s">
        <v>74</v>
      </c>
    </row>
    <row r="48" spans="1:1" outlineLevel="1" x14ac:dyDescent="0.45">
      <c r="A48" s="2" t="s">
        <v>75</v>
      </c>
    </row>
    <row r="49" spans="1:1" outlineLevel="1" x14ac:dyDescent="0.45">
      <c r="A49" s="2" t="s">
        <v>76</v>
      </c>
    </row>
    <row r="50" spans="1:1" outlineLevel="1" x14ac:dyDescent="0.45">
      <c r="A50" s="3" t="s">
        <v>10</v>
      </c>
    </row>
    <row r="51" spans="1:1" outlineLevel="1" x14ac:dyDescent="0.45">
      <c r="A51" s="2" t="s">
        <v>77</v>
      </c>
    </row>
    <row r="52" spans="1:1" outlineLevel="1" x14ac:dyDescent="0.45">
      <c r="A52" s="2" t="s">
        <v>78</v>
      </c>
    </row>
    <row r="53" spans="1:1" outlineLevel="1" x14ac:dyDescent="0.45">
      <c r="A53" s="3" t="s">
        <v>79</v>
      </c>
    </row>
    <row r="54" spans="1:1" outlineLevel="1" x14ac:dyDescent="0.45">
      <c r="A54" s="2" t="s">
        <v>11</v>
      </c>
    </row>
    <row r="55" spans="1:1" outlineLevel="1" x14ac:dyDescent="0.45">
      <c r="A55" s="2" t="s">
        <v>12</v>
      </c>
    </row>
    <row r="57" spans="1:1" x14ac:dyDescent="0.45">
      <c r="A57" s="1" t="s">
        <v>0</v>
      </c>
    </row>
    <row r="58" spans="1:1" x14ac:dyDescent="0.45">
      <c r="A58" s="1" t="s">
        <v>13</v>
      </c>
    </row>
    <row r="59" spans="1:1" x14ac:dyDescent="0.45">
      <c r="A59" s="1" t="s">
        <v>0</v>
      </c>
    </row>
    <row r="60" spans="1:1" outlineLevel="1" x14ac:dyDescent="0.45">
      <c r="A60" s="3" t="s">
        <v>2</v>
      </c>
    </row>
    <row r="61" spans="1:1" outlineLevel="1" x14ac:dyDescent="0.45">
      <c r="A61" s="2" t="s">
        <v>80</v>
      </c>
    </row>
    <row r="62" spans="1:1" outlineLevel="1" x14ac:dyDescent="0.45">
      <c r="A62" s="2" t="s">
        <v>81</v>
      </c>
    </row>
    <row r="63" spans="1:1" outlineLevel="1" x14ac:dyDescent="0.45">
      <c r="A63" s="2" t="s">
        <v>82</v>
      </c>
    </row>
    <row r="64" spans="1:1" outlineLevel="1" x14ac:dyDescent="0.45">
      <c r="A64" s="2" t="s">
        <v>83</v>
      </c>
    </row>
    <row r="65" spans="1:1" outlineLevel="1" x14ac:dyDescent="0.45">
      <c r="A65" s="2" t="s">
        <v>84</v>
      </c>
    </row>
    <row r="66" spans="1:1" outlineLevel="1" x14ac:dyDescent="0.45">
      <c r="A66" s="2" t="s">
        <v>85</v>
      </c>
    </row>
    <row r="67" spans="1:1" outlineLevel="1" x14ac:dyDescent="0.45">
      <c r="A67" s="2" t="s">
        <v>86</v>
      </c>
    </row>
    <row r="68" spans="1:1" outlineLevel="1" x14ac:dyDescent="0.45">
      <c r="A68" s="2" t="s">
        <v>87</v>
      </c>
    </row>
    <row r="69" spans="1:1" outlineLevel="1" x14ac:dyDescent="0.45">
      <c r="A69" s="2" t="s">
        <v>47</v>
      </c>
    </row>
    <row r="70" spans="1:1" outlineLevel="1" x14ac:dyDescent="0.45">
      <c r="A70" s="2" t="s">
        <v>88</v>
      </c>
    </row>
    <row r="71" spans="1:1" outlineLevel="1" x14ac:dyDescent="0.45">
      <c r="A71" s="2" t="s">
        <v>89</v>
      </c>
    </row>
    <row r="72" spans="1:1" outlineLevel="1" x14ac:dyDescent="0.45">
      <c r="A72" s="2" t="s">
        <v>90</v>
      </c>
    </row>
    <row r="73" spans="1:1" outlineLevel="1" x14ac:dyDescent="0.45">
      <c r="A73" s="2" t="s">
        <v>91</v>
      </c>
    </row>
    <row r="74" spans="1:1" outlineLevel="1" x14ac:dyDescent="0.45">
      <c r="A74" s="2" t="s">
        <v>92</v>
      </c>
    </row>
    <row r="75" spans="1:1" outlineLevel="1" x14ac:dyDescent="0.45">
      <c r="A75" s="2" t="s">
        <v>53</v>
      </c>
    </row>
    <row r="76" spans="1:1" outlineLevel="1" x14ac:dyDescent="0.45">
      <c r="A76" s="2" t="s">
        <v>93</v>
      </c>
    </row>
    <row r="77" spans="1:1" outlineLevel="1" x14ac:dyDescent="0.45">
      <c r="A77" s="2" t="s">
        <v>94</v>
      </c>
    </row>
    <row r="78" spans="1:1" outlineLevel="1" x14ac:dyDescent="0.45">
      <c r="A78" s="3" t="s">
        <v>3</v>
      </c>
    </row>
    <row r="79" spans="1:1" outlineLevel="1" x14ac:dyDescent="0.45">
      <c r="A79" s="2" t="s">
        <v>14</v>
      </c>
    </row>
    <row r="80" spans="1:1" outlineLevel="1" x14ac:dyDescent="0.45">
      <c r="A80" s="2" t="s">
        <v>95</v>
      </c>
    </row>
    <row r="81" spans="1:1" outlineLevel="1" x14ac:dyDescent="0.45">
      <c r="A81" s="2" t="s">
        <v>96</v>
      </c>
    </row>
    <row r="82" spans="1:1" outlineLevel="1" x14ac:dyDescent="0.45">
      <c r="A82" s="2" t="s">
        <v>97</v>
      </c>
    </row>
    <row r="83" spans="1:1" outlineLevel="1" x14ac:dyDescent="0.45">
      <c r="A83" s="2" t="s">
        <v>59</v>
      </c>
    </row>
    <row r="84" spans="1:1" outlineLevel="1" x14ac:dyDescent="0.45">
      <c r="A84" s="2" t="s">
        <v>60</v>
      </c>
    </row>
    <row r="85" spans="1:1" outlineLevel="1" x14ac:dyDescent="0.45">
      <c r="A85" s="2" t="s">
        <v>15</v>
      </c>
    </row>
    <row r="86" spans="1:1" outlineLevel="1" x14ac:dyDescent="0.45">
      <c r="A86" s="2" t="s">
        <v>16</v>
      </c>
    </row>
    <row r="87" spans="1:1" outlineLevel="1" x14ac:dyDescent="0.45">
      <c r="A87" s="2" t="s">
        <v>17</v>
      </c>
    </row>
    <row r="88" spans="1:1" outlineLevel="1" x14ac:dyDescent="0.45">
      <c r="A88" s="2" t="s">
        <v>61</v>
      </c>
    </row>
    <row r="89" spans="1:1" outlineLevel="1" x14ac:dyDescent="0.45">
      <c r="A89" s="2" t="s">
        <v>18</v>
      </c>
    </row>
    <row r="90" spans="1:1" outlineLevel="1" x14ac:dyDescent="0.45">
      <c r="A90" s="2" t="s">
        <v>98</v>
      </c>
    </row>
    <row r="91" spans="1:1" outlineLevel="1" x14ac:dyDescent="0.45">
      <c r="A91" s="2" t="s">
        <v>99</v>
      </c>
    </row>
    <row r="92" spans="1:1" outlineLevel="1" x14ac:dyDescent="0.45">
      <c r="A92" s="2" t="s">
        <v>100</v>
      </c>
    </row>
    <row r="93" spans="1:1" outlineLevel="1" x14ac:dyDescent="0.45">
      <c r="A93" s="2" t="s">
        <v>101</v>
      </c>
    </row>
    <row r="94" spans="1:1" outlineLevel="1" x14ac:dyDescent="0.45">
      <c r="A94" s="2" t="s">
        <v>102</v>
      </c>
    </row>
    <row r="95" spans="1:1" outlineLevel="1" x14ac:dyDescent="0.45">
      <c r="A95" s="2" t="s">
        <v>65</v>
      </c>
    </row>
    <row r="96" spans="1:1" outlineLevel="1" x14ac:dyDescent="0.45">
      <c r="A96" s="2" t="s">
        <v>103</v>
      </c>
    </row>
    <row r="97" spans="1:1" outlineLevel="1" x14ac:dyDescent="0.45">
      <c r="A97" s="2" t="s">
        <v>19</v>
      </c>
    </row>
    <row r="98" spans="1:1" outlineLevel="1" x14ac:dyDescent="0.45">
      <c r="A98" s="2" t="s">
        <v>104</v>
      </c>
    </row>
    <row r="99" spans="1:1" outlineLevel="1" x14ac:dyDescent="0.45">
      <c r="A99" s="2" t="s">
        <v>105</v>
      </c>
    </row>
    <row r="100" spans="1:1" outlineLevel="1" x14ac:dyDescent="0.45">
      <c r="A100" s="2" t="s">
        <v>106</v>
      </c>
    </row>
    <row r="101" spans="1:1" outlineLevel="1" x14ac:dyDescent="0.45">
      <c r="A101" s="2" t="s">
        <v>59</v>
      </c>
    </row>
    <row r="102" spans="1:1" outlineLevel="1" x14ac:dyDescent="0.45">
      <c r="A102" s="2" t="s">
        <v>60</v>
      </c>
    </row>
    <row r="103" spans="1:1" outlineLevel="1" x14ac:dyDescent="0.45">
      <c r="A103" s="2" t="s">
        <v>107</v>
      </c>
    </row>
    <row r="104" spans="1:1" outlineLevel="1" x14ac:dyDescent="0.45">
      <c r="A104" s="2" t="s">
        <v>108</v>
      </c>
    </row>
    <row r="105" spans="1:1" outlineLevel="1" x14ac:dyDescent="0.45">
      <c r="A105" s="2" t="s">
        <v>109</v>
      </c>
    </row>
    <row r="106" spans="1:1" outlineLevel="1" x14ac:dyDescent="0.45">
      <c r="A106" s="2" t="s">
        <v>61</v>
      </c>
    </row>
    <row r="107" spans="1:1" outlineLevel="1" x14ac:dyDescent="0.45">
      <c r="A107" s="2" t="s">
        <v>20</v>
      </c>
    </row>
    <row r="108" spans="1:1" outlineLevel="1" x14ac:dyDescent="0.45">
      <c r="A108" s="2" t="s">
        <v>110</v>
      </c>
    </row>
    <row r="109" spans="1:1" outlineLevel="1" x14ac:dyDescent="0.45">
      <c r="A109" s="2" t="s">
        <v>111</v>
      </c>
    </row>
    <row r="110" spans="1:1" outlineLevel="1" x14ac:dyDescent="0.45">
      <c r="A110" s="2" t="s">
        <v>65</v>
      </c>
    </row>
    <row r="111" spans="1:1" outlineLevel="1" x14ac:dyDescent="0.45">
      <c r="A111" s="2" t="s">
        <v>112</v>
      </c>
    </row>
    <row r="112" spans="1:1" outlineLevel="1" x14ac:dyDescent="0.45">
      <c r="A112" s="2" t="s">
        <v>21</v>
      </c>
    </row>
    <row r="113" spans="1:1" outlineLevel="1" x14ac:dyDescent="0.45">
      <c r="A113" s="2" t="s">
        <v>113</v>
      </c>
    </row>
    <row r="114" spans="1:1" outlineLevel="1" x14ac:dyDescent="0.45">
      <c r="A114" s="2" t="s">
        <v>114</v>
      </c>
    </row>
    <row r="115" spans="1:1" outlineLevel="1" x14ac:dyDescent="0.45">
      <c r="A115" s="2" t="s">
        <v>59</v>
      </c>
    </row>
    <row r="116" spans="1:1" outlineLevel="1" x14ac:dyDescent="0.45">
      <c r="A116" s="2" t="s">
        <v>60</v>
      </c>
    </row>
    <row r="117" spans="1:1" outlineLevel="1" x14ac:dyDescent="0.45">
      <c r="A117" s="2" t="s">
        <v>107</v>
      </c>
    </row>
    <row r="118" spans="1:1" outlineLevel="1" x14ac:dyDescent="0.45">
      <c r="A118" s="2" t="s">
        <v>108</v>
      </c>
    </row>
    <row r="119" spans="1:1" outlineLevel="1" x14ac:dyDescent="0.45">
      <c r="A119" s="2" t="s">
        <v>115</v>
      </c>
    </row>
    <row r="120" spans="1:1" outlineLevel="1" x14ac:dyDescent="0.45">
      <c r="A120" s="2" t="s">
        <v>116</v>
      </c>
    </row>
    <row r="121" spans="1:1" outlineLevel="1" x14ac:dyDescent="0.45">
      <c r="A121" s="2" t="s">
        <v>61</v>
      </c>
    </row>
    <row r="122" spans="1:1" outlineLevel="1" x14ac:dyDescent="0.45">
      <c r="A122" s="2" t="s">
        <v>20</v>
      </c>
    </row>
    <row r="123" spans="1:1" outlineLevel="1" x14ac:dyDescent="0.45">
      <c r="A123" s="2" t="s">
        <v>110</v>
      </c>
    </row>
    <row r="124" spans="1:1" outlineLevel="1" x14ac:dyDescent="0.45">
      <c r="A124" s="2" t="s">
        <v>111</v>
      </c>
    </row>
    <row r="125" spans="1:1" outlineLevel="1" x14ac:dyDescent="0.45">
      <c r="A125" s="2" t="s">
        <v>117</v>
      </c>
    </row>
    <row r="126" spans="1:1" outlineLevel="1" x14ac:dyDescent="0.45">
      <c r="A126" s="2" t="s">
        <v>118</v>
      </c>
    </row>
    <row r="127" spans="1:1" outlineLevel="1" x14ac:dyDescent="0.45">
      <c r="A127" s="2" t="s">
        <v>65</v>
      </c>
    </row>
    <row r="128" spans="1:1" outlineLevel="1" x14ac:dyDescent="0.45">
      <c r="A128" s="2" t="s">
        <v>22</v>
      </c>
    </row>
    <row r="129" spans="1:1" outlineLevel="1" x14ac:dyDescent="0.45">
      <c r="A129" s="2" t="s">
        <v>119</v>
      </c>
    </row>
    <row r="130" spans="1:1" outlineLevel="1" x14ac:dyDescent="0.45">
      <c r="A130" s="2" t="s">
        <v>23</v>
      </c>
    </row>
    <row r="131" spans="1:1" outlineLevel="1" x14ac:dyDescent="0.45">
      <c r="A131" s="2" t="s">
        <v>120</v>
      </c>
    </row>
    <row r="132" spans="1:1" outlineLevel="1" x14ac:dyDescent="0.45">
      <c r="A132" s="2" t="s">
        <v>121</v>
      </c>
    </row>
    <row r="133" spans="1:1" outlineLevel="1" x14ac:dyDescent="0.45">
      <c r="A133" s="2" t="s">
        <v>122</v>
      </c>
    </row>
    <row r="134" spans="1:1" outlineLevel="1" x14ac:dyDescent="0.45">
      <c r="A134" s="3" t="s">
        <v>10</v>
      </c>
    </row>
    <row r="135" spans="1:1" outlineLevel="1" x14ac:dyDescent="0.45">
      <c r="A135" s="2" t="s">
        <v>123</v>
      </c>
    </row>
    <row r="136" spans="1:1" outlineLevel="1" x14ac:dyDescent="0.45">
      <c r="A136" s="2" t="s">
        <v>124</v>
      </c>
    </row>
    <row r="137" spans="1:1" outlineLevel="1" x14ac:dyDescent="0.45">
      <c r="A137" s="2" t="s">
        <v>125</v>
      </c>
    </row>
    <row r="138" spans="1:1" outlineLevel="1" x14ac:dyDescent="0.45">
      <c r="A138" s="3" t="s">
        <v>79</v>
      </c>
    </row>
    <row r="139" spans="1:1" outlineLevel="1" x14ac:dyDescent="0.45">
      <c r="A139" s="2" t="s">
        <v>24</v>
      </c>
    </row>
    <row r="140" spans="1:1" outlineLevel="1" x14ac:dyDescent="0.45">
      <c r="A140" s="2" t="s">
        <v>25</v>
      </c>
    </row>
    <row r="142" spans="1:1" x14ac:dyDescent="0.45">
      <c r="A142" s="1" t="s">
        <v>0</v>
      </c>
    </row>
    <row r="143" spans="1:1" x14ac:dyDescent="0.45">
      <c r="A143" s="1" t="s">
        <v>26</v>
      </c>
    </row>
    <row r="144" spans="1:1" x14ac:dyDescent="0.45">
      <c r="A144" s="1" t="s">
        <v>0</v>
      </c>
    </row>
    <row r="145" spans="1:1" outlineLevel="1" x14ac:dyDescent="0.45">
      <c r="A145" s="3" t="s">
        <v>2</v>
      </c>
    </row>
    <row r="146" spans="1:1" outlineLevel="1" x14ac:dyDescent="0.45">
      <c r="A146" s="2" t="s">
        <v>126</v>
      </c>
    </row>
    <row r="147" spans="1:1" outlineLevel="1" x14ac:dyDescent="0.45">
      <c r="A147" s="2" t="s">
        <v>127</v>
      </c>
    </row>
    <row r="148" spans="1:1" outlineLevel="1" x14ac:dyDescent="0.45">
      <c r="A148" s="2" t="s">
        <v>128</v>
      </c>
    </row>
    <row r="149" spans="1:1" outlineLevel="1" x14ac:dyDescent="0.45">
      <c r="A149" s="2" t="s">
        <v>129</v>
      </c>
    </row>
    <row r="150" spans="1:1" outlineLevel="1" x14ac:dyDescent="0.45">
      <c r="A150" s="2" t="s">
        <v>130</v>
      </c>
    </row>
    <row r="151" spans="1:1" outlineLevel="1" x14ac:dyDescent="0.45">
      <c r="A151" s="2" t="s">
        <v>131</v>
      </c>
    </row>
    <row r="152" spans="1:1" outlineLevel="1" x14ac:dyDescent="0.45">
      <c r="A152" s="2" t="s">
        <v>132</v>
      </c>
    </row>
    <row r="153" spans="1:1" outlineLevel="1" x14ac:dyDescent="0.45">
      <c r="A153" s="2" t="s">
        <v>133</v>
      </c>
    </row>
    <row r="154" spans="1:1" outlineLevel="1" x14ac:dyDescent="0.45">
      <c r="A154" s="2" t="s">
        <v>47</v>
      </c>
    </row>
    <row r="155" spans="1:1" outlineLevel="1" x14ac:dyDescent="0.45">
      <c r="A155" s="2" t="s">
        <v>134</v>
      </c>
    </row>
    <row r="156" spans="1:1" outlineLevel="1" x14ac:dyDescent="0.45">
      <c r="A156" s="2" t="s">
        <v>135</v>
      </c>
    </row>
    <row r="157" spans="1:1" outlineLevel="1" x14ac:dyDescent="0.45">
      <c r="A157" s="2" t="s">
        <v>136</v>
      </c>
    </row>
    <row r="158" spans="1:1" outlineLevel="1" x14ac:dyDescent="0.45">
      <c r="A158" s="2" t="s">
        <v>137</v>
      </c>
    </row>
    <row r="159" spans="1:1" outlineLevel="1" x14ac:dyDescent="0.45">
      <c r="A159" s="2" t="s">
        <v>138</v>
      </c>
    </row>
    <row r="160" spans="1:1" outlineLevel="1" x14ac:dyDescent="0.45">
      <c r="A160" s="2" t="s">
        <v>139</v>
      </c>
    </row>
    <row r="161" spans="1:1" outlineLevel="1" x14ac:dyDescent="0.45">
      <c r="A161" s="2" t="s">
        <v>140</v>
      </c>
    </row>
    <row r="162" spans="1:1" outlineLevel="1" x14ac:dyDescent="0.45">
      <c r="A162" s="2" t="s">
        <v>141</v>
      </c>
    </row>
    <row r="163" spans="1:1" outlineLevel="1" x14ac:dyDescent="0.45">
      <c r="A163" s="2" t="s">
        <v>142</v>
      </c>
    </row>
    <row r="164" spans="1:1" outlineLevel="1" x14ac:dyDescent="0.45">
      <c r="A164" s="2" t="s">
        <v>143</v>
      </c>
    </row>
    <row r="165" spans="1:1" outlineLevel="1" x14ac:dyDescent="0.45">
      <c r="A165" s="2" t="s">
        <v>144</v>
      </c>
    </row>
    <row r="166" spans="1:1" outlineLevel="1" x14ac:dyDescent="0.45">
      <c r="A166" s="2" t="s">
        <v>92</v>
      </c>
    </row>
    <row r="167" spans="1:1" outlineLevel="1" x14ac:dyDescent="0.45">
      <c r="A167" s="2" t="s">
        <v>145</v>
      </c>
    </row>
    <row r="168" spans="1:1" outlineLevel="1" x14ac:dyDescent="0.45">
      <c r="A168" s="2" t="s">
        <v>146</v>
      </c>
    </row>
    <row r="169" spans="1:1" outlineLevel="1" x14ac:dyDescent="0.45">
      <c r="A169" s="2" t="s">
        <v>147</v>
      </c>
    </row>
    <row r="170" spans="1:1" outlineLevel="1" x14ac:dyDescent="0.45">
      <c r="A170" s="3" t="s">
        <v>3</v>
      </c>
    </row>
    <row r="171" spans="1:1" outlineLevel="1" x14ac:dyDescent="0.45">
      <c r="A171" s="2" t="s">
        <v>27</v>
      </c>
    </row>
    <row r="172" spans="1:1" outlineLevel="1" x14ac:dyDescent="0.45">
      <c r="A172" s="2" t="s">
        <v>148</v>
      </c>
    </row>
    <row r="173" spans="1:1" outlineLevel="1" x14ac:dyDescent="0.45">
      <c r="A173" s="2" t="s">
        <v>149</v>
      </c>
    </row>
    <row r="174" spans="1:1" outlineLevel="1" x14ac:dyDescent="0.45">
      <c r="A174" s="2" t="s">
        <v>59</v>
      </c>
    </row>
    <row r="175" spans="1:1" outlineLevel="1" x14ac:dyDescent="0.45">
      <c r="A175" s="2" t="s">
        <v>60</v>
      </c>
    </row>
    <row r="176" spans="1:1" outlineLevel="1" x14ac:dyDescent="0.45">
      <c r="A176" s="2" t="s">
        <v>28</v>
      </c>
    </row>
    <row r="177" spans="1:1" outlineLevel="1" x14ac:dyDescent="0.45">
      <c r="A177" s="2" t="s">
        <v>29</v>
      </c>
    </row>
    <row r="178" spans="1:1" outlineLevel="1" x14ac:dyDescent="0.45">
      <c r="A178" s="2" t="s">
        <v>61</v>
      </c>
    </row>
    <row r="179" spans="1:1" outlineLevel="1" x14ac:dyDescent="0.45">
      <c r="A179" s="2" t="s">
        <v>30</v>
      </c>
    </row>
    <row r="180" spans="1:1" outlineLevel="1" x14ac:dyDescent="0.45">
      <c r="A180" s="2" t="s">
        <v>150</v>
      </c>
    </row>
    <row r="181" spans="1:1" outlineLevel="1" x14ac:dyDescent="0.45">
      <c r="A181" s="2" t="s">
        <v>151</v>
      </c>
    </row>
    <row r="182" spans="1:1" outlineLevel="1" x14ac:dyDescent="0.45">
      <c r="A182" s="2" t="s">
        <v>152</v>
      </c>
    </row>
    <row r="183" spans="1:1" outlineLevel="1" x14ac:dyDescent="0.45">
      <c r="A183" s="2" t="s">
        <v>65</v>
      </c>
    </row>
    <row r="184" spans="1:1" outlineLevel="1" x14ac:dyDescent="0.45">
      <c r="A184" s="2" t="s">
        <v>31</v>
      </c>
    </row>
    <row r="185" spans="1:1" outlineLevel="1" x14ac:dyDescent="0.45">
      <c r="A185" s="2" t="s">
        <v>19</v>
      </c>
    </row>
    <row r="186" spans="1:1" outlineLevel="1" x14ac:dyDescent="0.45">
      <c r="A186" s="2" t="s">
        <v>153</v>
      </c>
    </row>
    <row r="187" spans="1:1" outlineLevel="1" x14ac:dyDescent="0.45">
      <c r="A187" s="2" t="s">
        <v>154</v>
      </c>
    </row>
    <row r="188" spans="1:1" outlineLevel="1" x14ac:dyDescent="0.45">
      <c r="A188" s="2" t="s">
        <v>59</v>
      </c>
    </row>
    <row r="189" spans="1:1" outlineLevel="1" x14ac:dyDescent="0.45">
      <c r="A189" s="2" t="s">
        <v>60</v>
      </c>
    </row>
    <row r="190" spans="1:1" outlineLevel="1" x14ac:dyDescent="0.45">
      <c r="A190" s="2" t="s">
        <v>32</v>
      </c>
    </row>
    <row r="191" spans="1:1" outlineLevel="1" x14ac:dyDescent="0.45">
      <c r="A191" s="2" t="s">
        <v>155</v>
      </c>
    </row>
    <row r="192" spans="1:1" outlineLevel="1" x14ac:dyDescent="0.45">
      <c r="A192" s="2" t="s">
        <v>61</v>
      </c>
    </row>
    <row r="193" spans="1:1" outlineLevel="1" x14ac:dyDescent="0.45">
      <c r="A193" s="2" t="s">
        <v>33</v>
      </c>
    </row>
    <row r="194" spans="1:1" outlineLevel="1" x14ac:dyDescent="0.45">
      <c r="A194" s="2" t="s">
        <v>156</v>
      </c>
    </row>
    <row r="195" spans="1:1" outlineLevel="1" x14ac:dyDescent="0.45">
      <c r="A195" s="2" t="s">
        <v>157</v>
      </c>
    </row>
    <row r="196" spans="1:1" outlineLevel="1" x14ac:dyDescent="0.45">
      <c r="A196" s="2" t="s">
        <v>158</v>
      </c>
    </row>
    <row r="197" spans="1:1" outlineLevel="1" x14ac:dyDescent="0.45">
      <c r="A197" s="2" t="s">
        <v>159</v>
      </c>
    </row>
    <row r="198" spans="1:1" outlineLevel="1" x14ac:dyDescent="0.45">
      <c r="A198" s="2" t="s">
        <v>21</v>
      </c>
    </row>
    <row r="199" spans="1:1" outlineLevel="1" x14ac:dyDescent="0.45">
      <c r="A199" s="2" t="s">
        <v>160</v>
      </c>
    </row>
    <row r="200" spans="1:1" outlineLevel="1" x14ac:dyDescent="0.45">
      <c r="A200" s="2" t="s">
        <v>59</v>
      </c>
    </row>
    <row r="201" spans="1:1" outlineLevel="1" x14ac:dyDescent="0.45">
      <c r="A201" s="2" t="s">
        <v>60</v>
      </c>
    </row>
    <row r="202" spans="1:1" outlineLevel="1" x14ac:dyDescent="0.45">
      <c r="A202" s="2" t="s">
        <v>34</v>
      </c>
    </row>
    <row r="203" spans="1:1" outlineLevel="1" x14ac:dyDescent="0.45">
      <c r="A203" s="2" t="s">
        <v>35</v>
      </c>
    </row>
    <row r="204" spans="1:1" outlineLevel="1" x14ac:dyDescent="0.45">
      <c r="A204" s="2" t="s">
        <v>155</v>
      </c>
    </row>
    <row r="205" spans="1:1" outlineLevel="1" x14ac:dyDescent="0.45">
      <c r="A205" s="2" t="s">
        <v>61</v>
      </c>
    </row>
    <row r="206" spans="1:1" outlineLevel="1" x14ac:dyDescent="0.45">
      <c r="A206" s="2" t="s">
        <v>36</v>
      </c>
    </row>
    <row r="207" spans="1:1" outlineLevel="1" x14ac:dyDescent="0.45">
      <c r="A207" s="2" t="s">
        <v>156</v>
      </c>
    </row>
    <row r="208" spans="1:1" outlineLevel="1" x14ac:dyDescent="0.45">
      <c r="A208" s="2" t="s">
        <v>161</v>
      </c>
    </row>
    <row r="209" spans="1:1" outlineLevel="1" x14ac:dyDescent="0.45">
      <c r="A209" s="2" t="s">
        <v>162</v>
      </c>
    </row>
    <row r="210" spans="1:1" outlineLevel="1" x14ac:dyDescent="0.45">
      <c r="A210" s="2" t="s">
        <v>159</v>
      </c>
    </row>
    <row r="211" spans="1:1" outlineLevel="1" x14ac:dyDescent="0.45">
      <c r="A211" s="2" t="s">
        <v>23</v>
      </c>
    </row>
    <row r="212" spans="1:1" outlineLevel="1" x14ac:dyDescent="0.45">
      <c r="A212" s="2" t="s">
        <v>163</v>
      </c>
    </row>
    <row r="213" spans="1:1" outlineLevel="1" x14ac:dyDescent="0.45">
      <c r="A213" s="2" t="s">
        <v>164</v>
      </c>
    </row>
    <row r="214" spans="1:1" outlineLevel="1" x14ac:dyDescent="0.45">
      <c r="A214" s="2" t="s">
        <v>165</v>
      </c>
    </row>
    <row r="215" spans="1:1" outlineLevel="1" x14ac:dyDescent="0.45">
      <c r="A215" s="2" t="s">
        <v>166</v>
      </c>
    </row>
    <row r="216" spans="1:1" outlineLevel="1" x14ac:dyDescent="0.45">
      <c r="A216" s="2" t="s">
        <v>167</v>
      </c>
    </row>
    <row r="217" spans="1:1" outlineLevel="1" x14ac:dyDescent="0.45">
      <c r="A217" s="2" t="s">
        <v>168</v>
      </c>
    </row>
    <row r="218" spans="1:1" outlineLevel="1" x14ac:dyDescent="0.45">
      <c r="A218" s="2" t="s">
        <v>169</v>
      </c>
    </row>
    <row r="219" spans="1:1" outlineLevel="1" x14ac:dyDescent="0.45">
      <c r="A219" s="3" t="s">
        <v>10</v>
      </c>
    </row>
    <row r="220" spans="1:1" outlineLevel="1" x14ac:dyDescent="0.45">
      <c r="A220" s="2" t="s">
        <v>170</v>
      </c>
    </row>
    <row r="221" spans="1:1" outlineLevel="1" x14ac:dyDescent="0.45">
      <c r="A221" s="2" t="s">
        <v>171</v>
      </c>
    </row>
    <row r="222" spans="1:1" outlineLevel="1" x14ac:dyDescent="0.45">
      <c r="A222" s="3" t="s">
        <v>79</v>
      </c>
    </row>
    <row r="223" spans="1:1" outlineLevel="1" x14ac:dyDescent="0.45">
      <c r="A223" s="2" t="s">
        <v>37</v>
      </c>
    </row>
    <row r="224" spans="1:1" outlineLevel="1" x14ac:dyDescent="0.45">
      <c r="A224" s="2" t="s">
        <v>38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7E9B8-4EE1-4780-9FDB-3503C00E4B54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Sheet作成</vt:lpstr>
      <vt:lpstr>TBL1</vt:lpstr>
      <vt:lpstr>TBL2</vt:lpstr>
      <vt:lpstr>TBL3</vt:lpstr>
      <vt:lpstr>SQL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2026-09-19T07:45:25Z</dcterms:modified>
</cp:coreProperties>
</file>