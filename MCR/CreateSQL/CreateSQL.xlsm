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meviu\Desktop\TOOL\MCR\CreateSQL\"/>
    </mc:Choice>
  </mc:AlternateContent>
  <xr:revisionPtr revIDLastSave="0" documentId="13_ncr:1_{ABC3FE4B-A634-4BD7-8449-EC26520E1387}" xr6:coauthVersionLast="47" xr6:coauthVersionMax="47" xr10:uidLastSave="{00000000-0000-0000-0000-000000000000}"/>
  <bookViews>
    <workbookView xWindow="-108" yWindow="-108" windowWidth="23256" windowHeight="12456" tabRatio="870" xr2:uid="{690C39F9-CCF7-4E5C-A0BD-B971E39EFC7D}"/>
  </bookViews>
  <sheets>
    <sheet name="I-CUSTOMERS" sheetId="30" r:id="rId1"/>
    <sheet name="D-CUSTOMERS" sheetId="29" r:id="rId2"/>
    <sheet name="I-ORDER_DETAILS" sheetId="28" r:id="rId3"/>
    <sheet name="D-ORDER_DETAILS" sheetId="27" r:id="rId4"/>
    <sheet name="Sheet作成" sheetId="10" r:id="rId5"/>
    <sheet name="TBL1" sheetId="11" r:id="rId6"/>
    <sheet name="TBL2" sheetId="12" r:id="rId7"/>
    <sheet name="TBL3" sheetId="13" r:id="rId8"/>
    <sheet name="SQL" sheetId="14" r:id="rId9"/>
    <sheet name="使い方" sheetId="15" r:id="rId10"/>
    <sheet name="Sheet1" sheetId="1" r:id="rId11"/>
  </sheets>
  <definedNames>
    <definedName name="_xlnm._FilterDatabase" localSheetId="5" hidden="1">'TBL1'!$A$1:$K$1</definedName>
    <definedName name="_xlnm._FilterDatabase" localSheetId="6" hidden="1">'TBL2'!$A$1:$K$1</definedName>
    <definedName name="_xlnm._FilterDatabase" localSheetId="7" hidden="1">'TBL3'!$A$1:$K$1</definedName>
    <definedName name="_xlpm.returnRng" hidden="1" xlm="1">#NAME?</definedName>
    <definedName name="_xlpm.s" hidden="1" xlm="1">#NAME?</definedName>
    <definedName name="_xlpm.se" hidden="1" xlm="1">#NAME?</definedName>
    <definedName name="_xlpm.sea" hidden="1" xlm="1">#NAME?</definedName>
    <definedName name="_xlpm.sear" hidden="1" xlm="1">#NAME?</definedName>
    <definedName name="_xlpm.searc" hidden="1" xlm="1">#NAME?</definedName>
    <definedName name="_xlpm.search" hidden="1" xlm="1">#NAME?</definedName>
    <definedName name="_xlpm.searchR" hidden="1" xlm="1">#NAME?</definedName>
    <definedName name="_xlpm.searchRn" hidden="1" xlm="1">#NAME?</definedName>
    <definedName name="_xlpm.searchRng" hidden="1" xlm="1">#NAME?</definedName>
    <definedName name="_xlpm.sheetNm" hidden="1" xlm="1">#NAME?</definedName>
    <definedName name="_xlpm.t" hidden="1" xlm="1">#NAME?</definedName>
    <definedName name="_xlpm.tb" hidden="1" xlm="1">#NAME?</definedName>
    <definedName name="_xlpm.tbINm" hidden="1" xlm="1">#NAME?</definedName>
    <definedName name="_xlpm.tbl" hidden="1" xlm="1">#NAME?</definedName>
    <definedName name="_xlpm.tblN" hidden="1" xlm="1">#NAME?</definedName>
    <definedName name="_xlpm.tblNm" hidden="1" xlm="1">#NAME?</definedName>
    <definedName name="_xlpm.XLOOKUPtblNm"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4" i="30" l="1"/>
  <c r="A15" i="30"/>
  <c r="A16" i="30"/>
  <c r="A17" i="30"/>
  <c r="A18" i="30"/>
  <c r="A19" i="30"/>
  <c r="A20" i="30"/>
  <c r="A21" i="30"/>
  <c r="A22" i="30"/>
  <c r="A23" i="30"/>
  <c r="A24" i="30"/>
  <c r="A25" i="30"/>
  <c r="A26" i="30"/>
  <c r="A27" i="30"/>
  <c r="A28" i="30"/>
  <c r="A29" i="30"/>
  <c r="A30" i="30"/>
  <c r="A31" i="30"/>
  <c r="A32" i="30"/>
  <c r="A33" i="30"/>
  <c r="A34" i="30"/>
  <c r="A35" i="30"/>
  <c r="A36" i="30"/>
  <c r="A37" i="30"/>
  <c r="A38" i="30"/>
  <c r="A39" i="30"/>
  <c r="A40" i="30"/>
  <c r="A41" i="30"/>
  <c r="A42" i="30"/>
  <c r="A43" i="30"/>
  <c r="A44" i="30"/>
  <c r="A45" i="30"/>
  <c r="A46" i="30"/>
  <c r="A47" i="30"/>
  <c r="A48" i="30"/>
  <c r="A49" i="30"/>
  <c r="A50" i="30"/>
  <c r="A51" i="30"/>
  <c r="A52" i="30"/>
  <c r="A53" i="30"/>
  <c r="A54" i="30"/>
  <c r="A55" i="30"/>
  <c r="A56" i="30"/>
  <c r="A57" i="30"/>
  <c r="A58" i="30"/>
  <c r="A59" i="30"/>
  <c r="A60" i="30"/>
  <c r="A61" i="30"/>
  <c r="A62" i="30"/>
  <c r="A63" i="30"/>
  <c r="A64" i="30"/>
  <c r="A65" i="30"/>
  <c r="A66" i="30"/>
  <c r="A67" i="30"/>
  <c r="A68" i="30"/>
  <c r="A69" i="30"/>
  <c r="A70" i="30"/>
  <c r="A71" i="30"/>
  <c r="A72" i="30"/>
  <c r="A73" i="30"/>
  <c r="A74" i="30"/>
  <c r="A75" i="30"/>
  <c r="A76" i="30"/>
  <c r="A77" i="30"/>
  <c r="A78" i="30"/>
  <c r="A79" i="30"/>
  <c r="A80" i="30"/>
  <c r="A81" i="30"/>
  <c r="A82" i="30"/>
  <c r="A83" i="30"/>
  <c r="A84" i="30"/>
  <c r="A85" i="30"/>
  <c r="A86" i="30"/>
  <c r="A87" i="30"/>
  <c r="A88" i="30"/>
  <c r="A89" i="30"/>
  <c r="A90" i="30"/>
  <c r="A91" i="30"/>
  <c r="A92" i="30"/>
  <c r="A93" i="30"/>
  <c r="A94" i="30"/>
  <c r="A95" i="30"/>
  <c r="A96" i="30"/>
  <c r="A97" i="30"/>
  <c r="A98" i="30"/>
  <c r="A99" i="30"/>
  <c r="A100" i="30"/>
  <c r="A101" i="30"/>
  <c r="A102" i="30"/>
  <c r="A103" i="30"/>
  <c r="A104" i="30"/>
  <c r="A105" i="30"/>
  <c r="A106" i="30"/>
  <c r="A107" i="30"/>
  <c r="A108" i="30"/>
  <c r="A109" i="30"/>
  <c r="A110" i="30"/>
  <c r="A111" i="30"/>
  <c r="A112" i="30"/>
  <c r="A113" i="30"/>
  <c r="A14" i="29"/>
  <c r="A15" i="29"/>
  <c r="A16" i="29"/>
  <c r="A17" i="29"/>
  <c r="A18" i="29"/>
  <c r="A19" i="29"/>
  <c r="A20" i="29"/>
  <c r="A21" i="29"/>
  <c r="A22" i="29"/>
  <c r="A23" i="29"/>
  <c r="A24" i="29"/>
  <c r="A25" i="29"/>
  <c r="A26" i="29"/>
  <c r="A27" i="29"/>
  <c r="A28" i="29"/>
  <c r="A29" i="29"/>
  <c r="A30" i="29"/>
  <c r="A31" i="29"/>
  <c r="A32" i="29"/>
  <c r="A33" i="29"/>
  <c r="A34" i="29"/>
  <c r="A35" i="29"/>
  <c r="A36" i="29"/>
  <c r="A37" i="29"/>
  <c r="A38" i="29"/>
  <c r="A39" i="29"/>
  <c r="A40" i="29"/>
  <c r="A41" i="29"/>
  <c r="A42" i="29"/>
  <c r="A43" i="29"/>
  <c r="A44" i="29"/>
  <c r="A45" i="29"/>
  <c r="A46" i="29"/>
  <c r="A47" i="29"/>
  <c r="A48" i="29"/>
  <c r="A49" i="29"/>
  <c r="A50" i="29"/>
  <c r="A51" i="29"/>
  <c r="A52" i="29"/>
  <c r="A53" i="29"/>
  <c r="A54" i="29"/>
  <c r="A55" i="29"/>
  <c r="A56" i="29"/>
  <c r="A57" i="29"/>
  <c r="A58" i="29"/>
  <c r="A59" i="29"/>
  <c r="A60" i="29"/>
  <c r="A61" i="29"/>
  <c r="A62" i="29"/>
  <c r="A63" i="29"/>
  <c r="A64" i="29"/>
  <c r="A65" i="29"/>
  <c r="A66" i="29"/>
  <c r="A67" i="29"/>
  <c r="A68" i="29"/>
  <c r="A69" i="29"/>
  <c r="A70" i="29"/>
  <c r="A71" i="29"/>
  <c r="A72" i="29"/>
  <c r="A73" i="29"/>
  <c r="A74" i="29"/>
  <c r="A75" i="29"/>
  <c r="A76" i="29"/>
  <c r="A77" i="29"/>
  <c r="A78" i="29"/>
  <c r="A79" i="29"/>
  <c r="A80" i="29"/>
  <c r="A81" i="29"/>
  <c r="A82" i="29"/>
  <c r="A83" i="29"/>
  <c r="A84" i="29"/>
  <c r="A85" i="29"/>
  <c r="A86" i="29"/>
  <c r="A87" i="29"/>
  <c r="A88" i="29"/>
  <c r="A89" i="29"/>
  <c r="A90" i="29"/>
  <c r="A91" i="29"/>
  <c r="A92" i="29"/>
  <c r="A93" i="29"/>
  <c r="A94" i="29"/>
  <c r="A95" i="29"/>
  <c r="A96" i="29"/>
  <c r="A97" i="29"/>
  <c r="A98" i="29"/>
  <c r="A99" i="29"/>
  <c r="A100" i="29"/>
  <c r="A101" i="29"/>
  <c r="A102" i="29"/>
  <c r="A103" i="29"/>
  <c r="A104" i="29"/>
  <c r="A105" i="29"/>
  <c r="A106" i="29"/>
  <c r="A107" i="29"/>
  <c r="A108" i="29"/>
  <c r="A109" i="29"/>
  <c r="A110" i="29"/>
  <c r="A111" i="29"/>
  <c r="A112" i="29"/>
  <c r="A113" i="29"/>
  <c r="A14" i="28"/>
  <c r="A15" i="28"/>
  <c r="A16" i="28"/>
  <c r="A17" i="28"/>
  <c r="A18" i="28"/>
  <c r="A19" i="28"/>
  <c r="A20" i="28"/>
  <c r="A21" i="28"/>
  <c r="A22" i="28"/>
  <c r="A23" i="28"/>
  <c r="A24" i="28"/>
  <c r="A25" i="28"/>
  <c r="A26" i="28"/>
  <c r="A27" i="28"/>
  <c r="A28" i="28"/>
  <c r="A29" i="28"/>
  <c r="A30" i="28"/>
  <c r="A31" i="28"/>
  <c r="A32" i="28"/>
  <c r="A33" i="28"/>
  <c r="A34" i="28"/>
  <c r="A35" i="28"/>
  <c r="A36" i="28"/>
  <c r="A37" i="28"/>
  <c r="A38" i="28"/>
  <c r="A39" i="28"/>
  <c r="A40" i="28"/>
  <c r="A41" i="28"/>
  <c r="A42" i="28"/>
  <c r="A43" i="28"/>
  <c r="A44" i="28"/>
  <c r="A45" i="28"/>
  <c r="A46" i="28"/>
  <c r="A47" i="28"/>
  <c r="A48" i="28"/>
  <c r="A49" i="28"/>
  <c r="A50" i="28"/>
  <c r="A51" i="28"/>
  <c r="A52" i="28"/>
  <c r="A53" i="28"/>
  <c r="A54" i="28"/>
  <c r="A55" i="28"/>
  <c r="A56" i="28"/>
  <c r="A57" i="28"/>
  <c r="A58" i="28"/>
  <c r="A59" i="28"/>
  <c r="A60" i="28"/>
  <c r="A61" i="28"/>
  <c r="A62" i="28"/>
  <c r="A63" i="28"/>
  <c r="A64" i="28"/>
  <c r="A65" i="28"/>
  <c r="A66" i="28"/>
  <c r="A67" i="28"/>
  <c r="A68" i="28"/>
  <c r="A69" i="28"/>
  <c r="A70" i="28"/>
  <c r="A71" i="28"/>
  <c r="A72" i="28"/>
  <c r="A73" i="28"/>
  <c r="A74" i="28"/>
  <c r="A75" i="28"/>
  <c r="A76" i="28"/>
  <c r="A77" i="28"/>
  <c r="A78" i="28"/>
  <c r="A79" i="28"/>
  <c r="A80" i="28"/>
  <c r="A81" i="28"/>
  <c r="A82" i="28"/>
  <c r="A83" i="28"/>
  <c r="A84" i="28"/>
  <c r="A85" i="28"/>
  <c r="A86" i="28"/>
  <c r="A87" i="28"/>
  <c r="A88" i="28"/>
  <c r="A89" i="28"/>
  <c r="A90" i="28"/>
  <c r="A91" i="28"/>
  <c r="A92" i="28"/>
  <c r="A93" i="28"/>
  <c r="A94" i="28"/>
  <c r="A95" i="28"/>
  <c r="A96" i="28"/>
  <c r="A97" i="28"/>
  <c r="A98" i="28"/>
  <c r="A99" i="28"/>
  <c r="A100" i="28"/>
  <c r="A101" i="28"/>
  <c r="A102" i="28"/>
  <c r="A103" i="28"/>
  <c r="A104" i="28"/>
  <c r="A105" i="28"/>
  <c r="A106" i="28"/>
  <c r="A107" i="28"/>
  <c r="A108" i="28"/>
  <c r="A109" i="28"/>
  <c r="A110" i="28"/>
  <c r="A111" i="28"/>
  <c r="A112" i="28"/>
  <c r="A113" i="28"/>
  <c r="A14" i="27"/>
  <c r="A15" i="27"/>
  <c r="A16" i="27"/>
  <c r="A17" i="27"/>
  <c r="A18" i="27"/>
  <c r="A19" i="27"/>
  <c r="A20" i="27"/>
  <c r="A21" i="27"/>
  <c r="A22" i="27"/>
  <c r="A23" i="27"/>
  <c r="A24" i="27"/>
  <c r="A25" i="27"/>
  <c r="A26" i="27"/>
  <c r="A27" i="27"/>
  <c r="A28" i="27"/>
  <c r="A29" i="27"/>
  <c r="A30" i="27"/>
  <c r="A31" i="27"/>
  <c r="A32" i="27"/>
  <c r="A33" i="27"/>
  <c r="A34" i="27"/>
  <c r="A35" i="27"/>
  <c r="A36" i="27"/>
  <c r="A37" i="27"/>
  <c r="A38" i="27"/>
  <c r="A39" i="27"/>
  <c r="A40" i="27"/>
  <c r="A41" i="27"/>
  <c r="A42" i="27"/>
  <c r="A43" i="27"/>
  <c r="A44" i="27"/>
  <c r="A45" i="27"/>
  <c r="A46" i="27"/>
  <c r="A47" i="27"/>
  <c r="A48" i="27"/>
  <c r="A49" i="27"/>
  <c r="A50" i="27"/>
  <c r="A51" i="27"/>
  <c r="A52" i="27"/>
  <c r="A53" i="27"/>
  <c r="A54" i="27"/>
  <c r="A55" i="27"/>
  <c r="A56" i="27"/>
  <c r="A57" i="27"/>
  <c r="A58" i="27"/>
  <c r="A59" i="27"/>
  <c r="A60" i="27"/>
  <c r="A61" i="27"/>
  <c r="A62" i="27"/>
  <c r="A63" i="27"/>
  <c r="A64" i="27"/>
  <c r="A65" i="27"/>
  <c r="A66" i="27"/>
  <c r="A67" i="27"/>
  <c r="A68" i="27"/>
  <c r="A69" i="27"/>
  <c r="A70" i="27"/>
  <c r="A71" i="27"/>
  <c r="A72" i="27"/>
  <c r="A73" i="27"/>
  <c r="A74" i="27"/>
  <c r="A75" i="27"/>
  <c r="A76" i="27"/>
  <c r="A77" i="27"/>
  <c r="A78" i="27"/>
  <c r="A79" i="27"/>
  <c r="A80" i="27"/>
  <c r="A81" i="27"/>
  <c r="A82" i="27"/>
  <c r="A83" i="27"/>
  <c r="A84" i="27"/>
  <c r="A85" i="27"/>
  <c r="A86" i="27"/>
  <c r="A87" i="27"/>
  <c r="A88" i="27"/>
  <c r="A89" i="27"/>
  <c r="A90" i="27"/>
  <c r="A91" i="27"/>
  <c r="A92" i="27"/>
  <c r="A93" i="27"/>
  <c r="A94" i="27"/>
  <c r="A95" i="27"/>
  <c r="A96" i="27"/>
  <c r="A97" i="27"/>
  <c r="A98" i="27"/>
  <c r="A99" i="27"/>
  <c r="A100" i="27"/>
  <c r="A101" i="27"/>
  <c r="A102" i="27"/>
  <c r="A103" i="27"/>
  <c r="A104" i="27"/>
  <c r="A105" i="27"/>
  <c r="A106" i="27"/>
  <c r="A107" i="27"/>
  <c r="A108" i="27"/>
  <c r="A109" i="27"/>
  <c r="A110" i="27"/>
  <c r="A111" i="27"/>
  <c r="A112" i="27"/>
  <c r="A113" i="27"/>
  <c r="H80" i="15"/>
  <c r="H71" i="15"/>
  <c r="H69" i="15"/>
  <c r="B32" i="10" a="1"/>
  <c r="B32" i="10" s="1"/>
  <c r="A32" i="10"/>
  <c r="B31" i="10" a="1"/>
  <c r="B31" i="10" s="1"/>
  <c r="A31" i="10"/>
  <c r="B30" i="10" a="1"/>
  <c r="B30" i="10" s="1"/>
  <c r="A30" i="10"/>
  <c r="B29" i="10" a="1"/>
  <c r="B29" i="10" s="1"/>
  <c r="A29" i="10"/>
  <c r="B28" i="10" a="1"/>
  <c r="B28" i="10" s="1"/>
  <c r="A28" i="10"/>
  <c r="B27" i="10" a="1"/>
  <c r="B27" i="10" s="1"/>
  <c r="A27" i="10"/>
  <c r="B26" i="10" a="1"/>
  <c r="B26" i="10" s="1"/>
  <c r="A26" i="10"/>
  <c r="B25" i="10" a="1"/>
  <c r="B25" i="10" s="1"/>
  <c r="A25" i="10"/>
  <c r="B24" i="10" a="1"/>
  <c r="B24" i="10" s="1"/>
  <c r="A24" i="10"/>
  <c r="B23" i="10" a="1"/>
  <c r="B23" i="10" s="1"/>
  <c r="A23" i="10"/>
  <c r="B22" i="10" a="1"/>
  <c r="B22" i="10" s="1"/>
  <c r="A22" i="10"/>
  <c r="B21" i="10" a="1"/>
  <c r="B21" i="10" s="1"/>
  <c r="A21" i="10"/>
  <c r="B20" i="10" a="1"/>
  <c r="B20" i="10" s="1"/>
  <c r="A20" i="10"/>
  <c r="B19" i="10" a="1"/>
  <c r="B19" i="10" s="1"/>
  <c r="A19" i="10"/>
  <c r="B18" i="10" a="1"/>
  <c r="B18" i="10" s="1"/>
  <c r="A18" i="10"/>
  <c r="B17" i="10" a="1"/>
  <c r="B17" i="10" s="1"/>
  <c r="A17" i="10"/>
  <c r="B16" i="10" a="1"/>
  <c r="B16" i="10" s="1"/>
  <c r="A16" i="10"/>
  <c r="B15" i="10" a="1"/>
  <c r="B15" i="10" s="1"/>
  <c r="A15" i="10"/>
  <c r="B14" i="10" a="1"/>
  <c r="B14" i="10" s="1"/>
  <c r="A14" i="10"/>
  <c r="B13" i="10" a="1"/>
  <c r="B13" i="10" s="1"/>
  <c r="A13" i="10"/>
  <c r="B12" i="10" a="1"/>
  <c r="B12" i="10" s="1"/>
  <c r="A12" i="10"/>
  <c r="B11" i="10" a="1"/>
  <c r="B11" i="10" s="1"/>
  <c r="A11" i="10"/>
  <c r="B10" i="10" a="1"/>
  <c r="B10" i="10" s="1"/>
  <c r="A10" i="10"/>
  <c r="B9" i="10" a="1"/>
  <c r="B9" i="10" s="1"/>
  <c r="A9" i="10"/>
  <c r="B8" i="10" a="1"/>
  <c r="B8" i="10" s="1"/>
  <c r="A8" i="10"/>
  <c r="B7" i="10" a="1"/>
  <c r="B7" i="10" s="1"/>
  <c r="A7" i="10"/>
  <c r="A6" i="10"/>
  <c r="A5" i="10"/>
  <c r="A4" i="10"/>
  <c r="A3" i="10"/>
  <c r="B5" i="10" a="1"/>
  <c r="B6" i="10" a="1"/>
  <c r="B4" i="10" a="1"/>
  <c r="B3" i="10" a="1"/>
  <c r="B3" i="10" l="1"/>
  <c r="B4" i="10"/>
  <c r="B5" i="10"/>
  <c r="B6"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AEEB9A05-6599-45EE-8CCB-46FCFD97A54A}">
      <text>
        <r>
          <rPr>
            <sz val="9"/>
            <color indexed="81"/>
            <rFont val="MS P ゴシック"/>
            <family val="3"/>
            <charset val="128"/>
          </rPr>
          <t>未入力の場合、Sheet名で作成</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350F8DAA-11C8-4288-B63C-42D2DA504266}">
      <text>
        <r>
          <rPr>
            <sz val="9"/>
            <color indexed="81"/>
            <rFont val="MS P ゴシック"/>
            <family val="3"/>
            <charset val="128"/>
          </rPr>
          <t>未入力の場合、Sheet名で作成</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DD4CE915-0FBA-4DAB-B0B4-8A07AB37F40D}">
      <text>
        <r>
          <rPr>
            <sz val="9"/>
            <color indexed="81"/>
            <rFont val="MS P ゴシック"/>
            <family val="3"/>
            <charset val="128"/>
          </rPr>
          <t>未入力の場合、Sheet名で作成</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26FEF899-990E-4D25-B1DD-37300AA74D48}">
      <text>
        <r>
          <rPr>
            <sz val="9"/>
            <color indexed="81"/>
            <rFont val="MS P ゴシック"/>
            <family val="3"/>
            <charset val="128"/>
          </rPr>
          <t>未入力の場合、Sheet名で作成</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<sst xmlns="http://schemas.openxmlformats.org/spreadsheetml/2006/main" count="1673" uniqueCount="789">
  <si>
    <t>作成_x000D_
FILE名</t>
  </si>
  <si>
    <t>No</t>
  </si>
  <si>
    <t>PK</t>
  </si>
  <si>
    <t>Y</t>
  </si>
  <si>
    <t>DB</t>
  </si>
  <si>
    <t>SQLServer</t>
  </si>
  <si>
    <t>論理名</t>
  </si>
  <si>
    <t>顧客ID</t>
  </si>
  <si>
    <t>顧客名</t>
  </si>
  <si>
    <t>メールアドレス</t>
  </si>
  <si>
    <t>電話番号</t>
  </si>
  <si>
    <t>住所</t>
  </si>
  <si>
    <t>登録日時</t>
  </si>
  <si>
    <t>更新日時</t>
  </si>
  <si>
    <t>SCHEMA</t>
  </si>
  <si>
    <t>dbo</t>
  </si>
  <si>
    <t>物理名</t>
  </si>
  <si>
    <t>customer_name</t>
  </si>
  <si>
    <t>email</t>
  </si>
  <si>
    <t>phone</t>
  </si>
  <si>
    <t>address</t>
  </si>
  <si>
    <t>created_at</t>
  </si>
  <si>
    <t>updated_at</t>
  </si>
  <si>
    <t>TBL論</t>
  </si>
  <si>
    <t>顧客</t>
  </si>
  <si>
    <t>型</t>
  </si>
  <si>
    <t>numeric</t>
  </si>
  <si>
    <t>nvarchar</t>
  </si>
  <si>
    <t>datetime2</t>
  </si>
  <si>
    <t>TBL物</t>
  </si>
  <si>
    <t>CUSTOMERS</t>
  </si>
  <si>
    <t>桁</t>
  </si>
  <si>
    <t>10,0</t>
  </si>
  <si>
    <t>-</t>
  </si>
  <si>
    <t>NULL不可</t>
  </si>
  <si>
    <t>初期値</t>
  </si>
  <si>
    <t>(sysdatetime())</t>
  </si>
  <si>
    <t>備考1</t>
  </si>
  <si>
    <t>備考2</t>
  </si>
  <si>
    <t>備考3</t>
  </si>
  <si>
    <t>備考4</t>
  </si>
  <si>
    <t>備考5</t>
  </si>
  <si>
    <t>customer_name00001</t>
  </si>
  <si>
    <t>email00001</t>
  </si>
  <si>
    <t>phone00001</t>
  </si>
  <si>
    <t>address00001</t>
  </si>
  <si>
    <t>CURRENT_TIMESTAMP</t>
  </si>
  <si>
    <t>AAAAAAAAAABBBBBBBBBBCCCCCCCCCCDDDDDDDDDDEEEEEEEEEEFFFFFFFFFFGGGGGGGGGGHHHHHHHHHHIIIIIIIIIIJJJJJJJJJJ</t>
  </si>
  <si>
    <t>AAAAAAAAAABBBBBBBBBBCCCCCCCCCCDDDDDDDDDDEEEEEEEEEEFFFFFFFFFFGGGGGGGGGGHHHHHHHHHHIIIIIIIIIIJJJJJJJJJJKKKKKKKKKKLLLLLLLLLLMMMMMMMMMMNNNNNNNNNNOOOOOOOOOOPPPPPPPPPPQQQQQQQQQQRRRRRRRRRRSSSSSSSSSSTTTTTTTTTTUUUUUUUUUUVVVVVVVVVVWWWWWWWWWWXXXXXXXXXXYYYYYYYYYYAAAAA</t>
  </si>
  <si>
    <t>AAAAAAAAAABBBBBBBBBB</t>
  </si>
  <si>
    <t>あああああいいいいいうううううえええええおおおおおかかかかかきききききくくくくくけけけけけこここここさささささしししししすすすすすせせせせせそそそそそたたたたたちちちちちつつつつつてててててとととととなななななにににににぬぬぬぬぬねねねねねのののののあああああいいいいいうううううえええええおおおおおかかかかかきききききくくくくくけけけけけこここここさささささしししししすすすすすせせせせせそそそそそたたたたたちちちちちつつつつつてててててとととととなななななにににににぬぬぬぬぬねねねねねのののののあああああ</t>
  </si>
  <si>
    <t>あああああいいいいいうううううえええええ</t>
  </si>
  <si>
    <t>NULL</t>
  </si>
  <si>
    <t>email00005</t>
  </si>
  <si>
    <t>phone00005</t>
  </si>
  <si>
    <t>address00005</t>
  </si>
  <si>
    <t>customer_name00006</t>
  </si>
  <si>
    <t>email00006</t>
  </si>
  <si>
    <t>phone00006</t>
  </si>
  <si>
    <t>address00006</t>
  </si>
  <si>
    <t>customer_name00007</t>
  </si>
  <si>
    <t>email00007</t>
  </si>
  <si>
    <t>phone00007</t>
  </si>
  <si>
    <t>address00007</t>
  </si>
  <si>
    <t>customer_name00008</t>
  </si>
  <si>
    <t>email00008</t>
  </si>
  <si>
    <t>phone00008</t>
  </si>
  <si>
    <t>address00008</t>
  </si>
  <si>
    <t>customer_name00009</t>
  </si>
  <si>
    <t>email00009</t>
  </si>
  <si>
    <t>phone00009</t>
  </si>
  <si>
    <t>address00009</t>
  </si>
  <si>
    <t>customer_name00010</t>
  </si>
  <si>
    <t>email00010</t>
  </si>
  <si>
    <t>phone00010</t>
  </si>
  <si>
    <t>address00010</t>
  </si>
  <si>
    <t>customer_name00011</t>
  </si>
  <si>
    <t>email00011</t>
  </si>
  <si>
    <t>phone00011</t>
  </si>
  <si>
    <t>address00011</t>
  </si>
  <si>
    <t>customer_name00012</t>
  </si>
  <si>
    <t>email00012</t>
  </si>
  <si>
    <t>phone00012</t>
  </si>
  <si>
    <t>address00012</t>
  </si>
  <si>
    <t>customer_name00013</t>
  </si>
  <si>
    <t>email00013</t>
  </si>
  <si>
    <t>phone00013</t>
  </si>
  <si>
    <t>address00013</t>
  </si>
  <si>
    <t>customer_name00014</t>
  </si>
  <si>
    <t>email00014</t>
  </si>
  <si>
    <t>phone00014</t>
  </si>
  <si>
    <t>address00014</t>
  </si>
  <si>
    <t>customer_name00015</t>
  </si>
  <si>
    <t>email00015</t>
  </si>
  <si>
    <t>phone00015</t>
  </si>
  <si>
    <t>address00015</t>
  </si>
  <si>
    <t>customer_name00016</t>
  </si>
  <si>
    <t>email00016</t>
  </si>
  <si>
    <t>phone00016</t>
  </si>
  <si>
    <t>address00016</t>
  </si>
  <si>
    <t>customer_name00017</t>
  </si>
  <si>
    <t>email00017</t>
  </si>
  <si>
    <t>phone00017</t>
  </si>
  <si>
    <t>address00017</t>
  </si>
  <si>
    <t>customer_name00018</t>
  </si>
  <si>
    <t>email00018</t>
  </si>
  <si>
    <t>phone00018</t>
  </si>
  <si>
    <t>address00018</t>
  </si>
  <si>
    <t>customer_name00019</t>
  </si>
  <si>
    <t>email00019</t>
  </si>
  <si>
    <t>phone00019</t>
  </si>
  <si>
    <t>address00019</t>
  </si>
  <si>
    <t>customer_name00020</t>
  </si>
  <si>
    <t>email00020</t>
  </si>
  <si>
    <t>phone00020</t>
  </si>
  <si>
    <t>address00020</t>
  </si>
  <si>
    <t>customer_name00021</t>
  </si>
  <si>
    <t>email00021</t>
  </si>
  <si>
    <t>phone00021</t>
  </si>
  <si>
    <t>address00021</t>
  </si>
  <si>
    <t>customer_name00022</t>
  </si>
  <si>
    <t>email00022</t>
  </si>
  <si>
    <t>phone00022</t>
  </si>
  <si>
    <t>address00022</t>
  </si>
  <si>
    <t>customer_name00023</t>
  </si>
  <si>
    <t>email00023</t>
  </si>
  <si>
    <t>phone00023</t>
  </si>
  <si>
    <t>address00023</t>
  </si>
  <si>
    <t>customer_name00024</t>
  </si>
  <si>
    <t>email00024</t>
  </si>
  <si>
    <t>phone00024</t>
  </si>
  <si>
    <t>address00024</t>
  </si>
  <si>
    <t>customer_name00025</t>
  </si>
  <si>
    <t>email00025</t>
  </si>
  <si>
    <t>phone00025</t>
  </si>
  <si>
    <t>address00025</t>
  </si>
  <si>
    <t>customer_name00026</t>
  </si>
  <si>
    <t>email00026</t>
  </si>
  <si>
    <t>phone00026</t>
  </si>
  <si>
    <t>address00026</t>
  </si>
  <si>
    <t>customer_name00027</t>
  </si>
  <si>
    <t>email00027</t>
  </si>
  <si>
    <t>phone00027</t>
  </si>
  <si>
    <t>address00027</t>
  </si>
  <si>
    <t>customer_name00028</t>
  </si>
  <si>
    <t>email00028</t>
  </si>
  <si>
    <t>phone00028</t>
  </si>
  <si>
    <t>address00028</t>
  </si>
  <si>
    <t>customer_name00029</t>
  </si>
  <si>
    <t>email00029</t>
  </si>
  <si>
    <t>phone00029</t>
  </si>
  <si>
    <t>address00029</t>
  </si>
  <si>
    <t>customer_name00030</t>
  </si>
  <si>
    <t>email00030</t>
  </si>
  <si>
    <t>phone00030</t>
  </si>
  <si>
    <t>address00030</t>
  </si>
  <si>
    <t>customer_name00031</t>
  </si>
  <si>
    <t>email00031</t>
  </si>
  <si>
    <t>phone00031</t>
  </si>
  <si>
    <t>address00031</t>
  </si>
  <si>
    <t>customer_name00032</t>
  </si>
  <si>
    <t>email00032</t>
  </si>
  <si>
    <t>phone00032</t>
  </si>
  <si>
    <t>address00032</t>
  </si>
  <si>
    <t>customer_name00033</t>
  </si>
  <si>
    <t>email00033</t>
  </si>
  <si>
    <t>phone00033</t>
  </si>
  <si>
    <t>address00033</t>
  </si>
  <si>
    <t>customer_name00034</t>
  </si>
  <si>
    <t>email00034</t>
  </si>
  <si>
    <t>phone00034</t>
  </si>
  <si>
    <t>address00034</t>
  </si>
  <si>
    <t>customer_name00035</t>
  </si>
  <si>
    <t>email00035</t>
  </si>
  <si>
    <t>phone00035</t>
  </si>
  <si>
    <t>address00035</t>
  </si>
  <si>
    <t>customer_name00036</t>
  </si>
  <si>
    <t>email00036</t>
  </si>
  <si>
    <t>phone00036</t>
  </si>
  <si>
    <t>address00036</t>
  </si>
  <si>
    <t>customer_name00037</t>
  </si>
  <si>
    <t>email00037</t>
  </si>
  <si>
    <t>phone00037</t>
  </si>
  <si>
    <t>address00037</t>
  </si>
  <si>
    <t>customer_name00038</t>
  </si>
  <si>
    <t>email00038</t>
  </si>
  <si>
    <t>phone00038</t>
  </si>
  <si>
    <t>address00038</t>
  </si>
  <si>
    <t>customer_name00039</t>
  </si>
  <si>
    <t>email00039</t>
  </si>
  <si>
    <t>phone00039</t>
  </si>
  <si>
    <t>address00039</t>
  </si>
  <si>
    <t>customer_name00040</t>
  </si>
  <si>
    <t>email00040</t>
  </si>
  <si>
    <t>phone00040</t>
  </si>
  <si>
    <t>address00040</t>
  </si>
  <si>
    <t>customer_name00041</t>
  </si>
  <si>
    <t>email00041</t>
  </si>
  <si>
    <t>phone00041</t>
  </si>
  <si>
    <t>address00041</t>
  </si>
  <si>
    <t>customer_name00042</t>
  </si>
  <si>
    <t>email00042</t>
  </si>
  <si>
    <t>phone00042</t>
  </si>
  <si>
    <t>address00042</t>
  </si>
  <si>
    <t>customer_name00043</t>
  </si>
  <si>
    <t>email00043</t>
  </si>
  <si>
    <t>phone00043</t>
  </si>
  <si>
    <t>address00043</t>
  </si>
  <si>
    <t>customer_name00044</t>
  </si>
  <si>
    <t>email00044</t>
  </si>
  <si>
    <t>phone00044</t>
  </si>
  <si>
    <t>address00044</t>
  </si>
  <si>
    <t>customer_name00045</t>
  </si>
  <si>
    <t>email00045</t>
  </si>
  <si>
    <t>phone00045</t>
  </si>
  <si>
    <t>address00045</t>
  </si>
  <si>
    <t>customer_name00046</t>
  </si>
  <si>
    <t>email00046</t>
  </si>
  <si>
    <t>phone00046</t>
  </si>
  <si>
    <t>address00046</t>
  </si>
  <si>
    <t>customer_name00047</t>
  </si>
  <si>
    <t>email00047</t>
  </si>
  <si>
    <t>phone00047</t>
  </si>
  <si>
    <t>address00047</t>
  </si>
  <si>
    <t>customer_name00048</t>
  </si>
  <si>
    <t>email00048</t>
  </si>
  <si>
    <t>phone00048</t>
  </si>
  <si>
    <t>address00048</t>
  </si>
  <si>
    <t>customer_name00049</t>
  </si>
  <si>
    <t>email00049</t>
  </si>
  <si>
    <t>phone00049</t>
  </si>
  <si>
    <t>address00049</t>
  </si>
  <si>
    <t>customer_name00050</t>
  </si>
  <si>
    <t>email00050</t>
  </si>
  <si>
    <t>phone00050</t>
  </si>
  <si>
    <t>address00050</t>
  </si>
  <si>
    <t>customer_name00051</t>
  </si>
  <si>
    <t>email00051</t>
  </si>
  <si>
    <t>phone00051</t>
  </si>
  <si>
    <t>address00051</t>
  </si>
  <si>
    <t>customer_name00052</t>
  </si>
  <si>
    <t>email00052</t>
  </si>
  <si>
    <t>phone00052</t>
  </si>
  <si>
    <t>address00052</t>
  </si>
  <si>
    <t>customer_name00053</t>
  </si>
  <si>
    <t>email00053</t>
  </si>
  <si>
    <t>phone00053</t>
  </si>
  <si>
    <t>address00053</t>
  </si>
  <si>
    <t>customer_name00054</t>
  </si>
  <si>
    <t>email00054</t>
  </si>
  <si>
    <t>phone00054</t>
  </si>
  <si>
    <t>address00054</t>
  </si>
  <si>
    <t>customer_name00055</t>
  </si>
  <si>
    <t>email00055</t>
  </si>
  <si>
    <t>phone00055</t>
  </si>
  <si>
    <t>address00055</t>
  </si>
  <si>
    <t>customer_name00056</t>
  </si>
  <si>
    <t>email00056</t>
  </si>
  <si>
    <t>phone00056</t>
  </si>
  <si>
    <t>address00056</t>
  </si>
  <si>
    <t>customer_name00057</t>
  </si>
  <si>
    <t>email00057</t>
  </si>
  <si>
    <t>phone00057</t>
  </si>
  <si>
    <t>address00057</t>
  </si>
  <si>
    <t>customer_name00058</t>
  </si>
  <si>
    <t>email00058</t>
  </si>
  <si>
    <t>phone00058</t>
  </si>
  <si>
    <t>address00058</t>
  </si>
  <si>
    <t>customer_name00059</t>
  </si>
  <si>
    <t>email00059</t>
  </si>
  <si>
    <t>phone00059</t>
  </si>
  <si>
    <t>address00059</t>
  </si>
  <si>
    <t>customer_name00060</t>
  </si>
  <si>
    <t>email00060</t>
  </si>
  <si>
    <t>phone00060</t>
  </si>
  <si>
    <t>address00060</t>
  </si>
  <si>
    <t>customer_name00061</t>
  </si>
  <si>
    <t>email00061</t>
  </si>
  <si>
    <t>phone00061</t>
  </si>
  <si>
    <t>address00061</t>
  </si>
  <si>
    <t>customer_name00062</t>
  </si>
  <si>
    <t>email00062</t>
  </si>
  <si>
    <t>phone00062</t>
  </si>
  <si>
    <t>address00062</t>
  </si>
  <si>
    <t>customer_name00063</t>
  </si>
  <si>
    <t>email00063</t>
  </si>
  <si>
    <t>phone00063</t>
  </si>
  <si>
    <t>address00063</t>
  </si>
  <si>
    <t>customer_name00064</t>
  </si>
  <si>
    <t>email00064</t>
  </si>
  <si>
    <t>phone00064</t>
  </si>
  <si>
    <t>address00064</t>
  </si>
  <si>
    <t>customer_name00065</t>
  </si>
  <si>
    <t>email00065</t>
  </si>
  <si>
    <t>phone00065</t>
  </si>
  <si>
    <t>address00065</t>
  </si>
  <si>
    <t>customer_name00066</t>
  </si>
  <si>
    <t>email00066</t>
  </si>
  <si>
    <t>phone00066</t>
  </si>
  <si>
    <t>address00066</t>
  </si>
  <si>
    <t>customer_name00067</t>
  </si>
  <si>
    <t>email00067</t>
  </si>
  <si>
    <t>phone00067</t>
  </si>
  <si>
    <t>address00067</t>
  </si>
  <si>
    <t>customer_name00068</t>
  </si>
  <si>
    <t>email00068</t>
  </si>
  <si>
    <t>phone00068</t>
  </si>
  <si>
    <t>address00068</t>
  </si>
  <si>
    <t>customer_name00069</t>
  </si>
  <si>
    <t>email00069</t>
  </si>
  <si>
    <t>phone00069</t>
  </si>
  <si>
    <t>address00069</t>
  </si>
  <si>
    <t>customer_name00070</t>
  </si>
  <si>
    <t>email00070</t>
  </si>
  <si>
    <t>phone00070</t>
  </si>
  <si>
    <t>address00070</t>
  </si>
  <si>
    <t>customer_name00071</t>
  </si>
  <si>
    <t>email00071</t>
  </si>
  <si>
    <t>phone00071</t>
  </si>
  <si>
    <t>address00071</t>
  </si>
  <si>
    <t>customer_name00072</t>
  </si>
  <si>
    <t>email00072</t>
  </si>
  <si>
    <t>phone00072</t>
  </si>
  <si>
    <t>address00072</t>
  </si>
  <si>
    <t>customer_name00073</t>
  </si>
  <si>
    <t>email00073</t>
  </si>
  <si>
    <t>phone00073</t>
  </si>
  <si>
    <t>address00073</t>
  </si>
  <si>
    <t>customer_name00074</t>
  </si>
  <si>
    <t>email00074</t>
  </si>
  <si>
    <t>phone00074</t>
  </si>
  <si>
    <t>address00074</t>
  </si>
  <si>
    <t>customer_name00075</t>
  </si>
  <si>
    <t>email00075</t>
  </si>
  <si>
    <t>phone00075</t>
  </si>
  <si>
    <t>address00075</t>
  </si>
  <si>
    <t>customer_name00076</t>
  </si>
  <si>
    <t>email00076</t>
  </si>
  <si>
    <t>phone00076</t>
  </si>
  <si>
    <t>address00076</t>
  </si>
  <si>
    <t>customer_name00077</t>
  </si>
  <si>
    <t>email00077</t>
  </si>
  <si>
    <t>phone00077</t>
  </si>
  <si>
    <t>address00077</t>
  </si>
  <si>
    <t>customer_name00078</t>
  </si>
  <si>
    <t>email00078</t>
  </si>
  <si>
    <t>phone00078</t>
  </si>
  <si>
    <t>address00078</t>
  </si>
  <si>
    <t>customer_name00079</t>
  </si>
  <si>
    <t>email00079</t>
  </si>
  <si>
    <t>phone00079</t>
  </si>
  <si>
    <t>address00079</t>
  </si>
  <si>
    <t>customer_name00080</t>
  </si>
  <si>
    <t>email00080</t>
  </si>
  <si>
    <t>phone00080</t>
  </si>
  <si>
    <t>address00080</t>
  </si>
  <si>
    <t>customer_name00081</t>
  </si>
  <si>
    <t>email00081</t>
  </si>
  <si>
    <t>phone00081</t>
  </si>
  <si>
    <t>address00081</t>
  </si>
  <si>
    <t>customer_name00082</t>
  </si>
  <si>
    <t>email00082</t>
  </si>
  <si>
    <t>phone00082</t>
  </si>
  <si>
    <t>address00082</t>
  </si>
  <si>
    <t>customer_name00083</t>
  </si>
  <si>
    <t>email00083</t>
  </si>
  <si>
    <t>phone00083</t>
  </si>
  <si>
    <t>address00083</t>
  </si>
  <si>
    <t>customer_name00084</t>
  </si>
  <si>
    <t>email00084</t>
  </si>
  <si>
    <t>phone00084</t>
  </si>
  <si>
    <t>address00084</t>
  </si>
  <si>
    <t>customer_name00085</t>
  </si>
  <si>
    <t>email00085</t>
  </si>
  <si>
    <t>phone00085</t>
  </si>
  <si>
    <t>address00085</t>
  </si>
  <si>
    <t>customer_name00086</t>
  </si>
  <si>
    <t>email00086</t>
  </si>
  <si>
    <t>phone00086</t>
  </si>
  <si>
    <t>address00086</t>
  </si>
  <si>
    <t>customer_name00087</t>
  </si>
  <si>
    <t>email00087</t>
  </si>
  <si>
    <t>phone00087</t>
  </si>
  <si>
    <t>address00087</t>
  </si>
  <si>
    <t>customer_name00088</t>
  </si>
  <si>
    <t>email00088</t>
  </si>
  <si>
    <t>phone00088</t>
  </si>
  <si>
    <t>address00088</t>
  </si>
  <si>
    <t>customer_name00089</t>
  </si>
  <si>
    <t>email00089</t>
  </si>
  <si>
    <t>phone00089</t>
  </si>
  <si>
    <t>address00089</t>
  </si>
  <si>
    <t>customer_name00090</t>
  </si>
  <si>
    <t>email00090</t>
  </si>
  <si>
    <t>phone00090</t>
  </si>
  <si>
    <t>address00090</t>
  </si>
  <si>
    <t>customer_name00091</t>
  </si>
  <si>
    <t>email00091</t>
  </si>
  <si>
    <t>phone00091</t>
  </si>
  <si>
    <t>address00091</t>
  </si>
  <si>
    <t>customer_name00092</t>
  </si>
  <si>
    <t>email00092</t>
  </si>
  <si>
    <t>phone00092</t>
  </si>
  <si>
    <t>address00092</t>
  </si>
  <si>
    <t>customer_name00093</t>
  </si>
  <si>
    <t>email00093</t>
  </si>
  <si>
    <t>phone00093</t>
  </si>
  <si>
    <t>address00093</t>
  </si>
  <si>
    <t>customer_name00094</t>
  </si>
  <si>
    <t>email00094</t>
  </si>
  <si>
    <t>phone00094</t>
  </si>
  <si>
    <t>address00094</t>
  </si>
  <si>
    <t>customer_name00095</t>
  </si>
  <si>
    <t>email00095</t>
  </si>
  <si>
    <t>phone00095</t>
  </si>
  <si>
    <t>address00095</t>
  </si>
  <si>
    <t>customer_name00096</t>
  </si>
  <si>
    <t>email00096</t>
  </si>
  <si>
    <t>phone00096</t>
  </si>
  <si>
    <t>address00096</t>
  </si>
  <si>
    <t>customer_name00097</t>
  </si>
  <si>
    <t>email00097</t>
  </si>
  <si>
    <t>phone00097</t>
  </si>
  <si>
    <t>address00097</t>
  </si>
  <si>
    <t>customer_name00098</t>
  </si>
  <si>
    <t>email00098</t>
  </si>
  <si>
    <t>phone00098</t>
  </si>
  <si>
    <t>address00098</t>
  </si>
  <si>
    <t>customer_name00099</t>
  </si>
  <si>
    <t>email00099</t>
  </si>
  <si>
    <t>phone00099</t>
  </si>
  <si>
    <t>address00099</t>
  </si>
  <si>
    <t>customer_name00100</t>
  </si>
  <si>
    <t>email00100</t>
  </si>
  <si>
    <t>phone00100</t>
  </si>
  <si>
    <t>address00100</t>
  </si>
  <si>
    <t>customer_id</t>
  </si>
  <si>
    <t>受注明細ID</t>
  </si>
  <si>
    <t>受注ID</t>
  </si>
  <si>
    <t>商品ID</t>
  </si>
  <si>
    <t>数量</t>
  </si>
  <si>
    <t>受注時点の単価</t>
  </si>
  <si>
    <t>order_detail_id</t>
  </si>
  <si>
    <t>order_id</t>
  </si>
  <si>
    <t>product_id</t>
  </si>
  <si>
    <t>quantity</t>
  </si>
  <si>
    <t>unit_price</t>
  </si>
  <si>
    <t>受注明細</t>
  </si>
  <si>
    <t>ORDER_DETAILS</t>
  </si>
  <si>
    <t>10,2</t>
  </si>
  <si>
    <t>受注日</t>
  </si>
  <si>
    <t>ステータス</t>
  </si>
  <si>
    <t>order_date</t>
  </si>
  <si>
    <t>status</t>
  </si>
  <si>
    <t>受注</t>
  </si>
  <si>
    <t>date</t>
  </si>
  <si>
    <t>ORDERS</t>
  </si>
  <si>
    <t>(CONVERT([date],sysdatetime()))</t>
  </si>
  <si>
    <t>商品名</t>
  </si>
  <si>
    <t>単価</t>
  </si>
  <si>
    <t>在庫数</t>
  </si>
  <si>
    <t>product_name</t>
  </si>
  <si>
    <t>stock_quantity</t>
  </si>
  <si>
    <t>商品</t>
  </si>
  <si>
    <t>PRODUCTS</t>
  </si>
  <si>
    <t>8,0</t>
  </si>
  <si>
    <t>((0))</t>
  </si>
  <si>
    <t>あああああいいいいいうううううえええええおおおおおかかかかかきききききくくくくくけけけけけこここここさささささしししししすすすすすせせせせせそそそそそたたたたたちちちちちつつつつつてててててととととと</t>
  </si>
  <si>
    <t>TBL論理名</t>
  </si>
  <si>
    <t>TBL物理名</t>
  </si>
  <si>
    <t>参照Sheet名</t>
  </si>
  <si>
    <t>Schema名(任意)</t>
  </si>
  <si>
    <t>作成Sheet名(任意)</t>
  </si>
  <si>
    <t>TBL3</t>
    <phoneticPr fontId="2"/>
  </si>
  <si>
    <t>dbo</t>
    <phoneticPr fontId="2"/>
  </si>
  <si>
    <t>TBL-No</t>
  </si>
  <si>
    <t>TBL(論理)</t>
  </si>
  <si>
    <t>TBL(物理)</t>
  </si>
  <si>
    <t>COL-No</t>
  </si>
  <si>
    <t>COL(論理)</t>
  </si>
  <si>
    <t>COL(物理)</t>
  </si>
  <si>
    <t>1</t>
  </si>
  <si>
    <t>CUSTOMER_ID</t>
    <phoneticPr fontId="2"/>
  </si>
  <si>
    <t>NUMBER</t>
  </si>
  <si>
    <t>« NULL »</t>
  </si>
  <si>
    <t>2</t>
  </si>
  <si>
    <t>N</t>
  </si>
  <si>
    <t>CUSTOMER_NAME</t>
  </si>
  <si>
    <t>VARCHAR2</t>
  </si>
  <si>
    <t>100</t>
  </si>
  <si>
    <t>3</t>
  </si>
  <si>
    <t>EMAIL</t>
  </si>
  <si>
    <t>255</t>
  </si>
  <si>
    <t>4</t>
  </si>
  <si>
    <t>PHONE</t>
  </si>
  <si>
    <t>20</t>
  </si>
  <si>
    <t>5</t>
  </si>
  <si>
    <t>ADDRESS</t>
  </si>
  <si>
    <t>6</t>
  </si>
  <si>
    <t>CREATED_AT</t>
  </si>
  <si>
    <t>TIMESTAMP(6)</t>
  </si>
  <si>
    <t xml:space="preserve"> </t>
  </si>
  <si>
    <t xml:space="preserve">SYSTIMESTAMP </t>
  </si>
  <si>
    <t>7</t>
  </si>
  <si>
    <t>UPDATED_AT</t>
  </si>
  <si>
    <t>ORDER_DETAIL_ID</t>
  </si>
  <si>
    <t>ORDER_ID</t>
  </si>
  <si>
    <t>PRODUCT_ID</t>
  </si>
  <si>
    <t>QUANTITY</t>
  </si>
  <si>
    <t>UNIT_PRICE</t>
  </si>
  <si>
    <t>CUSTOMER_ID</t>
  </si>
  <si>
    <t>ORDER_DATE</t>
  </si>
  <si>
    <t>DATE</t>
  </si>
  <si>
    <t xml:space="preserve">SYSDATE </t>
  </si>
  <si>
    <t>STATUS</t>
  </si>
  <si>
    <t>PRODUCT_NAME</t>
  </si>
  <si>
    <t>STOCK_QUANTITY</t>
  </si>
  <si>
    <t xml:space="preserve">0 </t>
  </si>
  <si>
    <t>customers</t>
  </si>
  <si>
    <t>character varying</t>
  </si>
  <si>
    <t>timestamp without time zone</t>
  </si>
  <si>
    <t>now()</t>
  </si>
  <si>
    <t>order_details</t>
  </si>
  <si>
    <t>orders</t>
  </si>
  <si>
    <t>CURRENT_DATE</t>
  </si>
  <si>
    <t>products</t>
  </si>
  <si>
    <t>0</t>
  </si>
  <si>
    <t>-- ■■■■■■■■■■■■■■■■■■■■■■■■■■■■■■</t>
  </si>
  <si>
    <t>--   テーブル情報 取得(Oracle)</t>
  </si>
  <si>
    <t>SELECT</t>
  </si>
  <si>
    <r>
      <t xml:space="preserve">    </t>
    </r>
    <r>
      <rPr>
        <sz val="11"/>
        <color rgb="FF0080FF"/>
        <rFont val="HGｺﾞｼｯｸM"/>
        <family val="3"/>
        <charset val="128"/>
      </rPr>
      <t>DENSE_RANK</t>
    </r>
    <r>
      <rPr>
        <sz val="11"/>
        <color theme="1"/>
        <rFont val="HGｺﾞｼｯｸM"/>
        <family val="3"/>
        <charset val="128"/>
      </rPr>
      <t xml:space="preserve">() </t>
    </r>
    <r>
      <rPr>
        <sz val="11"/>
        <color rgb="FF0080FF"/>
        <rFont val="HGｺﾞｼｯｸM"/>
        <family val="3"/>
        <charset val="128"/>
      </rPr>
      <t>OVER</t>
    </r>
    <r>
      <rPr>
        <sz val="11"/>
        <color theme="1"/>
        <rFont val="HGｺﾞｼｯｸM"/>
        <family val="3"/>
        <charset val="128"/>
      </rPr>
      <t xml:space="preserve"> (</t>
    </r>
    <r>
      <rPr>
        <sz val="11"/>
        <color rgb="FF0080FF"/>
        <rFont val="HGｺﾞｼｯｸM"/>
        <family val="3"/>
        <charset val="128"/>
      </rPr>
      <t>ORDER</t>
    </r>
    <r>
      <rPr>
        <sz val="11"/>
        <color theme="1"/>
        <rFont val="HGｺﾞｼｯｸM"/>
        <family val="3"/>
        <charset val="128"/>
      </rPr>
      <t xml:space="preserve"> </t>
    </r>
    <r>
      <rPr>
        <sz val="11"/>
        <color rgb="FF0080FF"/>
        <rFont val="HGｺﾞｼｯｸM"/>
        <family val="3"/>
        <charset val="128"/>
      </rPr>
      <t>BY</t>
    </r>
    <r>
      <rPr>
        <sz val="11"/>
        <color theme="1"/>
        <rFont val="HGｺﾞｼｯｸM"/>
        <family val="3"/>
        <charset val="128"/>
      </rPr>
      <t xml:space="preserve"> TBL.TABLE_NAME) </t>
    </r>
    <r>
      <rPr>
        <sz val="11"/>
        <color rgb="FF0080FF"/>
        <rFont val="HGｺﾞｼｯｸM"/>
        <family val="3"/>
        <charset val="128"/>
      </rPr>
      <t>AS</t>
    </r>
    <r>
      <rPr>
        <sz val="11"/>
        <color theme="1"/>
        <rFont val="HGｺﾞｼｯｸM"/>
        <family val="3"/>
        <charset val="128"/>
      </rPr>
      <t xml:space="preserve"> "TBL-No"</t>
    </r>
  </si>
  <si>
    <r>
      <t xml:space="preserve">    , </t>
    </r>
    <r>
      <rPr>
        <sz val="11"/>
        <color rgb="FF0080FF"/>
        <rFont val="HGｺﾞｼｯｸM"/>
        <family val="3"/>
        <charset val="128"/>
      </rPr>
      <t>NVL</t>
    </r>
    <r>
      <rPr>
        <sz val="11"/>
        <color theme="1"/>
        <rFont val="HGｺﾞｼｯｸM"/>
        <family val="3"/>
        <charset val="128"/>
      </rPr>
      <t xml:space="preserve">(TBL_ALIAS.COMMENTS,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"TBL(論理)"</t>
    </r>
  </si>
  <si>
    <r>
      <t xml:space="preserve">    , </t>
    </r>
    <r>
      <rPr>
        <sz val="11"/>
        <color rgb="FF0080FF"/>
        <rFont val="HGｺﾞｼｯｸM"/>
        <family val="3"/>
        <charset val="128"/>
      </rPr>
      <t>NVL</t>
    </r>
    <r>
      <rPr>
        <sz val="11"/>
        <color theme="1"/>
        <rFont val="HGｺﾞｼｯｸM"/>
        <family val="3"/>
        <charset val="128"/>
      </rPr>
      <t xml:space="preserve">(TBL.TABLE_NAME,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"TBL(物理)"</t>
    </r>
  </si>
  <si>
    <r>
      <t xml:space="preserve">    ,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(COL.COLUMN_ID),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"COL-No"</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</si>
  <si>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PK.COLUMN_NAME </t>
    </r>
    <r>
      <rPr>
        <sz val="11"/>
        <color rgb="FF0080FF"/>
        <rFont val="HGｺﾞｼｯｸM"/>
        <family val="3"/>
        <charset val="128"/>
      </rPr>
      <t>IS</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t>
    </r>
    <r>
      <rPr>
        <sz val="11"/>
        <color rgb="FF0080FF"/>
        <rFont val="HGｺﾞｼｯｸM"/>
        <family val="3"/>
        <charset val="128"/>
      </rPr>
      <t>NULL</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"PK"</t>
    </r>
  </si>
  <si>
    <r>
      <t xml:space="preserve">    , </t>
    </r>
    <r>
      <rPr>
        <sz val="11"/>
        <color rgb="FF0080FF"/>
        <rFont val="HGｺﾞｼｯｸM"/>
        <family val="3"/>
        <charset val="128"/>
      </rPr>
      <t>NVL</t>
    </r>
    <r>
      <rPr>
        <sz val="11"/>
        <color theme="1"/>
        <rFont val="HGｺﾞｼｯｸM"/>
        <family val="3"/>
        <charset val="128"/>
      </rPr>
      <t xml:space="preserve">(COL_ALIAS.COMMENTS,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"COL(論理)"</t>
    </r>
  </si>
  <si>
    <r>
      <t xml:space="preserve">    , </t>
    </r>
    <r>
      <rPr>
        <sz val="11"/>
        <color rgb="FF0080FF"/>
        <rFont val="HGｺﾞｼｯｸM"/>
        <family val="3"/>
        <charset val="128"/>
      </rPr>
      <t>NVL</t>
    </r>
    <r>
      <rPr>
        <sz val="11"/>
        <color theme="1"/>
        <rFont val="HGｺﾞｼｯｸM"/>
        <family val="3"/>
        <charset val="128"/>
      </rPr>
      <t xml:space="preserve">(COL.COLUMN_NAME,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"COL(物理)"</t>
    </r>
  </si>
  <si>
    <r>
      <t xml:space="preserve">    , </t>
    </r>
    <r>
      <rPr>
        <sz val="11"/>
        <color rgb="FF0080FF"/>
        <rFont val="HGｺﾞｼｯｸM"/>
        <family val="3"/>
        <charset val="128"/>
      </rPr>
      <t>NVL</t>
    </r>
    <r>
      <rPr>
        <sz val="11"/>
        <color theme="1"/>
        <rFont val="HGｺﾞｼｯｸM"/>
        <family val="3"/>
        <charset val="128"/>
      </rPr>
      <t xml:space="preserve">(COL.DATA_TYPE,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"型"</t>
    </r>
  </si>
  <si>
    <r>
      <t xml:space="preserve">    , </t>
    </r>
    <r>
      <rPr>
        <sz val="11"/>
        <color rgb="FF0080FF"/>
        <rFont val="HGｺﾞｼｯｸM"/>
        <family val="3"/>
        <charset val="128"/>
      </rPr>
      <t>CASE</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</si>
  <si>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'CHAR'</t>
    </r>
    <r>
      <rPr>
        <sz val="11"/>
        <color theme="1"/>
        <rFont val="HGｺﾞｼｯｸM"/>
        <family val="3"/>
        <charset val="128"/>
      </rPr>
      <t xml:space="preserve">, </t>
    </r>
    <r>
      <rPr>
        <sz val="11"/>
        <color rgb="FFFF2800"/>
        <rFont val="HGｺﾞｼｯｸM"/>
        <family val="3"/>
        <charset val="128"/>
      </rPr>
      <t>'VARCHAR2'</t>
    </r>
    <r>
      <rPr>
        <sz val="11"/>
        <color theme="1"/>
        <rFont val="HGｺﾞｼｯｸM"/>
        <family val="3"/>
        <charset val="128"/>
      </rPr>
      <t xml:space="preserve">, </t>
    </r>
    <r>
      <rPr>
        <sz val="11"/>
        <color rgb="FFFF2800"/>
        <rFont val="HGｺﾞｼｯｸM"/>
        <family val="3"/>
        <charset val="128"/>
      </rPr>
      <t>'NCHAR'</t>
    </r>
    <r>
      <rPr>
        <sz val="11"/>
        <color theme="1"/>
        <rFont val="HGｺﾞｼｯｸM"/>
        <family val="3"/>
        <charset val="128"/>
      </rPr>
      <t xml:space="preserve">, </t>
    </r>
    <r>
      <rPr>
        <sz val="11"/>
        <color rgb="FFFF2800"/>
        <rFont val="HGｺﾞｼｯｸM"/>
        <family val="3"/>
        <charset val="128"/>
      </rPr>
      <t>'NVARCHAR2'</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</si>
  <si>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(COL.DATA_LENGTH), </t>
    </r>
    <r>
      <rPr>
        <sz val="11"/>
        <color rgb="FFFF2800"/>
        <rFont val="HGｺﾞｼｯｸM"/>
        <family val="3"/>
        <charset val="128"/>
      </rPr>
      <t>' '</t>
    </r>
    <r>
      <rPr>
        <sz val="11"/>
        <color theme="1"/>
        <rFont val="HGｺﾞｼｯｸM"/>
        <family val="3"/>
        <charset val="128"/>
      </rPr>
      <t>)</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</si>
  <si>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'NUMBER'</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</si>
  <si>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(COL.DATA_PRECISION), </t>
    </r>
    <r>
      <rPr>
        <sz val="11"/>
        <color rgb="FFFF2800"/>
        <rFont val="HGｺﾞｼｯｸM"/>
        <family val="3"/>
        <charset val="128"/>
      </rPr>
      <t>' '</t>
    </r>
    <r>
      <rPr>
        <sz val="11"/>
        <color theme="1"/>
        <rFont val="HGｺﾞｼｯｸM"/>
        <family val="3"/>
        <charset val="128"/>
      </rPr>
      <t xml:space="preserve">) || </t>
    </r>
    <r>
      <rPr>
        <sz val="11"/>
        <color rgb="FFFF2800"/>
        <rFont val="HGｺﾞｼｯｸM"/>
        <family val="3"/>
        <charset val="128"/>
      </rPr>
      <t>','</t>
    </r>
    <r>
      <rPr>
        <sz val="11"/>
        <color theme="1"/>
        <rFont val="HGｺﾞｼｯｸM"/>
        <family val="3"/>
        <charset val="128"/>
      </rPr>
      <t xml:space="preserve"> ||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(COL.DATA_SCALE), </t>
    </r>
    <r>
      <rPr>
        <sz val="11"/>
        <color rgb="FFFF2800"/>
        <rFont val="HGｺﾞｼｯｸM"/>
        <family val="3"/>
        <charset val="128"/>
      </rPr>
      <t>' '</t>
    </r>
    <r>
      <rPr>
        <sz val="11"/>
        <color theme="1"/>
        <rFont val="HGｺﾞｼｯｸM"/>
        <family val="3"/>
        <charset val="128"/>
      </rPr>
      <t>)</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</si>
  <si>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LIKE</t>
    </r>
    <r>
      <rPr>
        <sz val="11"/>
        <color theme="1"/>
        <rFont val="HGｺﾞｼｯｸM"/>
        <family val="3"/>
        <charset val="128"/>
      </rPr>
      <t xml:space="preserve"> </t>
    </r>
    <r>
      <rPr>
        <sz val="11"/>
        <color rgb="FFFF2800"/>
        <rFont val="HGｺﾞｼｯｸM"/>
        <family val="3"/>
        <charset val="128"/>
      </rPr>
      <t>'TIMESTAMP%'</t>
    </r>
  </si>
  <si>
    <r>
      <t xml:space="preserve">            </t>
    </r>
    <r>
      <rPr>
        <sz val="11"/>
        <color rgb="FF0080FF"/>
        <rFont val="HGｺﾞｼｯｸM"/>
        <family val="3"/>
        <charset val="128"/>
      </rPr>
      <t>THEN</t>
    </r>
    <r>
      <rPr>
        <sz val="11"/>
        <color theme="1"/>
        <rFont val="HGｺﾞｼｯｸM"/>
        <family val="3"/>
        <charset val="128"/>
      </rPr>
      <t xml:space="preserve"> REGEXP_SUBSTR(COL.DATA_TYPE, </t>
    </r>
    <r>
      <rPr>
        <sz val="11"/>
        <color rgb="FFFF2800"/>
        <rFont val="HGｺﾞｼｯｸM"/>
        <family val="3"/>
        <charset val="128"/>
      </rPr>
      <t>'[0-9]+'</t>
    </r>
    <r>
      <rPr>
        <sz val="11"/>
        <color theme="1"/>
        <rFont val="HGｺﾞｼｯｸM"/>
        <family val="3"/>
        <charset val="128"/>
      </rPr>
      <t>)</t>
    </r>
  </si>
  <si>
    <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 '</t>
    </r>
  </si>
  <si>
    <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"桁"</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</si>
  <si>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COL.NULLABLE =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"NULL不可"</t>
    </r>
  </si>
  <si>
    <r>
      <t xml:space="preserve">    , COL.DATA_DEFAULT </t>
    </r>
    <r>
      <rPr>
        <sz val="11"/>
        <color rgb="FF0080FF"/>
        <rFont val="HGｺﾞｼｯｸM"/>
        <family val="3"/>
        <charset val="128"/>
      </rPr>
      <t>AS</t>
    </r>
    <r>
      <rPr>
        <sz val="11"/>
        <color theme="1"/>
        <rFont val="HGｺﾞｼｯｸM"/>
        <family val="3"/>
        <charset val="128"/>
      </rPr>
      <t xml:space="preserve"> "初期値"</t>
    </r>
  </si>
  <si>
    <t>FROM</t>
  </si>
  <si>
    <t xml:space="preserve">    ALL_TABLES TBL</t>
  </si>
  <si>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ALL_TAB_COLUMNS COL</t>
    </r>
  </si>
  <si>
    <r>
      <t xml:space="preserve">        </t>
    </r>
    <r>
      <rPr>
        <sz val="11"/>
        <color rgb="FF0080FF"/>
        <rFont val="HGｺﾞｼｯｸM"/>
        <family val="3"/>
        <charset val="128"/>
      </rPr>
      <t>ON</t>
    </r>
    <r>
      <rPr>
        <sz val="11"/>
        <color theme="1"/>
        <rFont val="HGｺﾞｼｯｸM"/>
        <family val="3"/>
        <charset val="128"/>
      </rPr>
      <t xml:space="preserve"> TBL.OWNER = COL.OWNER</t>
    </r>
  </si>
  <si>
    <r>
      <t xml:space="preserve">        </t>
    </r>
    <r>
      <rPr>
        <sz val="11"/>
        <color rgb="FF0080FF"/>
        <rFont val="HGｺﾞｼｯｸM"/>
        <family val="3"/>
        <charset val="128"/>
      </rPr>
      <t>AND</t>
    </r>
    <r>
      <rPr>
        <sz val="11"/>
        <color theme="1"/>
        <rFont val="HGｺﾞｼｯｸM"/>
        <family val="3"/>
        <charset val="128"/>
      </rPr>
      <t xml:space="preserve"> TBL.TABLE_NAME = COL.TABLE_NAME</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</si>
  <si>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t>
    </r>
  </si>
  <si>
    <r>
      <t xml:space="preserve">        </t>
    </r>
    <r>
      <rPr>
        <sz val="11"/>
        <color rgb="FF0080FF"/>
        <rFont val="HGｺﾞｼｯｸM"/>
        <family val="3"/>
        <charset val="128"/>
      </rPr>
      <t>SELECT</t>
    </r>
  </si>
  <si>
    <t xml:space="preserve">            CONST_COL.OWNER</t>
  </si>
  <si>
    <t xml:space="preserve">            , CONST_COL.TABLE_NAME</t>
  </si>
  <si>
    <t xml:space="preserve">            , CONST_COL.COLUMN_NAME</t>
  </si>
  <si>
    <r>
      <t xml:space="preserve">        </t>
    </r>
    <r>
      <rPr>
        <sz val="11"/>
        <color rgb="FF0080FF"/>
        <rFont val="HGｺﾞｼｯｸM"/>
        <family val="3"/>
        <charset val="128"/>
      </rPr>
      <t>FROM</t>
    </r>
  </si>
  <si>
    <t xml:space="preserve">            ALL_CONSTRAINTS CONST</t>
  </si>
  <si>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ALL_CONS_COLUMNS CONST_COL</t>
    </r>
  </si>
  <si>
    <r>
      <t xml:space="preserve">                </t>
    </r>
    <r>
      <rPr>
        <sz val="11"/>
        <color rgb="FF0080FF"/>
        <rFont val="HGｺﾞｼｯｸM"/>
        <family val="3"/>
        <charset val="128"/>
      </rPr>
      <t>ON</t>
    </r>
    <r>
      <rPr>
        <sz val="11"/>
        <color theme="1"/>
        <rFont val="HGｺﾞｼｯｸM"/>
        <family val="3"/>
        <charset val="128"/>
      </rPr>
      <t xml:space="preserve"> CONST.OWNER = CONST_COL.OWNER</t>
    </r>
  </si>
  <si>
    <r>
      <t xml:space="preserve">                </t>
    </r>
    <r>
      <rPr>
        <sz val="11"/>
        <color rgb="FF0080FF"/>
        <rFont val="HGｺﾞｼｯｸM"/>
        <family val="3"/>
        <charset val="128"/>
      </rPr>
      <t>AND</t>
    </r>
    <r>
      <rPr>
        <sz val="11"/>
        <color theme="1"/>
        <rFont val="HGｺﾞｼｯｸM"/>
        <family val="3"/>
        <charset val="128"/>
      </rPr>
      <t xml:space="preserve"> CONST.CONSTRAINT_NAME = CONST_COL.CONSTRAINT_NAME</t>
    </r>
  </si>
  <si>
    <r>
      <t xml:space="preserve">        </t>
    </r>
    <r>
      <rPr>
        <sz val="11"/>
        <color rgb="FF0080FF"/>
        <rFont val="HGｺﾞｼｯｸM"/>
        <family val="3"/>
        <charset val="128"/>
      </rPr>
      <t>WHERE</t>
    </r>
  </si>
  <si>
    <r>
      <t xml:space="preserve">            CONST.CONSTRAINT_TYPE = </t>
    </r>
    <r>
      <rPr>
        <sz val="11"/>
        <color rgb="FFFF2800"/>
        <rFont val="HGｺﾞｼｯｸM"/>
        <family val="3"/>
        <charset val="128"/>
      </rPr>
      <t>'P'</t>
    </r>
  </si>
  <si>
    <t xml:space="preserve">    ) PK</t>
  </si>
  <si>
    <r>
      <t xml:space="preserve">        </t>
    </r>
    <r>
      <rPr>
        <sz val="11"/>
        <color rgb="FF0080FF"/>
        <rFont val="HGｺﾞｼｯｸM"/>
        <family val="3"/>
        <charset val="128"/>
      </rPr>
      <t>ON</t>
    </r>
    <r>
      <rPr>
        <sz val="11"/>
        <color theme="1"/>
        <rFont val="HGｺﾞｼｯｸM"/>
        <family val="3"/>
        <charset val="128"/>
      </rPr>
      <t xml:space="preserve"> COL.OWNER = PK.OWNER</t>
    </r>
  </si>
  <si>
    <r>
      <t xml:space="preserve">        </t>
    </r>
    <r>
      <rPr>
        <sz val="11"/>
        <color rgb="FF0080FF"/>
        <rFont val="HGｺﾞｼｯｸM"/>
        <family val="3"/>
        <charset val="128"/>
      </rPr>
      <t>AND</t>
    </r>
    <r>
      <rPr>
        <sz val="11"/>
        <color theme="1"/>
        <rFont val="HGｺﾞｼｯｸM"/>
        <family val="3"/>
        <charset val="128"/>
      </rPr>
      <t xml:space="preserve"> COL.TABLE_NAME = PK.TABLE_NAME</t>
    </r>
  </si>
  <si>
    <r>
      <t xml:space="preserve">        </t>
    </r>
    <r>
      <rPr>
        <sz val="11"/>
        <color rgb="FF0080FF"/>
        <rFont val="HGｺﾞｼｯｸM"/>
        <family val="3"/>
        <charset val="128"/>
      </rPr>
      <t>AND</t>
    </r>
    <r>
      <rPr>
        <sz val="11"/>
        <color theme="1"/>
        <rFont val="HGｺﾞｼｯｸM"/>
        <family val="3"/>
        <charset val="128"/>
      </rPr>
      <t xml:space="preserve"> COL.COLUMN_NAME = PK.COLUMN_NAME</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</si>
  <si>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ALL_TAB_COMMENTS TBL_ALIAS</t>
    </r>
  </si>
  <si>
    <r>
      <t xml:space="preserve">        </t>
    </r>
    <r>
      <rPr>
        <sz val="11"/>
        <color rgb="FF0080FF"/>
        <rFont val="HGｺﾞｼｯｸM"/>
        <family val="3"/>
        <charset val="128"/>
      </rPr>
      <t>ON</t>
    </r>
    <r>
      <rPr>
        <sz val="11"/>
        <color theme="1"/>
        <rFont val="HGｺﾞｼｯｸM"/>
        <family val="3"/>
        <charset val="128"/>
      </rPr>
      <t xml:space="preserve"> TBL.OWNER = TBL_ALIAS.OWNER</t>
    </r>
  </si>
  <si>
    <r>
      <t xml:space="preserve">        </t>
    </r>
    <r>
      <rPr>
        <sz val="11"/>
        <color rgb="FF0080FF"/>
        <rFont val="HGｺﾞｼｯｸM"/>
        <family val="3"/>
        <charset val="128"/>
      </rPr>
      <t>AND</t>
    </r>
    <r>
      <rPr>
        <sz val="11"/>
        <color theme="1"/>
        <rFont val="HGｺﾞｼｯｸM"/>
        <family val="3"/>
        <charset val="128"/>
      </rPr>
      <t xml:space="preserve"> TBL.TABLE_NAME = TBL_ALIAS.TABLE_NAME</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</si>
  <si>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ALL_COL_COMMENTS COL_ALIAS</t>
    </r>
  </si>
  <si>
    <r>
      <t xml:space="preserve">        </t>
    </r>
    <r>
      <rPr>
        <sz val="11"/>
        <color rgb="FF0080FF"/>
        <rFont val="HGｺﾞｼｯｸM"/>
        <family val="3"/>
        <charset val="128"/>
      </rPr>
      <t>ON</t>
    </r>
    <r>
      <rPr>
        <sz val="11"/>
        <color theme="1"/>
        <rFont val="HGｺﾞｼｯｸM"/>
        <family val="3"/>
        <charset val="128"/>
      </rPr>
      <t xml:space="preserve"> COL.OWNER = COL_ALIAS.OWNER</t>
    </r>
  </si>
  <si>
    <r>
      <t xml:space="preserve">        </t>
    </r>
    <r>
      <rPr>
        <sz val="11"/>
        <color rgb="FF0080FF"/>
        <rFont val="HGｺﾞｼｯｸM"/>
        <family val="3"/>
        <charset val="128"/>
      </rPr>
      <t>AND</t>
    </r>
    <r>
      <rPr>
        <sz val="11"/>
        <color theme="1"/>
        <rFont val="HGｺﾞｼｯｸM"/>
        <family val="3"/>
        <charset val="128"/>
      </rPr>
      <t xml:space="preserve"> COL.TABLE_NAME = COL_ALIAS.TABLE_NAME</t>
    </r>
  </si>
  <si>
    <r>
      <t xml:space="preserve">        </t>
    </r>
    <r>
      <rPr>
        <sz val="11"/>
        <color rgb="FF0080FF"/>
        <rFont val="HGｺﾞｼｯｸM"/>
        <family val="3"/>
        <charset val="128"/>
      </rPr>
      <t>AND</t>
    </r>
    <r>
      <rPr>
        <sz val="11"/>
        <color theme="1"/>
        <rFont val="HGｺﾞｼｯｸM"/>
        <family val="3"/>
        <charset val="128"/>
      </rPr>
      <t xml:space="preserve"> COL.COLUMN_NAME = COL_ALIAS.COLUMN_NAME</t>
    </r>
  </si>
  <si>
    <t>WHERE</t>
  </si>
  <si>
    <r>
      <t xml:space="preserve">    TBL.OWNER = </t>
    </r>
    <r>
      <rPr>
        <sz val="11"/>
        <color rgb="FFFF2800"/>
        <rFont val="HGｺﾞｼｯｸM"/>
        <family val="3"/>
        <charset val="128"/>
      </rPr>
      <t>'SCHEMA_NAME'</t>
    </r>
    <r>
      <rPr>
        <sz val="11"/>
        <color theme="1"/>
        <rFont val="HGｺﾞｼｯｸM"/>
        <family val="3"/>
        <charset val="128"/>
      </rPr>
      <t xml:space="preserve">           </t>
    </r>
    <r>
      <rPr>
        <sz val="11"/>
        <color rgb="FF35A16B"/>
        <rFont val="HGｺﾞｼｯｸM"/>
        <family val="3"/>
        <charset val="128"/>
      </rPr>
      <t>--★★★ スキーマ名指定 ★★★</t>
    </r>
  </si>
  <si>
    <r>
      <t xml:space="preserve">    </t>
    </r>
    <r>
      <rPr>
        <sz val="11"/>
        <color rgb="FF0080FF"/>
        <rFont val="HGｺﾞｼｯｸM"/>
        <family val="3"/>
        <charset val="128"/>
      </rPr>
      <t>AND</t>
    </r>
    <r>
      <rPr>
        <sz val="11"/>
        <color theme="1"/>
        <rFont val="HGｺﾞｼｯｸM"/>
        <family val="3"/>
        <charset val="128"/>
      </rPr>
      <t xml:space="preserve"> TBL.TABLE_NAME </t>
    </r>
    <r>
      <rPr>
        <sz val="11"/>
        <color rgb="FF0080FF"/>
        <rFont val="HGｺﾞｼｯｸM"/>
        <family val="3"/>
        <charset val="128"/>
      </rPr>
      <t>LIKE</t>
    </r>
    <r>
      <rPr>
        <sz val="11"/>
        <color theme="1"/>
        <rFont val="HGｺﾞｼｯｸM"/>
        <family val="3"/>
        <charset val="128"/>
      </rPr>
      <t xml:space="preserve"> </t>
    </r>
    <r>
      <rPr>
        <sz val="11"/>
        <color rgb="FFFF2800"/>
        <rFont val="HGｺﾞｼｯｸM"/>
        <family val="3"/>
        <charset val="128"/>
      </rPr>
      <t>'TBL_NAME%'</t>
    </r>
    <r>
      <rPr>
        <sz val="11"/>
        <color theme="1"/>
        <rFont val="HGｺﾞｼｯｸM"/>
        <family val="3"/>
        <charset val="128"/>
      </rPr>
      <t xml:space="preserve"> </t>
    </r>
    <r>
      <rPr>
        <sz val="11"/>
        <color rgb="FF35A16B"/>
        <rFont val="HGｺﾞｼｯｸM"/>
        <family val="3"/>
        <charset val="128"/>
      </rPr>
      <t>--★★★ テーブル名指定 ★★★</t>
    </r>
  </si>
  <si>
    <r>
      <t>ORDER</t>
    </r>
    <r>
      <rPr>
        <sz val="11"/>
        <color theme="1"/>
        <rFont val="HGｺﾞｼｯｸM"/>
        <family val="3"/>
        <charset val="128"/>
      </rPr>
      <t xml:space="preserve"> </t>
    </r>
    <r>
      <rPr>
        <sz val="11"/>
        <color rgb="FF0080FF"/>
        <rFont val="HGｺﾞｼｯｸM"/>
        <family val="3"/>
        <charset val="128"/>
      </rPr>
      <t>BY</t>
    </r>
  </si>
  <si>
    <t xml:space="preserve">    TBL.TABLE_NAME</t>
  </si>
  <si>
    <t xml:space="preserve">    , COL.COLUMN_ID;</t>
  </si>
  <si>
    <t>--   テーブル情報 取得(PostgreSQL)</t>
  </si>
  <si>
    <r>
      <t xml:space="preserve">    </t>
    </r>
    <r>
      <rPr>
        <sz val="11"/>
        <color rgb="FF0080FF"/>
        <rFont val="HGｺﾞｼｯｸM"/>
        <family val="3"/>
        <charset val="128"/>
      </rPr>
      <t>DENSE_RANK</t>
    </r>
    <r>
      <rPr>
        <sz val="11"/>
        <color theme="1"/>
        <rFont val="HGｺﾞｼｯｸM"/>
        <family val="3"/>
        <charset val="128"/>
      </rPr>
      <t xml:space="preserve">() </t>
    </r>
    <r>
      <rPr>
        <sz val="11"/>
        <color rgb="FF0080FF"/>
        <rFont val="HGｺﾞｼｯｸM"/>
        <family val="3"/>
        <charset val="128"/>
      </rPr>
      <t>OVER</t>
    </r>
    <r>
      <rPr>
        <sz val="11"/>
        <color theme="1"/>
        <rFont val="HGｺﾞｼｯｸM"/>
        <family val="3"/>
        <charset val="128"/>
      </rPr>
      <t xml:space="preserve"> (</t>
    </r>
    <r>
      <rPr>
        <sz val="11"/>
        <color rgb="FF0080FF"/>
        <rFont val="HGｺﾞｼｯｸM"/>
        <family val="3"/>
        <charset val="128"/>
      </rPr>
      <t>ORDER</t>
    </r>
    <r>
      <rPr>
        <sz val="11"/>
        <color theme="1"/>
        <rFont val="HGｺﾞｼｯｸM"/>
        <family val="3"/>
        <charset val="128"/>
      </rPr>
      <t xml:space="preserve"> </t>
    </r>
    <r>
      <rPr>
        <sz val="11"/>
        <color rgb="FF0080FF"/>
        <rFont val="HGｺﾞｼｯｸM"/>
        <family val="3"/>
        <charset val="128"/>
      </rPr>
      <t>BY</t>
    </r>
    <r>
      <rPr>
        <sz val="11"/>
        <color theme="1"/>
        <rFont val="HGｺﾞｼｯｸM"/>
        <family val="3"/>
        <charset val="128"/>
      </rPr>
      <t xml:space="preserve"> tbl.table_name) </t>
    </r>
    <r>
      <rPr>
        <sz val="11"/>
        <color rgb="FF0080FF"/>
        <rFont val="HGｺﾞｼｯｸM"/>
        <family val="3"/>
        <charset val="128"/>
      </rPr>
      <t>AS</t>
    </r>
    <r>
      <rPr>
        <sz val="11"/>
        <color theme="1"/>
        <rFont val="HGｺﾞｼｯｸM"/>
        <family val="3"/>
        <charset val="128"/>
      </rPr>
      <t xml:space="preserve"> "TBL-No"</t>
    </r>
  </si>
  <si>
    <r>
      <t xml:space="preserve">    , </t>
    </r>
    <r>
      <rPr>
        <sz val="11"/>
        <color rgb="FF0080FF"/>
        <rFont val="HGｺﾞｼｯｸM"/>
        <family val="3"/>
        <charset val="128"/>
      </rPr>
      <t>COALESCE</t>
    </r>
    <r>
      <rPr>
        <sz val="11"/>
        <color theme="1"/>
        <rFont val="HGｺﾞｼｯｸM"/>
        <family val="3"/>
        <charset val="128"/>
      </rPr>
      <t xml:space="preserve">(tbl_alias.description,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"TBL(論理)"</t>
    </r>
  </si>
  <si>
    <r>
      <t xml:space="preserve">    , </t>
    </r>
    <r>
      <rPr>
        <sz val="11"/>
        <color rgb="FF0080FF"/>
        <rFont val="HGｺﾞｼｯｸM"/>
        <family val="3"/>
        <charset val="128"/>
      </rPr>
      <t>COALESCE</t>
    </r>
    <r>
      <rPr>
        <sz val="11"/>
        <color theme="1"/>
        <rFont val="HGｺﾞｼｯｸM"/>
        <family val="3"/>
        <charset val="128"/>
      </rPr>
      <t xml:space="preserve">(tbl.table_name,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"TBL(物理)"</t>
    </r>
  </si>
  <si>
    <r>
      <t xml:space="preserve">    , </t>
    </r>
    <r>
      <rPr>
        <sz val="11"/>
        <color rgb="FF0080FF"/>
        <rFont val="HGｺﾞｼｯｸM"/>
        <family val="3"/>
        <charset val="128"/>
      </rPr>
      <t>COALESCE</t>
    </r>
    <r>
      <rPr>
        <sz val="11"/>
        <color theme="1"/>
        <rFont val="HGｺﾞｼｯｸM"/>
        <family val="3"/>
        <charset val="128"/>
      </rPr>
      <t xml:space="preserve">(col.ordinal_position ::text,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"COL-No"</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</si>
  <si>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pk.column_name </t>
    </r>
    <r>
      <rPr>
        <sz val="11"/>
        <color rgb="FF0080FF"/>
        <rFont val="HGｺﾞｼｯｸM"/>
        <family val="3"/>
        <charset val="128"/>
      </rPr>
      <t>IS</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t>
    </r>
    <r>
      <rPr>
        <sz val="11"/>
        <color rgb="FF0080FF"/>
        <rFont val="HGｺﾞｼｯｸM"/>
        <family val="3"/>
        <charset val="128"/>
      </rPr>
      <t>NULL</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"PK"</t>
    </r>
  </si>
  <si>
    <r>
      <t xml:space="preserve">    , </t>
    </r>
    <r>
      <rPr>
        <sz val="11"/>
        <color rgb="FF0080FF"/>
        <rFont val="HGｺﾞｼｯｸM"/>
        <family val="3"/>
        <charset val="128"/>
      </rPr>
      <t>COALESCE</t>
    </r>
    <r>
      <rPr>
        <sz val="11"/>
        <color theme="1"/>
        <rFont val="HGｺﾞｼｯｸM"/>
        <family val="3"/>
        <charset val="128"/>
      </rPr>
      <t xml:space="preserve">(col_alias.description,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"COL(論理)"</t>
    </r>
  </si>
  <si>
    <r>
      <t xml:space="preserve">    , </t>
    </r>
    <r>
      <rPr>
        <sz val="11"/>
        <color rgb="FF0080FF"/>
        <rFont val="HGｺﾞｼｯｸM"/>
        <family val="3"/>
        <charset val="128"/>
      </rPr>
      <t>COALESCE</t>
    </r>
    <r>
      <rPr>
        <sz val="11"/>
        <color theme="1"/>
        <rFont val="HGｺﾞｼｯｸM"/>
        <family val="3"/>
        <charset val="128"/>
      </rPr>
      <t xml:space="preserve">(col.column_name,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"COL(物理)"</t>
    </r>
  </si>
  <si>
    <r>
      <t xml:space="preserve">    , </t>
    </r>
    <r>
      <rPr>
        <sz val="11"/>
        <color rgb="FF0080FF"/>
        <rFont val="HGｺﾞｼｯｸM"/>
        <family val="3"/>
        <charset val="128"/>
      </rPr>
      <t>COALESCE</t>
    </r>
    <r>
      <rPr>
        <sz val="11"/>
        <color theme="1"/>
        <rFont val="HGｺﾞｼｯｸM"/>
        <family val="3"/>
        <charset val="128"/>
      </rPr>
      <t xml:space="preserve">(col.data_type,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"型"</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</si>
  <si>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'character'</t>
    </r>
    <r>
      <rPr>
        <sz val="11"/>
        <color theme="1"/>
        <rFont val="HGｺﾞｼｯｸM"/>
        <family val="3"/>
        <charset val="128"/>
      </rPr>
      <t xml:space="preserve">, </t>
    </r>
    <r>
      <rPr>
        <sz val="11"/>
        <color rgb="FFFF2800"/>
        <rFont val="HGｺﾞｼｯｸM"/>
        <family val="3"/>
        <charset val="128"/>
      </rPr>
      <t>'character varying'</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</si>
  <si>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COALESCE</t>
    </r>
    <r>
      <rPr>
        <sz val="11"/>
        <color theme="1"/>
        <rFont val="HGｺﾞｼｯｸM"/>
        <family val="3"/>
        <charset val="128"/>
      </rPr>
      <t xml:space="preserve">(col.character_maximum_length ::text, </t>
    </r>
    <r>
      <rPr>
        <sz val="11"/>
        <color rgb="FFFF2800"/>
        <rFont val="HGｺﾞｼｯｸM"/>
        <family val="3"/>
        <charset val="128"/>
      </rPr>
      <t>''</t>
    </r>
    <r>
      <rPr>
        <sz val="11"/>
        <color theme="1"/>
        <rFont val="HGｺﾞｼｯｸM"/>
        <family val="3"/>
        <charset val="128"/>
      </rPr>
      <t>)</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</si>
  <si>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'numeric'</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</si>
  <si>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COALESCE</t>
    </r>
    <r>
      <rPr>
        <sz val="11"/>
        <color theme="1"/>
        <rFont val="HGｺﾞｼｯｸM"/>
        <family val="3"/>
        <charset val="128"/>
      </rPr>
      <t xml:space="preserve">(col.numeric_precision ::text, </t>
    </r>
    <r>
      <rPr>
        <sz val="11"/>
        <color rgb="FFFF2800"/>
        <rFont val="HGｺﾞｼｯｸM"/>
        <family val="3"/>
        <charset val="128"/>
      </rPr>
      <t>''</t>
    </r>
    <r>
      <rPr>
        <sz val="11"/>
        <color theme="1"/>
        <rFont val="HGｺﾞｼｯｸM"/>
        <family val="3"/>
        <charset val="128"/>
      </rPr>
      <t xml:space="preserve">) || </t>
    </r>
    <r>
      <rPr>
        <sz val="11"/>
        <color rgb="FFFF2800"/>
        <rFont val="HGｺﾞｼｯｸM"/>
        <family val="3"/>
        <charset val="128"/>
      </rPr>
      <t>','</t>
    </r>
    <r>
      <rPr>
        <sz val="11"/>
        <color theme="1"/>
        <rFont val="HGｺﾞｼｯｸM"/>
        <family val="3"/>
        <charset val="128"/>
      </rPr>
      <t xml:space="preserve"> || </t>
    </r>
    <r>
      <rPr>
        <sz val="11"/>
        <color rgb="FF0080FF"/>
        <rFont val="HGｺﾞｼｯｸM"/>
        <family val="3"/>
        <charset val="128"/>
      </rPr>
      <t>COALESCE</t>
    </r>
    <r>
      <rPr>
        <sz val="11"/>
        <color theme="1"/>
        <rFont val="HGｺﾞｼｯｸM"/>
        <family val="3"/>
        <charset val="128"/>
      </rPr>
      <t xml:space="preserve">(col.numeric_scale ::text, </t>
    </r>
    <r>
      <rPr>
        <sz val="11"/>
        <color rgb="FFFF2800"/>
        <rFont val="HGｺﾞｼｯｸM"/>
        <family val="3"/>
        <charset val="128"/>
      </rPr>
      <t>''</t>
    </r>
    <r>
      <rPr>
        <sz val="11"/>
        <color theme="1"/>
        <rFont val="HGｺﾞｼｯｸM"/>
        <family val="3"/>
        <charset val="128"/>
      </rPr>
      <t>)</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</si>
  <si>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'time zone'</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</si>
  <si>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COALESCE</t>
    </r>
    <r>
      <rPr>
        <sz val="11"/>
        <color theme="1"/>
        <rFont val="HGｺﾞｼｯｸM"/>
        <family val="3"/>
        <charset val="128"/>
      </rPr>
      <t xml:space="preserve">(col.datetime_precision::text, </t>
    </r>
    <r>
      <rPr>
        <sz val="11"/>
        <color rgb="FFFF2800"/>
        <rFont val="HGｺﾞｼｯｸM"/>
        <family val="3"/>
        <charset val="128"/>
      </rPr>
      <t>''</t>
    </r>
    <r>
      <rPr>
        <sz val="11"/>
        <color theme="1"/>
        <rFont val="HGｺﾞｼｯｸM"/>
        <family val="3"/>
        <charset val="128"/>
      </rPr>
      <t>)</t>
    </r>
  </si>
  <si>
    <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</si>
  <si>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col.is_nullable = </t>
    </r>
    <r>
      <rPr>
        <sz val="11"/>
        <color rgb="FFFF2800"/>
        <rFont val="HGｺﾞｼｯｸM"/>
        <family val="3"/>
        <charset val="128"/>
      </rPr>
      <t>'NO'</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"NULL不可"</t>
    </r>
  </si>
  <si>
    <r>
      <t xml:space="preserve">    , </t>
    </r>
    <r>
      <rPr>
        <sz val="11"/>
        <color rgb="FF0080FF"/>
        <rFont val="HGｺﾞｼｯｸM"/>
        <family val="3"/>
        <charset val="128"/>
      </rPr>
      <t>COALESCE</t>
    </r>
    <r>
      <rPr>
        <sz val="11"/>
        <color theme="1"/>
        <rFont val="HGｺﾞｼｯｸM"/>
        <family val="3"/>
        <charset val="128"/>
      </rPr>
      <t xml:space="preserve">(col.column_default,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"初期値"</t>
    </r>
  </si>
  <si>
    <t xml:space="preserve">    information_schema.tables tbl</t>
  </si>
  <si>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information_schema.columns col</t>
    </r>
  </si>
  <si>
    <r>
      <t xml:space="preserve">        </t>
    </r>
    <r>
      <rPr>
        <sz val="11"/>
        <color rgb="FF0080FF"/>
        <rFont val="HGｺﾞｼｯｸM"/>
        <family val="3"/>
        <charset val="128"/>
      </rPr>
      <t>ON</t>
    </r>
    <r>
      <rPr>
        <sz val="11"/>
        <color theme="1"/>
        <rFont val="HGｺﾞｼｯｸM"/>
        <family val="3"/>
        <charset val="128"/>
      </rPr>
      <t xml:space="preserve"> tbl.table_schema = col.table_schema</t>
    </r>
  </si>
  <si>
    <r>
      <t xml:space="preserve">        </t>
    </r>
    <r>
      <rPr>
        <sz val="11"/>
        <color rgb="FF0080FF"/>
        <rFont val="HGｺﾞｼｯｸM"/>
        <family val="3"/>
        <charset val="128"/>
      </rPr>
      <t>AND</t>
    </r>
    <r>
      <rPr>
        <sz val="11"/>
        <color theme="1"/>
        <rFont val="HGｺﾞｼｯｸM"/>
        <family val="3"/>
        <charset val="128"/>
      </rPr>
      <t xml:space="preserve"> tbl.table_name = col.table_name</t>
    </r>
  </si>
  <si>
    <t xml:space="preserve">            kcu.table_schema</t>
  </si>
  <si>
    <t xml:space="preserve">            , kcu.table_name</t>
  </si>
  <si>
    <t xml:space="preserve">            , kcu.column_name</t>
  </si>
  <si>
    <t xml:space="preserve">            information_schema.table_constraints tbl_const</t>
  </si>
  <si>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information_schema.key_column_usage kcu</t>
    </r>
  </si>
  <si>
    <r>
      <t xml:space="preserve">                </t>
    </r>
    <r>
      <rPr>
        <sz val="11"/>
        <color rgb="FF0080FF"/>
        <rFont val="HGｺﾞｼｯｸM"/>
        <family val="3"/>
        <charset val="128"/>
      </rPr>
      <t>ON</t>
    </r>
    <r>
      <rPr>
        <sz val="11"/>
        <color theme="1"/>
        <rFont val="HGｺﾞｼｯｸM"/>
        <family val="3"/>
        <charset val="128"/>
      </rPr>
      <t xml:space="preserve"> tbl_const.constraint_schema = kcu.constraint_schema</t>
    </r>
  </si>
  <si>
    <r>
      <t xml:space="preserve">                </t>
    </r>
    <r>
      <rPr>
        <sz val="11"/>
        <color rgb="FF0080FF"/>
        <rFont val="HGｺﾞｼｯｸM"/>
        <family val="3"/>
        <charset val="128"/>
      </rPr>
      <t>AND</t>
    </r>
    <r>
      <rPr>
        <sz val="11"/>
        <color theme="1"/>
        <rFont val="HGｺﾞｼｯｸM"/>
        <family val="3"/>
        <charset val="128"/>
      </rPr>
      <t xml:space="preserve"> tbl_const.constraint_name = kcu.constraint_name</t>
    </r>
  </si>
  <si>
    <r>
      <t xml:space="preserve">                </t>
    </r>
    <r>
      <rPr>
        <sz val="11"/>
        <color rgb="FF0080FF"/>
        <rFont val="HGｺﾞｼｯｸM"/>
        <family val="3"/>
        <charset val="128"/>
      </rPr>
      <t>AND</t>
    </r>
    <r>
      <rPr>
        <sz val="11"/>
        <color theme="1"/>
        <rFont val="HGｺﾞｼｯｸM"/>
        <family val="3"/>
        <charset val="128"/>
      </rPr>
      <t xml:space="preserve"> tbl_const.table_schema = kcu.table_schema</t>
    </r>
  </si>
  <si>
    <r>
      <t xml:space="preserve">                </t>
    </r>
    <r>
      <rPr>
        <sz val="11"/>
        <color rgb="FF0080FF"/>
        <rFont val="HGｺﾞｼｯｸM"/>
        <family val="3"/>
        <charset val="128"/>
      </rPr>
      <t>AND</t>
    </r>
    <r>
      <rPr>
        <sz val="11"/>
        <color theme="1"/>
        <rFont val="HGｺﾞｼｯｸM"/>
        <family val="3"/>
        <charset val="128"/>
      </rPr>
      <t xml:space="preserve"> tbl_const.table_name = kcu.table_name</t>
    </r>
  </si>
  <si>
    <r>
      <t xml:space="preserve">            tbl_const.constraint_type = </t>
    </r>
    <r>
      <rPr>
        <sz val="11"/>
        <color rgb="FFFF2800"/>
        <rFont val="HGｺﾞｼｯｸM"/>
        <family val="3"/>
        <charset val="128"/>
      </rPr>
      <t>'PRIMARY KEY'</t>
    </r>
  </si>
  <si>
    <t xml:space="preserve">    ) pk</t>
  </si>
  <si>
    <r>
      <t xml:space="preserve">        </t>
    </r>
    <r>
      <rPr>
        <sz val="11"/>
        <color rgb="FF0080FF"/>
        <rFont val="HGｺﾞｼｯｸM"/>
        <family val="3"/>
        <charset val="128"/>
      </rPr>
      <t>ON</t>
    </r>
    <r>
      <rPr>
        <sz val="11"/>
        <color theme="1"/>
        <rFont val="HGｺﾞｼｯｸM"/>
        <family val="3"/>
        <charset val="128"/>
      </rPr>
      <t xml:space="preserve"> col.table_schema = pk.table_schema</t>
    </r>
  </si>
  <si>
    <r>
      <t xml:space="preserve">        </t>
    </r>
    <r>
      <rPr>
        <sz val="11"/>
        <color rgb="FF0080FF"/>
        <rFont val="HGｺﾞｼｯｸM"/>
        <family val="3"/>
        <charset val="128"/>
      </rPr>
      <t>AND</t>
    </r>
    <r>
      <rPr>
        <sz val="11"/>
        <color theme="1"/>
        <rFont val="HGｺﾞｼｯｸM"/>
        <family val="3"/>
        <charset val="128"/>
      </rPr>
      <t xml:space="preserve"> col.table_name = pk.table_name</t>
    </r>
  </si>
  <si>
    <r>
      <t xml:space="preserve">        </t>
    </r>
    <r>
      <rPr>
        <sz val="11"/>
        <color rgb="FF0080FF"/>
        <rFont val="HGｺﾞｼｯｸM"/>
        <family val="3"/>
        <charset val="128"/>
      </rPr>
      <t>AND</t>
    </r>
    <r>
      <rPr>
        <sz val="11"/>
        <color theme="1"/>
        <rFont val="HGｺﾞｼｯｸM"/>
        <family val="3"/>
        <charset val="128"/>
      </rPr>
      <t xml:space="preserve"> col.column_name = pk.column_name</t>
    </r>
  </si>
  <si>
    <r>
      <t xml:space="preserve">            nm.nspname </t>
    </r>
    <r>
      <rPr>
        <sz val="11"/>
        <color rgb="FF0080FF"/>
        <rFont val="HGｺﾞｼｯｸM"/>
        <family val="3"/>
        <charset val="128"/>
      </rPr>
      <t>AS</t>
    </r>
    <r>
      <rPr>
        <sz val="11"/>
        <color theme="1"/>
        <rFont val="HGｺﾞｼｯｸM"/>
        <family val="3"/>
        <charset val="128"/>
      </rPr>
      <t xml:space="preserve"> table_schema</t>
    </r>
  </si>
  <si>
    <r>
      <t xml:space="preserve">            , cls.relname </t>
    </r>
    <r>
      <rPr>
        <sz val="11"/>
        <color rgb="FF0080FF"/>
        <rFont val="HGｺﾞｼｯｸM"/>
        <family val="3"/>
        <charset val="128"/>
      </rPr>
      <t>AS</t>
    </r>
    <r>
      <rPr>
        <sz val="11"/>
        <color theme="1"/>
        <rFont val="HGｺﾞｼｯｸM"/>
        <family val="3"/>
        <charset val="128"/>
      </rPr>
      <t xml:space="preserve"> table_name</t>
    </r>
  </si>
  <si>
    <r>
      <t xml:space="preserve">            , </t>
    </r>
    <r>
      <rPr>
        <sz val="11"/>
        <color rgb="FF0080FF"/>
        <rFont val="HGｺﾞｼｯｸM"/>
        <family val="3"/>
        <charset val="128"/>
      </rPr>
      <t>OBJ_DESCRIPTION</t>
    </r>
    <r>
      <rPr>
        <sz val="11"/>
        <color theme="1"/>
        <rFont val="HGｺﾞｼｯｸM"/>
        <family val="3"/>
        <charset val="128"/>
      </rPr>
      <t xml:space="preserve">(cls.oid, </t>
    </r>
    <r>
      <rPr>
        <sz val="11"/>
        <color rgb="FFFF2800"/>
        <rFont val="HGｺﾞｼｯｸM"/>
        <family val="3"/>
        <charset val="128"/>
      </rPr>
      <t>'pg_class'</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description</t>
    </r>
  </si>
  <si>
    <t xml:space="preserve">            pg_class cls</t>
  </si>
  <si>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pg_namespace nm</t>
    </r>
  </si>
  <si>
    <r>
      <t xml:space="preserve">                </t>
    </r>
    <r>
      <rPr>
        <sz val="11"/>
        <color rgb="FF0080FF"/>
        <rFont val="HGｺﾞｼｯｸM"/>
        <family val="3"/>
        <charset val="128"/>
      </rPr>
      <t>ON</t>
    </r>
    <r>
      <rPr>
        <sz val="11"/>
        <color theme="1"/>
        <rFont val="HGｺﾞｼｯｸM"/>
        <family val="3"/>
        <charset val="128"/>
      </rPr>
      <t xml:space="preserve"> cls.relnamespace = nm.oid</t>
    </r>
  </si>
  <si>
    <r>
      <t xml:space="preserve">            cls.relkind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'r'</t>
    </r>
    <r>
      <rPr>
        <sz val="11"/>
        <color theme="1"/>
        <rFont val="HGｺﾞｼｯｸM"/>
        <family val="3"/>
        <charset val="128"/>
      </rPr>
      <t xml:space="preserve">, </t>
    </r>
    <r>
      <rPr>
        <sz val="11"/>
        <color rgb="FFFF2800"/>
        <rFont val="HGｺﾞｼｯｸM"/>
        <family val="3"/>
        <charset val="128"/>
      </rPr>
      <t>'p'</t>
    </r>
    <r>
      <rPr>
        <sz val="11"/>
        <color theme="1"/>
        <rFont val="HGｺﾞｼｯｸM"/>
        <family val="3"/>
        <charset val="128"/>
      </rPr>
      <t>)</t>
    </r>
  </si>
  <si>
    <t xml:space="preserve">    ) tbl_alias</t>
  </si>
  <si>
    <r>
      <t xml:space="preserve">        </t>
    </r>
    <r>
      <rPr>
        <sz val="11"/>
        <color rgb="FF0080FF"/>
        <rFont val="HGｺﾞｼｯｸM"/>
        <family val="3"/>
        <charset val="128"/>
      </rPr>
      <t>ON</t>
    </r>
    <r>
      <rPr>
        <sz val="11"/>
        <color theme="1"/>
        <rFont val="HGｺﾞｼｯｸM"/>
        <family val="3"/>
        <charset val="128"/>
      </rPr>
      <t xml:space="preserve"> tbl.table_schema = tbl_alias.table_schema</t>
    </r>
  </si>
  <si>
    <r>
      <t xml:space="preserve">        </t>
    </r>
    <r>
      <rPr>
        <sz val="11"/>
        <color rgb="FF0080FF"/>
        <rFont val="HGｺﾞｼｯｸM"/>
        <family val="3"/>
        <charset val="128"/>
      </rPr>
      <t>AND</t>
    </r>
    <r>
      <rPr>
        <sz val="11"/>
        <color theme="1"/>
        <rFont val="HGｺﾞｼｯｸM"/>
        <family val="3"/>
        <charset val="128"/>
      </rPr>
      <t xml:space="preserve"> tbl.table_name = tbl_alias.table_name</t>
    </r>
  </si>
  <si>
    <r>
      <t xml:space="preserve">            , att.attname </t>
    </r>
    <r>
      <rPr>
        <sz val="11"/>
        <color rgb="FF0080FF"/>
        <rFont val="HGｺﾞｼｯｸM"/>
        <family val="3"/>
        <charset val="128"/>
      </rPr>
      <t>AS</t>
    </r>
    <r>
      <rPr>
        <sz val="11"/>
        <color theme="1"/>
        <rFont val="HGｺﾞｼｯｸM"/>
        <family val="3"/>
        <charset val="128"/>
      </rPr>
      <t xml:space="preserve"> column_name</t>
    </r>
  </si>
  <si>
    <r>
      <t xml:space="preserve">            , </t>
    </r>
    <r>
      <rPr>
        <sz val="11"/>
        <color rgb="FF0080FF"/>
        <rFont val="HGｺﾞｼｯｸM"/>
        <family val="3"/>
        <charset val="128"/>
      </rPr>
      <t>COL_DESCRIPTION</t>
    </r>
    <r>
      <rPr>
        <sz val="11"/>
        <color theme="1"/>
        <rFont val="HGｺﾞｼｯｸM"/>
        <family val="3"/>
        <charset val="128"/>
      </rPr>
      <t xml:space="preserve">(cls.oid, att.attnum) </t>
    </r>
    <r>
      <rPr>
        <sz val="11"/>
        <color rgb="FF0080FF"/>
        <rFont val="HGｺﾞｼｯｸM"/>
        <family val="3"/>
        <charset val="128"/>
      </rPr>
      <t>AS</t>
    </r>
    <r>
      <rPr>
        <sz val="11"/>
        <color theme="1"/>
        <rFont val="HGｺﾞｼｯｸM"/>
        <family val="3"/>
        <charset val="128"/>
      </rPr>
      <t xml:space="preserve"> description</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</si>
  <si>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pg_attribute att</t>
    </r>
  </si>
  <si>
    <r>
      <t xml:space="preserve">                </t>
    </r>
    <r>
      <rPr>
        <sz val="11"/>
        <color rgb="FF0080FF"/>
        <rFont val="HGｺﾞｼｯｸM"/>
        <family val="3"/>
        <charset val="128"/>
      </rPr>
      <t>ON</t>
    </r>
    <r>
      <rPr>
        <sz val="11"/>
        <color theme="1"/>
        <rFont val="HGｺﾞｼｯｸM"/>
        <family val="3"/>
        <charset val="128"/>
      </rPr>
      <t xml:space="preserve"> cls.oid = att.attrelid</t>
    </r>
  </si>
  <si>
    <t xml:space="preserve">            0 &lt; att.attnum</t>
  </si>
  <si>
    <r>
      <t xml:space="preserve">            </t>
    </r>
    <r>
      <rPr>
        <sz val="11"/>
        <color rgb="FF0080FF"/>
        <rFont val="HGｺﾞｼｯｸM"/>
        <family val="3"/>
        <charset val="128"/>
      </rPr>
      <t>AND</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att.attisdropped</t>
    </r>
  </si>
  <si>
    <t xml:space="preserve">    ) col_alias</t>
  </si>
  <si>
    <r>
      <t xml:space="preserve">        </t>
    </r>
    <r>
      <rPr>
        <sz val="11"/>
        <color rgb="FF0080FF"/>
        <rFont val="HGｺﾞｼｯｸM"/>
        <family val="3"/>
        <charset val="128"/>
      </rPr>
      <t>ON</t>
    </r>
    <r>
      <rPr>
        <sz val="11"/>
        <color theme="1"/>
        <rFont val="HGｺﾞｼｯｸM"/>
        <family val="3"/>
        <charset val="128"/>
      </rPr>
      <t xml:space="preserve"> col.table_schema = col_alias.table_schema</t>
    </r>
  </si>
  <si>
    <r>
      <t xml:space="preserve">        </t>
    </r>
    <r>
      <rPr>
        <sz val="11"/>
        <color rgb="FF0080FF"/>
        <rFont val="HGｺﾞｼｯｸM"/>
        <family val="3"/>
        <charset val="128"/>
      </rPr>
      <t>AND</t>
    </r>
    <r>
      <rPr>
        <sz val="11"/>
        <color theme="1"/>
        <rFont val="HGｺﾞｼｯｸM"/>
        <family val="3"/>
        <charset val="128"/>
      </rPr>
      <t xml:space="preserve"> col.table_name = col_alias.table_name</t>
    </r>
  </si>
  <si>
    <r>
      <t xml:space="preserve">        </t>
    </r>
    <r>
      <rPr>
        <sz val="11"/>
        <color rgb="FF0080FF"/>
        <rFont val="HGｺﾞｼｯｸM"/>
        <family val="3"/>
        <charset val="128"/>
      </rPr>
      <t>AND</t>
    </r>
    <r>
      <rPr>
        <sz val="11"/>
        <color theme="1"/>
        <rFont val="HGｺﾞｼｯｸM"/>
        <family val="3"/>
        <charset val="128"/>
      </rPr>
      <t xml:space="preserve"> col.column_name = col_alias.column_name</t>
    </r>
  </si>
  <si>
    <r>
      <t xml:space="preserve">    tbl.table_type = </t>
    </r>
    <r>
      <rPr>
        <sz val="11"/>
        <color rgb="FFFF2800"/>
        <rFont val="HGｺﾞｼｯｸM"/>
        <family val="3"/>
        <charset val="128"/>
      </rPr>
      <t>'BASE TABLE'</t>
    </r>
  </si>
  <si>
    <r>
      <t xml:space="preserve">    </t>
    </r>
    <r>
      <rPr>
        <sz val="11"/>
        <color rgb="FF0080FF"/>
        <rFont val="HGｺﾞｼｯｸM"/>
        <family val="3"/>
        <charset val="128"/>
      </rPr>
      <t>AND</t>
    </r>
    <r>
      <rPr>
        <sz val="11"/>
        <color theme="1"/>
        <rFont val="HGｺﾞｼｯｸM"/>
        <family val="3"/>
        <charset val="128"/>
      </rPr>
      <t xml:space="preserve"> tbl.table_schema = </t>
    </r>
    <r>
      <rPr>
        <sz val="11"/>
        <color rgb="FFFF2800"/>
        <rFont val="HGｺﾞｼｯｸM"/>
        <family val="3"/>
        <charset val="128"/>
      </rPr>
      <t>'schema_name'</t>
    </r>
    <r>
      <rPr>
        <sz val="11"/>
        <color theme="1"/>
        <rFont val="HGｺﾞｼｯｸM"/>
        <family val="3"/>
        <charset val="128"/>
      </rPr>
      <t xml:space="preserve"> </t>
    </r>
    <r>
      <rPr>
        <sz val="11"/>
        <color rgb="FF35A16B"/>
        <rFont val="HGｺﾞｼｯｸM"/>
        <family val="3"/>
        <charset val="128"/>
      </rPr>
      <t>--★★★ スキーマ名指定 ★★★</t>
    </r>
  </si>
  <si>
    <r>
      <t xml:space="preserve">    </t>
    </r>
    <r>
      <rPr>
        <sz val="11"/>
        <color rgb="FF0080FF"/>
        <rFont val="HGｺﾞｼｯｸM"/>
        <family val="3"/>
        <charset val="128"/>
      </rPr>
      <t>AND</t>
    </r>
    <r>
      <rPr>
        <sz val="11"/>
        <color theme="1"/>
        <rFont val="HGｺﾞｼｯｸM"/>
        <family val="3"/>
        <charset val="128"/>
      </rPr>
      <t xml:space="preserve"> tbl.table_name </t>
    </r>
    <r>
      <rPr>
        <sz val="11"/>
        <color rgb="FF0080FF"/>
        <rFont val="HGｺﾞｼｯｸM"/>
        <family val="3"/>
        <charset val="128"/>
      </rPr>
      <t>LIKE</t>
    </r>
    <r>
      <rPr>
        <sz val="11"/>
        <color theme="1"/>
        <rFont val="HGｺﾞｼｯｸM"/>
        <family val="3"/>
        <charset val="128"/>
      </rPr>
      <t xml:space="preserve"> </t>
    </r>
    <r>
      <rPr>
        <sz val="11"/>
        <color rgb="FFFF2800"/>
        <rFont val="HGｺﾞｼｯｸM"/>
        <family val="3"/>
        <charset val="128"/>
      </rPr>
      <t>'tbl_name%'</t>
    </r>
    <r>
      <rPr>
        <sz val="11"/>
        <color theme="1"/>
        <rFont val="HGｺﾞｼｯｸM"/>
        <family val="3"/>
        <charset val="128"/>
      </rPr>
      <t xml:space="preserve">  </t>
    </r>
    <r>
      <rPr>
        <sz val="11"/>
        <color rgb="FF35A16B"/>
        <rFont val="HGｺﾞｼｯｸM"/>
        <family val="3"/>
        <charset val="128"/>
      </rPr>
      <t>--★★★ テーブル名指定 ★★★</t>
    </r>
  </si>
  <si>
    <t xml:space="preserve">    tbl.table_name</t>
  </si>
  <si>
    <t xml:space="preserve">    , col.ordinal_position;</t>
  </si>
  <si>
    <t>--   テーブル情報 取得(SQLServer)</t>
  </si>
  <si>
    <r>
      <t xml:space="preserve">    </t>
    </r>
    <r>
      <rPr>
        <sz val="11"/>
        <color rgb="FF0080FF"/>
        <rFont val="HGｺﾞｼｯｸM"/>
        <family val="3"/>
        <charset val="128"/>
      </rPr>
      <t>DENSE_RANK</t>
    </r>
    <r>
      <rPr>
        <sz val="11"/>
        <color theme="1"/>
        <rFont val="HGｺﾞｼｯｸM"/>
        <family val="3"/>
        <charset val="128"/>
      </rPr>
      <t xml:space="preserve">() </t>
    </r>
    <r>
      <rPr>
        <sz val="11"/>
        <color rgb="FF0080FF"/>
        <rFont val="HGｺﾞｼｯｸM"/>
        <family val="3"/>
        <charset val="128"/>
      </rPr>
      <t>OVER</t>
    </r>
    <r>
      <rPr>
        <sz val="11"/>
        <color theme="1"/>
        <rFont val="HGｺﾞｼｯｸM"/>
        <family val="3"/>
        <charset val="128"/>
      </rPr>
      <t xml:space="preserve"> (</t>
    </r>
    <r>
      <rPr>
        <sz val="11"/>
        <color rgb="FF0080FF"/>
        <rFont val="HGｺﾞｼｯｸM"/>
        <family val="3"/>
        <charset val="128"/>
      </rPr>
      <t>ORDER</t>
    </r>
    <r>
      <rPr>
        <sz val="11"/>
        <color theme="1"/>
        <rFont val="HGｺﾞｼｯｸM"/>
        <family val="3"/>
        <charset val="128"/>
      </rPr>
      <t xml:space="preserve"> </t>
    </r>
    <r>
      <rPr>
        <sz val="11"/>
        <color rgb="FF0080FF"/>
        <rFont val="HGｺﾞｼｯｸM"/>
        <family val="3"/>
        <charset val="128"/>
      </rPr>
      <t>BY</t>
    </r>
    <r>
      <rPr>
        <sz val="11"/>
        <color theme="1"/>
        <rFont val="HGｺﾞｼｯｸM"/>
        <family val="3"/>
        <charset val="128"/>
      </rPr>
      <t xml:space="preserve"> tbl.name) </t>
    </r>
    <r>
      <rPr>
        <sz val="11"/>
        <color rgb="FF0080FF"/>
        <rFont val="HGｺﾞｼｯｸM"/>
        <family val="3"/>
        <charset val="128"/>
      </rPr>
      <t>AS</t>
    </r>
    <r>
      <rPr>
        <sz val="11"/>
        <color theme="1"/>
        <rFont val="HGｺﾞｼｯｸM"/>
        <family val="3"/>
        <charset val="128"/>
      </rPr>
      <t xml:space="preserve"> [TBL-No]</t>
    </r>
  </si>
  <si>
    <r>
      <t xml:space="preserve">    , </t>
    </r>
    <r>
      <rPr>
        <sz val="11"/>
        <color rgb="FF0080FF"/>
        <rFont val="HGｺﾞｼｯｸM"/>
        <family val="3"/>
        <charset val="128"/>
      </rPr>
      <t>ISNULL</t>
    </r>
    <r>
      <rPr>
        <sz val="11"/>
        <color theme="1"/>
        <rFont val="HGｺﾞｼｯｸM"/>
        <family val="3"/>
        <charset val="128"/>
      </rPr>
      <t xml:space="preserve">(tbl_alias.description,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[TBL(論理)]</t>
    </r>
  </si>
  <si>
    <r>
      <t xml:space="preserve">    , </t>
    </r>
    <r>
      <rPr>
        <sz val="11"/>
        <color rgb="FF0080FF"/>
        <rFont val="HGｺﾞｼｯｸM"/>
        <family val="3"/>
        <charset val="128"/>
      </rPr>
      <t>ISNULL</t>
    </r>
    <r>
      <rPr>
        <sz val="11"/>
        <color theme="1"/>
        <rFont val="HGｺﾞｼｯｸM"/>
        <family val="3"/>
        <charset val="128"/>
      </rPr>
      <t xml:space="preserve">(tbl.name,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[TBL(物理)]</t>
    </r>
  </si>
  <si>
    <r>
      <t xml:space="preserve">    , </t>
    </r>
    <r>
      <rPr>
        <sz val="11"/>
        <color rgb="FF0080FF"/>
        <rFont val="HGｺﾞｼｯｸM"/>
        <family val="3"/>
        <charset val="128"/>
      </rPr>
      <t>ISNULL</t>
    </r>
    <r>
      <rPr>
        <sz val="11"/>
        <color theme="1"/>
        <rFont val="HGｺﾞｼｯｸM"/>
        <family val="3"/>
        <charset val="128"/>
      </rPr>
      <t>(</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xml:space="preserve">, col.column_id),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[COL-No]</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</si>
  <si>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pk.column_id </t>
    </r>
    <r>
      <rPr>
        <sz val="11"/>
        <color rgb="FF0080FF"/>
        <rFont val="HGｺﾞｼｯｸM"/>
        <family val="3"/>
        <charset val="128"/>
      </rPr>
      <t>IS</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t>
    </r>
    <r>
      <rPr>
        <sz val="11"/>
        <color rgb="FF0080FF"/>
        <rFont val="HGｺﾞｼｯｸM"/>
        <family val="3"/>
        <charset val="128"/>
      </rPr>
      <t>NULL</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[PK]</t>
    </r>
  </si>
  <si>
    <r>
      <t xml:space="preserve">    , </t>
    </r>
    <r>
      <rPr>
        <sz val="11"/>
        <color rgb="FF0080FF"/>
        <rFont val="HGｺﾞｼｯｸM"/>
        <family val="3"/>
        <charset val="128"/>
      </rPr>
      <t>ISNULL</t>
    </r>
    <r>
      <rPr>
        <sz val="11"/>
        <color theme="1"/>
        <rFont val="HGｺﾞｼｯｸM"/>
        <family val="3"/>
        <charset val="128"/>
      </rPr>
      <t xml:space="preserve">(col_alias.description,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[COL(論理)]</t>
    </r>
  </si>
  <si>
    <r>
      <t xml:space="preserve">    , </t>
    </r>
    <r>
      <rPr>
        <sz val="11"/>
        <color rgb="FF0080FF"/>
        <rFont val="HGｺﾞｼｯｸM"/>
        <family val="3"/>
        <charset val="128"/>
      </rPr>
      <t>ISNULL</t>
    </r>
    <r>
      <rPr>
        <sz val="11"/>
        <color theme="1"/>
        <rFont val="HGｺﾞｼｯｸM"/>
        <family val="3"/>
        <charset val="128"/>
      </rPr>
      <t xml:space="preserve">(col.name,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[COL(物理)]</t>
    </r>
  </si>
  <si>
    <r>
      <t xml:space="preserve">    , </t>
    </r>
    <r>
      <rPr>
        <sz val="11"/>
        <color rgb="FF0080FF"/>
        <rFont val="HGｺﾞｼｯｸM"/>
        <family val="3"/>
        <charset val="128"/>
      </rPr>
      <t>ISNULL</t>
    </r>
    <r>
      <rPr>
        <sz val="11"/>
        <color theme="1"/>
        <rFont val="HGｺﾞｼｯｸM"/>
        <family val="3"/>
        <charset val="128"/>
      </rPr>
      <t xml:space="preserve">(type_info.name,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[型]</t>
    </r>
  </si>
  <si>
    <r>
      <t xml:space="preserve">        </t>
    </r>
    <r>
      <rPr>
        <sz val="11"/>
        <color rgb="FF0080FF"/>
        <rFont val="HGｺﾞｼｯｸM"/>
        <family val="3"/>
        <charset val="128"/>
      </rPr>
      <t>WHEN</t>
    </r>
    <r>
      <rPr>
        <sz val="11"/>
        <color theme="1"/>
        <rFont val="HGｺﾞｼｯｸM"/>
        <family val="3"/>
        <charset val="128"/>
      </rPr>
      <t xml:space="preserve"> type_info.name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'char'</t>
    </r>
    <r>
      <rPr>
        <sz val="11"/>
        <color theme="1"/>
        <rFont val="HGｺﾞｼｯｸM"/>
        <family val="3"/>
        <charset val="128"/>
      </rPr>
      <t xml:space="preserve">, </t>
    </r>
    <r>
      <rPr>
        <sz val="11"/>
        <color rgb="FFFF2800"/>
        <rFont val="HGｺﾞｼｯｸM"/>
        <family val="3"/>
        <charset val="128"/>
      </rPr>
      <t>'varchar'</t>
    </r>
    <r>
      <rPr>
        <sz val="11"/>
        <color theme="1"/>
        <rFont val="HGｺﾞｼｯｸM"/>
        <family val="3"/>
        <charset val="128"/>
      </rPr>
      <t xml:space="preserve">, </t>
    </r>
    <r>
      <rPr>
        <sz val="11"/>
        <color rgb="FFFF2800"/>
        <rFont val="HGｺﾞｼｯｸM"/>
        <family val="3"/>
        <charset val="128"/>
      </rPr>
      <t>'nchar'</t>
    </r>
    <r>
      <rPr>
        <sz val="11"/>
        <color theme="1"/>
        <rFont val="HGｺﾞｼｯｸM"/>
        <family val="3"/>
        <charset val="128"/>
      </rPr>
      <t xml:space="preserve">, </t>
    </r>
    <r>
      <rPr>
        <sz val="11"/>
        <color rgb="FFFF2800"/>
        <rFont val="HGｺﾞｼｯｸM"/>
        <family val="3"/>
        <charset val="128"/>
      </rPr>
      <t>'nvarchar'</t>
    </r>
    <r>
      <rPr>
        <sz val="11"/>
        <color theme="1"/>
        <rFont val="HGｺﾞｼｯｸM"/>
        <family val="3"/>
        <charset val="128"/>
      </rPr>
      <t>)</t>
    </r>
  </si>
  <si>
    <r>
      <t xml:space="preserve">            </t>
    </r>
    <r>
      <rPr>
        <sz val="11"/>
        <color rgb="FF0080FF"/>
        <rFont val="HGｺﾞｼｯｸM"/>
        <family val="3"/>
        <charset val="128"/>
      </rPr>
      <t>THEN</t>
    </r>
  </si>
  <si>
    <r>
      <t xml:space="preserve">                </t>
    </r>
    <r>
      <rPr>
        <sz val="11"/>
        <color rgb="FF0080FF"/>
        <rFont val="HGｺﾞｼｯｸM"/>
        <family val="3"/>
        <charset val="128"/>
      </rPr>
      <t>CASE</t>
    </r>
  </si>
  <si>
    <r>
      <t xml:space="preserve">                    </t>
    </r>
    <r>
      <rPr>
        <sz val="11"/>
        <color rgb="FF0080FF"/>
        <rFont val="HGｺﾞｼｯｸM"/>
        <family val="3"/>
        <charset val="128"/>
      </rPr>
      <t>WHEN</t>
    </r>
    <r>
      <rPr>
        <sz val="11"/>
        <color theme="1"/>
        <rFont val="HGｺﾞｼｯｸM"/>
        <family val="3"/>
        <charset val="128"/>
      </rPr>
      <t xml:space="preserve"> col.max_length = - 1</t>
    </r>
  </si>
  <si>
    <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'MAX'</t>
    </r>
  </si>
  <si>
    <r>
      <t xml:space="preserve">                    </t>
    </r>
    <r>
      <rPr>
        <sz val="11"/>
        <color rgb="FF0080FF"/>
        <rFont val="HGｺﾞｼｯｸM"/>
        <family val="3"/>
        <charset val="128"/>
      </rPr>
      <t>WHEN</t>
    </r>
    <r>
      <rPr>
        <sz val="11"/>
        <color theme="1"/>
        <rFont val="HGｺﾞｼｯｸM"/>
        <family val="3"/>
        <charset val="128"/>
      </rPr>
      <t xml:space="preserve"> type_info.name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'nchar'</t>
    </r>
    <r>
      <rPr>
        <sz val="11"/>
        <color theme="1"/>
        <rFont val="HGｺﾞｼｯｸM"/>
        <family val="3"/>
        <charset val="128"/>
      </rPr>
      <t xml:space="preserve">, </t>
    </r>
    <r>
      <rPr>
        <sz val="11"/>
        <color rgb="FFFF2800"/>
        <rFont val="HGｺﾞｼｯｸM"/>
        <family val="3"/>
        <charset val="128"/>
      </rPr>
      <t>'nvarchar'</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</si>
  <si>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col.max_length / 2)</t>
    </r>
  </si>
  <si>
    <r>
      <t xml:space="preserve">                    </t>
    </r>
    <r>
      <rPr>
        <sz val="11"/>
        <color rgb="FF0080FF"/>
        <rFont val="HGｺﾞｼｯｸM"/>
        <family val="3"/>
        <charset val="128"/>
      </rPr>
      <t>ELSE</t>
    </r>
    <r>
      <rPr>
        <sz val="11"/>
        <color theme="1"/>
        <rFont val="HGｺﾞｼｯｸM"/>
        <family val="3"/>
        <charset val="128"/>
      </rPr>
      <t xml:space="preserve">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col.max_length)</t>
    </r>
  </si>
  <si>
    <r>
      <t xml:space="preserve">                    </t>
    </r>
    <r>
      <rPr>
        <sz val="11"/>
        <color rgb="FF0080FF"/>
        <rFont val="HGｺﾞｼｯｸM"/>
        <family val="3"/>
        <charset val="128"/>
      </rPr>
      <t>END</t>
    </r>
  </si>
  <si>
    <r>
      <t xml:space="preserve">        </t>
    </r>
    <r>
      <rPr>
        <sz val="11"/>
        <color rgb="FF0080FF"/>
        <rFont val="HGｺﾞｼｯｸM"/>
        <family val="3"/>
        <charset val="128"/>
      </rPr>
      <t>WHEN</t>
    </r>
    <r>
      <rPr>
        <sz val="11"/>
        <color theme="1"/>
        <rFont val="HGｺﾞｼｯｸM"/>
        <family val="3"/>
        <charset val="128"/>
      </rPr>
      <t xml:space="preserve"> type_info.name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'decimal'</t>
    </r>
    <r>
      <rPr>
        <sz val="11"/>
        <color theme="1"/>
        <rFont val="HGｺﾞｼｯｸM"/>
        <family val="3"/>
        <charset val="128"/>
      </rPr>
      <t xml:space="preserve">, </t>
    </r>
    <r>
      <rPr>
        <sz val="11"/>
        <color rgb="FFFF2800"/>
        <rFont val="HGｺﾞｼｯｸM"/>
        <family val="3"/>
        <charset val="128"/>
      </rPr>
      <t>'numeric'</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</si>
  <si>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xml:space="preserve">, col.PRECISION) + </t>
    </r>
    <r>
      <rPr>
        <sz val="11"/>
        <color rgb="FFFF2800"/>
        <rFont val="HGｺﾞｼｯｸM"/>
        <family val="3"/>
        <charset val="128"/>
      </rPr>
      <t>','</t>
    </r>
    <r>
      <rPr>
        <sz val="11"/>
        <color theme="1"/>
        <rFont val="HGｺﾞｼｯｸM"/>
        <family val="3"/>
        <charset val="128"/>
      </rPr>
      <t xml:space="preserve"> +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col.scale)</t>
    </r>
  </si>
  <si>
    <r>
      <t xml:space="preserve">        </t>
    </r>
    <r>
      <rPr>
        <sz val="11"/>
        <color rgb="FF0080FF"/>
        <rFont val="HGｺﾞｼｯｸM"/>
        <family val="3"/>
        <charset val="128"/>
      </rPr>
      <t>WHEN</t>
    </r>
    <r>
      <rPr>
        <sz val="11"/>
        <color theme="1"/>
        <rFont val="HGｺﾞｼｯｸM"/>
        <family val="3"/>
        <charset val="128"/>
      </rPr>
      <t xml:space="preserve"> type_info.name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'datetime2'</t>
    </r>
    <r>
      <rPr>
        <sz val="11"/>
        <color theme="1"/>
        <rFont val="HGｺﾞｼｯｸM"/>
        <family val="3"/>
        <charset val="128"/>
      </rPr>
      <t xml:space="preserve">, </t>
    </r>
    <r>
      <rPr>
        <sz val="11"/>
        <color rgb="FFFF2800"/>
        <rFont val="HGｺﾞｼｯｸM"/>
        <family val="3"/>
        <charset val="128"/>
      </rPr>
      <t>'datetimeoffset'</t>
    </r>
    <r>
      <rPr>
        <sz val="11"/>
        <color theme="1"/>
        <rFont val="HGｺﾞｼｯｸM"/>
        <family val="3"/>
        <charset val="128"/>
      </rPr>
      <t xml:space="preserve">, </t>
    </r>
    <r>
      <rPr>
        <sz val="11"/>
        <color rgb="FFFF2800"/>
        <rFont val="HGｺﾞｼｯｸM"/>
        <family val="3"/>
        <charset val="128"/>
      </rPr>
      <t>'time'</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</si>
  <si>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col.scale)</t>
    </r>
  </si>
  <si>
    <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[桁]</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</si>
  <si>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col.is_nullable = 0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[NULL不可]</t>
    </r>
  </si>
  <si>
    <r>
      <t xml:space="preserve">    , </t>
    </r>
    <r>
      <rPr>
        <sz val="11"/>
        <color rgb="FF0080FF"/>
        <rFont val="HGｺﾞｼｯｸM"/>
        <family val="3"/>
        <charset val="128"/>
      </rPr>
      <t>ISNULL</t>
    </r>
    <r>
      <rPr>
        <sz val="11"/>
        <color theme="1"/>
        <rFont val="HGｺﾞｼｯｸM"/>
        <family val="3"/>
        <charset val="128"/>
      </rPr>
      <t xml:space="preserve">(def_const.definition,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[初期値]</t>
    </r>
  </si>
  <si>
    <t xml:space="preserve">    sys.tables tbl</t>
  </si>
  <si>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sys.columns col</t>
    </r>
  </si>
  <si>
    <r>
      <t xml:space="preserve">        </t>
    </r>
    <r>
      <rPr>
        <sz val="11"/>
        <color rgb="FF0080FF"/>
        <rFont val="HGｺﾞｼｯｸM"/>
        <family val="3"/>
        <charset val="128"/>
      </rPr>
      <t>ON</t>
    </r>
    <r>
      <rPr>
        <sz val="11"/>
        <color theme="1"/>
        <rFont val="HGｺﾞｼｯｸM"/>
        <family val="3"/>
        <charset val="128"/>
      </rPr>
      <t xml:space="preserve"> tbl.object_id = col.object_id</t>
    </r>
  </si>
  <si>
    <t xml:space="preserve">            ic.object_id</t>
  </si>
  <si>
    <t xml:space="preserve">            , ic.column_id</t>
  </si>
  <si>
    <t xml:space="preserve">            sys.indexes idx</t>
  </si>
  <si>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sys.index_columns ic</t>
    </r>
  </si>
  <si>
    <r>
      <t xml:space="preserve">                </t>
    </r>
    <r>
      <rPr>
        <sz val="11"/>
        <color rgb="FF0080FF"/>
        <rFont val="HGｺﾞｼｯｸM"/>
        <family val="3"/>
        <charset val="128"/>
      </rPr>
      <t>ON</t>
    </r>
    <r>
      <rPr>
        <sz val="11"/>
        <color theme="1"/>
        <rFont val="HGｺﾞｼｯｸM"/>
        <family val="3"/>
        <charset val="128"/>
      </rPr>
      <t xml:space="preserve"> idx.object_id = ic.object_id</t>
    </r>
  </si>
  <si>
    <r>
      <t xml:space="preserve">                </t>
    </r>
    <r>
      <rPr>
        <sz val="11"/>
        <color rgb="FF0080FF"/>
        <rFont val="HGｺﾞｼｯｸM"/>
        <family val="3"/>
        <charset val="128"/>
      </rPr>
      <t>AND</t>
    </r>
    <r>
      <rPr>
        <sz val="11"/>
        <color theme="1"/>
        <rFont val="HGｺﾞｼｯｸM"/>
        <family val="3"/>
        <charset val="128"/>
      </rPr>
      <t xml:space="preserve"> idx.index_id = ic.index_id</t>
    </r>
  </si>
  <si>
    <t xml:space="preserve">            idx.is_primary_key = 1</t>
  </si>
  <si>
    <r>
      <t xml:space="preserve">        </t>
    </r>
    <r>
      <rPr>
        <sz val="11"/>
        <color rgb="FF0080FF"/>
        <rFont val="HGｺﾞｼｯｸM"/>
        <family val="3"/>
        <charset val="128"/>
      </rPr>
      <t>ON</t>
    </r>
    <r>
      <rPr>
        <sz val="11"/>
        <color theme="1"/>
        <rFont val="HGｺﾞｼｯｸM"/>
        <family val="3"/>
        <charset val="128"/>
      </rPr>
      <t xml:space="preserve"> col.object_id = pk.object_id</t>
    </r>
  </si>
  <si>
    <r>
      <t xml:space="preserve">        </t>
    </r>
    <r>
      <rPr>
        <sz val="11"/>
        <color rgb="FF0080FF"/>
        <rFont val="HGｺﾞｼｯｸM"/>
        <family val="3"/>
        <charset val="128"/>
      </rPr>
      <t>AND</t>
    </r>
    <r>
      <rPr>
        <sz val="11"/>
        <color theme="1"/>
        <rFont val="HGｺﾞｼｯｸM"/>
        <family val="3"/>
        <charset val="128"/>
      </rPr>
      <t xml:space="preserve"> col.column_id = pk.column_id</t>
    </r>
  </si>
  <si>
    <t xml:space="preserve">            tbl.object_id</t>
  </si>
  <si>
    <r>
      <t xml:space="preserve">            , </t>
    </r>
    <r>
      <rPr>
        <sz val="11"/>
        <color rgb="FF0080FF"/>
        <rFont val="HGｺﾞｼｯｸM"/>
        <family val="3"/>
        <charset val="128"/>
      </rPr>
      <t>CAST</t>
    </r>
    <r>
      <rPr>
        <sz val="11"/>
        <color theme="1"/>
        <rFont val="HGｺﾞｼｯｸM"/>
        <family val="3"/>
        <charset val="128"/>
      </rPr>
      <t xml:space="preserve">(ep.value </t>
    </r>
    <r>
      <rPr>
        <sz val="11"/>
        <color rgb="FF0080FF"/>
        <rFont val="HGｺﾞｼｯｸM"/>
        <family val="3"/>
        <charset val="128"/>
      </rPr>
      <t>AS</t>
    </r>
    <r>
      <rPr>
        <sz val="11"/>
        <color theme="1"/>
        <rFont val="HGｺﾞｼｯｸM"/>
        <family val="3"/>
        <charset val="128"/>
      </rPr>
      <t xml:space="preserve"> </t>
    </r>
    <r>
      <rPr>
        <sz val="11"/>
        <color rgb="FF0080FF"/>
        <rFont val="HGｺﾞｼｯｸM"/>
        <family val="3"/>
        <charset val="128"/>
      </rPr>
      <t>NVARCHAR</t>
    </r>
    <r>
      <rPr>
        <sz val="11"/>
        <color theme="1"/>
        <rFont val="HGｺﾞｼｯｸM"/>
        <family val="3"/>
        <charset val="128"/>
      </rPr>
      <t xml:space="preserve">(4000)) </t>
    </r>
    <r>
      <rPr>
        <sz val="11"/>
        <color rgb="FF0080FF"/>
        <rFont val="HGｺﾞｼｯｸM"/>
        <family val="3"/>
        <charset val="128"/>
      </rPr>
      <t>AS</t>
    </r>
    <r>
      <rPr>
        <sz val="11"/>
        <color theme="1"/>
        <rFont val="HGｺﾞｼｯｸM"/>
        <family val="3"/>
        <charset val="128"/>
      </rPr>
      <t xml:space="preserve"> description</t>
    </r>
  </si>
  <si>
    <t xml:space="preserve">            sys.tables tbl</t>
  </si>
  <si>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sys.extended_properties ep</t>
    </r>
  </si>
  <si>
    <r>
      <t xml:space="preserve">                </t>
    </r>
    <r>
      <rPr>
        <sz val="11"/>
        <color rgb="FF0080FF"/>
        <rFont val="HGｺﾞｼｯｸM"/>
        <family val="3"/>
        <charset val="128"/>
      </rPr>
      <t>ON</t>
    </r>
    <r>
      <rPr>
        <sz val="11"/>
        <color theme="1"/>
        <rFont val="HGｺﾞｼｯｸM"/>
        <family val="3"/>
        <charset val="128"/>
      </rPr>
      <t xml:space="preserve"> tbl.object_id = ep.major_id</t>
    </r>
  </si>
  <si>
    <r>
      <t xml:space="preserve">                </t>
    </r>
    <r>
      <rPr>
        <sz val="11"/>
        <color rgb="FF0080FF"/>
        <rFont val="HGｺﾞｼｯｸM"/>
        <family val="3"/>
        <charset val="128"/>
      </rPr>
      <t>AND</t>
    </r>
    <r>
      <rPr>
        <sz val="11"/>
        <color theme="1"/>
        <rFont val="HGｺﾞｼｯｸM"/>
        <family val="3"/>
        <charset val="128"/>
      </rPr>
      <t xml:space="preserve"> ep.minor_id = 0</t>
    </r>
  </si>
  <si>
    <r>
      <t xml:space="preserve">                </t>
    </r>
    <r>
      <rPr>
        <sz val="11"/>
        <color rgb="FF0080FF"/>
        <rFont val="HGｺﾞｼｯｸM"/>
        <family val="3"/>
        <charset val="128"/>
      </rPr>
      <t>AND</t>
    </r>
    <r>
      <rPr>
        <sz val="11"/>
        <color theme="1"/>
        <rFont val="HGｺﾞｼｯｸM"/>
        <family val="3"/>
        <charset val="128"/>
      </rPr>
      <t xml:space="preserve"> ep.name = </t>
    </r>
    <r>
      <rPr>
        <sz val="11"/>
        <color rgb="FFFF2800"/>
        <rFont val="HGｺﾞｼｯｸM"/>
        <family val="3"/>
        <charset val="128"/>
      </rPr>
      <t>'MS_Description'</t>
    </r>
  </si>
  <si>
    <r>
      <t xml:space="preserve">        </t>
    </r>
    <r>
      <rPr>
        <sz val="11"/>
        <color rgb="FF0080FF"/>
        <rFont val="HGｺﾞｼｯｸM"/>
        <family val="3"/>
        <charset val="128"/>
      </rPr>
      <t>ON</t>
    </r>
    <r>
      <rPr>
        <sz val="11"/>
        <color theme="1"/>
        <rFont val="HGｺﾞｼｯｸM"/>
        <family val="3"/>
        <charset val="128"/>
      </rPr>
      <t xml:space="preserve"> tbl.object_id = tbl_alias.object_id</t>
    </r>
  </si>
  <si>
    <t xml:space="preserve">            col.object_id</t>
  </si>
  <si>
    <t xml:space="preserve">            , col.column_id</t>
  </si>
  <si>
    <t xml:space="preserve">            sys.columns col</t>
  </si>
  <si>
    <r>
      <t xml:space="preserve">                </t>
    </r>
    <r>
      <rPr>
        <sz val="11"/>
        <color rgb="FF0080FF"/>
        <rFont val="HGｺﾞｼｯｸM"/>
        <family val="3"/>
        <charset val="128"/>
      </rPr>
      <t>ON</t>
    </r>
    <r>
      <rPr>
        <sz val="11"/>
        <color theme="1"/>
        <rFont val="HGｺﾞｼｯｸM"/>
        <family val="3"/>
        <charset val="128"/>
      </rPr>
      <t xml:space="preserve"> col.object_id = ep.major_id</t>
    </r>
  </si>
  <si>
    <r>
      <t xml:space="preserve">                </t>
    </r>
    <r>
      <rPr>
        <sz val="11"/>
        <color rgb="FF0080FF"/>
        <rFont val="HGｺﾞｼｯｸM"/>
        <family val="3"/>
        <charset val="128"/>
      </rPr>
      <t>AND</t>
    </r>
    <r>
      <rPr>
        <sz val="11"/>
        <color theme="1"/>
        <rFont val="HGｺﾞｼｯｸM"/>
        <family val="3"/>
        <charset val="128"/>
      </rPr>
      <t xml:space="preserve"> col.column_id = ep.minor_id</t>
    </r>
  </si>
  <si>
    <r>
      <t xml:space="preserve">        </t>
    </r>
    <r>
      <rPr>
        <sz val="11"/>
        <color rgb="FF0080FF"/>
        <rFont val="HGｺﾞｼｯｸM"/>
        <family val="3"/>
        <charset val="128"/>
      </rPr>
      <t>ON</t>
    </r>
    <r>
      <rPr>
        <sz val="11"/>
        <color theme="1"/>
        <rFont val="HGｺﾞｼｯｸM"/>
        <family val="3"/>
        <charset val="128"/>
      </rPr>
      <t xml:space="preserve"> col.object_id = col_alias.object_id</t>
    </r>
  </si>
  <si>
    <r>
      <t xml:space="preserve">        </t>
    </r>
    <r>
      <rPr>
        <sz val="11"/>
        <color rgb="FF0080FF"/>
        <rFont val="HGｺﾞｼｯｸM"/>
        <family val="3"/>
        <charset val="128"/>
      </rPr>
      <t>AND</t>
    </r>
    <r>
      <rPr>
        <sz val="11"/>
        <color theme="1"/>
        <rFont val="HGｺﾞｼｯｸM"/>
        <family val="3"/>
        <charset val="128"/>
      </rPr>
      <t xml:space="preserve"> col.column_id = col_alias.column_id</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</si>
  <si>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sys.types type_info</t>
    </r>
  </si>
  <si>
    <r>
      <t xml:space="preserve">        </t>
    </r>
    <r>
      <rPr>
        <sz val="11"/>
        <color rgb="FF0080FF"/>
        <rFont val="HGｺﾞｼｯｸM"/>
        <family val="3"/>
        <charset val="128"/>
      </rPr>
      <t>ON</t>
    </r>
    <r>
      <rPr>
        <sz val="11"/>
        <color theme="1"/>
        <rFont val="HGｺﾞｼｯｸM"/>
        <family val="3"/>
        <charset val="128"/>
      </rPr>
      <t xml:space="preserve"> col.user_type_id = type_info.user_type_id</t>
    </r>
  </si>
  <si>
    <r>
      <t xml:space="preserve">        </t>
    </r>
    <r>
      <rPr>
        <sz val="11"/>
        <color rgb="FF0080FF"/>
        <rFont val="HGｺﾞｼｯｸM"/>
        <family val="3"/>
        <charset val="128"/>
      </rPr>
      <t>AND</t>
    </r>
    <r>
      <rPr>
        <sz val="11"/>
        <color theme="1"/>
        <rFont val="HGｺﾞｼｯｸM"/>
        <family val="3"/>
        <charset val="128"/>
      </rPr>
      <t xml:space="preserve"> col.system_type_id = type_info.system_type_id</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</si>
  <si>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sys.default_constraints def_const</t>
    </r>
  </si>
  <si>
    <r>
      <t xml:space="preserve">        </t>
    </r>
    <r>
      <rPr>
        <sz val="11"/>
        <color rgb="FF0080FF"/>
        <rFont val="HGｺﾞｼｯｸM"/>
        <family val="3"/>
        <charset val="128"/>
      </rPr>
      <t>ON</t>
    </r>
    <r>
      <rPr>
        <sz val="11"/>
        <color theme="1"/>
        <rFont val="HGｺﾞｼｯｸM"/>
        <family val="3"/>
        <charset val="128"/>
      </rPr>
      <t xml:space="preserve"> col.default_object_id = def_const.object_id</t>
    </r>
  </si>
  <si>
    <r>
      <t xml:space="preserve">    </t>
    </r>
    <r>
      <rPr>
        <sz val="11"/>
        <color rgb="FF0080FF"/>
        <rFont val="HGｺﾞｼｯｸM"/>
        <family val="3"/>
        <charset val="128"/>
      </rPr>
      <t>SCHEMA_NAME</t>
    </r>
    <r>
      <rPr>
        <sz val="11"/>
        <color theme="1"/>
        <rFont val="HGｺﾞｼｯｸM"/>
        <family val="3"/>
        <charset val="128"/>
      </rPr>
      <t xml:space="preserve">(tbl.schema_id) = </t>
    </r>
    <r>
      <rPr>
        <sz val="11"/>
        <color rgb="FFFF2800"/>
        <rFont val="HGｺﾞｼｯｸM"/>
        <family val="3"/>
        <charset val="128"/>
      </rPr>
      <t>'schema_name'</t>
    </r>
    <r>
      <rPr>
        <sz val="11"/>
        <color theme="1"/>
        <rFont val="HGｺﾞｼｯｸM"/>
        <family val="3"/>
        <charset val="128"/>
      </rPr>
      <t xml:space="preserve"> </t>
    </r>
    <r>
      <rPr>
        <sz val="11"/>
        <color rgb="FF35A16B"/>
        <rFont val="HGｺﾞｼｯｸM"/>
        <family val="3"/>
        <charset val="128"/>
      </rPr>
      <t>--★★★ スキーマ名指定 ★★★</t>
    </r>
  </si>
  <si>
    <r>
      <t xml:space="preserve">    </t>
    </r>
    <r>
      <rPr>
        <sz val="11"/>
        <color rgb="FF0080FF"/>
        <rFont val="HGｺﾞｼｯｸM"/>
        <family val="3"/>
        <charset val="128"/>
      </rPr>
      <t>AND</t>
    </r>
    <r>
      <rPr>
        <sz val="11"/>
        <color theme="1"/>
        <rFont val="HGｺﾞｼｯｸM"/>
        <family val="3"/>
        <charset val="128"/>
      </rPr>
      <t xml:space="preserve"> tbl.name </t>
    </r>
    <r>
      <rPr>
        <sz val="11"/>
        <color rgb="FF0080FF"/>
        <rFont val="HGｺﾞｼｯｸM"/>
        <family val="3"/>
        <charset val="128"/>
      </rPr>
      <t>LIKE</t>
    </r>
    <r>
      <rPr>
        <sz val="11"/>
        <color theme="1"/>
        <rFont val="HGｺﾞｼｯｸM"/>
        <family val="3"/>
        <charset val="128"/>
      </rPr>
      <t xml:space="preserve"> </t>
    </r>
    <r>
      <rPr>
        <sz val="11"/>
        <color rgb="FFFF2800"/>
        <rFont val="HGｺﾞｼｯｸM"/>
        <family val="3"/>
        <charset val="128"/>
      </rPr>
      <t>'tbl_name%'</t>
    </r>
    <r>
      <rPr>
        <sz val="11"/>
        <color theme="1"/>
        <rFont val="HGｺﾞｼｯｸM"/>
        <family val="3"/>
        <charset val="128"/>
      </rPr>
      <t xml:space="preserve">              </t>
    </r>
    <r>
      <rPr>
        <sz val="11"/>
        <color rgb="FF35A16B"/>
        <rFont val="HGｺﾞｼｯｸM"/>
        <family val="3"/>
        <charset val="128"/>
      </rPr>
      <t>--★★★ テーブル名指定 ★★★</t>
    </r>
  </si>
  <si>
    <t xml:space="preserve">    tbl.name</t>
  </si>
  <si>
    <t xml:space="preserve">    , col.column_id;</t>
  </si>
  <si>
    <t>使い方</t>
  </si>
  <si>
    <t>1,</t>
  </si>
  <si>
    <t>TBL情報Sheetを作成する</t>
  </si>
  <si>
    <t>1-1,</t>
  </si>
  <si>
    <r>
      <t>Sheet[SQL]のSQLをA5M2で実行し、実行結果を全てコピーし、Sheet[TBL1]の</t>
    </r>
    <r>
      <rPr>
        <b/>
        <sz val="11"/>
        <color rgb="FFFF0000"/>
        <rFont val="游ゴシック"/>
        <family val="3"/>
        <charset val="128"/>
        <scheme val="minor"/>
      </rPr>
      <t>赤枠</t>
    </r>
    <r>
      <rPr>
        <sz val="11"/>
        <color theme="1"/>
        <rFont val="游ゴシック"/>
        <family val="2"/>
        <charset val="128"/>
        <scheme val="minor"/>
      </rPr>
      <t>(A1)に貼り付け</t>
    </r>
  </si>
  <si>
    <t>(TBL量が多い場合、大まかに分けて、TBL2以降に貼り付け)</t>
  </si>
  <si>
    <t>A5M2(検索結果)</t>
  </si>
  <si>
    <t>↓全選択、コピー、貼り付け</t>
  </si>
  <si>
    <t>Sheet[TBL1]</t>
  </si>
  <si>
    <t>↑ 検索結果をA1に貼り付け</t>
  </si>
  <si>
    <t>→</t>
  </si>
  <si>
    <t>2,</t>
  </si>
  <si>
    <t>SQL作成Sheetを作成する</t>
  </si>
  <si>
    <t>2-1,</t>
  </si>
  <si>
    <r>
      <t>Sheet[Sheet作成]の</t>
    </r>
    <r>
      <rPr>
        <b/>
        <sz val="11"/>
        <color rgb="FFFF0000"/>
        <rFont val="游ゴシック"/>
        <family val="3"/>
        <charset val="128"/>
        <scheme val="minor"/>
      </rPr>
      <t>赤枠</t>
    </r>
    <r>
      <rPr>
        <sz val="11"/>
        <color theme="1"/>
        <rFont val="游ゴシック"/>
        <family val="2"/>
        <charset val="128"/>
        <scheme val="minor"/>
      </rPr>
      <t>項目にSheet作成情報を入力する</t>
    </r>
  </si>
  <si>
    <t>TBL1</t>
  </si>
  <si>
    <t>Oracle</t>
  </si>
  <si>
    <t>SYSTEM</t>
  </si>
  <si>
    <t>INPUT1</t>
  </si>
  <si>
    <t>INPUT2</t>
  </si>
  <si>
    <t>INPUT3</t>
  </si>
  <si>
    <t>2-2,</t>
  </si>
  <si>
    <t>上部</t>
  </si>
  <si>
    <t>Sheet作成</t>
  </si>
  <si>
    <t>ボタンを押す</t>
  </si>
  <si>
    <t>2-3,</t>
  </si>
  <si>
    <t>Sheetが２種類作成される</t>
  </si>
  <si>
    <t>"I-XXX"</t>
  </si>
  <si>
    <t>← INSERT用</t>
  </si>
  <si>
    <t>"D-XXX"</t>
  </si>
  <si>
    <t>← DELETE用</t>
  </si>
  <si>
    <t>I-INPUT1</t>
  </si>
  <si>
    <t>D-INPUT1</t>
  </si>
  <si>
    <t>I-INPUT2</t>
  </si>
  <si>
    <t>D-INPUT2</t>
  </si>
  <si>
    <t>I-INPUT3</t>
  </si>
  <si>
    <t>D-INPUT3</t>
  </si>
  <si>
    <t>3,</t>
  </si>
  <si>
    <t>INSERT</t>
  </si>
  <si>
    <t>SQLファイルを作成する</t>
  </si>
  <si>
    <t>3-1,</t>
  </si>
  <si>
    <r>
      <t>赤枠</t>
    </r>
    <r>
      <rPr>
        <sz val="11"/>
        <color theme="1"/>
        <rFont val="游ゴシック"/>
        <family val="2"/>
        <charset val="128"/>
        <scheme val="minor"/>
      </rPr>
      <t>に値を入力する</t>
    </r>
  </si>
  <si>
    <t>Sheet[I-INPUT1]</t>
  </si>
  <si>
    <t>0000000001</t>
  </si>
  <si>
    <t>AAA</t>
  </si>
  <si>
    <t>AAA@AAA.jp</t>
  </si>
  <si>
    <t>0000000002</t>
  </si>
  <si>
    <t>BBB</t>
  </si>
  <si>
    <t>BBB@BBB.jp</t>
  </si>
  <si>
    <t>0000000003</t>
  </si>
  <si>
    <t>CCC</t>
  </si>
  <si>
    <t>CCC@CCC.jp</t>
  </si>
  <si>
    <t>3-2,</t>
  </si>
  <si>
    <t>設定値を設定する</t>
  </si>
  <si>
    <t>作成</t>
  </si>
  <si>
    <t>作成するファイル名を指定 (未入力の場合、Sheet名で作成)</t>
  </si>
  <si>
    <t>FILE名</t>
  </si>
  <si>
    <t>DBの種類を指定</t>
  </si>
  <si>
    <t>スキーマ名を指定</t>
  </si>
  <si>
    <t>テーブル論理名を指定</t>
  </si>
  <si>
    <t>テーブル物理名を指定</t>
  </si>
  <si>
    <t>3-3,</t>
  </si>
  <si>
    <t>左部</t>
  </si>
  <si>
    <t>SQL作成</t>
  </si>
  <si>
    <t>3-4,</t>
  </si>
  <si>
    <t>このExcelファイルと同じ場所に本日日付フォルダが作成され、その中にファイルが２種類作成される</t>
  </si>
  <si>
    <t>INSERT SQLファイル</t>
  </si>
  <si>
    <t>A5M2 インポート用 CSVファイル</t>
  </si>
  <si>
    <t>4,</t>
  </si>
  <si>
    <t>DELETE</t>
  </si>
  <si>
    <t>4-1,</t>
  </si>
  <si>
    <t>3-1, と同じ手順</t>
  </si>
  <si>
    <t>4-2,</t>
  </si>
  <si>
    <t>3-2, と同じ手順</t>
  </si>
  <si>
    <t>4-3,</t>
  </si>
  <si>
    <t>3-3, と同じ手順</t>
  </si>
  <si>
    <t>4-4,</t>
  </si>
  <si>
    <t>このExcelファイルと同じ場所に本日日付フォルダが作成され、その中にファイルが作成される</t>
  </si>
  <si>
    <t>DELETE SQLファイル</t>
  </si>
  <si>
    <t>N</t>
    <phoneticPr fontId="2"/>
  </si>
  <si>
    <t>Y</t>
    <phoneticPr fontId="2"/>
  </si>
  <si>
    <t>customer_name00004</t>
  </si>
  <si>
    <t>customer_name00005</t>
  </si>
  <si>
    <t>ORDER_DETAILS</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</si>
</sst>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m/dd\(aaa\)"/>
  </numFmts>
  <fonts count="14">
    <font>
      <sz val="11"/>
      <color theme="1"/>
      <name val="游ゴシック"/>
      <family val="2"/>
      <charset val="128"/>
      <scheme val="minor"/>
    </font>
    <font>
      <sz val="11"/>
      <color theme="1"/>
      <name val="HGｺﾞｼｯｸM"/>
      <family val="3"/>
      <charset val="128"/>
    </font>
    <font>
      <sz val="6"/>
      <name val="游ゴシック"/>
      <family val="2"/>
      <charset val="128"/>
      <scheme val="minor"/>
    </font>
    <font>
      <b/>
      <sz val="11"/>
      <color theme="1"/>
      <name val="HGｺﾞｼｯｸM"/>
      <family val="3"/>
      <charset val="128"/>
    </font>
    <font>
      <b/>
      <sz val="11"/>
      <color rgb="FFFF0000"/>
      <name val="HGｺﾞｼｯｸM"/>
      <family val="3"/>
      <charset val="128"/>
    </font>
    <font>
      <sz val="9"/>
      <color indexed="81"/>
      <name val="MS P ゴシック"/>
      <family val="3"/>
      <charset val="128"/>
    </font>
    <font>
      <b/>
      <sz val="11"/>
      <color theme="1"/>
      <name val="游ゴシック"/>
      <family val="3"/>
      <charset val="128"/>
      <scheme val="minor"/>
    </font>
    <font>
      <b/>
      <sz val="11"/>
      <color rgb="FF000000"/>
      <name val="游ゴシック"/>
      <family val="3"/>
      <charset val="128"/>
      <scheme val="minor"/>
    </font>
    <font>
      <sz val="11"/>
      <color rgb="FFC0C0C0"/>
      <name val="游ゴシック"/>
      <family val="3"/>
      <charset val="128"/>
      <scheme val="minor"/>
    </font>
    <font>
      <sz val="11"/>
      <color rgb="FF35A16B"/>
      <name val="HGｺﾞｼｯｸM"/>
      <family val="3"/>
      <charset val="128"/>
    </font>
    <font>
      <sz val="11"/>
      <color rgb="FF0080FF"/>
      <name val="HGｺﾞｼｯｸM"/>
      <family val="3"/>
      <charset val="128"/>
    </font>
    <font>
      <sz val="11"/>
      <color rgb="FFFF2800"/>
      <name val="HGｺﾞｼｯｸM"/>
      <family val="3"/>
      <charset val="128"/>
    </font>
    <font>
      <b/>
      <sz val="11"/>
      <color rgb="FFFF0000"/>
      <name val="游ゴシック"/>
      <family val="3"/>
      <charset val="128"/>
      <scheme val="minor"/>
    </font>
    <font>
      <b/>
      <sz val="11"/>
      <color rgb="FFFFFFFF"/>
      <name val="游ゴシック"/>
      <family val="3"/>
      <charset val="128"/>
      <scheme val="minor"/>
    </font>
  </fonts>
  <fills count="13">
    <fill>
      <patternFill patternType="none"/>
    </fill>
    <fill>
      <patternFill patternType="gray125"/>
    </fill>
    <fill>
      <patternFill patternType="solid">
        <fgColor rgb="FFFFC000"/>
        <bgColor indexed="64"/>
      </patternFill>
    </fill>
    <fill>
      <patternFill patternType="solid">
        <fgColor rgb="FFFFF2CC"/>
        <bgColor indexed="64"/>
      </patternFill>
    </fill>
    <fill>
      <patternFill patternType="solid">
        <fgColor rgb="FFD9D9D9"/>
        <bgColor indexed="64"/>
      </patternFill>
    </fill>
    <fill>
      <patternFill patternType="solid">
        <fgColor rgb="FFFF0000"/>
        <bgColor indexed="64"/>
      </patternFill>
    </fill>
    <fill>
      <patternFill patternType="solid">
        <fgColor rgb="FF808080"/>
        <bgColor indexed="64"/>
      </patternFill>
    </fill>
    <fill>
      <patternFill patternType="solid">
        <fgColor rgb="FF87E7AD"/>
        <bgColor indexed="64"/>
      </patternFill>
    </fill>
    <fill>
      <patternFill patternType="solid">
        <fgColor rgb="FFD9E6FF"/>
        <bgColor indexed="64"/>
      </patternFill>
    </fill>
    <fill>
      <patternFill patternType="solid">
        <fgColor rgb="FFF2F2F2"/>
        <bgColor indexed="64"/>
      </patternFill>
    </fill>
    <fill>
      <patternFill patternType="solid">
        <fgColor rgb="FF5B9BD5"/>
        <bgColor indexed="64"/>
      </patternFill>
    </fill>
    <fill>
      <patternFill patternType="solid">
        <fgColor rgb="FFBDD7EE"/>
        <bgColor indexed="64"/>
      </patternFill>
    </fill>
    <fill>
      <patternFill patternType="solid">
        <fgColor rgb="FFED7D31"/>
        <bgColor indexed="64"/>
      </patternFill>
    </fill>
  </fills>
  <borders count="66">
    <border>
      <left/>
      <right/>
      <top/>
      <bottom/>
      <diagonal/>
    </border>
    <border>
      <left/>
      <right/>
      <top/>
      <bottom style="hair">
        <color indexed="64"/>
      </bottom>
      <diagonal/>
    </border>
    <border>
      <left/>
      <right/>
      <top style="hair">
        <color indexed="64"/>
      </top>
      <bottom style="hair">
        <color indexed="64"/>
      </bottom>
      <diagonal/>
    </border>
    <border>
      <left/>
      <right/>
      <top style="hair">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diagonal/>
    </border>
    <border>
      <left style="thin">
        <color rgb="FFBFBFBF"/>
      </left>
      <right/>
      <top style="thin">
        <color rgb="FFBFBFBF"/>
      </top>
      <bottom/>
      <diagonal/>
    </border>
    <border>
      <left style="thin">
        <color rgb="FFBFBFBF"/>
      </left>
      <right/>
      <top style="thin">
        <color rgb="FFBFBFBF"/>
      </top>
      <bottom style="thin">
        <color rgb="FFBFBFBF"/>
      </bottom>
      <diagonal/>
    </border>
    <border>
      <left style="thick">
        <color rgb="FFFF0000"/>
      </left>
      <right style="thin">
        <color rgb="FFBFBFBF"/>
      </right>
      <top style="thick">
        <color rgb="FFFF0000"/>
      </top>
      <bottom style="thin">
        <color rgb="FFBFBFBF"/>
      </bottom>
      <diagonal/>
    </border>
    <border>
      <left style="thin">
        <color rgb="FFBFBFBF"/>
      </left>
      <right style="thin">
        <color rgb="FFBFBFBF"/>
      </right>
      <top style="thick">
        <color rgb="FFFF0000"/>
      </top>
      <bottom style="thin">
        <color rgb="FFBFBFBF"/>
      </bottom>
      <diagonal/>
    </border>
    <border>
      <left style="thin">
        <color rgb="FFBFBFBF"/>
      </left>
      <right style="thick">
        <color rgb="FFFF0000"/>
      </right>
      <top style="thick">
        <color rgb="FFFF0000"/>
      </top>
      <bottom style="thin">
        <color rgb="FFBFBFBF"/>
      </bottom>
      <diagonal/>
    </border>
    <border>
      <left style="thick">
        <color rgb="FFFF0000"/>
      </left>
      <right style="thin">
        <color rgb="FFBFBFBF"/>
      </right>
      <top style="thin">
        <color rgb="FFBFBFBF"/>
      </top>
      <bottom style="thin">
        <color rgb="FFBFBFBF"/>
      </bottom>
      <diagonal/>
    </border>
    <border>
      <left style="thin">
        <color rgb="FFBFBFBF"/>
      </left>
      <right style="thick">
        <color rgb="FFFF0000"/>
      </right>
      <top style="thin">
        <color rgb="FFBFBFBF"/>
      </top>
      <bottom style="thin">
        <color rgb="FFBFBFBF"/>
      </bottom>
      <diagonal/>
    </border>
    <border>
      <left style="thick">
        <color rgb="FFFF0000"/>
      </left>
      <right style="thin">
        <color rgb="FFBFBFBF"/>
      </right>
      <top style="thin">
        <color rgb="FFBFBFBF"/>
      </top>
      <bottom style="thick">
        <color rgb="FFFF0000"/>
      </bottom>
      <diagonal/>
    </border>
    <border>
      <left style="thin">
        <color rgb="FFBFBFBF"/>
      </left>
      <right style="thin">
        <color rgb="FFBFBFBF"/>
      </right>
      <top style="thin">
        <color rgb="FFBFBFBF"/>
      </top>
      <bottom style="thick">
        <color rgb="FFFF0000"/>
      </bottom>
      <diagonal/>
    </border>
    <border>
      <left style="thin">
        <color rgb="FFBFBFBF"/>
      </left>
      <right style="thick">
        <color rgb="FFFF0000"/>
      </right>
      <top style="thin">
        <color rgb="FFBFBFBF"/>
      </top>
      <bottom style="thick">
        <color rgb="FFFF0000"/>
      </bottom>
      <diagonal/>
    </border>
    <border>
      <left style="thick">
        <color rgb="FFFF0000"/>
      </left>
      <right style="thin">
        <color indexed="64"/>
      </right>
      <top style="thick">
        <color rgb="FFFF0000"/>
      </top>
      <bottom style="thick">
        <color rgb="FFFF0000"/>
      </bottom>
      <diagonal/>
    </border>
    <border>
      <left style="thin">
        <color indexed="64"/>
      </left>
      <right style="thin">
        <color indexed="64"/>
      </right>
      <top style="thick">
        <color rgb="FFFF0000"/>
      </top>
      <bottom style="thick">
        <color rgb="FFFF0000"/>
      </bottom>
      <diagonal/>
    </border>
    <border>
      <left style="thin">
        <color indexed="64"/>
      </left>
      <right style="thick">
        <color rgb="FFFF0000"/>
      </right>
      <top style="thick">
        <color rgb="FFFF0000"/>
      </top>
      <bottom style="thick">
        <color rgb="FFFF0000"/>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hair">
        <color indexed="64"/>
      </left>
      <right/>
      <top style="thin">
        <color indexed="64"/>
      </top>
      <bottom style="hair">
        <color indexed="64"/>
      </bottom>
      <diagonal/>
    </border>
    <border>
      <left style="thick">
        <color rgb="FFFF0000"/>
      </left>
      <right style="hair">
        <color indexed="64"/>
      </right>
      <top style="thick">
        <color rgb="FFFF0000"/>
      </top>
      <bottom style="thick">
        <color rgb="FFFF0000"/>
      </bottom>
      <diagonal/>
    </border>
    <border>
      <left style="hair">
        <color indexed="64"/>
      </left>
      <right style="hair">
        <color indexed="64"/>
      </right>
      <top style="thick">
        <color rgb="FFFF0000"/>
      </top>
      <bottom style="thick">
        <color rgb="FFFF0000"/>
      </bottom>
      <diagonal/>
    </border>
    <border>
      <left style="hair">
        <color indexed="64"/>
      </left>
      <right style="thick">
        <color rgb="FFFF0000"/>
      </right>
      <top style="thick">
        <color rgb="FFFF0000"/>
      </top>
      <bottom style="thick">
        <color rgb="FFFF0000"/>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style="hair">
        <color indexed="64"/>
      </left>
      <right/>
      <top style="hair">
        <color indexed="64"/>
      </top>
      <bottom style="hair">
        <color indexed="64"/>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top style="hair">
        <color indexed="64"/>
      </top>
      <bottom/>
      <diagonal/>
    </border>
    <border>
      <left style="double">
        <color rgb="FFFFFFFF"/>
      </left>
      <right/>
      <top style="double">
        <color rgb="FFFFFFFF"/>
      </top>
      <bottom style="double">
        <color rgb="FFFFFFFF"/>
      </bottom>
      <diagonal/>
    </border>
    <border>
      <left/>
      <right/>
      <top style="double">
        <color rgb="FFFFFFFF"/>
      </top>
      <bottom style="double">
        <color rgb="FFFFFFFF"/>
      </bottom>
      <diagonal/>
    </border>
    <border>
      <left/>
      <right style="double">
        <color rgb="FFFFFFFF"/>
      </right>
      <top style="double">
        <color rgb="FFFFFFFF"/>
      </top>
      <bottom style="double">
        <color rgb="FFFFFFFF"/>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hair">
        <color indexed="64"/>
      </bottom>
      <diagonal/>
    </border>
    <border>
      <left style="thick">
        <color rgb="FFFF0000"/>
      </left>
      <right/>
      <top style="thick">
        <color rgb="FFFF0000"/>
      </top>
      <bottom style="hair">
        <color indexed="64"/>
      </bottom>
      <diagonal/>
    </border>
    <border>
      <left/>
      <right/>
      <top style="thick">
        <color rgb="FFFF0000"/>
      </top>
      <bottom style="hair">
        <color indexed="64"/>
      </bottom>
      <diagonal/>
    </border>
    <border>
      <left/>
      <right style="thick">
        <color rgb="FFFF0000"/>
      </right>
      <top style="thick">
        <color rgb="FFFF0000"/>
      </top>
      <bottom style="hair">
        <color indexed="64"/>
      </bottom>
      <diagonal/>
    </border>
    <border>
      <left style="thin">
        <color indexed="64"/>
      </left>
      <right/>
      <top style="hair">
        <color indexed="64"/>
      </top>
      <bottom style="hair">
        <color indexed="64"/>
      </bottom>
      <diagonal/>
    </border>
    <border>
      <left style="thick">
        <color rgb="FFFF0000"/>
      </left>
      <right/>
      <top style="hair">
        <color indexed="64"/>
      </top>
      <bottom style="hair">
        <color indexed="64"/>
      </bottom>
      <diagonal/>
    </border>
    <border>
      <left/>
      <right style="thick">
        <color rgb="FFFF0000"/>
      </right>
      <top style="hair">
        <color indexed="64"/>
      </top>
      <bottom style="hair">
        <color indexed="64"/>
      </bottom>
      <diagonal/>
    </border>
    <border>
      <left style="thin">
        <color auto="1"/>
      </left>
      <right/>
      <top style="hair">
        <color indexed="64"/>
      </top>
      <bottom/>
      <diagonal/>
    </border>
    <border>
      <left style="thick">
        <color rgb="FFFF0000"/>
      </left>
      <right/>
      <top style="hair">
        <color indexed="64"/>
      </top>
      <bottom style="thick">
        <color rgb="FFFF0000"/>
      </bottom>
      <diagonal/>
    </border>
    <border>
      <left/>
      <right/>
      <top style="hair">
        <color indexed="64"/>
      </top>
      <bottom style="thick">
        <color rgb="FFFF0000"/>
      </bottom>
      <diagonal/>
    </border>
    <border>
      <left/>
      <right style="thick">
        <color rgb="FFFF0000"/>
      </right>
      <top style="hair">
        <color indexed="64"/>
      </top>
      <bottom style="thick">
        <color rgb="FFFF0000"/>
      </bottom>
      <diagonal/>
    </border>
  </borders>
  <cellStyleXfs count="1">
    <xf numFmtId="0" fontId="0" fillId="0" borderId="0">
      <alignment vertical="center"/>
    </xf>
  </cellStyleXfs>
  <cellXfs count="144">
    <xf numFmtId="0" fontId="0" fillId="0" borderId="0" xfId="0">
      <alignment vertical="center"/>
    </xf>
    <xf numFmtId="0" fontId="1" fillId="4" borderId="0" xfId="0" applyFont="1" applyFill="1" applyAlignment="1">
      <alignment horizontal="center" vertical="top"/>
    </xf>
    <xf numFmtId="0" fontId="1" fillId="0" borderId="0" xfId="0" applyFont="1" applyAlignment="1">
      <alignment horizontal="center" vertical="top"/>
    </xf>
    <xf numFmtId="0" fontId="1" fillId="0" borderId="0" xfId="0" applyFont="1" applyAlignment="1">
      <alignment horizontal="left" vertical="top"/>
    </xf>
    <xf numFmtId="0" fontId="1" fillId="2" borderId="0" xfId="0" applyFont="1" applyFill="1" applyAlignment="1">
      <alignment horizontal="center" vertical="top"/>
    </xf>
    <xf numFmtId="0" fontId="1" fillId="3" borderId="0" xfId="0" applyFont="1" applyFill="1" applyAlignment="1">
      <alignment horizontal="left" vertical="top"/>
    </xf>
    <xf numFmtId="0" fontId="4" fillId="0" borderId="0" xfId="0" applyFont="1" applyAlignment="1">
      <alignment horizontal="center" vertical="top"/>
    </xf>
    <xf numFmtId="0" fontId="1" fillId="6" borderId="0" xfId="0" applyFont="1" applyFill="1" applyAlignment="1">
      <alignment horizontal="center" vertical="top"/>
    </xf>
    <xf numFmtId="0" fontId="1" fillId="6" borderId="0" xfId="0" applyFont="1" applyFill="1" applyAlignment="1">
      <alignment horizontal="left" vertical="top"/>
    </xf>
    <xf numFmtId="0" fontId="1" fillId="4" borderId="1" xfId="0" applyFont="1" applyFill="1" applyBorder="1" applyAlignment="1">
      <alignment horizontal="center" vertical="top"/>
    </xf>
    <xf numFmtId="0" fontId="1" fillId="0" borderId="1" xfId="0" applyFont="1" applyBorder="1" applyAlignment="1">
      <alignment horizontal="center" vertical="top"/>
    </xf>
    <xf numFmtId="0" fontId="1" fillId="4" borderId="2" xfId="0" applyFont="1" applyFill="1" applyBorder="1" applyAlignment="1">
      <alignment horizontal="center" vertical="top"/>
    </xf>
    <xf numFmtId="0" fontId="1" fillId="0" borderId="2" xfId="0" applyFont="1" applyBorder="1" applyAlignment="1">
      <alignment horizontal="left" vertical="top" wrapText="1"/>
    </xf>
    <xf numFmtId="0" fontId="1" fillId="4" borderId="1" xfId="0" applyFont="1" applyFill="1" applyBorder="1" applyAlignment="1">
      <alignment horizontal="left" vertical="top"/>
    </xf>
    <xf numFmtId="3" fontId="1" fillId="0" borderId="2" xfId="0" applyNumberFormat="1" applyFont="1" applyBorder="1" applyAlignment="1">
      <alignment horizontal="right" vertical="top"/>
    </xf>
    <xf numFmtId="49" fontId="1" fillId="0" borderId="2" xfId="0" applyNumberFormat="1" applyFont="1" applyBorder="1" applyAlignment="1">
      <alignment horizontal="left" vertical="top"/>
    </xf>
    <xf numFmtId="176" fontId="1" fillId="0" borderId="2" xfId="0" applyNumberFormat="1" applyFont="1" applyBorder="1" applyAlignment="1">
      <alignment horizontal="left" vertical="top"/>
    </xf>
    <xf numFmtId="0" fontId="1" fillId="4" borderId="3" xfId="0" applyFont="1" applyFill="1" applyBorder="1" applyAlignment="1">
      <alignment horizontal="center" vertical="top"/>
    </xf>
    <xf numFmtId="3" fontId="1" fillId="0" borderId="3" xfId="0" applyNumberFormat="1" applyFont="1" applyBorder="1" applyAlignment="1">
      <alignment horizontal="right" vertical="top"/>
    </xf>
    <xf numFmtId="49" fontId="1" fillId="0" borderId="3" xfId="0" applyNumberFormat="1" applyFont="1" applyBorder="1" applyAlignment="1">
      <alignment horizontal="left" vertical="top"/>
    </xf>
    <xf numFmtId="176" fontId="1" fillId="0" borderId="3" xfId="0" applyNumberFormat="1" applyFont="1" applyBorder="1" applyAlignment="1">
      <alignment horizontal="left" vertical="top"/>
    </xf>
    <xf numFmtId="0" fontId="0" fillId="0" borderId="0" xfId="0" applyAlignment="1">
      <alignment horizontal="left" vertical="top"/>
    </xf>
    <xf numFmtId="0" fontId="6" fillId="7" borderId="4" xfId="0" applyFont="1" applyFill="1" applyBorder="1" applyAlignment="1">
      <alignment horizontal="center" vertical="center"/>
    </xf>
    <xf numFmtId="0" fontId="6" fillId="7" borderId="5" xfId="0" applyFont="1" applyFill="1" applyBorder="1" applyAlignment="1">
      <alignment horizontal="center" vertical="center"/>
    </xf>
    <xf numFmtId="0" fontId="6" fillId="7" borderId="6" xfId="0" applyFont="1" applyFill="1" applyBorder="1" applyAlignment="1">
      <alignment horizontal="center" vertical="center"/>
    </xf>
    <xf numFmtId="0" fontId="0" fillId="0" borderId="7" xfId="0" applyBorder="1" applyAlignment="1">
      <alignment horizontal="center" vertical="top"/>
    </xf>
    <xf numFmtId="0" fontId="0" fillId="4" borderId="8" xfId="0" applyFill="1" applyBorder="1"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0" fontId="0" fillId="0" borderId="10" xfId="0" applyBorder="1" applyAlignment="1">
      <alignment horizontal="center" vertical="top"/>
    </xf>
    <xf numFmtId="0" fontId="0" fillId="4" borderId="11" xfId="0" applyFill="1" applyBorder="1" applyAlignment="1">
      <alignment horizontal="left" vertical="top" wrapText="1"/>
    </xf>
    <xf numFmtId="0" fontId="0" fillId="0" borderId="11" xfId="0" applyBorder="1" applyAlignment="1">
      <alignment horizontal="left" vertical="top" wrapText="1"/>
    </xf>
    <xf numFmtId="0" fontId="0" fillId="0" borderId="12" xfId="0" applyBorder="1" applyAlignment="1">
      <alignment horizontal="left" vertical="top" wrapText="1"/>
    </xf>
    <xf numFmtId="49" fontId="7" fillId="7" borderId="13" xfId="0" applyNumberFormat="1" applyFont="1" applyFill="1" applyBorder="1" applyAlignment="1">
      <alignment horizontal="left" vertical="center" wrapText="1"/>
    </xf>
    <xf numFmtId="1" fontId="0" fillId="0" borderId="13" xfId="0" applyNumberFormat="1" applyBorder="1" applyAlignment="1">
      <alignment horizontal="right" vertical="center"/>
    </xf>
    <xf numFmtId="49" fontId="0" fillId="0" borderId="13" xfId="0" applyNumberFormat="1" applyBorder="1">
      <alignment vertical="center"/>
    </xf>
    <xf numFmtId="0" fontId="8" fillId="0" borderId="13" xfId="0" applyFont="1" applyBorder="1">
      <alignment vertical="center"/>
    </xf>
    <xf numFmtId="0" fontId="9" fillId="0" borderId="0" xfId="0" quotePrefix="1" applyFont="1">
      <alignment vertical="center"/>
    </xf>
    <xf numFmtId="0" fontId="1" fillId="0" borderId="0" xfId="0" applyFont="1">
      <alignment vertical="center"/>
    </xf>
    <xf numFmtId="0" fontId="10" fillId="0" borderId="0" xfId="0" applyFont="1">
      <alignment vertical="center"/>
    </xf>
    <xf numFmtId="0" fontId="0" fillId="0" borderId="14" xfId="0" applyBorder="1" applyAlignment="1">
      <alignment horizontal="left" vertical="top"/>
    </xf>
    <xf numFmtId="0" fontId="0" fillId="0" borderId="16" xfId="0" applyBorder="1" applyAlignment="1">
      <alignment horizontal="left" vertical="top"/>
    </xf>
    <xf numFmtId="0" fontId="0" fillId="0" borderId="17" xfId="0" applyBorder="1" applyAlignment="1">
      <alignment horizontal="left" vertical="top"/>
    </xf>
    <xf numFmtId="0" fontId="12" fillId="0" borderId="0" xfId="0" applyFont="1" applyAlignment="1">
      <alignment horizontal="left" vertical="top"/>
    </xf>
    <xf numFmtId="0" fontId="1" fillId="0" borderId="2" xfId="0" applyFont="1" applyBorder="1" applyAlignment="1">
      <alignment horizontal="left" vertical="top" wrapText="1"/>
    </xf>
    <xf numFmtId="0" fontId="1" fillId="0" borderId="3" xfId="0" applyFont="1" applyBorder="1" applyAlignment="1">
      <alignment horizontal="left" vertical="top" wrapText="1"/>
    </xf>
    <xf numFmtId="0" fontId="1" fillId="2" borderId="0" xfId="0" applyFont="1" applyFill="1" applyAlignment="1">
      <alignment horizontal="center" vertical="top" wrapText="1"/>
    </xf>
    <xf numFmtId="0" fontId="1" fillId="3" borderId="0" xfId="0" applyFont="1" applyFill="1" applyAlignment="1">
      <alignment horizontal="left" vertical="top" wrapText="1"/>
    </xf>
    <xf numFmtId="0" fontId="13" fillId="10" borderId="45" xfId="0" applyFont="1" applyFill="1" applyBorder="1" applyAlignment="1">
      <alignment horizontal="center" vertical="center"/>
    </xf>
    <xf numFmtId="0" fontId="13" fillId="10" borderId="46" xfId="0" applyFont="1" applyFill="1" applyBorder="1" applyAlignment="1">
      <alignment horizontal="center" vertical="center"/>
    </xf>
    <xf numFmtId="0" fontId="13" fillId="10" borderId="47" xfId="0" applyFont="1" applyFill="1" applyBorder="1" applyAlignment="1">
      <alignment horizontal="center" vertical="center"/>
    </xf>
    <xf numFmtId="0" fontId="0" fillId="12" borderId="0" xfId="0" applyFill="1" applyAlignment="1">
      <alignment horizontal="center" vertical="center"/>
    </xf>
    <xf numFmtId="0" fontId="1" fillId="2" borderId="0" xfId="0" applyFont="1" applyFill="1" applyAlignment="1">
      <alignment horizontal="center" vertical="center"/>
    </xf>
    <xf numFmtId="0" fontId="1" fillId="3" borderId="0" xfId="0" applyFont="1" applyFill="1" applyAlignment="1">
      <alignment horizontal="left" vertical="top"/>
    </xf>
    <xf numFmtId="0" fontId="1" fillId="4" borderId="59" xfId="0" applyFont="1" applyFill="1" applyBorder="1" applyAlignment="1">
      <alignment horizontal="center" vertical="center"/>
    </xf>
    <xf numFmtId="0" fontId="1" fillId="4" borderId="2" xfId="0" applyFont="1" applyFill="1" applyBorder="1" applyAlignment="1">
      <alignment horizontal="center" vertical="center"/>
    </xf>
    <xf numFmtId="0" fontId="1" fillId="9" borderId="2" xfId="0" applyFont="1" applyFill="1" applyBorder="1" applyAlignment="1">
      <alignment horizontal="left" vertical="top"/>
    </xf>
    <xf numFmtId="0" fontId="1" fillId="9" borderId="60" xfId="0" quotePrefix="1" applyFont="1" applyFill="1" applyBorder="1" applyAlignment="1">
      <alignment horizontal="left" vertical="top"/>
    </xf>
    <xf numFmtId="0" fontId="1" fillId="9" borderId="2" xfId="0" quotePrefix="1" applyFont="1" applyFill="1" applyBorder="1" applyAlignment="1">
      <alignment horizontal="left" vertical="top"/>
    </xf>
    <xf numFmtId="0" fontId="1" fillId="9" borderId="61" xfId="0" applyFont="1" applyFill="1" applyBorder="1" applyAlignment="1">
      <alignment horizontal="left" vertical="top"/>
    </xf>
    <xf numFmtId="0" fontId="1" fillId="4" borderId="62" xfId="0" applyFont="1" applyFill="1" applyBorder="1" applyAlignment="1">
      <alignment horizontal="center" vertical="center"/>
    </xf>
    <xf numFmtId="0" fontId="1" fillId="4" borderId="3" xfId="0" applyFont="1" applyFill="1" applyBorder="1" applyAlignment="1">
      <alignment horizontal="center" vertical="center"/>
    </xf>
    <xf numFmtId="0" fontId="1" fillId="0" borderId="3" xfId="0" applyFont="1" applyBorder="1" applyAlignment="1">
      <alignment horizontal="left" vertical="top"/>
    </xf>
    <xf numFmtId="0" fontId="1" fillId="0" borderId="63" xfId="0" quotePrefix="1" applyFont="1" applyBorder="1" applyAlignment="1">
      <alignment horizontal="left" vertical="top"/>
    </xf>
    <xf numFmtId="0" fontId="1" fillId="0" borderId="64" xfId="0" quotePrefix="1" applyFont="1" applyBorder="1" applyAlignment="1">
      <alignment horizontal="left" vertical="top"/>
    </xf>
    <xf numFmtId="0" fontId="1" fillId="0" borderId="64" xfId="0" applyFont="1" applyBorder="1" applyAlignment="1">
      <alignment horizontal="left" vertical="top"/>
    </xf>
    <xf numFmtId="0" fontId="1" fillId="0" borderId="65" xfId="0" applyFont="1" applyBorder="1" applyAlignment="1">
      <alignment horizontal="left" vertical="top"/>
    </xf>
    <xf numFmtId="0" fontId="1" fillId="4" borderId="52" xfId="0" applyFont="1" applyFill="1" applyBorder="1" applyAlignment="1">
      <alignment horizontal="center" vertical="center"/>
    </xf>
    <xf numFmtId="0" fontId="1" fillId="4" borderId="53" xfId="0" applyFont="1" applyFill="1" applyBorder="1" applyAlignment="1">
      <alignment horizontal="center" vertical="center"/>
    </xf>
    <xf numFmtId="0" fontId="1" fillId="4" borderId="54" xfId="0" applyFont="1" applyFill="1" applyBorder="1" applyAlignment="1">
      <alignment horizontal="center" vertical="center"/>
    </xf>
    <xf numFmtId="0" fontId="1" fillId="0" borderId="0" xfId="0" applyFont="1" applyAlignment="1">
      <alignment horizontal="center" vertical="center"/>
    </xf>
    <xf numFmtId="0" fontId="1" fillId="4" borderId="55" xfId="0" applyFont="1" applyFill="1" applyBorder="1" applyAlignment="1">
      <alignment horizontal="center" vertical="center"/>
    </xf>
    <xf numFmtId="0" fontId="1" fillId="4" borderId="1" xfId="0" applyFont="1" applyFill="1" applyBorder="1" applyAlignment="1">
      <alignment horizontal="center" vertical="center"/>
    </xf>
    <xf numFmtId="0" fontId="1" fillId="0" borderId="1" xfId="0" applyFont="1" applyBorder="1" applyAlignment="1">
      <alignment horizontal="left" vertical="top"/>
    </xf>
    <xf numFmtId="0" fontId="1" fillId="0" borderId="56" xfId="0" quotePrefix="1" applyFont="1" applyBorder="1" applyAlignment="1">
      <alignment horizontal="left" vertical="top"/>
    </xf>
    <xf numFmtId="0" fontId="1" fillId="0" borderId="57" xfId="0" quotePrefix="1" applyFont="1" applyBorder="1" applyAlignment="1">
      <alignment horizontal="left" vertical="top"/>
    </xf>
    <xf numFmtId="0" fontId="1" fillId="0" borderId="57" xfId="0" applyFont="1" applyBorder="1" applyAlignment="1">
      <alignment horizontal="left" vertical="top"/>
    </xf>
    <xf numFmtId="0" fontId="1" fillId="0" borderId="58" xfId="0" applyFont="1" applyBorder="1" applyAlignment="1">
      <alignment horizontal="left" vertical="top"/>
    </xf>
    <xf numFmtId="0" fontId="1" fillId="6" borderId="50" xfId="0" applyFont="1" applyFill="1" applyBorder="1" applyAlignment="1">
      <alignment horizontal="center" vertical="center"/>
    </xf>
    <xf numFmtId="0" fontId="1" fillId="6" borderId="0" xfId="0" applyFont="1" applyFill="1" applyAlignment="1">
      <alignment horizontal="center" vertical="center"/>
    </xf>
    <xf numFmtId="0" fontId="1" fillId="4" borderId="0" xfId="0" applyFont="1" applyFill="1" applyAlignment="1">
      <alignment horizontal="center" vertical="center"/>
    </xf>
    <xf numFmtId="0" fontId="1" fillId="4" borderId="51" xfId="0" applyFont="1" applyFill="1" applyBorder="1" applyAlignment="1">
      <alignment horizontal="center" vertical="center"/>
    </xf>
    <xf numFmtId="0" fontId="1" fillId="0" borderId="0" xfId="0" quotePrefix="1" applyFont="1" applyAlignment="1">
      <alignment horizontal="center" vertical="center"/>
    </xf>
    <xf numFmtId="0" fontId="4" fillId="0" borderId="0" xfId="0" applyFont="1" applyAlignment="1">
      <alignment horizontal="center" vertical="center"/>
    </xf>
    <xf numFmtId="0" fontId="3" fillId="5" borderId="0" xfId="0" applyFont="1" applyFill="1" applyAlignment="1">
      <alignment horizontal="center" vertical="center"/>
    </xf>
    <xf numFmtId="0" fontId="3" fillId="0" borderId="0" xfId="0" applyFont="1" applyAlignment="1">
      <alignment horizontal="center" vertical="center"/>
    </xf>
    <xf numFmtId="0" fontId="0" fillId="11" borderId="0" xfId="0" applyFill="1" applyAlignment="1">
      <alignment horizontal="center" vertical="center"/>
    </xf>
    <xf numFmtId="0" fontId="1" fillId="6" borderId="34" xfId="0" applyFont="1" applyFill="1" applyBorder="1" applyAlignment="1">
      <alignment horizontal="center" vertical="center"/>
    </xf>
    <xf numFmtId="0" fontId="1" fillId="6" borderId="48" xfId="0" applyFont="1" applyFill="1" applyBorder="1" applyAlignment="1">
      <alignment horizontal="center" vertical="center"/>
    </xf>
    <xf numFmtId="0" fontId="1" fillId="4" borderId="48" xfId="0" applyFont="1" applyFill="1" applyBorder="1" applyAlignment="1">
      <alignment horizontal="center" vertical="center"/>
    </xf>
    <xf numFmtId="0" fontId="1" fillId="4" borderId="49" xfId="0" applyFont="1" applyFill="1" applyBorder="1" applyAlignment="1">
      <alignment horizontal="center" vertical="center"/>
    </xf>
    <xf numFmtId="0" fontId="1" fillId="0" borderId="48" xfId="0" applyFont="1" applyBorder="1" applyAlignment="1">
      <alignment horizontal="center" vertical="center"/>
    </xf>
    <xf numFmtId="0" fontId="0" fillId="9" borderId="43" xfId="0" applyFill="1" applyBorder="1" applyAlignment="1">
      <alignment horizontal="left" vertical="top"/>
    </xf>
    <xf numFmtId="0" fontId="0" fillId="9" borderId="44" xfId="0" applyFill="1" applyBorder="1" applyAlignment="1">
      <alignment horizontal="left" vertical="top"/>
    </xf>
    <xf numFmtId="0" fontId="0" fillId="11" borderId="30" xfId="0" applyFill="1" applyBorder="1" applyAlignment="1">
      <alignment horizontal="center" vertical="center"/>
    </xf>
    <xf numFmtId="0" fontId="0" fillId="12" borderId="30" xfId="0" applyFill="1" applyBorder="1" applyAlignment="1">
      <alignment horizontal="center" vertical="center"/>
    </xf>
    <xf numFmtId="0" fontId="0" fillId="9" borderId="42" xfId="0" applyFill="1" applyBorder="1" applyAlignment="1">
      <alignment horizontal="center" vertical="top"/>
    </xf>
    <xf numFmtId="0" fontId="0" fillId="9" borderId="43" xfId="0" applyFill="1" applyBorder="1" applyAlignment="1">
      <alignment horizontal="center" vertical="top"/>
    </xf>
    <xf numFmtId="0" fontId="0" fillId="4" borderId="43" xfId="0" applyFill="1" applyBorder="1" applyAlignment="1">
      <alignment horizontal="left" vertical="top"/>
    </xf>
    <xf numFmtId="0" fontId="0" fillId="9" borderId="39" xfId="0" applyFill="1" applyBorder="1" applyAlignment="1">
      <alignment horizontal="left" vertical="top"/>
    </xf>
    <xf numFmtId="0" fontId="0" fillId="9" borderId="40" xfId="0" applyFill="1" applyBorder="1" applyAlignment="1">
      <alignment horizontal="left" vertical="top"/>
    </xf>
    <xf numFmtId="0" fontId="0" fillId="0" borderId="7" xfId="0" applyBorder="1" applyAlignment="1">
      <alignment horizontal="center" vertical="top"/>
    </xf>
    <xf numFmtId="0" fontId="0" fillId="0" borderId="8" xfId="0" applyBorder="1" applyAlignment="1">
      <alignment horizontal="center" vertical="top"/>
    </xf>
    <xf numFmtId="0" fontId="0" fillId="4" borderId="8" xfId="0" applyFill="1" applyBorder="1" applyAlignment="1">
      <alignment horizontal="left" vertical="top"/>
    </xf>
    <xf numFmtId="0" fontId="0" fillId="0" borderId="8" xfId="0" applyBorder="1" applyAlignment="1">
      <alignment horizontal="left" vertical="top"/>
    </xf>
    <xf numFmtId="0" fontId="0" fillId="0" borderId="41" xfId="0" applyBorder="1" applyAlignment="1">
      <alignment horizontal="left" vertical="top"/>
    </xf>
    <xf numFmtId="0" fontId="0" fillId="9" borderId="7" xfId="0" applyFill="1" applyBorder="1" applyAlignment="1">
      <alignment horizontal="center" vertical="top"/>
    </xf>
    <xf numFmtId="0" fontId="0" fillId="9" borderId="8" xfId="0" applyFill="1" applyBorder="1" applyAlignment="1">
      <alignment horizontal="center" vertical="top"/>
    </xf>
    <xf numFmtId="0" fontId="0" fillId="0" borderId="33" xfId="0" applyBorder="1" applyAlignment="1">
      <alignment horizontal="right" vertical="top"/>
    </xf>
    <xf numFmtId="0" fontId="0" fillId="0" borderId="33" xfId="0" applyBorder="1" applyAlignment="1">
      <alignment horizontal="left" vertical="top"/>
    </xf>
    <xf numFmtId="0" fontId="0" fillId="0" borderId="34" xfId="0" applyBorder="1" applyAlignment="1">
      <alignment horizontal="left" vertical="top"/>
    </xf>
    <xf numFmtId="0" fontId="6" fillId="7" borderId="4" xfId="0" applyFont="1" applyFill="1" applyBorder="1" applyAlignment="1">
      <alignment horizontal="center" vertical="top"/>
    </xf>
    <xf numFmtId="0" fontId="6" fillId="7" borderId="5" xfId="0" applyFont="1" applyFill="1" applyBorder="1" applyAlignment="1">
      <alignment horizontal="center" vertical="top"/>
    </xf>
    <xf numFmtId="0" fontId="6" fillId="7" borderId="35" xfId="0" applyFont="1" applyFill="1" applyBorder="1" applyAlignment="1">
      <alignment horizontal="center" vertical="top"/>
    </xf>
    <xf numFmtId="0" fontId="6" fillId="7" borderId="36" xfId="0" applyFont="1" applyFill="1" applyBorder="1" applyAlignment="1">
      <alignment horizontal="center" vertical="top"/>
    </xf>
    <xf numFmtId="0" fontId="6" fillId="7" borderId="37" xfId="0" applyFont="1" applyFill="1" applyBorder="1" applyAlignment="1">
      <alignment horizontal="center" vertical="top"/>
    </xf>
    <xf numFmtId="0" fontId="6" fillId="7" borderId="38" xfId="0" applyFont="1" applyFill="1" applyBorder="1" applyAlignment="1">
      <alignment horizontal="center" vertical="top"/>
    </xf>
    <xf numFmtId="0" fontId="0" fillId="0" borderId="32" xfId="0" applyBorder="1" applyAlignment="1">
      <alignment horizontal="left" vertical="top"/>
    </xf>
    <xf numFmtId="0" fontId="0" fillId="0" borderId="30" xfId="0" applyBorder="1" applyAlignment="1">
      <alignment horizontal="right" vertical="top"/>
    </xf>
    <xf numFmtId="0" fontId="0" fillId="0" borderId="30" xfId="0" applyBorder="1" applyAlignment="1">
      <alignment horizontal="left" vertical="top"/>
    </xf>
    <xf numFmtId="0" fontId="0" fillId="0" borderId="31" xfId="0" applyBorder="1" applyAlignment="1">
      <alignment horizontal="left" vertical="top"/>
    </xf>
    <xf numFmtId="0" fontId="6" fillId="7" borderId="26" xfId="0" applyFont="1" applyFill="1" applyBorder="1" applyAlignment="1">
      <alignment horizontal="left" vertical="top"/>
    </xf>
    <xf numFmtId="0" fontId="6" fillId="7" borderId="27" xfId="0" applyFont="1" applyFill="1" applyBorder="1" applyAlignment="1">
      <alignment horizontal="left" vertical="top"/>
    </xf>
    <xf numFmtId="0" fontId="6" fillId="7" borderId="28" xfId="0" applyFont="1" applyFill="1" applyBorder="1" applyAlignment="1">
      <alignment horizontal="left" vertical="top"/>
    </xf>
    <xf numFmtId="0" fontId="6" fillId="7" borderId="29" xfId="0" applyFont="1" applyFill="1" applyBorder="1" applyAlignment="1">
      <alignment horizontal="left" vertical="top"/>
    </xf>
    <xf numFmtId="0" fontId="6" fillId="7" borderId="30" xfId="0" applyFont="1" applyFill="1" applyBorder="1" applyAlignment="1">
      <alignment horizontal="left" vertical="top"/>
    </xf>
    <xf numFmtId="0" fontId="6" fillId="7" borderId="31" xfId="0" applyFont="1" applyFill="1" applyBorder="1" applyAlignment="1">
      <alignment horizontal="left" vertical="top"/>
    </xf>
    <xf numFmtId="0" fontId="0" fillId="8" borderId="21" xfId="0" applyFill="1" applyBorder="1" applyAlignment="1">
      <alignment horizontal="right" vertical="top"/>
    </xf>
    <xf numFmtId="0" fontId="0" fillId="8" borderId="14" xfId="0" applyFill="1" applyBorder="1" applyAlignment="1">
      <alignment horizontal="right" vertical="top"/>
    </xf>
    <xf numFmtId="0" fontId="0" fillId="8" borderId="14" xfId="0" applyFill="1" applyBorder="1" applyAlignment="1">
      <alignment horizontal="left" vertical="top"/>
    </xf>
    <xf numFmtId="0" fontId="0" fillId="8" borderId="22" xfId="0" applyFill="1" applyBorder="1" applyAlignment="1">
      <alignment horizontal="left" vertical="top"/>
    </xf>
    <xf numFmtId="0" fontId="0" fillId="0" borderId="23" xfId="0" applyBorder="1" applyAlignment="1">
      <alignment horizontal="right" vertical="top"/>
    </xf>
    <xf numFmtId="0" fontId="0" fillId="0" borderId="24" xfId="0" applyBorder="1" applyAlignment="1">
      <alignment horizontal="right" vertical="top"/>
    </xf>
    <xf numFmtId="0" fontId="0" fillId="0" borderId="24" xfId="0" applyBorder="1" applyAlignment="1">
      <alignment horizontal="left" vertical="top"/>
    </xf>
    <xf numFmtId="0" fontId="0" fillId="0" borderId="25" xfId="0" applyBorder="1" applyAlignment="1">
      <alignment horizontal="left" vertical="top"/>
    </xf>
    <xf numFmtId="0" fontId="0" fillId="0" borderId="15" xfId="0" applyBorder="1" applyAlignment="1">
      <alignment horizontal="left" vertical="top"/>
    </xf>
    <xf numFmtId="0" fontId="0" fillId="0" borderId="16" xfId="0" applyBorder="1" applyAlignment="1">
      <alignment horizontal="left" vertical="top"/>
    </xf>
    <xf numFmtId="0" fontId="0" fillId="0" borderId="18" xfId="0" applyBorder="1" applyAlignment="1">
      <alignment horizontal="right" vertical="top"/>
    </xf>
    <xf numFmtId="0" fontId="0" fillId="0" borderId="19" xfId="0" applyBorder="1" applyAlignment="1">
      <alignment horizontal="right" vertical="top"/>
    </xf>
    <xf numFmtId="0" fontId="0" fillId="0" borderId="19" xfId="0" applyBorder="1" applyAlignment="1">
      <alignment horizontal="left" vertical="top"/>
    </xf>
    <xf numFmtId="0" fontId="0" fillId="0" borderId="20" xfId="0" applyBorder="1" applyAlignment="1">
      <alignment horizontal="left" vertical="top"/>
    </xf>
    <xf numFmtId="0" fontId="3" fillId="5" borderId="0" xfId="0" applyFont="1" applyFill="1" applyAlignment="1">
      <alignment horizontal="center" vertical="top"/>
    </xf>
    <xf numFmtId="4" fontId="1" fillId="0" borderId="2" xfId="0" applyNumberFormat="1" applyFont="1" applyBorder="1" applyAlignment="1">
      <alignment horizontal="right" vertical="top"/>
    </xf>
    <xf numFmtId="4" fontId="1" fillId="0" borderId="3" xfId="0" applyNumberFormat="1" applyFont="1" applyBorder="1" applyAlignment="1">
      <alignment horizontal="right" vertical="top"/>
    </xf>
  </cellXfs>
  <cellStyles count="1">
    <cellStyle name="標準" xfId="0" builtinId="0"/>
  </cellStyles>
  <dxfs count="6">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5AEC61ED-9882-6563-EF6B-333CE945E2F1}"/>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CF87DF46-255A-920E-7BA2-273FB9C5708C}"/>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73643DFE-5058-794F-45AE-99DB95AA0D35}"/>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AF810085-9F3D-595E-A55F-00DD5E3640BC}"/>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0</xdr:row>
      <xdr:rowOff>50800</xdr:rowOff>
    </xdr:from>
    <xdr:to>
      <xdr:col>1</xdr:col>
      <xdr:colOff>1440000</xdr:colOff>
      <xdr:row>0</xdr:row>
      <xdr:rowOff>410800</xdr:rowOff>
    </xdr:to>
    <xdr:sp macro="Btn_CreateSheet_InputSql" textlink="">
      <xdr:nvSpPr>
        <xdr:cNvPr id="2" name="四角形: 角度付き 1">
          <a:extLst>
            <a:ext uri="{FF2B5EF4-FFF2-40B4-BE49-F238E27FC236}">
              <a16:creationId xmlns:a16="http://schemas.microsoft.com/office/drawing/2014/main" id="{35DDD2FA-74B3-4F52-9931-856032517DCD}"/>
            </a:ext>
          </a:extLst>
        </xdr:cNvPr>
        <xdr:cNvSpPr/>
      </xdr:nvSpPr>
      <xdr:spPr>
        <a:xfrm>
          <a:off x="358140" y="50800"/>
          <a:ext cx="1440000" cy="360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游ゴシック" panose="020B0400000000000000" pitchFamily="50" charset="-128"/>
              <a:ea typeface="游ゴシック" panose="020B0400000000000000" pitchFamily="50" charset="-128"/>
            </a:rPr>
            <a:t>Sheet</a:t>
          </a:r>
          <a:r>
            <a:rPr kumimoji="1" lang="ja-JP" altLang="en-US" sz="14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7DFD9C-E645-4C9B-936A-6AAF43AB6ADA}">
  <sheetPr codeName="Sheet17">
    <tabColor rgb="FFBDD7EE"/>
  </sheetPr>
  <dimension ref="A1:J113"/>
  <sheetViews>
    <sheetView showGridLines="0" tabSelected="1"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 customWidth="1"/>
    <col min="2" max="2" width="20.69921875" style="3" customWidth="1" outlineLevel="1"/>
    <col min="3" max="3" width="8.69921875" style="2" customWidth="1"/>
    <col min="4" max="10" width="15.69921875" style="3" customWidth="1"/>
    <col min="11" max="16384" width="8.796875" style="3"/>
  </cols>
  <sheetData>
    <row r="1" spans="1:10" ht="13.2" customHeight="1">
      <c r="A1" s="46" t="s">
        <v>0</v>
      </c>
      <c r="B1" s="47"/>
      <c r="C1" s="1" t="s">
        <v>1</v>
      </c>
      <c r="D1" s="2">
        <v>1</v>
      </c>
      <c r="E1" s="2">
        <v>2</v>
      </c>
      <c r="F1" s="2">
        <v>3</v>
      </c>
      <c r="G1" s="2">
        <v>4</v>
      </c>
      <c r="H1" s="2">
        <v>5</v>
      </c>
      <c r="I1" s="2">
        <v>6</v>
      </c>
      <c r="J1" s="2">
        <v>7</v>
      </c>
    </row>
    <row r="2" spans="1:10" ht="13.2" customHeight="1">
      <c r="A2" s="46"/>
      <c r="B2" s="47"/>
      <c r="C2" s="1" t="s">
        <v>2</v>
      </c>
      <c r="D2" s="2"/>
      <c r="E2" s="2"/>
      <c r="F2" s="2"/>
      <c r="G2" s="2"/>
      <c r="H2" s="2"/>
      <c r="I2" s="2"/>
      <c r="J2" s="2"/>
    </row>
    <row r="3" spans="1:10">
      <c r="A3" s="4" t="s">
        <v>4</v>
      </c>
      <c r="B3" s="5" t="s">
        <v>5</v>
      </c>
      <c r="C3" s="1" t="s">
        <v>6</v>
      </c>
      <c r="D3" s="2" t="s">
        <v>7</v>
      </c>
      <c r="E3" s="2" t="s">
        <v>8</v>
      </c>
      <c r="F3" s="2" t="s">
        <v>9</v>
      </c>
      <c r="G3" s="2" t="s">
        <v>10</v>
      </c>
      <c r="H3" s="2" t="s">
        <v>11</v>
      </c>
      <c r="I3" s="2" t="s">
        <v>12</v>
      </c>
      <c r="J3" s="2" t="s">
        <v>13</v>
      </c>
    </row>
    <row r="4" spans="1:10">
      <c r="A4" s="4" t="s">
        <v>14</v>
      </c>
      <c r="B4" s="5" t="s">
        <v>15</v>
      </c>
      <c r="C4" s="1" t="s">
        <v>16</v>
      </c>
      <c r="D4" s="2" t="s">
        <v>436</v>
      </c>
      <c r="E4" s="2" t="s">
        <v>17</v>
      </c>
      <c r="F4" s="2" t="s">
        <v>18</v>
      </c>
      <c r="G4" s="2" t="s">
        <v>19</v>
      </c>
      <c r="H4" s="2" t="s">
        <v>20</v>
      </c>
      <c r="I4" s="2" t="s">
        <v>21</v>
      </c>
      <c r="J4" s="2" t="s">
        <v>22</v>
      </c>
    </row>
    <row r="5" spans="1:10">
      <c r="A5" s="4" t="s">
        <v>23</v>
      </c>
      <c r="B5" s="5" t="s">
        <v>24</v>
      </c>
      <c r="C5" s="1" t="s">
        <v>25</v>
      </c>
      <c r="D5" s="2" t="s">
        <v>26</v>
      </c>
      <c r="E5" s="2" t="s">
        <v>27</v>
      </c>
      <c r="F5" s="2" t="s">
        <v>27</v>
      </c>
      <c r="G5" s="2" t="s">
        <v>27</v>
      </c>
      <c r="H5" s="2" t="s">
        <v>27</v>
      </c>
      <c r="I5" s="2" t="s">
        <v>28</v>
      </c>
      <c r="J5" s="2" t="s">
        <v>28</v>
      </c>
    </row>
    <row r="6" spans="1:10">
      <c r="A6" s="4" t="s">
        <v>29</v>
      </c>
      <c r="B6" s="5" t="s">
        <v>30</v>
      </c>
      <c r="C6" s="1" t="s">
        <v>31</v>
      </c>
      <c r="D6" s="2" t="s">
        <v>32</v>
      </c>
      <c r="E6" s="2">
        <v>100</v>
      </c>
      <c r="F6" s="2">
        <v>255</v>
      </c>
      <c r="G6" s="2">
        <v>20</v>
      </c>
      <c r="H6" s="2">
        <v>255</v>
      </c>
      <c r="I6" s="2"/>
      <c r="J6" s="2"/>
    </row>
    <row r="7" spans="1:10">
      <c r="A7" s="4" t="s">
        <v>33</v>
      </c>
      <c r="B7" s="5" t="s">
        <v>33</v>
      </c>
      <c r="C7" s="1" t="s">
        <v>34</v>
      </c>
      <c r="D7" s="6" t="s">
        <v>3</v>
      </c>
      <c r="E7" s="6" t="s">
        <v>3</v>
      </c>
      <c r="F7" s="6"/>
      <c r="G7" s="6"/>
      <c r="H7" s="6"/>
      <c r="I7" s="6" t="s">
        <v>3</v>
      </c>
      <c r="J7" s="6" t="s">
        <v>3</v>
      </c>
    </row>
    <row r="8" spans="1:10" outlineLevel="1">
      <c r="A8" s="7"/>
      <c r="B8" s="8"/>
      <c r="C8" s="9" t="s">
        <v>35</v>
      </c>
      <c r="D8" s="10"/>
      <c r="E8" s="10"/>
      <c r="F8" s="10"/>
      <c r="G8" s="10"/>
      <c r="H8" s="10"/>
      <c r="I8" s="10" t="s">
        <v>36</v>
      </c>
      <c r="J8" s="10" t="s">
        <v>36</v>
      </c>
    </row>
    <row r="9" spans="1:10" outlineLevel="1">
      <c r="A9" s="7"/>
      <c r="B9" s="8"/>
      <c r="C9" s="11" t="s">
        <v>37</v>
      </c>
      <c r="D9" s="12"/>
      <c r="E9" s="12"/>
      <c r="F9" s="12"/>
      <c r="G9" s="12"/>
      <c r="H9" s="12"/>
      <c r="I9" s="12"/>
      <c r="J9" s="12"/>
    </row>
    <row r="10" spans="1:10" outlineLevel="1">
      <c r="A10" s="7"/>
      <c r="B10" s="8"/>
      <c r="C10" s="11" t="s">
        <v>38</v>
      </c>
      <c r="D10" s="12"/>
      <c r="E10" s="12"/>
      <c r="F10" s="12"/>
      <c r="G10" s="12"/>
      <c r="H10" s="12"/>
      <c r="I10" s="12"/>
      <c r="J10" s="12"/>
    </row>
    <row r="11" spans="1:10" outlineLevel="1">
      <c r="A11" s="7"/>
      <c r="B11" s="8"/>
      <c r="C11" s="11" t="s">
        <v>39</v>
      </c>
      <c r="D11" s="12"/>
      <c r="E11" s="12"/>
      <c r="F11" s="12"/>
      <c r="G11" s="12"/>
      <c r="H11" s="12"/>
      <c r="I11" s="12"/>
      <c r="J11" s="12"/>
    </row>
    <row r="12" spans="1:10" outlineLevel="1">
      <c r="A12" s="7"/>
      <c r="B12" s="8"/>
      <c r="C12" s="11" t="s">
        <v>40</v>
      </c>
      <c r="D12" s="12"/>
      <c r="E12" s="12"/>
      <c r="F12" s="12"/>
      <c r="G12" s="12"/>
      <c r="H12" s="12"/>
      <c r="I12" s="12"/>
      <c r="J12" s="12"/>
    </row>
    <row r="13" spans="1:10" outlineLevel="1">
      <c r="A13" s="9" t="s">
        <v>1</v>
      </c>
      <c r="B13" s="13"/>
      <c r="C13" s="11" t="s">
        <v>41</v>
      </c>
      <c r="D13" s="12"/>
      <c r="E13" s="12"/>
      <c r="F13" s="12"/>
      <c r="G13" s="12"/>
      <c r="H13" s="12"/>
      <c r="I13" s="12"/>
      <c r="J13" s="12"/>
    </row>
    <row r="14" spans="1:10">
      <c r="A14" s="11">
        <f>ROW()-13</f>
        <v>1</v>
      </c>
      <c r="B14" s="44"/>
      <c r="C14" s="44"/>
      <c r="D14" s="14">
        <v>0</v>
      </c>
      <c r="E14" s="15" t="s">
        <v>42</v>
      </c>
      <c r="F14" s="15" t="s">
        <v>43</v>
      </c>
      <c r="G14" s="15" t="s">
        <v>44</v>
      </c>
      <c r="H14" s="15" t="s">
        <v>45</v>
      </c>
      <c r="I14" s="16" t="s">
        <v>46</v>
      </c>
      <c r="J14" s="16" t="s">
        <v>46</v>
      </c>
    </row>
    <row r="15" spans="1:10">
      <c r="A15" s="11">
        <f>ROW()-13</f>
        <v>2</v>
      </c>
      <c r="B15" s="44"/>
      <c r="C15" s="44"/>
      <c r="D15" s="14">
        <v>9999999999</v>
      </c>
      <c r="E15" s="15" t="s">
        <v>47</v>
      </c>
      <c r="F15" s="15" t="s">
        <v>48</v>
      </c>
      <c r="G15" s="15" t="s">
        <v>49</v>
      </c>
      <c r="H15" s="15" t="s">
        <v>48</v>
      </c>
      <c r="I15" s="16">
        <v>46297</v>
      </c>
      <c r="J15" s="16">
        <v>46297</v>
      </c>
    </row>
    <row r="16" spans="1:10">
      <c r="A16" s="11">
        <f>ROW()-13</f>
        <v>3</v>
      </c>
      <c r="B16" s="44"/>
      <c r="C16" s="44"/>
      <c r="D16" s="14">
        <v>3</v>
      </c>
      <c r="E16" s="15" t="s">
        <v>467</v>
      </c>
      <c r="F16" s="15" t="s">
        <v>50</v>
      </c>
      <c r="G16" s="15" t="s">
        <v>51</v>
      </c>
      <c r="H16" s="15" t="s">
        <v>50</v>
      </c>
      <c r="I16" s="16">
        <v>46298</v>
      </c>
      <c r="J16" s="16">
        <v>46298</v>
      </c>
    </row>
    <row r="17" spans="1:10">
      <c r="A17" s="11">
        <f>ROW()-13</f>
        <v>4</v>
      </c>
      <c r="B17" s="44"/>
      <c r="C17" s="44"/>
      <c r="D17" s="14">
        <v>4</v>
      </c>
      <c r="E17" s="15" t="s">
        <v>786</v>
      </c>
      <c r="F17" s="15" t="s">
        <v>52</v>
      </c>
      <c r="G17" s="15" t="s">
        <v>52</v>
      </c>
      <c r="H17" s="15" t="s">
        <v>52</v>
      </c>
      <c r="I17" s="16">
        <v>46299</v>
      </c>
      <c r="J17" s="16">
        <v>46299</v>
      </c>
    </row>
    <row r="18" spans="1:10">
      <c r="A18" s="11">
        <f>ROW()-13</f>
        <v>5</v>
      </c>
      <c r="B18" s="44"/>
      <c r="C18" s="44"/>
      <c r="D18" s="14">
        <v>5</v>
      </c>
      <c r="E18" s="15" t="s">
        <v>787</v>
      </c>
      <c r="F18" s="15" t="s">
        <v>53</v>
      </c>
      <c r="G18" s="15" t="s">
        <v>54</v>
      </c>
      <c r="H18" s="15" t="s">
        <v>55</v>
      </c>
      <c r="I18" s="16">
        <v>46300</v>
      </c>
      <c r="J18" s="16">
        <v>46300</v>
      </c>
    </row>
    <row r="19" spans="1:10">
      <c r="A19" s="11">
        <f>ROW()-13</f>
        <v>6</v>
      </c>
      <c r="B19" s="44"/>
      <c r="C19" s="44"/>
      <c r="D19" s="14">
        <v>6</v>
      </c>
      <c r="E19" s="15" t="s">
        <v>56</v>
      </c>
      <c r="F19" s="15" t="s">
        <v>57</v>
      </c>
      <c r="G19" s="15" t="s">
        <v>58</v>
      </c>
      <c r="H19" s="15" t="s">
        <v>59</v>
      </c>
      <c r="I19" s="16">
        <v>46301</v>
      </c>
      <c r="J19" s="16">
        <v>46301</v>
      </c>
    </row>
    <row r="20" spans="1:10">
      <c r="A20" s="11">
        <f>ROW()-13</f>
        <v>7</v>
      </c>
      <c r="B20" s="44"/>
      <c r="C20" s="44"/>
      <c r="D20" s="14">
        <v>7</v>
      </c>
      <c r="E20" s="15" t="s">
        <v>60</v>
      </c>
      <c r="F20" s="15" t="s">
        <v>61</v>
      </c>
      <c r="G20" s="15" t="s">
        <v>62</v>
      </c>
      <c r="H20" s="15" t="s">
        <v>63</v>
      </c>
      <c r="I20" s="16">
        <v>46302</v>
      </c>
      <c r="J20" s="16">
        <v>46302</v>
      </c>
    </row>
    <row r="21" spans="1:10">
      <c r="A21" s="11">
        <f>ROW()-13</f>
        <v>8</v>
      </c>
      <c r="B21" s="44"/>
      <c r="C21" s="44"/>
      <c r="D21" s="14">
        <v>8</v>
      </c>
      <c r="E21" s="15" t="s">
        <v>64</v>
      </c>
      <c r="F21" s="15" t="s">
        <v>65</v>
      </c>
      <c r="G21" s="15" t="s">
        <v>66</v>
      </c>
      <c r="H21" s="15" t="s">
        <v>67</v>
      </c>
      <c r="I21" s="16">
        <v>46303</v>
      </c>
      <c r="J21" s="16">
        <v>46303</v>
      </c>
    </row>
    <row r="22" spans="1:10">
      <c r="A22" s="11">
        <f>ROW()-13</f>
        <v>9</v>
      </c>
      <c r="B22" s="44"/>
      <c r="C22" s="44"/>
      <c r="D22" s="14">
        <v>9</v>
      </c>
      <c r="E22" s="15" t="s">
        <v>68</v>
      </c>
      <c r="F22" s="15" t="s">
        <v>69</v>
      </c>
      <c r="G22" s="15" t="s">
        <v>70</v>
      </c>
      <c r="H22" s="15" t="s">
        <v>71</v>
      </c>
      <c r="I22" s="16">
        <v>46304</v>
      </c>
      <c r="J22" s="16">
        <v>46304</v>
      </c>
    </row>
    <row r="23" spans="1:10">
      <c r="A23" s="11">
        <f>ROW()-13</f>
        <v>10</v>
      </c>
      <c r="B23" s="44"/>
      <c r="C23" s="44"/>
      <c r="D23" s="14">
        <v>10</v>
      </c>
      <c r="E23" s="15" t="s">
        <v>72</v>
      </c>
      <c r="F23" s="15" t="s">
        <v>73</v>
      </c>
      <c r="G23" s="15" t="s">
        <v>74</v>
      </c>
      <c r="H23" s="15" t="s">
        <v>75</v>
      </c>
      <c r="I23" s="16">
        <v>46305</v>
      </c>
      <c r="J23" s="16">
        <v>46305</v>
      </c>
    </row>
    <row r="24" spans="1:10">
      <c r="A24" s="11">
        <f>ROW()-13</f>
        <v>11</v>
      </c>
      <c r="B24" s="44"/>
      <c r="C24" s="44"/>
      <c r="D24" s="14">
        <v>11</v>
      </c>
      <c r="E24" s="15" t="s">
        <v>76</v>
      </c>
      <c r="F24" s="15" t="s">
        <v>77</v>
      </c>
      <c r="G24" s="15" t="s">
        <v>78</v>
      </c>
      <c r="H24" s="15" t="s">
        <v>79</v>
      </c>
      <c r="I24" s="16">
        <v>46306</v>
      </c>
      <c r="J24" s="16">
        <v>46306</v>
      </c>
    </row>
    <row r="25" spans="1:10">
      <c r="A25" s="11">
        <f>ROW()-13</f>
        <v>12</v>
      </c>
      <c r="B25" s="44"/>
      <c r="C25" s="44"/>
      <c r="D25" s="14">
        <v>12</v>
      </c>
      <c r="E25" s="15" t="s">
        <v>80</v>
      </c>
      <c r="F25" s="15" t="s">
        <v>81</v>
      </c>
      <c r="G25" s="15" t="s">
        <v>82</v>
      </c>
      <c r="H25" s="15" t="s">
        <v>83</v>
      </c>
      <c r="I25" s="16">
        <v>46307</v>
      </c>
      <c r="J25" s="16">
        <v>46307</v>
      </c>
    </row>
    <row r="26" spans="1:10">
      <c r="A26" s="11">
        <f>ROW()-13</f>
        <v>13</v>
      </c>
      <c r="B26" s="44"/>
      <c r="C26" s="44"/>
      <c r="D26" s="14">
        <v>13</v>
      </c>
      <c r="E26" s="15" t="s">
        <v>84</v>
      </c>
      <c r="F26" s="15" t="s">
        <v>85</v>
      </c>
      <c r="G26" s="15" t="s">
        <v>86</v>
      </c>
      <c r="H26" s="15" t="s">
        <v>87</v>
      </c>
      <c r="I26" s="16">
        <v>46308</v>
      </c>
      <c r="J26" s="16">
        <v>46308</v>
      </c>
    </row>
    <row r="27" spans="1:10">
      <c r="A27" s="11">
        <f>ROW()-13</f>
        <v>14</v>
      </c>
      <c r="B27" s="44"/>
      <c r="C27" s="44"/>
      <c r="D27" s="14">
        <v>14</v>
      </c>
      <c r="E27" s="15" t="s">
        <v>88</v>
      </c>
      <c r="F27" s="15" t="s">
        <v>89</v>
      </c>
      <c r="G27" s="15" t="s">
        <v>90</v>
      </c>
      <c r="H27" s="15" t="s">
        <v>91</v>
      </c>
      <c r="I27" s="16">
        <v>46309</v>
      </c>
      <c r="J27" s="16">
        <v>46309</v>
      </c>
    </row>
    <row r="28" spans="1:10">
      <c r="A28" s="11">
        <f>ROW()-13</f>
        <v>15</v>
      </c>
      <c r="B28" s="44"/>
      <c r="C28" s="44"/>
      <c r="D28" s="14">
        <v>15</v>
      </c>
      <c r="E28" s="15" t="s">
        <v>92</v>
      </c>
      <c r="F28" s="15" t="s">
        <v>93</v>
      </c>
      <c r="G28" s="15" t="s">
        <v>94</v>
      </c>
      <c r="H28" s="15" t="s">
        <v>95</v>
      </c>
      <c r="I28" s="16">
        <v>46310</v>
      </c>
      <c r="J28" s="16">
        <v>46310</v>
      </c>
    </row>
    <row r="29" spans="1:10">
      <c r="A29" s="11">
        <f>ROW()-13</f>
        <v>16</v>
      </c>
      <c r="B29" s="44"/>
      <c r="C29" s="44"/>
      <c r="D29" s="14">
        <v>16</v>
      </c>
      <c r="E29" s="15" t="s">
        <v>96</v>
      </c>
      <c r="F29" s="15" t="s">
        <v>97</v>
      </c>
      <c r="G29" s="15" t="s">
        <v>98</v>
      </c>
      <c r="H29" s="15" t="s">
        <v>99</v>
      </c>
      <c r="I29" s="16">
        <v>46311</v>
      </c>
      <c r="J29" s="16">
        <v>46311</v>
      </c>
    </row>
    <row r="30" spans="1:10">
      <c r="A30" s="11">
        <f>ROW()-13</f>
        <v>17</v>
      </c>
      <c r="B30" s="44"/>
      <c r="C30" s="44"/>
      <c r="D30" s="14">
        <v>17</v>
      </c>
      <c r="E30" s="15" t="s">
        <v>100</v>
      </c>
      <c r="F30" s="15" t="s">
        <v>101</v>
      </c>
      <c r="G30" s="15" t="s">
        <v>102</v>
      </c>
      <c r="H30" s="15" t="s">
        <v>103</v>
      </c>
      <c r="I30" s="16">
        <v>46312</v>
      </c>
      <c r="J30" s="16">
        <v>46312</v>
      </c>
    </row>
    <row r="31" spans="1:10">
      <c r="A31" s="11">
        <f>ROW()-13</f>
        <v>18</v>
      </c>
      <c r="B31" s="44"/>
      <c r="C31" s="44"/>
      <c r="D31" s="14">
        <v>18</v>
      </c>
      <c r="E31" s="15" t="s">
        <v>104</v>
      </c>
      <c r="F31" s="15" t="s">
        <v>105</v>
      </c>
      <c r="G31" s="15" t="s">
        <v>106</v>
      </c>
      <c r="H31" s="15" t="s">
        <v>107</v>
      </c>
      <c r="I31" s="16">
        <v>46313</v>
      </c>
      <c r="J31" s="16">
        <v>46313</v>
      </c>
    </row>
    <row r="32" spans="1:10">
      <c r="A32" s="11">
        <f>ROW()-13</f>
        <v>19</v>
      </c>
      <c r="B32" s="44"/>
      <c r="C32" s="44"/>
      <c r="D32" s="14">
        <v>19</v>
      </c>
      <c r="E32" s="15" t="s">
        <v>108</v>
      </c>
      <c r="F32" s="15" t="s">
        <v>109</v>
      </c>
      <c r="G32" s="15" t="s">
        <v>110</v>
      </c>
      <c r="H32" s="15" t="s">
        <v>111</v>
      </c>
      <c r="I32" s="16">
        <v>46314</v>
      </c>
      <c r="J32" s="16">
        <v>46314</v>
      </c>
    </row>
    <row r="33" spans="1:10">
      <c r="A33" s="11">
        <f>ROW()-13</f>
        <v>20</v>
      </c>
      <c r="B33" s="44"/>
      <c r="C33" s="44"/>
      <c r="D33" s="14">
        <v>20</v>
      </c>
      <c r="E33" s="15" t="s">
        <v>112</v>
      </c>
      <c r="F33" s="15" t="s">
        <v>113</v>
      </c>
      <c r="G33" s="15" t="s">
        <v>114</v>
      </c>
      <c r="H33" s="15" t="s">
        <v>115</v>
      </c>
      <c r="I33" s="16">
        <v>46315</v>
      </c>
      <c r="J33" s="16">
        <v>46315</v>
      </c>
    </row>
    <row r="34" spans="1:10">
      <c r="A34" s="11">
        <f>ROW()-13</f>
        <v>21</v>
      </c>
      <c r="B34" s="44"/>
      <c r="C34" s="44"/>
      <c r="D34" s="14">
        <v>21</v>
      </c>
      <c r="E34" s="15" t="s">
        <v>116</v>
      </c>
      <c r="F34" s="15" t="s">
        <v>117</v>
      </c>
      <c r="G34" s="15" t="s">
        <v>118</v>
      </c>
      <c r="H34" s="15" t="s">
        <v>119</v>
      </c>
      <c r="I34" s="16">
        <v>46316</v>
      </c>
      <c r="J34" s="16">
        <v>46316</v>
      </c>
    </row>
    <row r="35" spans="1:10">
      <c r="A35" s="11">
        <f>ROW()-13</f>
        <v>22</v>
      </c>
      <c r="B35" s="44"/>
      <c r="C35" s="44"/>
      <c r="D35" s="14">
        <v>22</v>
      </c>
      <c r="E35" s="15" t="s">
        <v>120</v>
      </c>
      <c r="F35" s="15" t="s">
        <v>121</v>
      </c>
      <c r="G35" s="15" t="s">
        <v>122</v>
      </c>
      <c r="H35" s="15" t="s">
        <v>123</v>
      </c>
      <c r="I35" s="16">
        <v>46317</v>
      </c>
      <c r="J35" s="16">
        <v>46317</v>
      </c>
    </row>
    <row r="36" spans="1:10">
      <c r="A36" s="11">
        <f>ROW()-13</f>
        <v>23</v>
      </c>
      <c r="B36" s="44"/>
      <c r="C36" s="44"/>
      <c r="D36" s="14">
        <v>23</v>
      </c>
      <c r="E36" s="15" t="s">
        <v>124</v>
      </c>
      <c r="F36" s="15" t="s">
        <v>125</v>
      </c>
      <c r="G36" s="15" t="s">
        <v>126</v>
      </c>
      <c r="H36" s="15" t="s">
        <v>127</v>
      </c>
      <c r="I36" s="16">
        <v>46318</v>
      </c>
      <c r="J36" s="16">
        <v>46318</v>
      </c>
    </row>
    <row r="37" spans="1:10">
      <c r="A37" s="11">
        <f>ROW()-13</f>
        <v>24</v>
      </c>
      <c r="B37" s="44"/>
      <c r="C37" s="44"/>
      <c r="D37" s="14">
        <v>24</v>
      </c>
      <c r="E37" s="15" t="s">
        <v>128</v>
      </c>
      <c r="F37" s="15" t="s">
        <v>129</v>
      </c>
      <c r="G37" s="15" t="s">
        <v>130</v>
      </c>
      <c r="H37" s="15" t="s">
        <v>131</v>
      </c>
      <c r="I37" s="16">
        <v>46319</v>
      </c>
      <c r="J37" s="16">
        <v>46319</v>
      </c>
    </row>
    <row r="38" spans="1:10">
      <c r="A38" s="11">
        <f>ROW()-13</f>
        <v>25</v>
      </c>
      <c r="B38" s="44"/>
      <c r="C38" s="44"/>
      <c r="D38" s="14">
        <v>25</v>
      </c>
      <c r="E38" s="15" t="s">
        <v>132</v>
      </c>
      <c r="F38" s="15" t="s">
        <v>133</v>
      </c>
      <c r="G38" s="15" t="s">
        <v>134</v>
      </c>
      <c r="H38" s="15" t="s">
        <v>135</v>
      </c>
      <c r="I38" s="16">
        <v>46320</v>
      </c>
      <c r="J38" s="16">
        <v>46320</v>
      </c>
    </row>
    <row r="39" spans="1:10">
      <c r="A39" s="11">
        <f>ROW()-13</f>
        <v>26</v>
      </c>
      <c r="B39" s="44"/>
      <c r="C39" s="44"/>
      <c r="D39" s="14">
        <v>26</v>
      </c>
      <c r="E39" s="15" t="s">
        <v>136</v>
      </c>
      <c r="F39" s="15" t="s">
        <v>137</v>
      </c>
      <c r="G39" s="15" t="s">
        <v>138</v>
      </c>
      <c r="H39" s="15" t="s">
        <v>139</v>
      </c>
      <c r="I39" s="16">
        <v>46321</v>
      </c>
      <c r="J39" s="16">
        <v>46321</v>
      </c>
    </row>
    <row r="40" spans="1:10">
      <c r="A40" s="11">
        <f>ROW()-13</f>
        <v>27</v>
      </c>
      <c r="B40" s="44"/>
      <c r="C40" s="44"/>
      <c r="D40" s="14">
        <v>27</v>
      </c>
      <c r="E40" s="15" t="s">
        <v>140</v>
      </c>
      <c r="F40" s="15" t="s">
        <v>141</v>
      </c>
      <c r="G40" s="15" t="s">
        <v>142</v>
      </c>
      <c r="H40" s="15" t="s">
        <v>143</v>
      </c>
      <c r="I40" s="16">
        <v>46322</v>
      </c>
      <c r="J40" s="16">
        <v>46322</v>
      </c>
    </row>
    <row r="41" spans="1:10">
      <c r="A41" s="11">
        <f>ROW()-13</f>
        <v>28</v>
      </c>
      <c r="B41" s="44"/>
      <c r="C41" s="44"/>
      <c r="D41" s="14">
        <v>28</v>
      </c>
      <c r="E41" s="15" t="s">
        <v>144</v>
      </c>
      <c r="F41" s="15" t="s">
        <v>145</v>
      </c>
      <c r="G41" s="15" t="s">
        <v>146</v>
      </c>
      <c r="H41" s="15" t="s">
        <v>147</v>
      </c>
      <c r="I41" s="16">
        <v>46323</v>
      </c>
      <c r="J41" s="16">
        <v>46323</v>
      </c>
    </row>
    <row r="42" spans="1:10">
      <c r="A42" s="11">
        <f>ROW()-13</f>
        <v>29</v>
      </c>
      <c r="B42" s="44"/>
      <c r="C42" s="44"/>
      <c r="D42" s="14">
        <v>29</v>
      </c>
      <c r="E42" s="15" t="s">
        <v>148</v>
      </c>
      <c r="F42" s="15" t="s">
        <v>149</v>
      </c>
      <c r="G42" s="15" t="s">
        <v>150</v>
      </c>
      <c r="H42" s="15" t="s">
        <v>151</v>
      </c>
      <c r="I42" s="16">
        <v>46324</v>
      </c>
      <c r="J42" s="16">
        <v>46324</v>
      </c>
    </row>
    <row r="43" spans="1:10">
      <c r="A43" s="11">
        <f>ROW()-13</f>
        <v>30</v>
      </c>
      <c r="B43" s="44"/>
      <c r="C43" s="44"/>
      <c r="D43" s="14">
        <v>30</v>
      </c>
      <c r="E43" s="15" t="s">
        <v>152</v>
      </c>
      <c r="F43" s="15" t="s">
        <v>153</v>
      </c>
      <c r="G43" s="15" t="s">
        <v>154</v>
      </c>
      <c r="H43" s="15" t="s">
        <v>155</v>
      </c>
      <c r="I43" s="16">
        <v>46325</v>
      </c>
      <c r="J43" s="16">
        <v>46325</v>
      </c>
    </row>
    <row r="44" spans="1:10">
      <c r="A44" s="11">
        <f>ROW()-13</f>
        <v>31</v>
      </c>
      <c r="B44" s="44"/>
      <c r="C44" s="44"/>
      <c r="D44" s="14">
        <v>31</v>
      </c>
      <c r="E44" s="15" t="s">
        <v>156</v>
      </c>
      <c r="F44" s="15" t="s">
        <v>157</v>
      </c>
      <c r="G44" s="15" t="s">
        <v>158</v>
      </c>
      <c r="H44" s="15" t="s">
        <v>159</v>
      </c>
      <c r="I44" s="16">
        <v>46326</v>
      </c>
      <c r="J44" s="16">
        <v>46326</v>
      </c>
    </row>
    <row r="45" spans="1:10">
      <c r="A45" s="11">
        <f>ROW()-13</f>
        <v>32</v>
      </c>
      <c r="B45" s="44"/>
      <c r="C45" s="44"/>
      <c r="D45" s="14">
        <v>32</v>
      </c>
      <c r="E45" s="15" t="s">
        <v>160</v>
      </c>
      <c r="F45" s="15" t="s">
        <v>161</v>
      </c>
      <c r="G45" s="15" t="s">
        <v>162</v>
      </c>
      <c r="H45" s="15" t="s">
        <v>163</v>
      </c>
      <c r="I45" s="16">
        <v>46327</v>
      </c>
      <c r="J45" s="16">
        <v>46327</v>
      </c>
    </row>
    <row r="46" spans="1:10">
      <c r="A46" s="11">
        <f>ROW()-13</f>
        <v>33</v>
      </c>
      <c r="B46" s="44"/>
      <c r="C46" s="44"/>
      <c r="D46" s="14">
        <v>33</v>
      </c>
      <c r="E46" s="15" t="s">
        <v>164</v>
      </c>
      <c r="F46" s="15" t="s">
        <v>165</v>
      </c>
      <c r="G46" s="15" t="s">
        <v>166</v>
      </c>
      <c r="H46" s="15" t="s">
        <v>167</v>
      </c>
      <c r="I46" s="16">
        <v>46328</v>
      </c>
      <c r="J46" s="16">
        <v>46328</v>
      </c>
    </row>
    <row r="47" spans="1:10">
      <c r="A47" s="11">
        <f>ROW()-13</f>
        <v>34</v>
      </c>
      <c r="B47" s="44"/>
      <c r="C47" s="44"/>
      <c r="D47" s="14">
        <v>34</v>
      </c>
      <c r="E47" s="15" t="s">
        <v>168</v>
      </c>
      <c r="F47" s="15" t="s">
        <v>169</v>
      </c>
      <c r="G47" s="15" t="s">
        <v>170</v>
      </c>
      <c r="H47" s="15" t="s">
        <v>171</v>
      </c>
      <c r="I47" s="16">
        <v>46329</v>
      </c>
      <c r="J47" s="16">
        <v>46329</v>
      </c>
    </row>
    <row r="48" spans="1:10">
      <c r="A48" s="11">
        <f>ROW()-13</f>
        <v>35</v>
      </c>
      <c r="B48" s="44"/>
      <c r="C48" s="44"/>
      <c r="D48" s="14">
        <v>35</v>
      </c>
      <c r="E48" s="15" t="s">
        <v>172</v>
      </c>
      <c r="F48" s="15" t="s">
        <v>173</v>
      </c>
      <c r="G48" s="15" t="s">
        <v>174</v>
      </c>
      <c r="H48" s="15" t="s">
        <v>175</v>
      </c>
      <c r="I48" s="16">
        <v>46330</v>
      </c>
      <c r="J48" s="16">
        <v>46330</v>
      </c>
    </row>
    <row r="49" spans="1:10">
      <c r="A49" s="11">
        <f>ROW()-13</f>
        <v>36</v>
      </c>
      <c r="B49" s="44"/>
      <c r="C49" s="44"/>
      <c r="D49" s="14">
        <v>36</v>
      </c>
      <c r="E49" s="15" t="s">
        <v>176</v>
      </c>
      <c r="F49" s="15" t="s">
        <v>177</v>
      </c>
      <c r="G49" s="15" t="s">
        <v>178</v>
      </c>
      <c r="H49" s="15" t="s">
        <v>179</v>
      </c>
      <c r="I49" s="16">
        <v>46331</v>
      </c>
      <c r="J49" s="16">
        <v>46331</v>
      </c>
    </row>
    <row r="50" spans="1:10">
      <c r="A50" s="11">
        <f>ROW()-13</f>
        <v>37</v>
      </c>
      <c r="B50" s="44"/>
      <c r="C50" s="44"/>
      <c r="D50" s="14">
        <v>37</v>
      </c>
      <c r="E50" s="15" t="s">
        <v>180</v>
      </c>
      <c r="F50" s="15" t="s">
        <v>181</v>
      </c>
      <c r="G50" s="15" t="s">
        <v>182</v>
      </c>
      <c r="H50" s="15" t="s">
        <v>183</v>
      </c>
      <c r="I50" s="16">
        <v>46332</v>
      </c>
      <c r="J50" s="16">
        <v>46332</v>
      </c>
    </row>
    <row r="51" spans="1:10">
      <c r="A51" s="11">
        <f>ROW()-13</f>
        <v>38</v>
      </c>
      <c r="B51" s="44"/>
      <c r="C51" s="44"/>
      <c r="D51" s="14">
        <v>38</v>
      </c>
      <c r="E51" s="15" t="s">
        <v>184</v>
      </c>
      <c r="F51" s="15" t="s">
        <v>185</v>
      </c>
      <c r="G51" s="15" t="s">
        <v>186</v>
      </c>
      <c r="H51" s="15" t="s">
        <v>187</v>
      </c>
      <c r="I51" s="16">
        <v>46333</v>
      </c>
      <c r="J51" s="16">
        <v>46333</v>
      </c>
    </row>
    <row r="52" spans="1:10">
      <c r="A52" s="11">
        <f>ROW()-13</f>
        <v>39</v>
      </c>
      <c r="B52" s="44"/>
      <c r="C52" s="44"/>
      <c r="D52" s="14">
        <v>39</v>
      </c>
      <c r="E52" s="15" t="s">
        <v>188</v>
      </c>
      <c r="F52" s="15" t="s">
        <v>189</v>
      </c>
      <c r="G52" s="15" t="s">
        <v>190</v>
      </c>
      <c r="H52" s="15" t="s">
        <v>191</v>
      </c>
      <c r="I52" s="16">
        <v>46334</v>
      </c>
      <c r="J52" s="16">
        <v>46334</v>
      </c>
    </row>
    <row r="53" spans="1:10">
      <c r="A53" s="11">
        <f>ROW()-13</f>
        <v>40</v>
      </c>
      <c r="B53" s="44"/>
      <c r="C53" s="44"/>
      <c r="D53" s="14">
        <v>40</v>
      </c>
      <c r="E53" s="15" t="s">
        <v>192</v>
      </c>
      <c r="F53" s="15" t="s">
        <v>193</v>
      </c>
      <c r="G53" s="15" t="s">
        <v>194</v>
      </c>
      <c r="H53" s="15" t="s">
        <v>195</v>
      </c>
      <c r="I53" s="16">
        <v>46335</v>
      </c>
      <c r="J53" s="16">
        <v>46335</v>
      </c>
    </row>
    <row r="54" spans="1:10">
      <c r="A54" s="11">
        <f>ROW()-13</f>
        <v>41</v>
      </c>
      <c r="B54" s="44"/>
      <c r="C54" s="44"/>
      <c r="D54" s="14">
        <v>41</v>
      </c>
      <c r="E54" s="15" t="s">
        <v>196</v>
      </c>
      <c r="F54" s="15" t="s">
        <v>197</v>
      </c>
      <c r="G54" s="15" t="s">
        <v>198</v>
      </c>
      <c r="H54" s="15" t="s">
        <v>199</v>
      </c>
      <c r="I54" s="16">
        <v>46336</v>
      </c>
      <c r="J54" s="16">
        <v>46336</v>
      </c>
    </row>
    <row r="55" spans="1:10">
      <c r="A55" s="11">
        <f>ROW()-13</f>
        <v>42</v>
      </c>
      <c r="B55" s="44"/>
      <c r="C55" s="44"/>
      <c r="D55" s="14">
        <v>42</v>
      </c>
      <c r="E55" s="15" t="s">
        <v>200</v>
      </c>
      <c r="F55" s="15" t="s">
        <v>201</v>
      </c>
      <c r="G55" s="15" t="s">
        <v>202</v>
      </c>
      <c r="H55" s="15" t="s">
        <v>203</v>
      </c>
      <c r="I55" s="16">
        <v>46337</v>
      </c>
      <c r="J55" s="16">
        <v>46337</v>
      </c>
    </row>
    <row r="56" spans="1:10">
      <c r="A56" s="11">
        <f>ROW()-13</f>
        <v>43</v>
      </c>
      <c r="B56" s="44"/>
      <c r="C56" s="44"/>
      <c r="D56" s="14">
        <v>43</v>
      </c>
      <c r="E56" s="15" t="s">
        <v>204</v>
      </c>
      <c r="F56" s="15" t="s">
        <v>205</v>
      </c>
      <c r="G56" s="15" t="s">
        <v>206</v>
      </c>
      <c r="H56" s="15" t="s">
        <v>207</v>
      </c>
      <c r="I56" s="16">
        <v>46338</v>
      </c>
      <c r="J56" s="16">
        <v>46338</v>
      </c>
    </row>
    <row r="57" spans="1:10">
      <c r="A57" s="11">
        <f>ROW()-13</f>
        <v>44</v>
      </c>
      <c r="B57" s="44"/>
      <c r="C57" s="44"/>
      <c r="D57" s="14">
        <v>44</v>
      </c>
      <c r="E57" s="15" t="s">
        <v>208</v>
      </c>
      <c r="F57" s="15" t="s">
        <v>209</v>
      </c>
      <c r="G57" s="15" t="s">
        <v>210</v>
      </c>
      <c r="H57" s="15" t="s">
        <v>211</v>
      </c>
      <c r="I57" s="16">
        <v>46339</v>
      </c>
      <c r="J57" s="16">
        <v>46339</v>
      </c>
    </row>
    <row r="58" spans="1:10">
      <c r="A58" s="11">
        <f>ROW()-13</f>
        <v>45</v>
      </c>
      <c r="B58" s="44"/>
      <c r="C58" s="44"/>
      <c r="D58" s="14">
        <v>45</v>
      </c>
      <c r="E58" s="15" t="s">
        <v>212</v>
      </c>
      <c r="F58" s="15" t="s">
        <v>213</v>
      </c>
      <c r="G58" s="15" t="s">
        <v>214</v>
      </c>
      <c r="H58" s="15" t="s">
        <v>215</v>
      </c>
      <c r="I58" s="16">
        <v>46340</v>
      </c>
      <c r="J58" s="16">
        <v>46340</v>
      </c>
    </row>
    <row r="59" spans="1:10">
      <c r="A59" s="11">
        <f>ROW()-13</f>
        <v>46</v>
      </c>
      <c r="B59" s="44"/>
      <c r="C59" s="44"/>
      <c r="D59" s="14">
        <v>46</v>
      </c>
      <c r="E59" s="15" t="s">
        <v>216</v>
      </c>
      <c r="F59" s="15" t="s">
        <v>217</v>
      </c>
      <c r="G59" s="15" t="s">
        <v>218</v>
      </c>
      <c r="H59" s="15" t="s">
        <v>219</v>
      </c>
      <c r="I59" s="16">
        <v>46341</v>
      </c>
      <c r="J59" s="16">
        <v>46341</v>
      </c>
    </row>
    <row r="60" spans="1:10">
      <c r="A60" s="11">
        <f>ROW()-13</f>
        <v>47</v>
      </c>
      <c r="B60" s="44"/>
      <c r="C60" s="44"/>
      <c r="D60" s="14">
        <v>47</v>
      </c>
      <c r="E60" s="15" t="s">
        <v>220</v>
      </c>
      <c r="F60" s="15" t="s">
        <v>221</v>
      </c>
      <c r="G60" s="15" t="s">
        <v>222</v>
      </c>
      <c r="H60" s="15" t="s">
        <v>223</v>
      </c>
      <c r="I60" s="16">
        <v>46342</v>
      </c>
      <c r="J60" s="16">
        <v>46342</v>
      </c>
    </row>
    <row r="61" spans="1:10">
      <c r="A61" s="11">
        <f>ROW()-13</f>
        <v>48</v>
      </c>
      <c r="B61" s="44"/>
      <c r="C61" s="44"/>
      <c r="D61" s="14">
        <v>48</v>
      </c>
      <c r="E61" s="15" t="s">
        <v>224</v>
      </c>
      <c r="F61" s="15" t="s">
        <v>225</v>
      </c>
      <c r="G61" s="15" t="s">
        <v>226</v>
      </c>
      <c r="H61" s="15" t="s">
        <v>227</v>
      </c>
      <c r="I61" s="16">
        <v>46343</v>
      </c>
      <c r="J61" s="16">
        <v>46343</v>
      </c>
    </row>
    <row r="62" spans="1:10">
      <c r="A62" s="11">
        <f>ROW()-13</f>
        <v>49</v>
      </c>
      <c r="B62" s="44"/>
      <c r="C62" s="44"/>
      <c r="D62" s="14">
        <v>49</v>
      </c>
      <c r="E62" s="15" t="s">
        <v>228</v>
      </c>
      <c r="F62" s="15" t="s">
        <v>229</v>
      </c>
      <c r="G62" s="15" t="s">
        <v>230</v>
      </c>
      <c r="H62" s="15" t="s">
        <v>231</v>
      </c>
      <c r="I62" s="16">
        <v>46344</v>
      </c>
      <c r="J62" s="16">
        <v>46344</v>
      </c>
    </row>
    <row r="63" spans="1:10">
      <c r="A63" s="11">
        <f>ROW()-13</f>
        <v>50</v>
      </c>
      <c r="B63" s="44"/>
      <c r="C63" s="44"/>
      <c r="D63" s="14">
        <v>50</v>
      </c>
      <c r="E63" s="15" t="s">
        <v>232</v>
      </c>
      <c r="F63" s="15" t="s">
        <v>233</v>
      </c>
      <c r="G63" s="15" t="s">
        <v>234</v>
      </c>
      <c r="H63" s="15" t="s">
        <v>235</v>
      </c>
      <c r="I63" s="16">
        <v>46345</v>
      </c>
      <c r="J63" s="16">
        <v>46345</v>
      </c>
    </row>
    <row r="64" spans="1:10">
      <c r="A64" s="11">
        <f>ROW()-13</f>
        <v>51</v>
      </c>
      <c r="B64" s="44"/>
      <c r="C64" s="44"/>
      <c r="D64" s="14">
        <v>51</v>
      </c>
      <c r="E64" s="15" t="s">
        <v>236</v>
      </c>
      <c r="F64" s="15" t="s">
        <v>237</v>
      </c>
      <c r="G64" s="15" t="s">
        <v>238</v>
      </c>
      <c r="H64" s="15" t="s">
        <v>239</v>
      </c>
      <c r="I64" s="16">
        <v>46346</v>
      </c>
      <c r="J64" s="16">
        <v>46346</v>
      </c>
    </row>
    <row r="65" spans="1:10">
      <c r="A65" s="11">
        <f>ROW()-13</f>
        <v>52</v>
      </c>
      <c r="B65" s="44"/>
      <c r="C65" s="44"/>
      <c r="D65" s="14">
        <v>52</v>
      </c>
      <c r="E65" s="15" t="s">
        <v>240</v>
      </c>
      <c r="F65" s="15" t="s">
        <v>241</v>
      </c>
      <c r="G65" s="15" t="s">
        <v>242</v>
      </c>
      <c r="H65" s="15" t="s">
        <v>243</v>
      </c>
      <c r="I65" s="16">
        <v>46347</v>
      </c>
      <c r="J65" s="16">
        <v>46347</v>
      </c>
    </row>
    <row r="66" spans="1:10">
      <c r="A66" s="11">
        <f>ROW()-13</f>
        <v>53</v>
      </c>
      <c r="B66" s="44"/>
      <c r="C66" s="44"/>
      <c r="D66" s="14">
        <v>53</v>
      </c>
      <c r="E66" s="15" t="s">
        <v>244</v>
      </c>
      <c r="F66" s="15" t="s">
        <v>245</v>
      </c>
      <c r="G66" s="15" t="s">
        <v>246</v>
      </c>
      <c r="H66" s="15" t="s">
        <v>247</v>
      </c>
      <c r="I66" s="16">
        <v>46348</v>
      </c>
      <c r="J66" s="16">
        <v>46348</v>
      </c>
    </row>
    <row r="67" spans="1:10">
      <c r="A67" s="11">
        <f>ROW()-13</f>
        <v>54</v>
      </c>
      <c r="B67" s="44"/>
      <c r="C67" s="44"/>
      <c r="D67" s="14">
        <v>54</v>
      </c>
      <c r="E67" s="15" t="s">
        <v>248</v>
      </c>
      <c r="F67" s="15" t="s">
        <v>249</v>
      </c>
      <c r="G67" s="15" t="s">
        <v>250</v>
      </c>
      <c r="H67" s="15" t="s">
        <v>251</v>
      </c>
      <c r="I67" s="16">
        <v>46349</v>
      </c>
      <c r="J67" s="16">
        <v>46349</v>
      </c>
    </row>
    <row r="68" spans="1:10">
      <c r="A68" s="11">
        <f>ROW()-13</f>
        <v>55</v>
      </c>
      <c r="B68" s="44"/>
      <c r="C68" s="44"/>
      <c r="D68" s="14">
        <v>55</v>
      </c>
      <c r="E68" s="15" t="s">
        <v>252</v>
      </c>
      <c r="F68" s="15" t="s">
        <v>253</v>
      </c>
      <c r="G68" s="15" t="s">
        <v>254</v>
      </c>
      <c r="H68" s="15" t="s">
        <v>255</v>
      </c>
      <c r="I68" s="16">
        <v>46350</v>
      </c>
      <c r="J68" s="16">
        <v>46350</v>
      </c>
    </row>
    <row r="69" spans="1:10">
      <c r="A69" s="11">
        <f>ROW()-13</f>
        <v>56</v>
      </c>
      <c r="B69" s="44"/>
      <c r="C69" s="44"/>
      <c r="D69" s="14">
        <v>56</v>
      </c>
      <c r="E69" s="15" t="s">
        <v>256</v>
      </c>
      <c r="F69" s="15" t="s">
        <v>257</v>
      </c>
      <c r="G69" s="15" t="s">
        <v>258</v>
      </c>
      <c r="H69" s="15" t="s">
        <v>259</v>
      </c>
      <c r="I69" s="16">
        <v>46351</v>
      </c>
      <c r="J69" s="16">
        <v>46351</v>
      </c>
    </row>
    <row r="70" spans="1:10">
      <c r="A70" s="11">
        <f>ROW()-13</f>
        <v>57</v>
      </c>
      <c r="B70" s="44"/>
      <c r="C70" s="44"/>
      <c r="D70" s="14">
        <v>57</v>
      </c>
      <c r="E70" s="15" t="s">
        <v>260</v>
      </c>
      <c r="F70" s="15" t="s">
        <v>261</v>
      </c>
      <c r="G70" s="15" t="s">
        <v>262</v>
      </c>
      <c r="H70" s="15" t="s">
        <v>263</v>
      </c>
      <c r="I70" s="16">
        <v>46352</v>
      </c>
      <c r="J70" s="16">
        <v>46352</v>
      </c>
    </row>
    <row r="71" spans="1:10">
      <c r="A71" s="11">
        <f>ROW()-13</f>
        <v>58</v>
      </c>
      <c r="B71" s="44"/>
      <c r="C71" s="44"/>
      <c r="D71" s="14">
        <v>58</v>
      </c>
      <c r="E71" s="15" t="s">
        <v>264</v>
      </c>
      <c r="F71" s="15" t="s">
        <v>265</v>
      </c>
      <c r="G71" s="15" t="s">
        <v>266</v>
      </c>
      <c r="H71" s="15" t="s">
        <v>267</v>
      </c>
      <c r="I71" s="16">
        <v>46353</v>
      </c>
      <c r="J71" s="16">
        <v>46353</v>
      </c>
    </row>
    <row r="72" spans="1:10">
      <c r="A72" s="11">
        <f>ROW()-13</f>
        <v>59</v>
      </c>
      <c r="B72" s="44"/>
      <c r="C72" s="44"/>
      <c r="D72" s="14">
        <v>59</v>
      </c>
      <c r="E72" s="15" t="s">
        <v>268</v>
      </c>
      <c r="F72" s="15" t="s">
        <v>269</v>
      </c>
      <c r="G72" s="15" t="s">
        <v>270</v>
      </c>
      <c r="H72" s="15" t="s">
        <v>271</v>
      </c>
      <c r="I72" s="16">
        <v>46354</v>
      </c>
      <c r="J72" s="16">
        <v>46354</v>
      </c>
    </row>
    <row r="73" spans="1:10">
      <c r="A73" s="11">
        <f>ROW()-13</f>
        <v>60</v>
      </c>
      <c r="B73" s="44"/>
      <c r="C73" s="44"/>
      <c r="D73" s="14">
        <v>60</v>
      </c>
      <c r="E73" s="15" t="s">
        <v>272</v>
      </c>
      <c r="F73" s="15" t="s">
        <v>273</v>
      </c>
      <c r="G73" s="15" t="s">
        <v>274</v>
      </c>
      <c r="H73" s="15" t="s">
        <v>275</v>
      </c>
      <c r="I73" s="16">
        <v>46355</v>
      </c>
      <c r="J73" s="16">
        <v>46355</v>
      </c>
    </row>
    <row r="74" spans="1:10">
      <c r="A74" s="11">
        <f>ROW()-13</f>
        <v>61</v>
      </c>
      <c r="B74" s="44"/>
      <c r="C74" s="44"/>
      <c r="D74" s="14">
        <v>61</v>
      </c>
      <c r="E74" s="15" t="s">
        <v>276</v>
      </c>
      <c r="F74" s="15" t="s">
        <v>277</v>
      </c>
      <c r="G74" s="15" t="s">
        <v>278</v>
      </c>
      <c r="H74" s="15" t="s">
        <v>279</v>
      </c>
      <c r="I74" s="16">
        <v>46356</v>
      </c>
      <c r="J74" s="16">
        <v>46356</v>
      </c>
    </row>
    <row r="75" spans="1:10">
      <c r="A75" s="11">
        <f>ROW()-13</f>
        <v>62</v>
      </c>
      <c r="B75" s="44"/>
      <c r="C75" s="44"/>
      <c r="D75" s="14">
        <v>62</v>
      </c>
      <c r="E75" s="15" t="s">
        <v>280</v>
      </c>
      <c r="F75" s="15" t="s">
        <v>281</v>
      </c>
      <c r="G75" s="15" t="s">
        <v>282</v>
      </c>
      <c r="H75" s="15" t="s">
        <v>283</v>
      </c>
      <c r="I75" s="16">
        <v>46357</v>
      </c>
      <c r="J75" s="16">
        <v>46357</v>
      </c>
    </row>
    <row r="76" spans="1:10">
      <c r="A76" s="11">
        <f>ROW()-13</f>
        <v>63</v>
      </c>
      <c r="B76" s="44"/>
      <c r="C76" s="44"/>
      <c r="D76" s="14">
        <v>63</v>
      </c>
      <c r="E76" s="15" t="s">
        <v>284</v>
      </c>
      <c r="F76" s="15" t="s">
        <v>285</v>
      </c>
      <c r="G76" s="15" t="s">
        <v>286</v>
      </c>
      <c r="H76" s="15" t="s">
        <v>287</v>
      </c>
      <c r="I76" s="16">
        <v>46358</v>
      </c>
      <c r="J76" s="16">
        <v>46358</v>
      </c>
    </row>
    <row r="77" spans="1:10">
      <c r="A77" s="11">
        <f>ROW()-13</f>
        <v>64</v>
      </c>
      <c r="B77" s="44"/>
      <c r="C77" s="44"/>
      <c r="D77" s="14">
        <v>64</v>
      </c>
      <c r="E77" s="15" t="s">
        <v>288</v>
      </c>
      <c r="F77" s="15" t="s">
        <v>289</v>
      </c>
      <c r="G77" s="15" t="s">
        <v>290</v>
      </c>
      <c r="H77" s="15" t="s">
        <v>291</v>
      </c>
      <c r="I77" s="16">
        <v>46359</v>
      </c>
      <c r="J77" s="16">
        <v>46359</v>
      </c>
    </row>
    <row r="78" spans="1:10">
      <c r="A78" s="11">
        <f>ROW()-13</f>
        <v>65</v>
      </c>
      <c r="B78" s="44"/>
      <c r="C78" s="44"/>
      <c r="D78" s="14">
        <v>65</v>
      </c>
      <c r="E78" s="15" t="s">
        <v>292</v>
      </c>
      <c r="F78" s="15" t="s">
        <v>293</v>
      </c>
      <c r="G78" s="15" t="s">
        <v>294</v>
      </c>
      <c r="H78" s="15" t="s">
        <v>295</v>
      </c>
      <c r="I78" s="16">
        <v>46360</v>
      </c>
      <c r="J78" s="16">
        <v>46360</v>
      </c>
    </row>
    <row r="79" spans="1:10">
      <c r="A79" s="11">
        <f>ROW()-13</f>
        <v>66</v>
      </c>
      <c r="B79" s="44"/>
      <c r="C79" s="44"/>
      <c r="D79" s="14">
        <v>66</v>
      </c>
      <c r="E79" s="15" t="s">
        <v>296</v>
      </c>
      <c r="F79" s="15" t="s">
        <v>297</v>
      </c>
      <c r="G79" s="15" t="s">
        <v>298</v>
      </c>
      <c r="H79" s="15" t="s">
        <v>299</v>
      </c>
      <c r="I79" s="16">
        <v>46361</v>
      </c>
      <c r="J79" s="16">
        <v>46361</v>
      </c>
    </row>
    <row r="80" spans="1:10">
      <c r="A80" s="11">
        <f>ROW()-13</f>
        <v>67</v>
      </c>
      <c r="B80" s="44"/>
      <c r="C80" s="44"/>
      <c r="D80" s="14">
        <v>67</v>
      </c>
      <c r="E80" s="15" t="s">
        <v>300</v>
      </c>
      <c r="F80" s="15" t="s">
        <v>301</v>
      </c>
      <c r="G80" s="15" t="s">
        <v>302</v>
      </c>
      <c r="H80" s="15" t="s">
        <v>303</v>
      </c>
      <c r="I80" s="16">
        <v>46362</v>
      </c>
      <c r="J80" s="16">
        <v>46362</v>
      </c>
    </row>
    <row r="81" spans="1:10">
      <c r="A81" s="11">
        <f>ROW()-13</f>
        <v>68</v>
      </c>
      <c r="B81" s="44"/>
      <c r="C81" s="44"/>
      <c r="D81" s="14">
        <v>68</v>
      </c>
      <c r="E81" s="15" t="s">
        <v>304</v>
      </c>
      <c r="F81" s="15" t="s">
        <v>305</v>
      </c>
      <c r="G81" s="15" t="s">
        <v>306</v>
      </c>
      <c r="H81" s="15" t="s">
        <v>307</v>
      </c>
      <c r="I81" s="16">
        <v>46363</v>
      </c>
      <c r="J81" s="16">
        <v>46363</v>
      </c>
    </row>
    <row r="82" spans="1:10">
      <c r="A82" s="11">
        <f>ROW()-13</f>
        <v>69</v>
      </c>
      <c r="B82" s="44"/>
      <c r="C82" s="44"/>
      <c r="D82" s="14">
        <v>69</v>
      </c>
      <c r="E82" s="15" t="s">
        <v>308</v>
      </c>
      <c r="F82" s="15" t="s">
        <v>309</v>
      </c>
      <c r="G82" s="15" t="s">
        <v>310</v>
      </c>
      <c r="H82" s="15" t="s">
        <v>311</v>
      </c>
      <c r="I82" s="16">
        <v>46364</v>
      </c>
      <c r="J82" s="16">
        <v>46364</v>
      </c>
    </row>
    <row r="83" spans="1:10">
      <c r="A83" s="11">
        <f>ROW()-13</f>
        <v>70</v>
      </c>
      <c r="B83" s="44"/>
      <c r="C83" s="44"/>
      <c r="D83" s="14">
        <v>70</v>
      </c>
      <c r="E83" s="15" t="s">
        <v>312</v>
      </c>
      <c r="F83" s="15" t="s">
        <v>313</v>
      </c>
      <c r="G83" s="15" t="s">
        <v>314</v>
      </c>
      <c r="H83" s="15" t="s">
        <v>315</v>
      </c>
      <c r="I83" s="16">
        <v>46365</v>
      </c>
      <c r="J83" s="16">
        <v>46365</v>
      </c>
    </row>
    <row r="84" spans="1:10">
      <c r="A84" s="11">
        <f>ROW()-13</f>
        <v>71</v>
      </c>
      <c r="B84" s="44"/>
      <c r="C84" s="44"/>
      <c r="D84" s="14">
        <v>71</v>
      </c>
      <c r="E84" s="15" t="s">
        <v>316</v>
      </c>
      <c r="F84" s="15" t="s">
        <v>317</v>
      </c>
      <c r="G84" s="15" t="s">
        <v>318</v>
      </c>
      <c r="H84" s="15" t="s">
        <v>319</v>
      </c>
      <c r="I84" s="16">
        <v>46366</v>
      </c>
      <c r="J84" s="16">
        <v>46366</v>
      </c>
    </row>
    <row r="85" spans="1:10">
      <c r="A85" s="11">
        <f>ROW()-13</f>
        <v>72</v>
      </c>
      <c r="B85" s="44"/>
      <c r="C85" s="44"/>
      <c r="D85" s="14">
        <v>72</v>
      </c>
      <c r="E85" s="15" t="s">
        <v>320</v>
      </c>
      <c r="F85" s="15" t="s">
        <v>321</v>
      </c>
      <c r="G85" s="15" t="s">
        <v>322</v>
      </c>
      <c r="H85" s="15" t="s">
        <v>323</v>
      </c>
      <c r="I85" s="16">
        <v>46367</v>
      </c>
      <c r="J85" s="16">
        <v>46367</v>
      </c>
    </row>
    <row r="86" spans="1:10">
      <c r="A86" s="11">
        <f>ROW()-13</f>
        <v>73</v>
      </c>
      <c r="B86" s="44"/>
      <c r="C86" s="44"/>
      <c r="D86" s="14">
        <v>73</v>
      </c>
      <c r="E86" s="15" t="s">
        <v>324</v>
      </c>
      <c r="F86" s="15" t="s">
        <v>325</v>
      </c>
      <c r="G86" s="15" t="s">
        <v>326</v>
      </c>
      <c r="H86" s="15" t="s">
        <v>327</v>
      </c>
      <c r="I86" s="16">
        <v>46368</v>
      </c>
      <c r="J86" s="16">
        <v>46368</v>
      </c>
    </row>
    <row r="87" spans="1:10">
      <c r="A87" s="11">
        <f>ROW()-13</f>
        <v>74</v>
      </c>
      <c r="B87" s="44"/>
      <c r="C87" s="44"/>
      <c r="D87" s="14">
        <v>74</v>
      </c>
      <c r="E87" s="15" t="s">
        <v>328</v>
      </c>
      <c r="F87" s="15" t="s">
        <v>329</v>
      </c>
      <c r="G87" s="15" t="s">
        <v>330</v>
      </c>
      <c r="H87" s="15" t="s">
        <v>331</v>
      </c>
      <c r="I87" s="16">
        <v>46369</v>
      </c>
      <c r="J87" s="16">
        <v>46369</v>
      </c>
    </row>
    <row r="88" spans="1:10">
      <c r="A88" s="11">
        <f>ROW()-13</f>
        <v>75</v>
      </c>
      <c r="B88" s="44"/>
      <c r="C88" s="44"/>
      <c r="D88" s="14">
        <v>75</v>
      </c>
      <c r="E88" s="15" t="s">
        <v>332</v>
      </c>
      <c r="F88" s="15" t="s">
        <v>333</v>
      </c>
      <c r="G88" s="15" t="s">
        <v>334</v>
      </c>
      <c r="H88" s="15" t="s">
        <v>335</v>
      </c>
      <c r="I88" s="16">
        <v>46370</v>
      </c>
      <c r="J88" s="16">
        <v>46370</v>
      </c>
    </row>
    <row r="89" spans="1:10">
      <c r="A89" s="11">
        <f>ROW()-13</f>
        <v>76</v>
      </c>
      <c r="B89" s="44"/>
      <c r="C89" s="44"/>
      <c r="D89" s="14">
        <v>76</v>
      </c>
      <c r="E89" s="15" t="s">
        <v>336</v>
      </c>
      <c r="F89" s="15" t="s">
        <v>337</v>
      </c>
      <c r="G89" s="15" t="s">
        <v>338</v>
      </c>
      <c r="H89" s="15" t="s">
        <v>339</v>
      </c>
      <c r="I89" s="16">
        <v>46371</v>
      </c>
      <c r="J89" s="16">
        <v>46371</v>
      </c>
    </row>
    <row r="90" spans="1:10">
      <c r="A90" s="11">
        <f>ROW()-13</f>
        <v>77</v>
      </c>
      <c r="B90" s="44"/>
      <c r="C90" s="44"/>
      <c r="D90" s="14">
        <v>77</v>
      </c>
      <c r="E90" s="15" t="s">
        <v>340</v>
      </c>
      <c r="F90" s="15" t="s">
        <v>341</v>
      </c>
      <c r="G90" s="15" t="s">
        <v>342</v>
      </c>
      <c r="H90" s="15" t="s">
        <v>343</v>
      </c>
      <c r="I90" s="16">
        <v>46372</v>
      </c>
      <c r="J90" s="16">
        <v>46372</v>
      </c>
    </row>
    <row r="91" spans="1:10">
      <c r="A91" s="11">
        <f>ROW()-13</f>
        <v>78</v>
      </c>
      <c r="B91" s="44"/>
      <c r="C91" s="44"/>
      <c r="D91" s="14">
        <v>78</v>
      </c>
      <c r="E91" s="15" t="s">
        <v>344</v>
      </c>
      <c r="F91" s="15" t="s">
        <v>345</v>
      </c>
      <c r="G91" s="15" t="s">
        <v>346</v>
      </c>
      <c r="H91" s="15" t="s">
        <v>347</v>
      </c>
      <c r="I91" s="16">
        <v>46373</v>
      </c>
      <c r="J91" s="16">
        <v>46373</v>
      </c>
    </row>
    <row r="92" spans="1:10">
      <c r="A92" s="11">
        <f>ROW()-13</f>
        <v>79</v>
      </c>
      <c r="B92" s="44"/>
      <c r="C92" s="44"/>
      <c r="D92" s="14">
        <v>79</v>
      </c>
      <c r="E92" s="15" t="s">
        <v>348</v>
      </c>
      <c r="F92" s="15" t="s">
        <v>349</v>
      </c>
      <c r="G92" s="15" t="s">
        <v>350</v>
      </c>
      <c r="H92" s="15" t="s">
        <v>351</v>
      </c>
      <c r="I92" s="16">
        <v>46374</v>
      </c>
      <c r="J92" s="16">
        <v>46374</v>
      </c>
    </row>
    <row r="93" spans="1:10">
      <c r="A93" s="11">
        <f>ROW()-13</f>
        <v>80</v>
      </c>
      <c r="B93" s="44"/>
      <c r="C93" s="44"/>
      <c r="D93" s="14">
        <v>80</v>
      </c>
      <c r="E93" s="15" t="s">
        <v>352</v>
      </c>
      <c r="F93" s="15" t="s">
        <v>353</v>
      </c>
      <c r="G93" s="15" t="s">
        <v>354</v>
      </c>
      <c r="H93" s="15" t="s">
        <v>355</v>
      </c>
      <c r="I93" s="16">
        <v>46375</v>
      </c>
      <c r="J93" s="16">
        <v>46375</v>
      </c>
    </row>
    <row r="94" spans="1:10">
      <c r="A94" s="11">
        <f>ROW()-13</f>
        <v>81</v>
      </c>
      <c r="B94" s="44"/>
      <c r="C94" s="44"/>
      <c r="D94" s="14">
        <v>81</v>
      </c>
      <c r="E94" s="15" t="s">
        <v>356</v>
      </c>
      <c r="F94" s="15" t="s">
        <v>357</v>
      </c>
      <c r="G94" s="15" t="s">
        <v>358</v>
      </c>
      <c r="H94" s="15" t="s">
        <v>359</v>
      </c>
      <c r="I94" s="16">
        <v>46376</v>
      </c>
      <c r="J94" s="16">
        <v>46376</v>
      </c>
    </row>
    <row r="95" spans="1:10">
      <c r="A95" s="11">
        <f>ROW()-13</f>
        <v>82</v>
      </c>
      <c r="B95" s="44"/>
      <c r="C95" s="44"/>
      <c r="D95" s="14">
        <v>82</v>
      </c>
      <c r="E95" s="15" t="s">
        <v>360</v>
      </c>
      <c r="F95" s="15" t="s">
        <v>361</v>
      </c>
      <c r="G95" s="15" t="s">
        <v>362</v>
      </c>
      <c r="H95" s="15" t="s">
        <v>363</v>
      </c>
      <c r="I95" s="16">
        <v>46377</v>
      </c>
      <c r="J95" s="16">
        <v>46377</v>
      </c>
    </row>
    <row r="96" spans="1:10">
      <c r="A96" s="11">
        <f>ROW()-13</f>
        <v>83</v>
      </c>
      <c r="B96" s="44"/>
      <c r="C96" s="44"/>
      <c r="D96" s="14">
        <v>83</v>
      </c>
      <c r="E96" s="15" t="s">
        <v>364</v>
      </c>
      <c r="F96" s="15" t="s">
        <v>365</v>
      </c>
      <c r="G96" s="15" t="s">
        <v>366</v>
      </c>
      <c r="H96" s="15" t="s">
        <v>367</v>
      </c>
      <c r="I96" s="16">
        <v>46378</v>
      </c>
      <c r="J96" s="16">
        <v>46378</v>
      </c>
    </row>
    <row r="97" spans="1:10">
      <c r="A97" s="11">
        <f>ROW()-13</f>
        <v>84</v>
      </c>
      <c r="B97" s="44"/>
      <c r="C97" s="44"/>
      <c r="D97" s="14">
        <v>84</v>
      </c>
      <c r="E97" s="15" t="s">
        <v>368</v>
      </c>
      <c r="F97" s="15" t="s">
        <v>369</v>
      </c>
      <c r="G97" s="15" t="s">
        <v>370</v>
      </c>
      <c r="H97" s="15" t="s">
        <v>371</v>
      </c>
      <c r="I97" s="16">
        <v>46379</v>
      </c>
      <c r="J97" s="16">
        <v>46379</v>
      </c>
    </row>
    <row r="98" spans="1:10">
      <c r="A98" s="11">
        <f>ROW()-13</f>
        <v>85</v>
      </c>
      <c r="B98" s="44"/>
      <c r="C98" s="44"/>
      <c r="D98" s="14">
        <v>85</v>
      </c>
      <c r="E98" s="15" t="s">
        <v>372</v>
      </c>
      <c r="F98" s="15" t="s">
        <v>373</v>
      </c>
      <c r="G98" s="15" t="s">
        <v>374</v>
      </c>
      <c r="H98" s="15" t="s">
        <v>375</v>
      </c>
      <c r="I98" s="16">
        <v>46380</v>
      </c>
      <c r="J98" s="16">
        <v>46380</v>
      </c>
    </row>
    <row r="99" spans="1:10">
      <c r="A99" s="11">
        <f>ROW()-13</f>
        <v>86</v>
      </c>
      <c r="B99" s="44"/>
      <c r="C99" s="44"/>
      <c r="D99" s="14">
        <v>86</v>
      </c>
      <c r="E99" s="15" t="s">
        <v>376</v>
      </c>
      <c r="F99" s="15" t="s">
        <v>377</v>
      </c>
      <c r="G99" s="15" t="s">
        <v>378</v>
      </c>
      <c r="H99" s="15" t="s">
        <v>379</v>
      </c>
      <c r="I99" s="16">
        <v>46381</v>
      </c>
      <c r="J99" s="16">
        <v>46381</v>
      </c>
    </row>
    <row r="100" spans="1:10">
      <c r="A100" s="11">
        <f>ROW()-13</f>
        <v>87</v>
      </c>
      <c r="B100" s="44"/>
      <c r="C100" s="44"/>
      <c r="D100" s="14">
        <v>87</v>
      </c>
      <c r="E100" s="15" t="s">
        <v>380</v>
      </c>
      <c r="F100" s="15" t="s">
        <v>381</v>
      </c>
      <c r="G100" s="15" t="s">
        <v>382</v>
      </c>
      <c r="H100" s="15" t="s">
        <v>383</v>
      </c>
      <c r="I100" s="16">
        <v>46382</v>
      </c>
      <c r="J100" s="16">
        <v>46382</v>
      </c>
    </row>
    <row r="101" spans="1:10">
      <c r="A101" s="11">
        <f>ROW()-13</f>
        <v>88</v>
      </c>
      <c r="B101" s="44"/>
      <c r="C101" s="44"/>
      <c r="D101" s="14">
        <v>88</v>
      </c>
      <c r="E101" s="15" t="s">
        <v>384</v>
      </c>
      <c r="F101" s="15" t="s">
        <v>385</v>
      </c>
      <c r="G101" s="15" t="s">
        <v>386</v>
      </c>
      <c r="H101" s="15" t="s">
        <v>387</v>
      </c>
      <c r="I101" s="16">
        <v>46383</v>
      </c>
      <c r="J101" s="16">
        <v>46383</v>
      </c>
    </row>
    <row r="102" spans="1:10">
      <c r="A102" s="11">
        <f>ROW()-13</f>
        <v>89</v>
      </c>
      <c r="B102" s="44"/>
      <c r="C102" s="44"/>
      <c r="D102" s="14">
        <v>89</v>
      </c>
      <c r="E102" s="15" t="s">
        <v>388</v>
      </c>
      <c r="F102" s="15" t="s">
        <v>389</v>
      </c>
      <c r="G102" s="15" t="s">
        <v>390</v>
      </c>
      <c r="H102" s="15" t="s">
        <v>391</v>
      </c>
      <c r="I102" s="16">
        <v>46384</v>
      </c>
      <c r="J102" s="16">
        <v>46384</v>
      </c>
    </row>
    <row r="103" spans="1:10">
      <c r="A103" s="11">
        <f>ROW()-13</f>
        <v>90</v>
      </c>
      <c r="B103" s="44"/>
      <c r="C103" s="44"/>
      <c r="D103" s="14">
        <v>90</v>
      </c>
      <c r="E103" s="15" t="s">
        <v>392</v>
      </c>
      <c r="F103" s="15" t="s">
        <v>393</v>
      </c>
      <c r="G103" s="15" t="s">
        <v>394</v>
      </c>
      <c r="H103" s="15" t="s">
        <v>395</v>
      </c>
      <c r="I103" s="16">
        <v>46385</v>
      </c>
      <c r="J103" s="16">
        <v>46385</v>
      </c>
    </row>
    <row r="104" spans="1:10">
      <c r="A104" s="11">
        <f>ROW()-13</f>
        <v>91</v>
      </c>
      <c r="B104" s="44"/>
      <c r="C104" s="44"/>
      <c r="D104" s="14">
        <v>91</v>
      </c>
      <c r="E104" s="15" t="s">
        <v>396</v>
      </c>
      <c r="F104" s="15" t="s">
        <v>397</v>
      </c>
      <c r="G104" s="15" t="s">
        <v>398</v>
      </c>
      <c r="H104" s="15" t="s">
        <v>399</v>
      </c>
      <c r="I104" s="16">
        <v>46386</v>
      </c>
      <c r="J104" s="16">
        <v>46386</v>
      </c>
    </row>
    <row r="105" spans="1:10">
      <c r="A105" s="11">
        <f>ROW()-13</f>
        <v>92</v>
      </c>
      <c r="B105" s="44"/>
      <c r="C105" s="44"/>
      <c r="D105" s="14">
        <v>92</v>
      </c>
      <c r="E105" s="15" t="s">
        <v>400</v>
      </c>
      <c r="F105" s="15" t="s">
        <v>401</v>
      </c>
      <c r="G105" s="15" t="s">
        <v>402</v>
      </c>
      <c r="H105" s="15" t="s">
        <v>403</v>
      </c>
      <c r="I105" s="16">
        <v>46387</v>
      </c>
      <c r="J105" s="16">
        <v>46387</v>
      </c>
    </row>
    <row r="106" spans="1:10">
      <c r="A106" s="11">
        <f>ROW()-13</f>
        <v>93</v>
      </c>
      <c r="B106" s="44"/>
      <c r="C106" s="44"/>
      <c r="D106" s="14">
        <v>93</v>
      </c>
      <c r="E106" s="15" t="s">
        <v>404</v>
      </c>
      <c r="F106" s="15" t="s">
        <v>405</v>
      </c>
      <c r="G106" s="15" t="s">
        <v>406</v>
      </c>
      <c r="H106" s="15" t="s">
        <v>407</v>
      </c>
      <c r="I106" s="16">
        <v>46388</v>
      </c>
      <c r="J106" s="16">
        <v>46388</v>
      </c>
    </row>
    <row r="107" spans="1:10">
      <c r="A107" s="11">
        <f>ROW()-13</f>
        <v>94</v>
      </c>
      <c r="B107" s="44"/>
      <c r="C107" s="44"/>
      <c r="D107" s="14">
        <v>94</v>
      </c>
      <c r="E107" s="15" t="s">
        <v>408</v>
      </c>
      <c r="F107" s="15" t="s">
        <v>409</v>
      </c>
      <c r="G107" s="15" t="s">
        <v>410</v>
      </c>
      <c r="H107" s="15" t="s">
        <v>411</v>
      </c>
      <c r="I107" s="16">
        <v>46389</v>
      </c>
      <c r="J107" s="16">
        <v>46389</v>
      </c>
    </row>
    <row r="108" spans="1:10">
      <c r="A108" s="11">
        <f>ROW()-13</f>
        <v>95</v>
      </c>
      <c r="B108" s="44"/>
      <c r="C108" s="44"/>
      <c r="D108" s="14">
        <v>95</v>
      </c>
      <c r="E108" s="15" t="s">
        <v>412</v>
      </c>
      <c r="F108" s="15" t="s">
        <v>413</v>
      </c>
      <c r="G108" s="15" t="s">
        <v>414</v>
      </c>
      <c r="H108" s="15" t="s">
        <v>415</v>
      </c>
      <c r="I108" s="16">
        <v>46390</v>
      </c>
      <c r="J108" s="16">
        <v>46390</v>
      </c>
    </row>
    <row r="109" spans="1:10">
      <c r="A109" s="11">
        <f>ROW()-13</f>
        <v>96</v>
      </c>
      <c r="B109" s="44"/>
      <c r="C109" s="44"/>
      <c r="D109" s="14">
        <v>96</v>
      </c>
      <c r="E109" s="15" t="s">
        <v>416</v>
      </c>
      <c r="F109" s="15" t="s">
        <v>417</v>
      </c>
      <c r="G109" s="15" t="s">
        <v>418</v>
      </c>
      <c r="H109" s="15" t="s">
        <v>419</v>
      </c>
      <c r="I109" s="16">
        <v>46391</v>
      </c>
      <c r="J109" s="16">
        <v>46391</v>
      </c>
    </row>
    <row r="110" spans="1:10">
      <c r="A110" s="11">
        <f>ROW()-13</f>
        <v>97</v>
      </c>
      <c r="B110" s="44"/>
      <c r="C110" s="44"/>
      <c r="D110" s="14">
        <v>97</v>
      </c>
      <c r="E110" s="15" t="s">
        <v>420</v>
      </c>
      <c r="F110" s="15" t="s">
        <v>421</v>
      </c>
      <c r="G110" s="15" t="s">
        <v>422</v>
      </c>
      <c r="H110" s="15" t="s">
        <v>423</v>
      </c>
      <c r="I110" s="16">
        <v>46392</v>
      </c>
      <c r="J110" s="16">
        <v>46392</v>
      </c>
    </row>
    <row r="111" spans="1:10">
      <c r="A111" s="11">
        <f>ROW()-13</f>
        <v>98</v>
      </c>
      <c r="B111" s="44"/>
      <c r="C111" s="44"/>
      <c r="D111" s="14">
        <v>98</v>
      </c>
      <c r="E111" s="15" t="s">
        <v>424</v>
      </c>
      <c r="F111" s="15" t="s">
        <v>425</v>
      </c>
      <c r="G111" s="15" t="s">
        <v>426</v>
      </c>
      <c r="H111" s="15" t="s">
        <v>427</v>
      </c>
      <c r="I111" s="16">
        <v>46393</v>
      </c>
      <c r="J111" s="16">
        <v>46393</v>
      </c>
    </row>
    <row r="112" spans="1:10">
      <c r="A112" s="11">
        <f>ROW()-13</f>
        <v>99</v>
      </c>
      <c r="B112" s="44"/>
      <c r="C112" s="44"/>
      <c r="D112" s="14">
        <v>99</v>
      </c>
      <c r="E112" s="15" t="s">
        <v>428</v>
      </c>
      <c r="F112" s="15" t="s">
        <v>429</v>
      </c>
      <c r="G112" s="15" t="s">
        <v>430</v>
      </c>
      <c r="H112" s="15" t="s">
        <v>431</v>
      </c>
      <c r="I112" s="16">
        <v>46394</v>
      </c>
      <c r="J112" s="16">
        <v>46394</v>
      </c>
    </row>
    <row r="113" spans="1:10">
      <c r="A113" s="17">
        <f>ROW()-13</f>
        <v>100</v>
      </c>
      <c r="B113" s="45"/>
      <c r="C113" s="45"/>
      <c r="D113" s="18">
        <v>100</v>
      </c>
      <c r="E113" s="19" t="s">
        <v>432</v>
      </c>
      <c r="F113" s="19" t="s">
        <v>433</v>
      </c>
      <c r="G113" s="19" t="s">
        <v>434</v>
      </c>
      <c r="H113" s="19" t="s">
        <v>435</v>
      </c>
      <c r="I113" s="20">
        <v>46395</v>
      </c>
      <c r="J113" s="20">
        <v>46395</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4:C24"/>
    <mergeCell ref="B25:C25"/>
    <mergeCell ref="B26:C26"/>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s>
  <phoneticPr fontId="2"/>
  <conditionalFormatting sqref="B14:J113">
    <cfRule type="expression" dxfId="0" priority="1" stopIfTrue="1">
      <formula>ISODD(ROW())</formula>
    </cfRule>
  </conditionalFormatting>
  <dataValidations count="1">
    <dataValidation type="list" allowBlank="1" showInputMessage="1" showErrorMessage="1" sqref="B3" xr:uid="{707DCECF-43C1-4675-903E-96CD1F5A7567}">
      <formula1>"Oracle,PostgreSQL,SQLServer"</formula1>
    </dataValidation>
  </dataValidations>
  <pageMargins left="0.7" right="0.7" top="0.75" bottom="0.75" header="0.3" footer="0.3"/>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195C9-B560-4829-965B-9AF52800FDD4}">
  <sheetPr codeName="Sheet16">
    <tabColor rgb="FFED7D31"/>
  </sheetPr>
  <dimension ref="A1:D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 customWidth="1"/>
    <col min="2" max="2" width="20.69921875" style="3" customWidth="1" outlineLevel="1"/>
    <col min="3" max="3" width="8.69921875" style="2" customWidth="1"/>
    <col min="4" max="4" width="15.69921875" style="3" customWidth="1"/>
    <col min="5" max="16384" width="8.796875" style="3"/>
  </cols>
  <sheetData>
    <row r="1" spans="1:4" ht="13.2" customHeight="1">
      <c r="A1" s="46" t="s">
        <v>0</v>
      </c>
      <c r="B1" s="47"/>
      <c r="C1" s="1" t="s">
        <v>1</v>
      </c>
      <c r="D1" s="2">
        <v>1</v>
      </c>
    </row>
    <row r="2" spans="1:4" ht="13.2" customHeight="1">
      <c r="A2" s="46"/>
      <c r="B2" s="47"/>
      <c r="C2" s="1" t="s">
        <v>2</v>
      </c>
      <c r="D2" s="2"/>
    </row>
    <row r="3" spans="1:4">
      <c r="A3" s="4" t="s">
        <v>4</v>
      </c>
      <c r="B3" s="5" t="s">
        <v>5</v>
      </c>
      <c r="C3" s="1" t="s">
        <v>6</v>
      </c>
      <c r="D3" s="2" t="s">
        <v>7</v>
      </c>
    </row>
    <row r="4" spans="1:4">
      <c r="A4" s="4" t="s">
        <v>14</v>
      </c>
      <c r="B4" s="5" t="s">
        <v>15</v>
      </c>
      <c r="C4" s="1" t="s">
        <v>16</v>
      </c>
      <c r="D4" s="2" t="s">
        <v>436</v>
      </c>
    </row>
    <row r="5" spans="1:4">
      <c r="A5" s="4" t="s">
        <v>23</v>
      </c>
      <c r="B5" s="5" t="s">
        <v>24</v>
      </c>
      <c r="C5" s="1" t="s">
        <v>25</v>
      </c>
      <c r="D5" s="2" t="s">
        <v>26</v>
      </c>
    </row>
    <row r="6" spans="1:4">
      <c r="A6" s="4" t="s">
        <v>29</v>
      </c>
      <c r="B6" s="5" t="s">
        <v>30</v>
      </c>
      <c r="C6" s="1" t="s">
        <v>31</v>
      </c>
      <c r="D6" s="2" t="s">
        <v>32</v>
      </c>
    </row>
    <row r="7" spans="1:4">
      <c r="A7" s="4" t="s">
        <v>33</v>
      </c>
      <c r="B7" s="5" t="s">
        <v>33</v>
      </c>
      <c r="C7" s="1" t="s">
        <v>34</v>
      </c>
      <c r="D7" s="6" t="s">
        <v>3</v>
      </c>
    </row>
    <row r="8" spans="1:4" outlineLevel="1">
      <c r="A8" s="7"/>
      <c r="B8" s="8"/>
      <c r="C8" s="9" t="s">
        <v>35</v>
      </c>
      <c r="D8" s="10"/>
    </row>
    <row r="9" spans="1:4" outlineLevel="1">
      <c r="A9" s="7"/>
      <c r="B9" s="8"/>
      <c r="C9" s="11" t="s">
        <v>37</v>
      </c>
      <c r="D9" s="12"/>
    </row>
    <row r="10" spans="1:4" outlineLevel="1">
      <c r="A10" s="7"/>
      <c r="B10" s="8"/>
      <c r="C10" s="11" t="s">
        <v>38</v>
      </c>
      <c r="D10" s="12"/>
    </row>
    <row r="11" spans="1:4" outlineLevel="1">
      <c r="A11" s="7"/>
      <c r="B11" s="8"/>
      <c r="C11" s="11" t="s">
        <v>39</v>
      </c>
      <c r="D11" s="12"/>
    </row>
    <row r="12" spans="1:4" outlineLevel="1">
      <c r="A12" s="7"/>
      <c r="B12" s="8"/>
      <c r="C12" s="11" t="s">
        <v>40</v>
      </c>
      <c r="D12" s="12"/>
    </row>
    <row r="13" spans="1:4" outlineLevel="1">
      <c r="A13" s="9" t="s">
        <v>1</v>
      </c>
      <c r="B13" s="13"/>
      <c r="C13" s="11" t="s">
        <v>41</v>
      </c>
      <c r="D13" s="12"/>
    </row>
    <row r="14" spans="1:4">
      <c r="A14" s="11">
        <f>ROW()-13</f>
        <v>1</v>
      </c>
      <c r="B14" s="44"/>
      <c r="C14" s="44"/>
      <c r="D14" s="14">
        <v>0</v>
      </c>
    </row>
    <row r="15" spans="1:4">
      <c r="A15" s="11">
        <f>ROW()-13</f>
        <v>2</v>
      </c>
      <c r="B15" s="44"/>
      <c r="C15" s="44"/>
      <c r="D15" s="14">
        <v>9999999999</v>
      </c>
    </row>
    <row r="16" spans="1:4">
      <c r="A16" s="11">
        <f>ROW()-13</f>
        <v>3</v>
      </c>
      <c r="B16" s="44"/>
      <c r="C16" s="44"/>
      <c r="D16" s="14">
        <v>3</v>
      </c>
    </row>
    <row r="17" spans="1:4">
      <c r="A17" s="11">
        <f>ROW()-13</f>
        <v>4</v>
      </c>
      <c r="B17" s="44"/>
      <c r="C17" s="44"/>
      <c r="D17" s="14">
        <v>4</v>
      </c>
    </row>
    <row r="18" spans="1:4">
      <c r="A18" s="11">
        <f>ROW()-13</f>
        <v>5</v>
      </c>
      <c r="B18" s="44"/>
      <c r="C18" s="44"/>
      <c r="D18" s="14">
        <v>5</v>
      </c>
    </row>
    <row r="19" spans="1:4">
      <c r="A19" s="11">
        <f>ROW()-13</f>
        <v>6</v>
      </c>
      <c r="B19" s="44"/>
      <c r="C19" s="44"/>
      <c r="D19" s="14">
        <v>6</v>
      </c>
    </row>
    <row r="20" spans="1:4">
      <c r="A20" s="11">
        <f>ROW()-13</f>
        <v>7</v>
      </c>
      <c r="B20" s="44"/>
      <c r="C20" s="44"/>
      <c r="D20" s="14">
        <v>7</v>
      </c>
    </row>
    <row r="21" spans="1:4">
      <c r="A21" s="11">
        <f>ROW()-13</f>
        <v>8</v>
      </c>
      <c r="B21" s="44"/>
      <c r="C21" s="44"/>
      <c r="D21" s="14">
        <v>8</v>
      </c>
    </row>
    <row r="22" spans="1:4">
      <c r="A22" s="11">
        <f>ROW()-13</f>
        <v>9</v>
      </c>
      <c r="B22" s="44"/>
      <c r="C22" s="44"/>
      <c r="D22" s="14">
        <v>9</v>
      </c>
    </row>
    <row r="23" spans="1:4">
      <c r="A23" s="11">
        <f>ROW()-13</f>
        <v>10</v>
      </c>
      <c r="B23" s="44"/>
      <c r="C23" s="44"/>
      <c r="D23" s="14">
        <v>10</v>
      </c>
    </row>
    <row r="24" spans="1:4">
      <c r="A24" s="11">
        <f>ROW()-13</f>
        <v>11</v>
      </c>
      <c r="B24" s="44"/>
      <c r="C24" s="44"/>
      <c r="D24" s="14">
        <v>11</v>
      </c>
    </row>
    <row r="25" spans="1:4">
      <c r="A25" s="11">
        <f>ROW()-13</f>
        <v>12</v>
      </c>
      <c r="B25" s="44"/>
      <c r="C25" s="44"/>
      <c r="D25" s="14">
        <v>12</v>
      </c>
    </row>
    <row r="26" spans="1:4">
      <c r="A26" s="11">
        <f>ROW()-13</f>
        <v>13</v>
      </c>
      <c r="B26" s="44"/>
      <c r="C26" s="44"/>
      <c r="D26" s="14">
        <v>13</v>
      </c>
    </row>
    <row r="27" spans="1:4">
      <c r="A27" s="11">
        <f>ROW()-13</f>
        <v>14</v>
      </c>
      <c r="B27" s="44"/>
      <c r="C27" s="44"/>
      <c r="D27" s="14">
        <v>14</v>
      </c>
    </row>
    <row r="28" spans="1:4">
      <c r="A28" s="11">
        <f>ROW()-13</f>
        <v>15</v>
      </c>
      <c r="B28" s="44"/>
      <c r="C28" s="44"/>
      <c r="D28" s="14">
        <v>15</v>
      </c>
    </row>
    <row r="29" spans="1:4">
      <c r="A29" s="11">
        <f>ROW()-13</f>
        <v>16</v>
      </c>
      <c r="B29" s="44"/>
      <c r="C29" s="44"/>
      <c r="D29" s="14">
        <v>16</v>
      </c>
    </row>
    <row r="30" spans="1:4">
      <c r="A30" s="11">
        <f>ROW()-13</f>
        <v>17</v>
      </c>
      <c r="B30" s="44"/>
      <c r="C30" s="44"/>
      <c r="D30" s="14">
        <v>17</v>
      </c>
    </row>
    <row r="31" spans="1:4">
      <c r="A31" s="11">
        <f>ROW()-13</f>
        <v>18</v>
      </c>
      <c r="B31" s="44"/>
      <c r="C31" s="44"/>
      <c r="D31" s="14">
        <v>18</v>
      </c>
    </row>
    <row r="32" spans="1:4">
      <c r="A32" s="11">
        <f>ROW()-13</f>
        <v>19</v>
      </c>
      <c r="B32" s="44"/>
      <c r="C32" s="44"/>
      <c r="D32" s="14">
        <v>19</v>
      </c>
    </row>
    <row r="33" spans="1:4">
      <c r="A33" s="11">
        <f>ROW()-13</f>
        <v>20</v>
      </c>
      <c r="B33" s="44"/>
      <c r="C33" s="44"/>
      <c r="D33" s="14">
        <v>20</v>
      </c>
    </row>
    <row r="34" spans="1:4">
      <c r="A34" s="11">
        <f>ROW()-13</f>
        <v>21</v>
      </c>
      <c r="B34" s="44"/>
      <c r="C34" s="44"/>
      <c r="D34" s="14">
        <v>21</v>
      </c>
    </row>
    <row r="35" spans="1:4">
      <c r="A35" s="11">
        <f>ROW()-13</f>
        <v>22</v>
      </c>
      <c r="B35" s="44"/>
      <c r="C35" s="44"/>
      <c r="D35" s="14">
        <v>22</v>
      </c>
    </row>
    <row r="36" spans="1:4">
      <c r="A36" s="11">
        <f>ROW()-13</f>
        <v>23</v>
      </c>
      <c r="B36" s="44"/>
      <c r="C36" s="44"/>
      <c r="D36" s="14">
        <v>23</v>
      </c>
    </row>
    <row r="37" spans="1:4">
      <c r="A37" s="11">
        <f>ROW()-13</f>
        <v>24</v>
      </c>
      <c r="B37" s="44"/>
      <c r="C37" s="44"/>
      <c r="D37" s="14">
        <v>24</v>
      </c>
    </row>
    <row r="38" spans="1:4">
      <c r="A38" s="11">
        <f>ROW()-13</f>
        <v>25</v>
      </c>
      <c r="B38" s="44"/>
      <c r="C38" s="44"/>
      <c r="D38" s="14">
        <v>25</v>
      </c>
    </row>
    <row r="39" spans="1:4">
      <c r="A39" s="11">
        <f>ROW()-13</f>
        <v>26</v>
      </c>
      <c r="B39" s="44"/>
      <c r="C39" s="44"/>
      <c r="D39" s="14">
        <v>26</v>
      </c>
    </row>
    <row r="40" spans="1:4">
      <c r="A40" s="11">
        <f>ROW()-13</f>
        <v>27</v>
      </c>
      <c r="B40" s="44"/>
      <c r="C40" s="44"/>
      <c r="D40" s="14">
        <v>27</v>
      </c>
    </row>
    <row r="41" spans="1:4">
      <c r="A41" s="11">
        <f>ROW()-13</f>
        <v>28</v>
      </c>
      <c r="B41" s="44"/>
      <c r="C41" s="44"/>
      <c r="D41" s="14">
        <v>28</v>
      </c>
    </row>
    <row r="42" spans="1:4">
      <c r="A42" s="11">
        <f>ROW()-13</f>
        <v>29</v>
      </c>
      <c r="B42" s="44"/>
      <c r="C42" s="44"/>
      <c r="D42" s="14">
        <v>29</v>
      </c>
    </row>
    <row r="43" spans="1:4">
      <c r="A43" s="11">
        <f>ROW()-13</f>
        <v>30</v>
      </c>
      <c r="B43" s="44"/>
      <c r="C43" s="44"/>
      <c r="D43" s="14">
        <v>30</v>
      </c>
    </row>
    <row r="44" spans="1:4">
      <c r="A44" s="11">
        <f>ROW()-13</f>
        <v>31</v>
      </c>
      <c r="B44" s="44"/>
      <c r="C44" s="44"/>
      <c r="D44" s="14">
        <v>31</v>
      </c>
    </row>
    <row r="45" spans="1:4">
      <c r="A45" s="11">
        <f>ROW()-13</f>
        <v>32</v>
      </c>
      <c r="B45" s="44"/>
      <c r="C45" s="44"/>
      <c r="D45" s="14">
        <v>32</v>
      </c>
    </row>
    <row r="46" spans="1:4">
      <c r="A46" s="11">
        <f>ROW()-13</f>
        <v>33</v>
      </c>
      <c r="B46" s="44"/>
      <c r="C46" s="44"/>
      <c r="D46" s="14">
        <v>33</v>
      </c>
    </row>
    <row r="47" spans="1:4">
      <c r="A47" s="11">
        <f>ROW()-13</f>
        <v>34</v>
      </c>
      <c r="B47" s="44"/>
      <c r="C47" s="44"/>
      <c r="D47" s="14">
        <v>34</v>
      </c>
    </row>
    <row r="48" spans="1:4">
      <c r="A48" s="11">
        <f>ROW()-13</f>
        <v>35</v>
      </c>
      <c r="B48" s="44"/>
      <c r="C48" s="44"/>
      <c r="D48" s="14">
        <v>35</v>
      </c>
    </row>
    <row r="49" spans="1:4">
      <c r="A49" s="11">
        <f>ROW()-13</f>
        <v>36</v>
      </c>
      <c r="B49" s="44"/>
      <c r="C49" s="44"/>
      <c r="D49" s="14">
        <v>36</v>
      </c>
    </row>
    <row r="50" spans="1:4">
      <c r="A50" s="11">
        <f>ROW()-13</f>
        <v>37</v>
      </c>
      <c r="B50" s="44"/>
      <c r="C50" s="44"/>
      <c r="D50" s="14">
        <v>37</v>
      </c>
    </row>
    <row r="51" spans="1:4">
      <c r="A51" s="11">
        <f>ROW()-13</f>
        <v>38</v>
      </c>
      <c r="B51" s="44"/>
      <c r="C51" s="44"/>
      <c r="D51" s="14">
        <v>38</v>
      </c>
    </row>
    <row r="52" spans="1:4">
      <c r="A52" s="11">
        <f>ROW()-13</f>
        <v>39</v>
      </c>
      <c r="B52" s="44"/>
      <c r="C52" s="44"/>
      <c r="D52" s="14">
        <v>39</v>
      </c>
    </row>
    <row r="53" spans="1:4">
      <c r="A53" s="11">
        <f>ROW()-13</f>
        <v>40</v>
      </c>
      <c r="B53" s="44"/>
      <c r="C53" s="44"/>
      <c r="D53" s="14">
        <v>40</v>
      </c>
    </row>
    <row r="54" spans="1:4">
      <c r="A54" s="11">
        <f>ROW()-13</f>
        <v>41</v>
      </c>
      <c r="B54" s="44"/>
      <c r="C54" s="44"/>
      <c r="D54" s="14">
        <v>41</v>
      </c>
    </row>
    <row r="55" spans="1:4">
      <c r="A55" s="11">
        <f>ROW()-13</f>
        <v>42</v>
      </c>
      <c r="B55" s="44"/>
      <c r="C55" s="44"/>
      <c r="D55" s="14">
        <v>42</v>
      </c>
    </row>
    <row r="56" spans="1:4">
      <c r="A56" s="11">
        <f>ROW()-13</f>
        <v>43</v>
      </c>
      <c r="B56" s="44"/>
      <c r="C56" s="44"/>
      <c r="D56" s="14">
        <v>43</v>
      </c>
    </row>
    <row r="57" spans="1:4">
      <c r="A57" s="11">
        <f>ROW()-13</f>
        <v>44</v>
      </c>
      <c r="B57" s="44"/>
      <c r="C57" s="44"/>
      <c r="D57" s="14">
        <v>44</v>
      </c>
    </row>
    <row r="58" spans="1:4">
      <c r="A58" s="11">
        <f>ROW()-13</f>
        <v>45</v>
      </c>
      <c r="B58" s="44"/>
      <c r="C58" s="44"/>
      <c r="D58" s="14">
        <v>45</v>
      </c>
    </row>
    <row r="59" spans="1:4">
      <c r="A59" s="11">
        <f>ROW()-13</f>
        <v>46</v>
      </c>
      <c r="B59" s="44"/>
      <c r="C59" s="44"/>
      <c r="D59" s="14">
        <v>46</v>
      </c>
    </row>
    <row r="60" spans="1:4">
      <c r="A60" s="11">
        <f>ROW()-13</f>
        <v>47</v>
      </c>
      <c r="B60" s="44"/>
      <c r="C60" s="44"/>
      <c r="D60" s="14">
        <v>47</v>
      </c>
    </row>
    <row r="61" spans="1:4">
      <c r="A61" s="11">
        <f>ROW()-13</f>
        <v>48</v>
      </c>
      <c r="B61" s="44"/>
      <c r="C61" s="44"/>
      <c r="D61" s="14">
        <v>48</v>
      </c>
    </row>
    <row r="62" spans="1:4">
      <c r="A62" s="11">
        <f>ROW()-13</f>
        <v>49</v>
      </c>
      <c r="B62" s="44"/>
      <c r="C62" s="44"/>
      <c r="D62" s="14">
        <v>49</v>
      </c>
    </row>
    <row r="63" spans="1:4">
      <c r="A63" s="11">
        <f>ROW()-13</f>
        <v>50</v>
      </c>
      <c r="B63" s="44"/>
      <c r="C63" s="44"/>
      <c r="D63" s="14">
        <v>50</v>
      </c>
    </row>
    <row r="64" spans="1:4">
      <c r="A64" s="11">
        <f>ROW()-13</f>
        <v>51</v>
      </c>
      <c r="B64" s="44"/>
      <c r="C64" s="44"/>
      <c r="D64" s="14">
        <v>51</v>
      </c>
    </row>
    <row r="65" spans="1:4">
      <c r="A65" s="11">
        <f>ROW()-13</f>
        <v>52</v>
      </c>
      <c r="B65" s="44"/>
      <c r="C65" s="44"/>
      <c r="D65" s="14">
        <v>52</v>
      </c>
    </row>
    <row r="66" spans="1:4">
      <c r="A66" s="11">
        <f>ROW()-13</f>
        <v>53</v>
      </c>
      <c r="B66" s="44"/>
      <c r="C66" s="44"/>
      <c r="D66" s="14">
        <v>53</v>
      </c>
    </row>
    <row r="67" spans="1:4">
      <c r="A67" s="11">
        <f>ROW()-13</f>
        <v>54</v>
      </c>
      <c r="B67" s="44"/>
      <c r="C67" s="44"/>
      <c r="D67" s="14">
        <v>54</v>
      </c>
    </row>
    <row r="68" spans="1:4">
      <c r="A68" s="11">
        <f>ROW()-13</f>
        <v>55</v>
      </c>
      <c r="B68" s="44"/>
      <c r="C68" s="44"/>
      <c r="D68" s="14">
        <v>55</v>
      </c>
    </row>
    <row r="69" spans="1:4">
      <c r="A69" s="11">
        <f>ROW()-13</f>
        <v>56</v>
      </c>
      <c r="B69" s="44"/>
      <c r="C69" s="44"/>
      <c r="D69" s="14">
        <v>56</v>
      </c>
    </row>
    <row r="70" spans="1:4">
      <c r="A70" s="11">
        <f>ROW()-13</f>
        <v>57</v>
      </c>
      <c r="B70" s="44"/>
      <c r="C70" s="44"/>
      <c r="D70" s="14">
        <v>57</v>
      </c>
    </row>
    <row r="71" spans="1:4">
      <c r="A71" s="11">
        <f>ROW()-13</f>
        <v>58</v>
      </c>
      <c r="B71" s="44"/>
      <c r="C71" s="44"/>
      <c r="D71" s="14">
        <v>58</v>
      </c>
    </row>
    <row r="72" spans="1:4">
      <c r="A72" s="11">
        <f>ROW()-13</f>
        <v>59</v>
      </c>
      <c r="B72" s="44"/>
      <c r="C72" s="44"/>
      <c r="D72" s="14">
        <v>59</v>
      </c>
    </row>
    <row r="73" spans="1:4">
      <c r="A73" s="11">
        <f>ROW()-13</f>
        <v>60</v>
      </c>
      <c r="B73" s="44"/>
      <c r="C73" s="44"/>
      <c r="D73" s="14">
        <v>60</v>
      </c>
    </row>
    <row r="74" spans="1:4">
      <c r="A74" s="11">
        <f>ROW()-13</f>
        <v>61</v>
      </c>
      <c r="B74" s="44"/>
      <c r="C74" s="44"/>
      <c r="D74" s="14">
        <v>61</v>
      </c>
    </row>
    <row r="75" spans="1:4">
      <c r="A75" s="11">
        <f>ROW()-13</f>
        <v>62</v>
      </c>
      <c r="B75" s="44"/>
      <c r="C75" s="44"/>
      <c r="D75" s="14">
        <v>62</v>
      </c>
    </row>
    <row r="76" spans="1:4">
      <c r="A76" s="11">
        <f>ROW()-13</f>
        <v>63</v>
      </c>
      <c r="B76" s="44"/>
      <c r="C76" s="44"/>
      <c r="D76" s="14">
        <v>63</v>
      </c>
    </row>
    <row r="77" spans="1:4">
      <c r="A77" s="11">
        <f>ROW()-13</f>
        <v>64</v>
      </c>
      <c r="B77" s="44"/>
      <c r="C77" s="44"/>
      <c r="D77" s="14">
        <v>64</v>
      </c>
    </row>
    <row r="78" spans="1:4">
      <c r="A78" s="11">
        <f>ROW()-13</f>
        <v>65</v>
      </c>
      <c r="B78" s="44"/>
      <c r="C78" s="44"/>
      <c r="D78" s="14">
        <v>65</v>
      </c>
    </row>
    <row r="79" spans="1:4">
      <c r="A79" s="11">
        <f>ROW()-13</f>
        <v>66</v>
      </c>
      <c r="B79" s="44"/>
      <c r="C79" s="44"/>
      <c r="D79" s="14">
        <v>66</v>
      </c>
    </row>
    <row r="80" spans="1:4">
      <c r="A80" s="11">
        <f>ROW()-13</f>
        <v>67</v>
      </c>
      <c r="B80" s="44"/>
      <c r="C80" s="44"/>
      <c r="D80" s="14">
        <v>67</v>
      </c>
    </row>
    <row r="81" spans="1:4">
      <c r="A81" s="11">
        <f>ROW()-13</f>
        <v>68</v>
      </c>
      <c r="B81" s="44"/>
      <c r="C81" s="44"/>
      <c r="D81" s="14">
        <v>68</v>
      </c>
    </row>
    <row r="82" spans="1:4">
      <c r="A82" s="11">
        <f>ROW()-13</f>
        <v>69</v>
      </c>
      <c r="B82" s="44"/>
      <c r="C82" s="44"/>
      <c r="D82" s="14">
        <v>69</v>
      </c>
    </row>
    <row r="83" spans="1:4">
      <c r="A83" s="11">
        <f>ROW()-13</f>
        <v>70</v>
      </c>
      <c r="B83" s="44"/>
      <c r="C83" s="44"/>
      <c r="D83" s="14">
        <v>70</v>
      </c>
    </row>
    <row r="84" spans="1:4">
      <c r="A84" s="11">
        <f>ROW()-13</f>
        <v>71</v>
      </c>
      <c r="B84" s="44"/>
      <c r="C84" s="44"/>
      <c r="D84" s="14">
        <v>71</v>
      </c>
    </row>
    <row r="85" spans="1:4">
      <c r="A85" s="11">
        <f>ROW()-13</f>
        <v>72</v>
      </c>
      <c r="B85" s="44"/>
      <c r="C85" s="44"/>
      <c r="D85" s="14">
        <v>72</v>
      </c>
    </row>
    <row r="86" spans="1:4">
      <c r="A86" s="11">
        <f>ROW()-13</f>
        <v>73</v>
      </c>
      <c r="B86" s="44"/>
      <c r="C86" s="44"/>
      <c r="D86" s="14">
        <v>73</v>
      </c>
    </row>
    <row r="87" spans="1:4">
      <c r="A87" s="11">
        <f>ROW()-13</f>
        <v>74</v>
      </c>
      <c r="B87" s="44"/>
      <c r="C87" s="44"/>
      <c r="D87" s="14">
        <v>74</v>
      </c>
    </row>
    <row r="88" spans="1:4">
      <c r="A88" s="11">
        <f>ROW()-13</f>
        <v>75</v>
      </c>
      <c r="B88" s="44"/>
      <c r="C88" s="44"/>
      <c r="D88" s="14">
        <v>75</v>
      </c>
    </row>
    <row r="89" spans="1:4">
      <c r="A89" s="11">
        <f>ROW()-13</f>
        <v>76</v>
      </c>
      <c r="B89" s="44"/>
      <c r="C89" s="44"/>
      <c r="D89" s="14">
        <v>76</v>
      </c>
    </row>
    <row r="90" spans="1:4">
      <c r="A90" s="11">
        <f>ROW()-13</f>
        <v>77</v>
      </c>
      <c r="B90" s="44"/>
      <c r="C90" s="44"/>
      <c r="D90" s="14">
        <v>77</v>
      </c>
    </row>
    <row r="91" spans="1:4">
      <c r="A91" s="11">
        <f>ROW()-13</f>
        <v>78</v>
      </c>
      <c r="B91" s="44"/>
      <c r="C91" s="44"/>
      <c r="D91" s="14">
        <v>78</v>
      </c>
    </row>
    <row r="92" spans="1:4">
      <c r="A92" s="11">
        <f>ROW()-13</f>
        <v>79</v>
      </c>
      <c r="B92" s="44"/>
      <c r="C92" s="44"/>
      <c r="D92" s="14">
        <v>79</v>
      </c>
    </row>
    <row r="93" spans="1:4">
      <c r="A93" s="11">
        <f>ROW()-13</f>
        <v>80</v>
      </c>
      <c r="B93" s="44"/>
      <c r="C93" s="44"/>
      <c r="D93" s="14">
        <v>80</v>
      </c>
    </row>
    <row r="94" spans="1:4">
      <c r="A94" s="11">
        <f>ROW()-13</f>
        <v>81</v>
      </c>
      <c r="B94" s="44"/>
      <c r="C94" s="44"/>
      <c r="D94" s="14">
        <v>81</v>
      </c>
    </row>
    <row r="95" spans="1:4">
      <c r="A95" s="11">
        <f>ROW()-13</f>
        <v>82</v>
      </c>
      <c r="B95" s="44"/>
      <c r="C95" s="44"/>
      <c r="D95" s="14">
        <v>82</v>
      </c>
    </row>
    <row r="96" spans="1:4">
      <c r="A96" s="11">
        <f>ROW()-13</f>
        <v>83</v>
      </c>
      <c r="B96" s="44"/>
      <c r="C96" s="44"/>
      <c r="D96" s="14">
        <v>83</v>
      </c>
    </row>
    <row r="97" spans="1:4">
      <c r="A97" s="11">
        <f>ROW()-13</f>
        <v>84</v>
      </c>
      <c r="B97" s="44"/>
      <c r="C97" s="44"/>
      <c r="D97" s="14">
        <v>84</v>
      </c>
    </row>
    <row r="98" spans="1:4">
      <c r="A98" s="11">
        <f>ROW()-13</f>
        <v>85</v>
      </c>
      <c r="B98" s="44"/>
      <c r="C98" s="44"/>
      <c r="D98" s="14">
        <v>85</v>
      </c>
    </row>
    <row r="99" spans="1:4">
      <c r="A99" s="11">
        <f>ROW()-13</f>
        <v>86</v>
      </c>
      <c r="B99" s="44"/>
      <c r="C99" s="44"/>
      <c r="D99" s="14">
        <v>86</v>
      </c>
    </row>
    <row r="100" spans="1:4">
      <c r="A100" s="11">
        <f>ROW()-13</f>
        <v>87</v>
      </c>
      <c r="B100" s="44"/>
      <c r="C100" s="44"/>
      <c r="D100" s="14">
        <v>87</v>
      </c>
    </row>
    <row r="101" spans="1:4">
      <c r="A101" s="11">
        <f>ROW()-13</f>
        <v>88</v>
      </c>
      <c r="B101" s="44"/>
      <c r="C101" s="44"/>
      <c r="D101" s="14">
        <v>88</v>
      </c>
    </row>
    <row r="102" spans="1:4">
      <c r="A102" s="11">
        <f>ROW()-13</f>
        <v>89</v>
      </c>
      <c r="B102" s="44"/>
      <c r="C102" s="44"/>
      <c r="D102" s="14">
        <v>89</v>
      </c>
    </row>
    <row r="103" spans="1:4">
      <c r="A103" s="11">
        <f>ROW()-13</f>
        <v>90</v>
      </c>
      <c r="B103" s="44"/>
      <c r="C103" s="44"/>
      <c r="D103" s="14">
        <v>90</v>
      </c>
    </row>
    <row r="104" spans="1:4">
      <c r="A104" s="11">
        <f>ROW()-13</f>
        <v>91</v>
      </c>
      <c r="B104" s="44"/>
      <c r="C104" s="44"/>
      <c r="D104" s="14">
        <v>91</v>
      </c>
    </row>
    <row r="105" spans="1:4">
      <c r="A105" s="11">
        <f>ROW()-13</f>
        <v>92</v>
      </c>
      <c r="B105" s="44"/>
      <c r="C105" s="44"/>
      <c r="D105" s="14">
        <v>92</v>
      </c>
    </row>
    <row r="106" spans="1:4">
      <c r="A106" s="11">
        <f>ROW()-13</f>
        <v>93</v>
      </c>
      <c r="B106" s="44"/>
      <c r="C106" s="44"/>
      <c r="D106" s="14">
        <v>93</v>
      </c>
    </row>
    <row r="107" spans="1:4">
      <c r="A107" s="11">
        <f>ROW()-13</f>
        <v>94</v>
      </c>
      <c r="B107" s="44"/>
      <c r="C107" s="44"/>
      <c r="D107" s="14">
        <v>94</v>
      </c>
    </row>
    <row r="108" spans="1:4">
      <c r="A108" s="11">
        <f>ROW()-13</f>
        <v>95</v>
      </c>
      <c r="B108" s="44"/>
      <c r="C108" s="44"/>
      <c r="D108" s="14">
        <v>95</v>
      </c>
    </row>
    <row r="109" spans="1:4">
      <c r="A109" s="11">
        <f>ROW()-13</f>
        <v>96</v>
      </c>
      <c r="B109" s="44"/>
      <c r="C109" s="44"/>
      <c r="D109" s="14">
        <v>96</v>
      </c>
    </row>
    <row r="110" spans="1:4">
      <c r="A110" s="11">
        <f>ROW()-13</f>
        <v>97</v>
      </c>
      <c r="B110" s="44"/>
      <c r="C110" s="44"/>
      <c r="D110" s="14">
        <v>97</v>
      </c>
    </row>
    <row r="111" spans="1:4">
      <c r="A111" s="11">
        <f>ROW()-13</f>
        <v>98</v>
      </c>
      <c r="B111" s="44"/>
      <c r="C111" s="44"/>
      <c r="D111" s="14">
        <v>98</v>
      </c>
    </row>
    <row r="112" spans="1:4">
      <c r="A112" s="11">
        <f>ROW()-13</f>
        <v>99</v>
      </c>
      <c r="B112" s="44"/>
      <c r="C112" s="44"/>
      <c r="D112" s="14">
        <v>99</v>
      </c>
    </row>
    <row r="113" spans="1:4">
      <c r="A113" s="17">
        <f>ROW()-13</f>
        <v>100</v>
      </c>
      <c r="B113" s="45"/>
      <c r="C113" s="45"/>
      <c r="D113" s="18">
        <v>100</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4:C24"/>
    <mergeCell ref="B25:C25"/>
    <mergeCell ref="B26:C26"/>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s>
  <phoneticPr fontId="2"/>
  <conditionalFormatting sqref="B14:D113">
    <cfRule type="expression" dxfId="1" priority="1" stopIfTrue="1">
      <formula>ISODD(ROW())</formula>
    </cfRule>
  </conditionalFormatting>
  <dataValidations count="1">
    <dataValidation type="list" allowBlank="1" showInputMessage="1" showErrorMessage="1" sqref="B3" xr:uid="{CE1D7DC9-F509-4636-8B0E-959398B697EF}">
      <formula1>"Oracle,PostgreSQL,SQLServer"</formula1>
    </dataValidation>
  </dataValidations>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BD10E5-62DA-4B5F-B476-C29F9BE5D739}">
  <sheetPr codeName="Sheet15">
    <tabColor rgb="FFBDD7EE"/>
  </sheetPr>
  <dimension ref="A1:H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 customWidth="1"/>
    <col min="2" max="2" width="20.69921875" style="3" customWidth="1" outlineLevel="1"/>
    <col min="3" max="3" width="8.69921875" style="2" customWidth="1"/>
    <col min="4" max="8" width="15.69921875" style="3" customWidth="1"/>
    <col min="9" max="16384" width="8.796875" style="3"/>
  </cols>
  <sheetData>
    <row r="1" spans="1:8" ht="13.2" customHeight="1">
      <c r="A1" s="46" t="s">
        <v>0</v>
      </c>
      <c r="B1" s="47"/>
      <c r="C1" s="1" t="s">
        <v>1</v>
      </c>
      <c r="D1" s="2">
        <v>1</v>
      </c>
      <c r="E1" s="2">
        <v>2</v>
      </c>
      <c r="F1" s="2">
        <v>3</v>
      </c>
      <c r="G1" s="2">
        <v>4</v>
      </c>
      <c r="H1" s="2">
        <v>5</v>
      </c>
    </row>
    <row r="2" spans="1:8" ht="13.2" customHeight="1">
      <c r="A2" s="46"/>
      <c r="B2" s="47"/>
      <c r="C2" s="1" t="s">
        <v>2</v>
      </c>
      <c r="D2" s="141" t="s">
        <v>3</v>
      </c>
      <c r="E2" s="2"/>
      <c r="F2" s="2"/>
      <c r="G2" s="2"/>
      <c r="H2" s="2"/>
    </row>
    <row r="3" spans="1:8">
      <c r="A3" s="4" t="s">
        <v>4</v>
      </c>
      <c r="B3" s="5" t="s">
        <v>5</v>
      </c>
      <c r="C3" s="1" t="s">
        <v>6</v>
      </c>
      <c r="D3" s="2" t="s">
        <v>437</v>
      </c>
      <c r="E3" s="2" t="s">
        <v>438</v>
      </c>
      <c r="F3" s="2" t="s">
        <v>439</v>
      </c>
      <c r="G3" s="2" t="s">
        <v>440</v>
      </c>
      <c r="H3" s="2" t="s">
        <v>441</v>
      </c>
    </row>
    <row r="4" spans="1:8">
      <c r="A4" s="4" t="s">
        <v>14</v>
      </c>
      <c r="B4" s="5" t="s">
        <v>15</v>
      </c>
      <c r="C4" s="1" t="s">
        <v>16</v>
      </c>
      <c r="D4" s="2" t="s">
        <v>442</v>
      </c>
      <c r="E4" s="2" t="s">
        <v>443</v>
      </c>
      <c r="F4" s="2" t="s">
        <v>444</v>
      </c>
      <c r="G4" s="2" t="s">
        <v>445</v>
      </c>
      <c r="H4" s="2" t="s">
        <v>446</v>
      </c>
    </row>
    <row r="5" spans="1:8">
      <c r="A5" s="4" t="s">
        <v>23</v>
      </c>
      <c r="B5" s="5" t="s">
        <v>447</v>
      </c>
      <c r="C5" s="1" t="s">
        <v>25</v>
      </c>
      <c r="D5" s="2" t="s">
        <v>26</v>
      </c>
      <c r="E5" s="2" t="s">
        <v>26</v>
      </c>
      <c r="F5" s="2" t="s">
        <v>26</v>
      </c>
      <c r="G5" s="2" t="s">
        <v>26</v>
      </c>
      <c r="H5" s="2" t="s">
        <v>26</v>
      </c>
    </row>
    <row r="6" spans="1:8">
      <c r="A6" s="4" t="s">
        <v>29</v>
      </c>
      <c r="B6" s="5" t="s">
        <v>448</v>
      </c>
      <c r="C6" s="1" t="s">
        <v>31</v>
      </c>
      <c r="D6" s="2" t="s">
        <v>32</v>
      </c>
      <c r="E6" s="2" t="s">
        <v>32</v>
      </c>
      <c r="F6" s="2" t="s">
        <v>32</v>
      </c>
      <c r="G6" s="2" t="s">
        <v>32</v>
      </c>
      <c r="H6" s="2" t="s">
        <v>449</v>
      </c>
    </row>
    <row r="7" spans="1:8">
      <c r="A7" s="4" t="s">
        <v>33</v>
      </c>
      <c r="B7" s="5" t="s">
        <v>33</v>
      </c>
      <c r="C7" s="1" t="s">
        <v>34</v>
      </c>
      <c r="D7" s="6" t="s">
        <v>3</v>
      </c>
      <c r="E7" s="6" t="s">
        <v>3</v>
      </c>
      <c r="F7" s="6" t="s">
        <v>3</v>
      </c>
      <c r="G7" s="6" t="s">
        <v>3</v>
      </c>
      <c r="H7" s="6" t="s">
        <v>3</v>
      </c>
    </row>
    <row r="8" spans="1:8" outlineLevel="1">
      <c r="A8" s="7"/>
      <c r="B8" s="8"/>
      <c r="C8" s="9" t="s">
        <v>35</v>
      </c>
      <c r="D8" s="10"/>
      <c r="E8" s="10"/>
      <c r="F8" s="10"/>
      <c r="G8" s="10"/>
      <c r="H8" s="10"/>
    </row>
    <row r="9" spans="1:8" outlineLevel="1">
      <c r="A9" s="7"/>
      <c r="B9" s="8"/>
      <c r="C9" s="11" t="s">
        <v>37</v>
      </c>
      <c r="D9" s="12"/>
      <c r="E9" s="12"/>
      <c r="F9" s="12"/>
      <c r="G9" s="12"/>
      <c r="H9" s="12"/>
    </row>
    <row r="10" spans="1:8" outlineLevel="1">
      <c r="A10" s="7"/>
      <c r="B10" s="8"/>
      <c r="C10" s="11" t="s">
        <v>38</v>
      </c>
      <c r="D10" s="12"/>
      <c r="E10" s="12"/>
      <c r="F10" s="12"/>
      <c r="G10" s="12"/>
      <c r="H10" s="12"/>
    </row>
    <row r="11" spans="1:8" outlineLevel="1">
      <c r="A11" s="7"/>
      <c r="B11" s="8"/>
      <c r="C11" s="11" t="s">
        <v>39</v>
      </c>
      <c r="D11" s="12"/>
      <c r="E11" s="12"/>
      <c r="F11" s="12"/>
      <c r="G11" s="12"/>
      <c r="H11" s="12"/>
    </row>
    <row r="12" spans="1:8" outlineLevel="1">
      <c r="A12" s="7"/>
      <c r="B12" s="8"/>
      <c r="C12" s="11" t="s">
        <v>40</v>
      </c>
      <c r="D12" s="12"/>
      <c r="E12" s="12"/>
      <c r="F12" s="12"/>
      <c r="G12" s="12"/>
      <c r="H12" s="12"/>
    </row>
    <row r="13" spans="1:8" outlineLevel="1">
      <c r="A13" s="9" t="s">
        <v>1</v>
      </c>
      <c r="B13" s="13"/>
      <c r="C13" s="11" t="s">
        <v>41</v>
      </c>
      <c r="D13" s="12"/>
      <c r="E13" s="12"/>
      <c r="F13" s="12"/>
      <c r="G13" s="12"/>
      <c r="H13" s="12"/>
    </row>
    <row r="14" spans="1:8">
      <c r="A14" s="11">
        <f>ROW()-13</f>
        <v>1</v>
      </c>
      <c r="B14" s="44"/>
      <c r="C14" s="44"/>
      <c r="D14" s="14">
        <v>0</v>
      </c>
      <c r="E14" s="14">
        <v>0</v>
      </c>
      <c r="F14" s="14">
        <v>0</v>
      </c>
      <c r="G14" s="14">
        <v>0</v>
      </c>
      <c r="H14" s="142">
        <v>0</v>
      </c>
    </row>
    <row r="15" spans="1:8">
      <c r="A15" s="11">
        <f>ROW()-13</f>
        <v>2</v>
      </c>
      <c r="B15" s="44"/>
      <c r="C15" s="44"/>
      <c r="D15" s="14">
        <v>9999999999</v>
      </c>
      <c r="E15" s="14">
        <v>9999999999</v>
      </c>
      <c r="F15" s="14">
        <v>9999999999</v>
      </c>
      <c r="G15" s="14">
        <v>9999999999</v>
      </c>
      <c r="H15" s="142">
        <v>99999999.989999995</v>
      </c>
    </row>
    <row r="16" spans="1:8">
      <c r="A16" s="11">
        <f>ROW()-13</f>
        <v>3</v>
      </c>
      <c r="B16" s="44"/>
      <c r="C16" s="44"/>
      <c r="D16" s="14">
        <v>3</v>
      </c>
      <c r="E16" s="14">
        <v>3</v>
      </c>
      <c r="F16" s="14">
        <v>3</v>
      </c>
      <c r="G16" s="14">
        <v>3</v>
      </c>
      <c r="H16" s="142">
        <v>3</v>
      </c>
    </row>
    <row r="17" spans="1:8">
      <c r="A17" s="11">
        <f>ROW()-13</f>
        <v>4</v>
      </c>
      <c r="B17" s="44"/>
      <c r="C17" s="44"/>
      <c r="D17" s="14">
        <v>4</v>
      </c>
      <c r="E17" s="14">
        <v>4</v>
      </c>
      <c r="F17" s="14">
        <v>4</v>
      </c>
      <c r="G17" s="14">
        <v>4</v>
      </c>
      <c r="H17" s="142">
        <v>4</v>
      </c>
    </row>
    <row r="18" spans="1:8">
      <c r="A18" s="11">
        <f>ROW()-13</f>
        <v>5</v>
      </c>
      <c r="B18" s="44"/>
      <c r="C18" s="44"/>
      <c r="D18" s="14">
        <v>5</v>
      </c>
      <c r="E18" s="14">
        <v>5</v>
      </c>
      <c r="F18" s="14">
        <v>5</v>
      </c>
      <c r="G18" s="14">
        <v>5</v>
      </c>
      <c r="H18" s="142">
        <v>5</v>
      </c>
    </row>
    <row r="19" spans="1:8">
      <c r="A19" s="11">
        <f>ROW()-13</f>
        <v>6</v>
      </c>
      <c r="B19" s="44"/>
      <c r="C19" s="44"/>
      <c r="D19" s="14">
        <v>6</v>
      </c>
      <c r="E19" s="14">
        <v>6</v>
      </c>
      <c r="F19" s="14">
        <v>6</v>
      </c>
      <c r="G19" s="14">
        <v>6</v>
      </c>
      <c r="H19" s="142">
        <v>6</v>
      </c>
    </row>
    <row r="20" spans="1:8">
      <c r="A20" s="11">
        <f>ROW()-13</f>
        <v>7</v>
      </c>
      <c r="B20" s="44"/>
      <c r="C20" s="44"/>
      <c r="D20" s="14">
        <v>7</v>
      </c>
      <c r="E20" s="14">
        <v>7</v>
      </c>
      <c r="F20" s="14">
        <v>7</v>
      </c>
      <c r="G20" s="14">
        <v>7</v>
      </c>
      <c r="H20" s="142">
        <v>7</v>
      </c>
    </row>
    <row r="21" spans="1:8">
      <c r="A21" s="11">
        <f>ROW()-13</f>
        <v>8</v>
      </c>
      <c r="B21" s="44"/>
      <c r="C21" s="44"/>
      <c r="D21" s="14">
        <v>8</v>
      </c>
      <c r="E21" s="14">
        <v>8</v>
      </c>
      <c r="F21" s="14">
        <v>8</v>
      </c>
      <c r="G21" s="14">
        <v>8</v>
      </c>
      <c r="H21" s="142">
        <v>8</v>
      </c>
    </row>
    <row r="22" spans="1:8">
      <c r="A22" s="11">
        <f>ROW()-13</f>
        <v>9</v>
      </c>
      <c r="B22" s="44"/>
      <c r="C22" s="44"/>
      <c r="D22" s="14">
        <v>9</v>
      </c>
      <c r="E22" s="14">
        <v>9</v>
      </c>
      <c r="F22" s="14">
        <v>9</v>
      </c>
      <c r="G22" s="14">
        <v>9</v>
      </c>
      <c r="H22" s="142">
        <v>9</v>
      </c>
    </row>
    <row r="23" spans="1:8">
      <c r="A23" s="11">
        <f>ROW()-13</f>
        <v>10</v>
      </c>
      <c r="B23" s="44"/>
      <c r="C23" s="44"/>
      <c r="D23" s="14">
        <v>10</v>
      </c>
      <c r="E23" s="14">
        <v>10</v>
      </c>
      <c r="F23" s="14">
        <v>10</v>
      </c>
      <c r="G23" s="14">
        <v>10</v>
      </c>
      <c r="H23" s="142">
        <v>10</v>
      </c>
    </row>
    <row r="24" spans="1:8">
      <c r="A24" s="11">
        <f>ROW()-13</f>
        <v>11</v>
      </c>
      <c r="B24" s="44"/>
      <c r="C24" s="44"/>
      <c r="D24" s="14">
        <v>11</v>
      </c>
      <c r="E24" s="14">
        <v>11</v>
      </c>
      <c r="F24" s="14">
        <v>11</v>
      </c>
      <c r="G24" s="14">
        <v>11</v>
      </c>
      <c r="H24" s="142">
        <v>11</v>
      </c>
    </row>
    <row r="25" spans="1:8">
      <c r="A25" s="11">
        <f>ROW()-13</f>
        <v>12</v>
      </c>
      <c r="B25" s="44"/>
      <c r="C25" s="44"/>
      <c r="D25" s="14">
        <v>12</v>
      </c>
      <c r="E25" s="14">
        <v>12</v>
      </c>
      <c r="F25" s="14">
        <v>12</v>
      </c>
      <c r="G25" s="14">
        <v>12</v>
      </c>
      <c r="H25" s="142">
        <v>12</v>
      </c>
    </row>
    <row r="26" spans="1:8">
      <c r="A26" s="11">
        <f>ROW()-13</f>
        <v>13</v>
      </c>
      <c r="B26" s="44"/>
      <c r="C26" s="44"/>
      <c r="D26" s="14">
        <v>13</v>
      </c>
      <c r="E26" s="14">
        <v>13</v>
      </c>
      <c r="F26" s="14">
        <v>13</v>
      </c>
      <c r="G26" s="14">
        <v>13</v>
      </c>
      <c r="H26" s="142">
        <v>13</v>
      </c>
    </row>
    <row r="27" spans="1:8">
      <c r="A27" s="11">
        <f>ROW()-13</f>
        <v>14</v>
      </c>
      <c r="B27" s="44"/>
      <c r="C27" s="44"/>
      <c r="D27" s="14">
        <v>14</v>
      </c>
      <c r="E27" s="14">
        <v>14</v>
      </c>
      <c r="F27" s="14">
        <v>14</v>
      </c>
      <c r="G27" s="14">
        <v>14</v>
      </c>
      <c r="H27" s="142">
        <v>14</v>
      </c>
    </row>
    <row r="28" spans="1:8">
      <c r="A28" s="11">
        <f>ROW()-13</f>
        <v>15</v>
      </c>
      <c r="B28" s="44"/>
      <c r="C28" s="44"/>
      <c r="D28" s="14">
        <v>15</v>
      </c>
      <c r="E28" s="14">
        <v>15</v>
      </c>
      <c r="F28" s="14">
        <v>15</v>
      </c>
      <c r="G28" s="14">
        <v>15</v>
      </c>
      <c r="H28" s="142">
        <v>15</v>
      </c>
    </row>
    <row r="29" spans="1:8">
      <c r="A29" s="11">
        <f>ROW()-13</f>
        <v>16</v>
      </c>
      <c r="B29" s="44"/>
      <c r="C29" s="44"/>
      <c r="D29" s="14">
        <v>16</v>
      </c>
      <c r="E29" s="14">
        <v>16</v>
      </c>
      <c r="F29" s="14">
        <v>16</v>
      </c>
      <c r="G29" s="14">
        <v>16</v>
      </c>
      <c r="H29" s="142">
        <v>16</v>
      </c>
    </row>
    <row r="30" spans="1:8">
      <c r="A30" s="11">
        <f>ROW()-13</f>
        <v>17</v>
      </c>
      <c r="B30" s="44"/>
      <c r="C30" s="44"/>
      <c r="D30" s="14">
        <v>17</v>
      </c>
      <c r="E30" s="14">
        <v>17</v>
      </c>
      <c r="F30" s="14">
        <v>17</v>
      </c>
      <c r="G30" s="14">
        <v>17</v>
      </c>
      <c r="H30" s="142">
        <v>17</v>
      </c>
    </row>
    <row r="31" spans="1:8">
      <c r="A31" s="11">
        <f>ROW()-13</f>
        <v>18</v>
      </c>
      <c r="B31" s="44"/>
      <c r="C31" s="44"/>
      <c r="D31" s="14">
        <v>18</v>
      </c>
      <c r="E31" s="14">
        <v>18</v>
      </c>
      <c r="F31" s="14">
        <v>18</v>
      </c>
      <c r="G31" s="14">
        <v>18</v>
      </c>
      <c r="H31" s="142">
        <v>18</v>
      </c>
    </row>
    <row r="32" spans="1:8">
      <c r="A32" s="11">
        <f>ROW()-13</f>
        <v>19</v>
      </c>
      <c r="B32" s="44"/>
      <c r="C32" s="44"/>
      <c r="D32" s="14">
        <v>19</v>
      </c>
      <c r="E32" s="14">
        <v>19</v>
      </c>
      <c r="F32" s="14">
        <v>19</v>
      </c>
      <c r="G32" s="14">
        <v>19</v>
      </c>
      <c r="H32" s="142">
        <v>19</v>
      </c>
    </row>
    <row r="33" spans="1:8">
      <c r="A33" s="11">
        <f>ROW()-13</f>
        <v>20</v>
      </c>
      <c r="B33" s="44"/>
      <c r="C33" s="44"/>
      <c r="D33" s="14">
        <v>20</v>
      </c>
      <c r="E33" s="14">
        <v>20</v>
      </c>
      <c r="F33" s="14">
        <v>20</v>
      </c>
      <c r="G33" s="14">
        <v>20</v>
      </c>
      <c r="H33" s="142">
        <v>20</v>
      </c>
    </row>
    <row r="34" spans="1:8">
      <c r="A34" s="11">
        <f>ROW()-13</f>
        <v>21</v>
      </c>
      <c r="B34" s="44"/>
      <c r="C34" s="44"/>
      <c r="D34" s="14">
        <v>21</v>
      </c>
      <c r="E34" s="14">
        <v>21</v>
      </c>
      <c r="F34" s="14">
        <v>21</v>
      </c>
      <c r="G34" s="14">
        <v>21</v>
      </c>
      <c r="H34" s="142">
        <v>21</v>
      </c>
    </row>
    <row r="35" spans="1:8">
      <c r="A35" s="11">
        <f>ROW()-13</f>
        <v>22</v>
      </c>
      <c r="B35" s="44"/>
      <c r="C35" s="44"/>
      <c r="D35" s="14">
        <v>22</v>
      </c>
      <c r="E35" s="14">
        <v>22</v>
      </c>
      <c r="F35" s="14">
        <v>22</v>
      </c>
      <c r="G35" s="14">
        <v>22</v>
      </c>
      <c r="H35" s="142">
        <v>22</v>
      </c>
    </row>
    <row r="36" spans="1:8">
      <c r="A36" s="11">
        <f>ROW()-13</f>
        <v>23</v>
      </c>
      <c r="B36" s="44"/>
      <c r="C36" s="44"/>
      <c r="D36" s="14">
        <v>23</v>
      </c>
      <c r="E36" s="14">
        <v>23</v>
      </c>
      <c r="F36" s="14">
        <v>23</v>
      </c>
      <c r="G36" s="14">
        <v>23</v>
      </c>
      <c r="H36" s="142">
        <v>23</v>
      </c>
    </row>
    <row r="37" spans="1:8">
      <c r="A37" s="11">
        <f>ROW()-13</f>
        <v>24</v>
      </c>
      <c r="B37" s="44"/>
      <c r="C37" s="44"/>
      <c r="D37" s="14">
        <v>24</v>
      </c>
      <c r="E37" s="14">
        <v>24</v>
      </c>
      <c r="F37" s="14">
        <v>24</v>
      </c>
      <c r="G37" s="14">
        <v>24</v>
      </c>
      <c r="H37" s="142">
        <v>24</v>
      </c>
    </row>
    <row r="38" spans="1:8">
      <c r="A38" s="11">
        <f>ROW()-13</f>
        <v>25</v>
      </c>
      <c r="B38" s="44"/>
      <c r="C38" s="44"/>
      <c r="D38" s="14">
        <v>25</v>
      </c>
      <c r="E38" s="14">
        <v>25</v>
      </c>
      <c r="F38" s="14">
        <v>25</v>
      </c>
      <c r="G38" s="14">
        <v>25</v>
      </c>
      <c r="H38" s="142">
        <v>25</v>
      </c>
    </row>
    <row r="39" spans="1:8">
      <c r="A39" s="11">
        <f>ROW()-13</f>
        <v>26</v>
      </c>
      <c r="B39" s="44"/>
      <c r="C39" s="44"/>
      <c r="D39" s="14">
        <v>26</v>
      </c>
      <c r="E39" s="14">
        <v>26</v>
      </c>
      <c r="F39" s="14">
        <v>26</v>
      </c>
      <c r="G39" s="14">
        <v>26</v>
      </c>
      <c r="H39" s="142">
        <v>26</v>
      </c>
    </row>
    <row r="40" spans="1:8">
      <c r="A40" s="11">
        <f>ROW()-13</f>
        <v>27</v>
      </c>
      <c r="B40" s="44"/>
      <c r="C40" s="44"/>
      <c r="D40" s="14">
        <v>27</v>
      </c>
      <c r="E40" s="14">
        <v>27</v>
      </c>
      <c r="F40" s="14">
        <v>27</v>
      </c>
      <c r="G40" s="14">
        <v>27</v>
      </c>
      <c r="H40" s="142">
        <v>27</v>
      </c>
    </row>
    <row r="41" spans="1:8">
      <c r="A41" s="11">
        <f>ROW()-13</f>
        <v>28</v>
      </c>
      <c r="B41" s="44"/>
      <c r="C41" s="44"/>
      <c r="D41" s="14">
        <v>28</v>
      </c>
      <c r="E41" s="14">
        <v>28</v>
      </c>
      <c r="F41" s="14">
        <v>28</v>
      </c>
      <c r="G41" s="14">
        <v>28</v>
      </c>
      <c r="H41" s="142">
        <v>28</v>
      </c>
    </row>
    <row r="42" spans="1:8">
      <c r="A42" s="11">
        <f>ROW()-13</f>
        <v>29</v>
      </c>
      <c r="B42" s="44"/>
      <c r="C42" s="44"/>
      <c r="D42" s="14">
        <v>29</v>
      </c>
      <c r="E42" s="14">
        <v>29</v>
      </c>
      <c r="F42" s="14">
        <v>29</v>
      </c>
      <c r="G42" s="14">
        <v>29</v>
      </c>
      <c r="H42" s="142">
        <v>29</v>
      </c>
    </row>
    <row r="43" spans="1:8">
      <c r="A43" s="11">
        <f>ROW()-13</f>
        <v>30</v>
      </c>
      <c r="B43" s="44"/>
      <c r="C43" s="44"/>
      <c r="D43" s="14">
        <v>30</v>
      </c>
      <c r="E43" s="14">
        <v>30</v>
      </c>
      <c r="F43" s="14">
        <v>30</v>
      </c>
      <c r="G43" s="14">
        <v>30</v>
      </c>
      <c r="H43" s="142">
        <v>30</v>
      </c>
    </row>
    <row r="44" spans="1:8">
      <c r="A44" s="11">
        <f>ROW()-13</f>
        <v>31</v>
      </c>
      <c r="B44" s="44"/>
      <c r="C44" s="44"/>
      <c r="D44" s="14">
        <v>31</v>
      </c>
      <c r="E44" s="14">
        <v>31</v>
      </c>
      <c r="F44" s="14">
        <v>31</v>
      </c>
      <c r="G44" s="14">
        <v>31</v>
      </c>
      <c r="H44" s="142">
        <v>31</v>
      </c>
    </row>
    <row r="45" spans="1:8">
      <c r="A45" s="11">
        <f>ROW()-13</f>
        <v>32</v>
      </c>
      <c r="B45" s="44"/>
      <c r="C45" s="44"/>
      <c r="D45" s="14">
        <v>32</v>
      </c>
      <c r="E45" s="14">
        <v>32</v>
      </c>
      <c r="F45" s="14">
        <v>32</v>
      </c>
      <c r="G45" s="14">
        <v>32</v>
      </c>
      <c r="H45" s="142">
        <v>32</v>
      </c>
    </row>
    <row r="46" spans="1:8">
      <c r="A46" s="11">
        <f>ROW()-13</f>
        <v>33</v>
      </c>
      <c r="B46" s="44"/>
      <c r="C46" s="44"/>
      <c r="D46" s="14">
        <v>33</v>
      </c>
      <c r="E46" s="14">
        <v>33</v>
      </c>
      <c r="F46" s="14">
        <v>33</v>
      </c>
      <c r="G46" s="14">
        <v>33</v>
      </c>
      <c r="H46" s="142">
        <v>33</v>
      </c>
    </row>
    <row r="47" spans="1:8">
      <c r="A47" s="11">
        <f>ROW()-13</f>
        <v>34</v>
      </c>
      <c r="B47" s="44"/>
      <c r="C47" s="44"/>
      <c r="D47" s="14">
        <v>34</v>
      </c>
      <c r="E47" s="14">
        <v>34</v>
      </c>
      <c r="F47" s="14">
        <v>34</v>
      </c>
      <c r="G47" s="14">
        <v>34</v>
      </c>
      <c r="H47" s="142">
        <v>34</v>
      </c>
    </row>
    <row r="48" spans="1:8">
      <c r="A48" s="11">
        <f>ROW()-13</f>
        <v>35</v>
      </c>
      <c r="B48" s="44"/>
      <c r="C48" s="44"/>
      <c r="D48" s="14">
        <v>35</v>
      </c>
      <c r="E48" s="14">
        <v>35</v>
      </c>
      <c r="F48" s="14">
        <v>35</v>
      </c>
      <c r="G48" s="14">
        <v>35</v>
      </c>
      <c r="H48" s="142">
        <v>35</v>
      </c>
    </row>
    <row r="49" spans="1:8">
      <c r="A49" s="11">
        <f>ROW()-13</f>
        <v>36</v>
      </c>
      <c r="B49" s="44"/>
      <c r="C49" s="44"/>
      <c r="D49" s="14">
        <v>36</v>
      </c>
      <c r="E49" s="14">
        <v>36</v>
      </c>
      <c r="F49" s="14">
        <v>36</v>
      </c>
      <c r="G49" s="14">
        <v>36</v>
      </c>
      <c r="H49" s="142">
        <v>36</v>
      </c>
    </row>
    <row r="50" spans="1:8">
      <c r="A50" s="11">
        <f>ROW()-13</f>
        <v>37</v>
      </c>
      <c r="B50" s="44"/>
      <c r="C50" s="44"/>
      <c r="D50" s="14">
        <v>37</v>
      </c>
      <c r="E50" s="14">
        <v>37</v>
      </c>
      <c r="F50" s="14">
        <v>37</v>
      </c>
      <c r="G50" s="14">
        <v>37</v>
      </c>
      <c r="H50" s="142">
        <v>37</v>
      </c>
    </row>
    <row r="51" spans="1:8">
      <c r="A51" s="11">
        <f>ROW()-13</f>
        <v>38</v>
      </c>
      <c r="B51" s="44"/>
      <c r="C51" s="44"/>
      <c r="D51" s="14">
        <v>38</v>
      </c>
      <c r="E51" s="14">
        <v>38</v>
      </c>
      <c r="F51" s="14">
        <v>38</v>
      </c>
      <c r="G51" s="14">
        <v>38</v>
      </c>
      <c r="H51" s="142">
        <v>38</v>
      </c>
    </row>
    <row r="52" spans="1:8">
      <c r="A52" s="11">
        <f>ROW()-13</f>
        <v>39</v>
      </c>
      <c r="B52" s="44"/>
      <c r="C52" s="44"/>
      <c r="D52" s="14">
        <v>39</v>
      </c>
      <c r="E52" s="14">
        <v>39</v>
      </c>
      <c r="F52" s="14">
        <v>39</v>
      </c>
      <c r="G52" s="14">
        <v>39</v>
      </c>
      <c r="H52" s="142">
        <v>39</v>
      </c>
    </row>
    <row r="53" spans="1:8">
      <c r="A53" s="11">
        <f>ROW()-13</f>
        <v>40</v>
      </c>
      <c r="B53" s="44"/>
      <c r="C53" s="44"/>
      <c r="D53" s="14">
        <v>40</v>
      </c>
      <c r="E53" s="14">
        <v>40</v>
      </c>
      <c r="F53" s="14">
        <v>40</v>
      </c>
      <c r="G53" s="14">
        <v>40</v>
      </c>
      <c r="H53" s="142">
        <v>40</v>
      </c>
    </row>
    <row r="54" spans="1:8">
      <c r="A54" s="11">
        <f>ROW()-13</f>
        <v>41</v>
      </c>
      <c r="B54" s="44"/>
      <c r="C54" s="44"/>
      <c r="D54" s="14">
        <v>41</v>
      </c>
      <c r="E54" s="14">
        <v>41</v>
      </c>
      <c r="F54" s="14">
        <v>41</v>
      </c>
      <c r="G54" s="14">
        <v>41</v>
      </c>
      <c r="H54" s="142">
        <v>41</v>
      </c>
    </row>
    <row r="55" spans="1:8">
      <c r="A55" s="11">
        <f>ROW()-13</f>
        <v>42</v>
      </c>
      <c r="B55" s="44"/>
      <c r="C55" s="44"/>
      <c r="D55" s="14">
        <v>42</v>
      </c>
      <c r="E55" s="14">
        <v>42</v>
      </c>
      <c r="F55" s="14">
        <v>42</v>
      </c>
      <c r="G55" s="14">
        <v>42</v>
      </c>
      <c r="H55" s="142">
        <v>42</v>
      </c>
    </row>
    <row r="56" spans="1:8">
      <c r="A56" s="11">
        <f>ROW()-13</f>
        <v>43</v>
      </c>
      <c r="B56" s="44"/>
      <c r="C56" s="44"/>
      <c r="D56" s="14">
        <v>43</v>
      </c>
      <c r="E56" s="14">
        <v>43</v>
      </c>
      <c r="F56" s="14">
        <v>43</v>
      </c>
      <c r="G56" s="14">
        <v>43</v>
      </c>
      <c r="H56" s="142">
        <v>43</v>
      </c>
    </row>
    <row r="57" spans="1:8">
      <c r="A57" s="11">
        <f>ROW()-13</f>
        <v>44</v>
      </c>
      <c r="B57" s="44"/>
      <c r="C57" s="44"/>
      <c r="D57" s="14">
        <v>44</v>
      </c>
      <c r="E57" s="14">
        <v>44</v>
      </c>
      <c r="F57" s="14">
        <v>44</v>
      </c>
      <c r="G57" s="14">
        <v>44</v>
      </c>
      <c r="H57" s="142">
        <v>44</v>
      </c>
    </row>
    <row r="58" spans="1:8">
      <c r="A58" s="11">
        <f>ROW()-13</f>
        <v>45</v>
      </c>
      <c r="B58" s="44"/>
      <c r="C58" s="44"/>
      <c r="D58" s="14">
        <v>45</v>
      </c>
      <c r="E58" s="14">
        <v>45</v>
      </c>
      <c r="F58" s="14">
        <v>45</v>
      </c>
      <c r="G58" s="14">
        <v>45</v>
      </c>
      <c r="H58" s="142">
        <v>45</v>
      </c>
    </row>
    <row r="59" spans="1:8">
      <c r="A59" s="11">
        <f>ROW()-13</f>
        <v>46</v>
      </c>
      <c r="B59" s="44"/>
      <c r="C59" s="44"/>
      <c r="D59" s="14">
        <v>46</v>
      </c>
      <c r="E59" s="14">
        <v>46</v>
      </c>
      <c r="F59" s="14">
        <v>46</v>
      </c>
      <c r="G59" s="14">
        <v>46</v>
      </c>
      <c r="H59" s="142">
        <v>46</v>
      </c>
    </row>
    <row r="60" spans="1:8">
      <c r="A60" s="11">
        <f>ROW()-13</f>
        <v>47</v>
      </c>
      <c r="B60" s="44"/>
      <c r="C60" s="44"/>
      <c r="D60" s="14">
        <v>47</v>
      </c>
      <c r="E60" s="14">
        <v>47</v>
      </c>
      <c r="F60" s="14">
        <v>47</v>
      </c>
      <c r="G60" s="14">
        <v>47</v>
      </c>
      <c r="H60" s="142">
        <v>47</v>
      </c>
    </row>
    <row r="61" spans="1:8">
      <c r="A61" s="11">
        <f>ROW()-13</f>
        <v>48</v>
      </c>
      <c r="B61" s="44"/>
      <c r="C61" s="44"/>
      <c r="D61" s="14">
        <v>48</v>
      </c>
      <c r="E61" s="14">
        <v>48</v>
      </c>
      <c r="F61" s="14">
        <v>48</v>
      </c>
      <c r="G61" s="14">
        <v>48</v>
      </c>
      <c r="H61" s="142">
        <v>48</v>
      </c>
    </row>
    <row r="62" spans="1:8">
      <c r="A62" s="11">
        <f>ROW()-13</f>
        <v>49</v>
      </c>
      <c r="B62" s="44"/>
      <c r="C62" s="44"/>
      <c r="D62" s="14">
        <v>49</v>
      </c>
      <c r="E62" s="14">
        <v>49</v>
      </c>
      <c r="F62" s="14">
        <v>49</v>
      </c>
      <c r="G62" s="14">
        <v>49</v>
      </c>
      <c r="H62" s="142">
        <v>49</v>
      </c>
    </row>
    <row r="63" spans="1:8">
      <c r="A63" s="11">
        <f>ROW()-13</f>
        <v>50</v>
      </c>
      <c r="B63" s="44"/>
      <c r="C63" s="44"/>
      <c r="D63" s="14">
        <v>50</v>
      </c>
      <c r="E63" s="14">
        <v>50</v>
      </c>
      <c r="F63" s="14">
        <v>50</v>
      </c>
      <c r="G63" s="14">
        <v>50</v>
      </c>
      <c r="H63" s="142">
        <v>50</v>
      </c>
    </row>
    <row r="64" spans="1:8">
      <c r="A64" s="11">
        <f>ROW()-13</f>
        <v>51</v>
      </c>
      <c r="B64" s="44"/>
      <c r="C64" s="44"/>
      <c r="D64" s="14">
        <v>51</v>
      </c>
      <c r="E64" s="14">
        <v>51</v>
      </c>
      <c r="F64" s="14">
        <v>51</v>
      </c>
      <c r="G64" s="14">
        <v>51</v>
      </c>
      <c r="H64" s="142">
        <v>51</v>
      </c>
    </row>
    <row r="65" spans="1:8">
      <c r="A65" s="11">
        <f>ROW()-13</f>
        <v>52</v>
      </c>
      <c r="B65" s="44"/>
      <c r="C65" s="44"/>
      <c r="D65" s="14">
        <v>52</v>
      </c>
      <c r="E65" s="14">
        <v>52</v>
      </c>
      <c r="F65" s="14">
        <v>52</v>
      </c>
      <c r="G65" s="14">
        <v>52</v>
      </c>
      <c r="H65" s="142">
        <v>52</v>
      </c>
    </row>
    <row r="66" spans="1:8">
      <c r="A66" s="11">
        <f>ROW()-13</f>
        <v>53</v>
      </c>
      <c r="B66" s="44"/>
      <c r="C66" s="44"/>
      <c r="D66" s="14">
        <v>53</v>
      </c>
      <c r="E66" s="14">
        <v>53</v>
      </c>
      <c r="F66" s="14">
        <v>53</v>
      </c>
      <c r="G66" s="14">
        <v>53</v>
      </c>
      <c r="H66" s="142">
        <v>53</v>
      </c>
    </row>
    <row r="67" spans="1:8">
      <c r="A67" s="11">
        <f>ROW()-13</f>
        <v>54</v>
      </c>
      <c r="B67" s="44"/>
      <c r="C67" s="44"/>
      <c r="D67" s="14">
        <v>54</v>
      </c>
      <c r="E67" s="14">
        <v>54</v>
      </c>
      <c r="F67" s="14">
        <v>54</v>
      </c>
      <c r="G67" s="14">
        <v>54</v>
      </c>
      <c r="H67" s="142">
        <v>54</v>
      </c>
    </row>
    <row r="68" spans="1:8">
      <c r="A68" s="11">
        <f>ROW()-13</f>
        <v>55</v>
      </c>
      <c r="B68" s="44"/>
      <c r="C68" s="44"/>
      <c r="D68" s="14">
        <v>55</v>
      </c>
      <c r="E68" s="14">
        <v>55</v>
      </c>
      <c r="F68" s="14">
        <v>55</v>
      </c>
      <c r="G68" s="14">
        <v>55</v>
      </c>
      <c r="H68" s="142">
        <v>55</v>
      </c>
    </row>
    <row r="69" spans="1:8">
      <c r="A69" s="11">
        <f>ROW()-13</f>
        <v>56</v>
      </c>
      <c r="B69" s="44"/>
      <c r="C69" s="44"/>
      <c r="D69" s="14">
        <v>56</v>
      </c>
      <c r="E69" s="14">
        <v>56</v>
      </c>
      <c r="F69" s="14">
        <v>56</v>
      </c>
      <c r="G69" s="14">
        <v>56</v>
      </c>
      <c r="H69" s="142">
        <v>56</v>
      </c>
    </row>
    <row r="70" spans="1:8">
      <c r="A70" s="11">
        <f>ROW()-13</f>
        <v>57</v>
      </c>
      <c r="B70" s="44"/>
      <c r="C70" s="44"/>
      <c r="D70" s="14">
        <v>57</v>
      </c>
      <c r="E70" s="14">
        <v>57</v>
      </c>
      <c r="F70" s="14">
        <v>57</v>
      </c>
      <c r="G70" s="14">
        <v>57</v>
      </c>
      <c r="H70" s="142">
        <v>57</v>
      </c>
    </row>
    <row r="71" spans="1:8">
      <c r="A71" s="11">
        <f>ROW()-13</f>
        <v>58</v>
      </c>
      <c r="B71" s="44"/>
      <c r="C71" s="44"/>
      <c r="D71" s="14">
        <v>58</v>
      </c>
      <c r="E71" s="14">
        <v>58</v>
      </c>
      <c r="F71" s="14">
        <v>58</v>
      </c>
      <c r="G71" s="14">
        <v>58</v>
      </c>
      <c r="H71" s="142">
        <v>58</v>
      </c>
    </row>
    <row r="72" spans="1:8">
      <c r="A72" s="11">
        <f>ROW()-13</f>
        <v>59</v>
      </c>
      <c r="B72" s="44"/>
      <c r="C72" s="44"/>
      <c r="D72" s="14">
        <v>59</v>
      </c>
      <c r="E72" s="14">
        <v>59</v>
      </c>
      <c r="F72" s="14">
        <v>59</v>
      </c>
      <c r="G72" s="14">
        <v>59</v>
      </c>
      <c r="H72" s="142">
        <v>59</v>
      </c>
    </row>
    <row r="73" spans="1:8">
      <c r="A73" s="11">
        <f>ROW()-13</f>
        <v>60</v>
      </c>
      <c r="B73" s="44"/>
      <c r="C73" s="44"/>
      <c r="D73" s="14">
        <v>60</v>
      </c>
      <c r="E73" s="14">
        <v>60</v>
      </c>
      <c r="F73" s="14">
        <v>60</v>
      </c>
      <c r="G73" s="14">
        <v>60</v>
      </c>
      <c r="H73" s="142">
        <v>60</v>
      </c>
    </row>
    <row r="74" spans="1:8">
      <c r="A74" s="11">
        <f>ROW()-13</f>
        <v>61</v>
      </c>
      <c r="B74" s="44"/>
      <c r="C74" s="44"/>
      <c r="D74" s="14">
        <v>61</v>
      </c>
      <c r="E74" s="14">
        <v>61</v>
      </c>
      <c r="F74" s="14">
        <v>61</v>
      </c>
      <c r="G74" s="14">
        <v>61</v>
      </c>
      <c r="H74" s="142">
        <v>61</v>
      </c>
    </row>
    <row r="75" spans="1:8">
      <c r="A75" s="11">
        <f>ROW()-13</f>
        <v>62</v>
      </c>
      <c r="B75" s="44"/>
      <c r="C75" s="44"/>
      <c r="D75" s="14">
        <v>62</v>
      </c>
      <c r="E75" s="14">
        <v>62</v>
      </c>
      <c r="F75" s="14">
        <v>62</v>
      </c>
      <c r="G75" s="14">
        <v>62</v>
      </c>
      <c r="H75" s="142">
        <v>62</v>
      </c>
    </row>
    <row r="76" spans="1:8">
      <c r="A76" s="11">
        <f>ROW()-13</f>
        <v>63</v>
      </c>
      <c r="B76" s="44"/>
      <c r="C76" s="44"/>
      <c r="D76" s="14">
        <v>63</v>
      </c>
      <c r="E76" s="14">
        <v>63</v>
      </c>
      <c r="F76" s="14">
        <v>63</v>
      </c>
      <c r="G76" s="14">
        <v>63</v>
      </c>
      <c r="H76" s="142">
        <v>63</v>
      </c>
    </row>
    <row r="77" spans="1:8">
      <c r="A77" s="11">
        <f>ROW()-13</f>
        <v>64</v>
      </c>
      <c r="B77" s="44"/>
      <c r="C77" s="44"/>
      <c r="D77" s="14">
        <v>64</v>
      </c>
      <c r="E77" s="14">
        <v>64</v>
      </c>
      <c r="F77" s="14">
        <v>64</v>
      </c>
      <c r="G77" s="14">
        <v>64</v>
      </c>
      <c r="H77" s="142">
        <v>64</v>
      </c>
    </row>
    <row r="78" spans="1:8">
      <c r="A78" s="11">
        <f>ROW()-13</f>
        <v>65</v>
      </c>
      <c r="B78" s="44"/>
      <c r="C78" s="44"/>
      <c r="D78" s="14">
        <v>65</v>
      </c>
      <c r="E78" s="14">
        <v>65</v>
      </c>
      <c r="F78" s="14">
        <v>65</v>
      </c>
      <c r="G78" s="14">
        <v>65</v>
      </c>
      <c r="H78" s="142">
        <v>65</v>
      </c>
    </row>
    <row r="79" spans="1:8">
      <c r="A79" s="11">
        <f>ROW()-13</f>
        <v>66</v>
      </c>
      <c r="B79" s="44"/>
      <c r="C79" s="44"/>
      <c r="D79" s="14">
        <v>66</v>
      </c>
      <c r="E79" s="14">
        <v>66</v>
      </c>
      <c r="F79" s="14">
        <v>66</v>
      </c>
      <c r="G79" s="14">
        <v>66</v>
      </c>
      <c r="H79" s="142">
        <v>66</v>
      </c>
    </row>
    <row r="80" spans="1:8">
      <c r="A80" s="11">
        <f>ROW()-13</f>
        <v>67</v>
      </c>
      <c r="B80" s="44"/>
      <c r="C80" s="44"/>
      <c r="D80" s="14">
        <v>67</v>
      </c>
      <c r="E80" s="14">
        <v>67</v>
      </c>
      <c r="F80" s="14">
        <v>67</v>
      </c>
      <c r="G80" s="14">
        <v>67</v>
      </c>
      <c r="H80" s="142">
        <v>67</v>
      </c>
    </row>
    <row r="81" spans="1:8">
      <c r="A81" s="11">
        <f>ROW()-13</f>
        <v>68</v>
      </c>
      <c r="B81" s="44"/>
      <c r="C81" s="44"/>
      <c r="D81" s="14">
        <v>68</v>
      </c>
      <c r="E81" s="14">
        <v>68</v>
      </c>
      <c r="F81" s="14">
        <v>68</v>
      </c>
      <c r="G81" s="14">
        <v>68</v>
      </c>
      <c r="H81" s="142">
        <v>68</v>
      </c>
    </row>
    <row r="82" spans="1:8">
      <c r="A82" s="11">
        <f>ROW()-13</f>
        <v>69</v>
      </c>
      <c r="B82" s="44"/>
      <c r="C82" s="44"/>
      <c r="D82" s="14">
        <v>69</v>
      </c>
      <c r="E82" s="14">
        <v>69</v>
      </c>
      <c r="F82" s="14">
        <v>69</v>
      </c>
      <c r="G82" s="14">
        <v>69</v>
      </c>
      <c r="H82" s="142">
        <v>69</v>
      </c>
    </row>
    <row r="83" spans="1:8">
      <c r="A83" s="11">
        <f>ROW()-13</f>
        <v>70</v>
      </c>
      <c r="B83" s="44"/>
      <c r="C83" s="44"/>
      <c r="D83" s="14">
        <v>70</v>
      </c>
      <c r="E83" s="14">
        <v>70</v>
      </c>
      <c r="F83" s="14">
        <v>70</v>
      </c>
      <c r="G83" s="14">
        <v>70</v>
      </c>
      <c r="H83" s="142">
        <v>70</v>
      </c>
    </row>
    <row r="84" spans="1:8">
      <c r="A84" s="11">
        <f>ROW()-13</f>
        <v>71</v>
      </c>
      <c r="B84" s="44"/>
      <c r="C84" s="44"/>
      <c r="D84" s="14">
        <v>71</v>
      </c>
      <c r="E84" s="14">
        <v>71</v>
      </c>
      <c r="F84" s="14">
        <v>71</v>
      </c>
      <c r="G84" s="14">
        <v>71</v>
      </c>
      <c r="H84" s="142">
        <v>71</v>
      </c>
    </row>
    <row r="85" spans="1:8">
      <c r="A85" s="11">
        <f>ROW()-13</f>
        <v>72</v>
      </c>
      <c r="B85" s="44"/>
      <c r="C85" s="44"/>
      <c r="D85" s="14">
        <v>72</v>
      </c>
      <c r="E85" s="14">
        <v>72</v>
      </c>
      <c r="F85" s="14">
        <v>72</v>
      </c>
      <c r="G85" s="14">
        <v>72</v>
      </c>
      <c r="H85" s="142">
        <v>72</v>
      </c>
    </row>
    <row r="86" spans="1:8">
      <c r="A86" s="11">
        <f>ROW()-13</f>
        <v>73</v>
      </c>
      <c r="B86" s="44"/>
      <c r="C86" s="44"/>
      <c r="D86" s="14">
        <v>73</v>
      </c>
      <c r="E86" s="14">
        <v>73</v>
      </c>
      <c r="F86" s="14">
        <v>73</v>
      </c>
      <c r="G86" s="14">
        <v>73</v>
      </c>
      <c r="H86" s="142">
        <v>73</v>
      </c>
    </row>
    <row r="87" spans="1:8">
      <c r="A87" s="11">
        <f>ROW()-13</f>
        <v>74</v>
      </c>
      <c r="B87" s="44"/>
      <c r="C87" s="44"/>
      <c r="D87" s="14">
        <v>74</v>
      </c>
      <c r="E87" s="14">
        <v>74</v>
      </c>
      <c r="F87" s="14">
        <v>74</v>
      </c>
      <c r="G87" s="14">
        <v>74</v>
      </c>
      <c r="H87" s="142">
        <v>74</v>
      </c>
    </row>
    <row r="88" spans="1:8">
      <c r="A88" s="11">
        <f>ROW()-13</f>
        <v>75</v>
      </c>
      <c r="B88" s="44"/>
      <c r="C88" s="44"/>
      <c r="D88" s="14">
        <v>75</v>
      </c>
      <c r="E88" s="14">
        <v>75</v>
      </c>
      <c r="F88" s="14">
        <v>75</v>
      </c>
      <c r="G88" s="14">
        <v>75</v>
      </c>
      <c r="H88" s="142">
        <v>75</v>
      </c>
    </row>
    <row r="89" spans="1:8">
      <c r="A89" s="11">
        <f>ROW()-13</f>
        <v>76</v>
      </c>
      <c r="B89" s="44"/>
      <c r="C89" s="44"/>
      <c r="D89" s="14">
        <v>76</v>
      </c>
      <c r="E89" s="14">
        <v>76</v>
      </c>
      <c r="F89" s="14">
        <v>76</v>
      </c>
      <c r="G89" s="14">
        <v>76</v>
      </c>
      <c r="H89" s="142">
        <v>76</v>
      </c>
    </row>
    <row r="90" spans="1:8">
      <c r="A90" s="11">
        <f>ROW()-13</f>
        <v>77</v>
      </c>
      <c r="B90" s="44"/>
      <c r="C90" s="44"/>
      <c r="D90" s="14">
        <v>77</v>
      </c>
      <c r="E90" s="14">
        <v>77</v>
      </c>
      <c r="F90" s="14">
        <v>77</v>
      </c>
      <c r="G90" s="14">
        <v>77</v>
      </c>
      <c r="H90" s="142">
        <v>77</v>
      </c>
    </row>
    <row r="91" spans="1:8">
      <c r="A91" s="11">
        <f>ROW()-13</f>
        <v>78</v>
      </c>
      <c r="B91" s="44"/>
      <c r="C91" s="44"/>
      <c r="D91" s="14">
        <v>78</v>
      </c>
      <c r="E91" s="14">
        <v>78</v>
      </c>
      <c r="F91" s="14">
        <v>78</v>
      </c>
      <c r="G91" s="14">
        <v>78</v>
      </c>
      <c r="H91" s="142">
        <v>78</v>
      </c>
    </row>
    <row r="92" spans="1:8">
      <c r="A92" s="11">
        <f>ROW()-13</f>
        <v>79</v>
      </c>
      <c r="B92" s="44"/>
      <c r="C92" s="44"/>
      <c r="D92" s="14">
        <v>79</v>
      </c>
      <c r="E92" s="14">
        <v>79</v>
      </c>
      <c r="F92" s="14">
        <v>79</v>
      </c>
      <c r="G92" s="14">
        <v>79</v>
      </c>
      <c r="H92" s="142">
        <v>79</v>
      </c>
    </row>
    <row r="93" spans="1:8">
      <c r="A93" s="11">
        <f>ROW()-13</f>
        <v>80</v>
      </c>
      <c r="B93" s="44"/>
      <c r="C93" s="44"/>
      <c r="D93" s="14">
        <v>80</v>
      </c>
      <c r="E93" s="14">
        <v>80</v>
      </c>
      <c r="F93" s="14">
        <v>80</v>
      </c>
      <c r="G93" s="14">
        <v>80</v>
      </c>
      <c r="H93" s="142">
        <v>80</v>
      </c>
    </row>
    <row r="94" spans="1:8">
      <c r="A94" s="11">
        <f>ROW()-13</f>
        <v>81</v>
      </c>
      <c r="B94" s="44"/>
      <c r="C94" s="44"/>
      <c r="D94" s="14">
        <v>81</v>
      </c>
      <c r="E94" s="14">
        <v>81</v>
      </c>
      <c r="F94" s="14">
        <v>81</v>
      </c>
      <c r="G94" s="14">
        <v>81</v>
      </c>
      <c r="H94" s="142">
        <v>81</v>
      </c>
    </row>
    <row r="95" spans="1:8">
      <c r="A95" s="11">
        <f>ROW()-13</f>
        <v>82</v>
      </c>
      <c r="B95" s="44"/>
      <c r="C95" s="44"/>
      <c r="D95" s="14">
        <v>82</v>
      </c>
      <c r="E95" s="14">
        <v>82</v>
      </c>
      <c r="F95" s="14">
        <v>82</v>
      </c>
      <c r="G95" s="14">
        <v>82</v>
      </c>
      <c r="H95" s="142">
        <v>82</v>
      </c>
    </row>
    <row r="96" spans="1:8">
      <c r="A96" s="11">
        <f>ROW()-13</f>
        <v>83</v>
      </c>
      <c r="B96" s="44"/>
      <c r="C96" s="44"/>
      <c r="D96" s="14">
        <v>83</v>
      </c>
      <c r="E96" s="14">
        <v>83</v>
      </c>
      <c r="F96" s="14">
        <v>83</v>
      </c>
      <c r="G96" s="14">
        <v>83</v>
      </c>
      <c r="H96" s="142">
        <v>83</v>
      </c>
    </row>
    <row r="97" spans="1:8">
      <c r="A97" s="11">
        <f>ROW()-13</f>
        <v>84</v>
      </c>
      <c r="B97" s="44"/>
      <c r="C97" s="44"/>
      <c r="D97" s="14">
        <v>84</v>
      </c>
      <c r="E97" s="14">
        <v>84</v>
      </c>
      <c r="F97" s="14">
        <v>84</v>
      </c>
      <c r="G97" s="14">
        <v>84</v>
      </c>
      <c r="H97" s="142">
        <v>84</v>
      </c>
    </row>
    <row r="98" spans="1:8">
      <c r="A98" s="11">
        <f>ROW()-13</f>
        <v>85</v>
      </c>
      <c r="B98" s="44"/>
      <c r="C98" s="44"/>
      <c r="D98" s="14">
        <v>85</v>
      </c>
      <c r="E98" s="14">
        <v>85</v>
      </c>
      <c r="F98" s="14">
        <v>85</v>
      </c>
      <c r="G98" s="14">
        <v>85</v>
      </c>
      <c r="H98" s="142">
        <v>85</v>
      </c>
    </row>
    <row r="99" spans="1:8">
      <c r="A99" s="11">
        <f>ROW()-13</f>
        <v>86</v>
      </c>
      <c r="B99" s="44"/>
      <c r="C99" s="44"/>
      <c r="D99" s="14">
        <v>86</v>
      </c>
      <c r="E99" s="14">
        <v>86</v>
      </c>
      <c r="F99" s="14">
        <v>86</v>
      </c>
      <c r="G99" s="14">
        <v>86</v>
      </c>
      <c r="H99" s="142">
        <v>86</v>
      </c>
    </row>
    <row r="100" spans="1:8">
      <c r="A100" s="11">
        <f>ROW()-13</f>
        <v>87</v>
      </c>
      <c r="B100" s="44"/>
      <c r="C100" s="44"/>
      <c r="D100" s="14">
        <v>87</v>
      </c>
      <c r="E100" s="14">
        <v>87</v>
      </c>
      <c r="F100" s="14">
        <v>87</v>
      </c>
      <c r="G100" s="14">
        <v>87</v>
      </c>
      <c r="H100" s="142">
        <v>87</v>
      </c>
    </row>
    <row r="101" spans="1:8">
      <c r="A101" s="11">
        <f>ROW()-13</f>
        <v>88</v>
      </c>
      <c r="B101" s="44"/>
      <c r="C101" s="44"/>
      <c r="D101" s="14">
        <v>88</v>
      </c>
      <c r="E101" s="14">
        <v>88</v>
      </c>
      <c r="F101" s="14">
        <v>88</v>
      </c>
      <c r="G101" s="14">
        <v>88</v>
      </c>
      <c r="H101" s="142">
        <v>88</v>
      </c>
    </row>
    <row r="102" spans="1:8">
      <c r="A102" s="11">
        <f>ROW()-13</f>
        <v>89</v>
      </c>
      <c r="B102" s="44"/>
      <c r="C102" s="44"/>
      <c r="D102" s="14">
        <v>89</v>
      </c>
      <c r="E102" s="14">
        <v>89</v>
      </c>
      <c r="F102" s="14">
        <v>89</v>
      </c>
      <c r="G102" s="14">
        <v>89</v>
      </c>
      <c r="H102" s="142">
        <v>89</v>
      </c>
    </row>
    <row r="103" spans="1:8">
      <c r="A103" s="11">
        <f>ROW()-13</f>
        <v>90</v>
      </c>
      <c r="B103" s="44"/>
      <c r="C103" s="44"/>
      <c r="D103" s="14">
        <v>90</v>
      </c>
      <c r="E103" s="14">
        <v>90</v>
      </c>
      <c r="F103" s="14">
        <v>90</v>
      </c>
      <c r="G103" s="14">
        <v>90</v>
      </c>
      <c r="H103" s="142">
        <v>90</v>
      </c>
    </row>
    <row r="104" spans="1:8">
      <c r="A104" s="11">
        <f>ROW()-13</f>
        <v>91</v>
      </c>
      <c r="B104" s="44"/>
      <c r="C104" s="44"/>
      <c r="D104" s="14">
        <v>91</v>
      </c>
      <c r="E104" s="14">
        <v>91</v>
      </c>
      <c r="F104" s="14">
        <v>91</v>
      </c>
      <c r="G104" s="14">
        <v>91</v>
      </c>
      <c r="H104" s="142">
        <v>91</v>
      </c>
    </row>
    <row r="105" spans="1:8">
      <c r="A105" s="11">
        <f>ROW()-13</f>
        <v>92</v>
      </c>
      <c r="B105" s="44"/>
      <c r="C105" s="44"/>
      <c r="D105" s="14">
        <v>92</v>
      </c>
      <c r="E105" s="14">
        <v>92</v>
      </c>
      <c r="F105" s="14">
        <v>92</v>
      </c>
      <c r="G105" s="14">
        <v>92</v>
      </c>
      <c r="H105" s="142">
        <v>92</v>
      </c>
    </row>
    <row r="106" spans="1:8">
      <c r="A106" s="11">
        <f>ROW()-13</f>
        <v>93</v>
      </c>
      <c r="B106" s="44"/>
      <c r="C106" s="44"/>
      <c r="D106" s="14">
        <v>93</v>
      </c>
      <c r="E106" s="14">
        <v>93</v>
      </c>
      <c r="F106" s="14">
        <v>93</v>
      </c>
      <c r="G106" s="14">
        <v>93</v>
      </c>
      <c r="H106" s="142">
        <v>93</v>
      </c>
    </row>
    <row r="107" spans="1:8">
      <c r="A107" s="11">
        <f>ROW()-13</f>
        <v>94</v>
      </c>
      <c r="B107" s="44"/>
      <c r="C107" s="44"/>
      <c r="D107" s="14">
        <v>94</v>
      </c>
      <c r="E107" s="14">
        <v>94</v>
      </c>
      <c r="F107" s="14">
        <v>94</v>
      </c>
      <c r="G107" s="14">
        <v>94</v>
      </c>
      <c r="H107" s="142">
        <v>94</v>
      </c>
    </row>
    <row r="108" spans="1:8">
      <c r="A108" s="11">
        <f>ROW()-13</f>
        <v>95</v>
      </c>
      <c r="B108" s="44"/>
      <c r="C108" s="44"/>
      <c r="D108" s="14">
        <v>95</v>
      </c>
      <c r="E108" s="14">
        <v>95</v>
      </c>
      <c r="F108" s="14">
        <v>95</v>
      </c>
      <c r="G108" s="14">
        <v>95</v>
      </c>
      <c r="H108" s="142">
        <v>95</v>
      </c>
    </row>
    <row r="109" spans="1:8">
      <c r="A109" s="11">
        <f>ROW()-13</f>
        <v>96</v>
      </c>
      <c r="B109" s="44"/>
      <c r="C109" s="44"/>
      <c r="D109" s="14">
        <v>96</v>
      </c>
      <c r="E109" s="14">
        <v>96</v>
      </c>
      <c r="F109" s="14">
        <v>96</v>
      </c>
      <c r="G109" s="14">
        <v>96</v>
      </c>
      <c r="H109" s="142">
        <v>96</v>
      </c>
    </row>
    <row r="110" spans="1:8">
      <c r="A110" s="11">
        <f>ROW()-13</f>
        <v>97</v>
      </c>
      <c r="B110" s="44"/>
      <c r="C110" s="44"/>
      <c r="D110" s="14">
        <v>97</v>
      </c>
      <c r="E110" s="14">
        <v>97</v>
      </c>
      <c r="F110" s="14">
        <v>97</v>
      </c>
      <c r="G110" s="14">
        <v>97</v>
      </c>
      <c r="H110" s="142">
        <v>97</v>
      </c>
    </row>
    <row r="111" spans="1:8">
      <c r="A111" s="11">
        <f>ROW()-13</f>
        <v>98</v>
      </c>
      <c r="B111" s="44"/>
      <c r="C111" s="44"/>
      <c r="D111" s="14">
        <v>98</v>
      </c>
      <c r="E111" s="14">
        <v>98</v>
      </c>
      <c r="F111" s="14">
        <v>98</v>
      </c>
      <c r="G111" s="14">
        <v>98</v>
      </c>
      <c r="H111" s="142">
        <v>98</v>
      </c>
    </row>
    <row r="112" spans="1:8">
      <c r="A112" s="11">
        <f>ROW()-13</f>
        <v>99</v>
      </c>
      <c r="B112" s="44"/>
      <c r="C112" s="44"/>
      <c r="D112" s="14">
        <v>99</v>
      </c>
      <c r="E112" s="14">
        <v>99</v>
      </c>
      <c r="F112" s="14">
        <v>99</v>
      </c>
      <c r="G112" s="14">
        <v>99</v>
      </c>
      <c r="H112" s="142">
        <v>99</v>
      </c>
    </row>
    <row r="113" spans="1:8">
      <c r="A113" s="17">
        <f>ROW()-13</f>
        <v>100</v>
      </c>
      <c r="B113" s="45"/>
      <c r="C113" s="45"/>
      <c r="D113" s="18">
        <v>100</v>
      </c>
      <c r="E113" s="18">
        <v>100</v>
      </c>
      <c r="F113" s="18">
        <v>100</v>
      </c>
      <c r="G113" s="18">
        <v>100</v>
      </c>
      <c r="H113" s="143">
        <v>100</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4:C24"/>
    <mergeCell ref="B25:C25"/>
    <mergeCell ref="B26:C26"/>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s>
  <phoneticPr fontId="2"/>
  <conditionalFormatting sqref="B14:H113">
    <cfRule type="expression" dxfId="2" priority="1" stopIfTrue="1">
      <formula>ISODD(ROW())</formula>
    </cfRule>
  </conditionalFormatting>
  <dataValidations count="1">
    <dataValidation type="list" allowBlank="1" showInputMessage="1" showErrorMessage="1" sqref="B3" xr:uid="{22CA06EC-24FE-4E40-8CC0-B92F9A9705F8}">
      <formula1>"Oracle,PostgreSQL,SQLServer"</formula1>
    </dataValidation>
  </dataValidation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AC5D5C-B57D-41F4-93D5-3F3869AF28EE}">
  <sheetPr codeName="Sheet14">
    <tabColor rgb="FFED7D31"/>
  </sheetPr>
  <dimension ref="A1:D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 customWidth="1"/>
    <col min="2" max="2" width="20.69921875" style="3" customWidth="1" outlineLevel="1"/>
    <col min="3" max="3" width="8.69921875" style="2" customWidth="1"/>
    <col min="4" max="4" width="15.69921875" style="3" customWidth="1"/>
    <col min="5" max="16384" width="8.796875" style="3"/>
  </cols>
  <sheetData>
    <row r="1" spans="1:4" ht="13.2" customHeight="1">
      <c r="A1" s="46" t="s">
        <v>0</v>
      </c>
      <c r="B1" s="47"/>
      <c r="C1" s="1" t="s">
        <v>1</v>
      </c>
      <c r="D1" s="2">
        <v>1</v>
      </c>
    </row>
    <row r="2" spans="1:4" ht="13.2" customHeight="1">
      <c r="A2" s="46"/>
      <c r="B2" s="47"/>
      <c r="C2" s="1" t="s">
        <v>2</v>
      </c>
      <c r="D2" s="141" t="s">
        <v>3</v>
      </c>
    </row>
    <row r="3" spans="1:4">
      <c r="A3" s="4" t="s">
        <v>4</v>
      </c>
      <c r="B3" s="5" t="s">
        <v>5</v>
      </c>
      <c r="C3" s="1" t="s">
        <v>6</v>
      </c>
      <c r="D3" s="2" t="s">
        <v>437</v>
      </c>
    </row>
    <row r="4" spans="1:4">
      <c r="A4" s="4" t="s">
        <v>14</v>
      </c>
      <c r="B4" s="5" t="s">
        <v>15</v>
      </c>
      <c r="C4" s="1" t="s">
        <v>16</v>
      </c>
      <c r="D4" s="2" t="s">
        <v>442</v>
      </c>
    </row>
    <row r="5" spans="1:4">
      <c r="A5" s="4" t="s">
        <v>23</v>
      </c>
      <c r="B5" s="5" t="s">
        <v>447</v>
      </c>
      <c r="C5" s="1" t="s">
        <v>25</v>
      </c>
      <c r="D5" s="2" t="s">
        <v>26</v>
      </c>
    </row>
    <row r="6" spans="1:4">
      <c r="A6" s="4" t="s">
        <v>29</v>
      </c>
      <c r="B6" s="5" t="s">
        <v>448</v>
      </c>
      <c r="C6" s="1" t="s">
        <v>31</v>
      </c>
      <c r="D6" s="2" t="s">
        <v>32</v>
      </c>
    </row>
    <row r="7" spans="1:4">
      <c r="A7" s="4" t="s">
        <v>33</v>
      </c>
      <c r="B7" s="5" t="s">
        <v>33</v>
      </c>
      <c r="C7" s="1" t="s">
        <v>34</v>
      </c>
      <c r="D7" s="6" t="s">
        <v>3</v>
      </c>
    </row>
    <row r="8" spans="1:4" outlineLevel="1">
      <c r="A8" s="7"/>
      <c r="B8" s="8"/>
      <c r="C8" s="9" t="s">
        <v>35</v>
      </c>
      <c r="D8" s="10"/>
    </row>
    <row r="9" spans="1:4" outlineLevel="1">
      <c r="A9" s="7"/>
      <c r="B9" s="8"/>
      <c r="C9" s="11" t="s">
        <v>37</v>
      </c>
      <c r="D9" s="12"/>
    </row>
    <row r="10" spans="1:4" outlineLevel="1">
      <c r="A10" s="7"/>
      <c r="B10" s="8"/>
      <c r="C10" s="11" t="s">
        <v>38</v>
      </c>
      <c r="D10" s="12"/>
    </row>
    <row r="11" spans="1:4" outlineLevel="1">
      <c r="A11" s="7"/>
      <c r="B11" s="8"/>
      <c r="C11" s="11" t="s">
        <v>39</v>
      </c>
      <c r="D11" s="12"/>
    </row>
    <row r="12" spans="1:4" outlineLevel="1">
      <c r="A12" s="7"/>
      <c r="B12" s="8"/>
      <c r="C12" s="11" t="s">
        <v>40</v>
      </c>
      <c r="D12" s="12"/>
    </row>
    <row r="13" spans="1:4" outlineLevel="1">
      <c r="A13" s="9" t="s">
        <v>1</v>
      </c>
      <c r="B13" s="13"/>
      <c r="C13" s="11" t="s">
        <v>41</v>
      </c>
      <c r="D13" s="12"/>
    </row>
    <row r="14" spans="1:4">
      <c r="A14" s="11">
        <f>ROW()-13</f>
        <v>1</v>
      </c>
      <c r="B14" s="44"/>
      <c r="C14" s="44"/>
      <c r="D14" s="14">
        <v>0</v>
      </c>
    </row>
    <row r="15" spans="1:4">
      <c r="A15" s="11">
        <f>ROW()-13</f>
        <v>2</v>
      </c>
      <c r="B15" s="44"/>
      <c r="C15" s="44"/>
      <c r="D15" s="14">
        <v>9999999999</v>
      </c>
    </row>
    <row r="16" spans="1:4">
      <c r="A16" s="11">
        <f>ROW()-13</f>
        <v>3</v>
      </c>
      <c r="B16" s="44"/>
      <c r="C16" s="44"/>
      <c r="D16" s="14">
        <v>3</v>
      </c>
    </row>
    <row r="17" spans="1:4">
      <c r="A17" s="11">
        <f>ROW()-13</f>
        <v>4</v>
      </c>
      <c r="B17" s="44"/>
      <c r="C17" s="44"/>
      <c r="D17" s="14">
        <v>4</v>
      </c>
    </row>
    <row r="18" spans="1:4">
      <c r="A18" s="11">
        <f>ROW()-13</f>
        <v>5</v>
      </c>
      <c r="B18" s="44"/>
      <c r="C18" s="44"/>
      <c r="D18" s="14">
        <v>5</v>
      </c>
    </row>
    <row r="19" spans="1:4">
      <c r="A19" s="11">
        <f>ROW()-13</f>
        <v>6</v>
      </c>
      <c r="B19" s="44"/>
      <c r="C19" s="44"/>
      <c r="D19" s="14">
        <v>6</v>
      </c>
    </row>
    <row r="20" spans="1:4">
      <c r="A20" s="11">
        <f>ROW()-13</f>
        <v>7</v>
      </c>
      <c r="B20" s="44"/>
      <c r="C20" s="44"/>
      <c r="D20" s="14">
        <v>7</v>
      </c>
    </row>
    <row r="21" spans="1:4">
      <c r="A21" s="11">
        <f>ROW()-13</f>
        <v>8</v>
      </c>
      <c r="B21" s="44"/>
      <c r="C21" s="44"/>
      <c r="D21" s="14">
        <v>8</v>
      </c>
    </row>
    <row r="22" spans="1:4">
      <c r="A22" s="11">
        <f>ROW()-13</f>
        <v>9</v>
      </c>
      <c r="B22" s="44"/>
      <c r="C22" s="44"/>
      <c r="D22" s="14">
        <v>9</v>
      </c>
    </row>
    <row r="23" spans="1:4">
      <c r="A23" s="11">
        <f>ROW()-13</f>
        <v>10</v>
      </c>
      <c r="B23" s="44"/>
      <c r="C23" s="44"/>
      <c r="D23" s="14">
        <v>10</v>
      </c>
    </row>
    <row r="24" spans="1:4">
      <c r="A24" s="11">
        <f>ROW()-13</f>
        <v>11</v>
      </c>
      <c r="B24" s="44"/>
      <c r="C24" s="44"/>
      <c r="D24" s="14">
        <v>11</v>
      </c>
    </row>
    <row r="25" spans="1:4">
      <c r="A25" s="11">
        <f>ROW()-13</f>
        <v>12</v>
      </c>
      <c r="B25" s="44"/>
      <c r="C25" s="44"/>
      <c r="D25" s="14">
        <v>12</v>
      </c>
    </row>
    <row r="26" spans="1:4">
      <c r="A26" s="11">
        <f>ROW()-13</f>
        <v>13</v>
      </c>
      <c r="B26" s="44"/>
      <c r="C26" s="44"/>
      <c r="D26" s="14">
        <v>13</v>
      </c>
    </row>
    <row r="27" spans="1:4">
      <c r="A27" s="11">
        <f>ROW()-13</f>
        <v>14</v>
      </c>
      <c r="B27" s="44"/>
      <c r="C27" s="44"/>
      <c r="D27" s="14">
        <v>14</v>
      </c>
    </row>
    <row r="28" spans="1:4">
      <c r="A28" s="11">
        <f>ROW()-13</f>
        <v>15</v>
      </c>
      <c r="B28" s="44"/>
      <c r="C28" s="44"/>
      <c r="D28" s="14">
        <v>15</v>
      </c>
    </row>
    <row r="29" spans="1:4">
      <c r="A29" s="11">
        <f>ROW()-13</f>
        <v>16</v>
      </c>
      <c r="B29" s="44"/>
      <c r="C29" s="44"/>
      <c r="D29" s="14">
        <v>16</v>
      </c>
    </row>
    <row r="30" spans="1:4">
      <c r="A30" s="11">
        <f>ROW()-13</f>
        <v>17</v>
      </c>
      <c r="B30" s="44"/>
      <c r="C30" s="44"/>
      <c r="D30" s="14">
        <v>17</v>
      </c>
    </row>
    <row r="31" spans="1:4">
      <c r="A31" s="11">
        <f>ROW()-13</f>
        <v>18</v>
      </c>
      <c r="B31" s="44"/>
      <c r="C31" s="44"/>
      <c r="D31" s="14">
        <v>18</v>
      </c>
    </row>
    <row r="32" spans="1:4">
      <c r="A32" s="11">
        <f>ROW()-13</f>
        <v>19</v>
      </c>
      <c r="B32" s="44"/>
      <c r="C32" s="44"/>
      <c r="D32" s="14">
        <v>19</v>
      </c>
    </row>
    <row r="33" spans="1:4">
      <c r="A33" s="11">
        <f>ROW()-13</f>
        <v>20</v>
      </c>
      <c r="B33" s="44"/>
      <c r="C33" s="44"/>
      <c r="D33" s="14">
        <v>20</v>
      </c>
    </row>
    <row r="34" spans="1:4">
      <c r="A34" s="11">
        <f>ROW()-13</f>
        <v>21</v>
      </c>
      <c r="B34" s="44"/>
      <c r="C34" s="44"/>
      <c r="D34" s="14">
        <v>21</v>
      </c>
    </row>
    <row r="35" spans="1:4">
      <c r="A35" s="11">
        <f>ROW()-13</f>
        <v>22</v>
      </c>
      <c r="B35" s="44"/>
      <c r="C35" s="44"/>
      <c r="D35" s="14">
        <v>22</v>
      </c>
    </row>
    <row r="36" spans="1:4">
      <c r="A36" s="11">
        <f>ROW()-13</f>
        <v>23</v>
      </c>
      <c r="B36" s="44"/>
      <c r="C36" s="44"/>
      <c r="D36" s="14">
        <v>23</v>
      </c>
    </row>
    <row r="37" spans="1:4">
      <c r="A37" s="11">
        <f>ROW()-13</f>
        <v>24</v>
      </c>
      <c r="B37" s="44"/>
      <c r="C37" s="44"/>
      <c r="D37" s="14">
        <v>24</v>
      </c>
    </row>
    <row r="38" spans="1:4">
      <c r="A38" s="11">
        <f>ROW()-13</f>
        <v>25</v>
      </c>
      <c r="B38" s="44"/>
      <c r="C38" s="44"/>
      <c r="D38" s="14">
        <v>25</v>
      </c>
    </row>
    <row r="39" spans="1:4">
      <c r="A39" s="11">
        <f>ROW()-13</f>
        <v>26</v>
      </c>
      <c r="B39" s="44"/>
      <c r="C39" s="44"/>
      <c r="D39" s="14">
        <v>26</v>
      </c>
    </row>
    <row r="40" spans="1:4">
      <c r="A40" s="11">
        <f>ROW()-13</f>
        <v>27</v>
      </c>
      <c r="B40" s="44"/>
      <c r="C40" s="44"/>
      <c r="D40" s="14">
        <v>27</v>
      </c>
    </row>
    <row r="41" spans="1:4">
      <c r="A41" s="11">
        <f>ROW()-13</f>
        <v>28</v>
      </c>
      <c r="B41" s="44"/>
      <c r="C41" s="44"/>
      <c r="D41" s="14">
        <v>28</v>
      </c>
    </row>
    <row r="42" spans="1:4">
      <c r="A42" s="11">
        <f>ROW()-13</f>
        <v>29</v>
      </c>
      <c r="B42" s="44"/>
      <c r="C42" s="44"/>
      <c r="D42" s="14">
        <v>29</v>
      </c>
    </row>
    <row r="43" spans="1:4">
      <c r="A43" s="11">
        <f>ROW()-13</f>
        <v>30</v>
      </c>
      <c r="B43" s="44"/>
      <c r="C43" s="44"/>
      <c r="D43" s="14">
        <v>30</v>
      </c>
    </row>
    <row r="44" spans="1:4">
      <c r="A44" s="11">
        <f>ROW()-13</f>
        <v>31</v>
      </c>
      <c r="B44" s="44"/>
      <c r="C44" s="44"/>
      <c r="D44" s="14">
        <v>31</v>
      </c>
    </row>
    <row r="45" spans="1:4">
      <c r="A45" s="11">
        <f>ROW()-13</f>
        <v>32</v>
      </c>
      <c r="B45" s="44"/>
      <c r="C45" s="44"/>
      <c r="D45" s="14">
        <v>32</v>
      </c>
    </row>
    <row r="46" spans="1:4">
      <c r="A46" s="11">
        <f>ROW()-13</f>
        <v>33</v>
      </c>
      <c r="B46" s="44"/>
      <c r="C46" s="44"/>
      <c r="D46" s="14">
        <v>33</v>
      </c>
    </row>
    <row r="47" spans="1:4">
      <c r="A47" s="11">
        <f>ROW()-13</f>
        <v>34</v>
      </c>
      <c r="B47" s="44"/>
      <c r="C47" s="44"/>
      <c r="D47" s="14">
        <v>34</v>
      </c>
    </row>
    <row r="48" spans="1:4">
      <c r="A48" s="11">
        <f>ROW()-13</f>
        <v>35</v>
      </c>
      <c r="B48" s="44"/>
      <c r="C48" s="44"/>
      <c r="D48" s="14">
        <v>35</v>
      </c>
    </row>
    <row r="49" spans="1:4">
      <c r="A49" s="11">
        <f>ROW()-13</f>
        <v>36</v>
      </c>
      <c r="B49" s="44"/>
      <c r="C49" s="44"/>
      <c r="D49" s="14">
        <v>36</v>
      </c>
    </row>
    <row r="50" spans="1:4">
      <c r="A50" s="11">
        <f>ROW()-13</f>
        <v>37</v>
      </c>
      <c r="B50" s="44"/>
      <c r="C50" s="44"/>
      <c r="D50" s="14">
        <v>37</v>
      </c>
    </row>
    <row r="51" spans="1:4">
      <c r="A51" s="11">
        <f>ROW()-13</f>
        <v>38</v>
      </c>
      <c r="B51" s="44"/>
      <c r="C51" s="44"/>
      <c r="D51" s="14">
        <v>38</v>
      </c>
    </row>
    <row r="52" spans="1:4">
      <c r="A52" s="11">
        <f>ROW()-13</f>
        <v>39</v>
      </c>
      <c r="B52" s="44"/>
      <c r="C52" s="44"/>
      <c r="D52" s="14">
        <v>39</v>
      </c>
    </row>
    <row r="53" spans="1:4">
      <c r="A53" s="11">
        <f>ROW()-13</f>
        <v>40</v>
      </c>
      <c r="B53" s="44"/>
      <c r="C53" s="44"/>
      <c r="D53" s="14">
        <v>40</v>
      </c>
    </row>
    <row r="54" spans="1:4">
      <c r="A54" s="11">
        <f>ROW()-13</f>
        <v>41</v>
      </c>
      <c r="B54" s="44"/>
      <c r="C54" s="44"/>
      <c r="D54" s="14">
        <v>41</v>
      </c>
    </row>
    <row r="55" spans="1:4">
      <c r="A55" s="11">
        <f>ROW()-13</f>
        <v>42</v>
      </c>
      <c r="B55" s="44"/>
      <c r="C55" s="44"/>
      <c r="D55" s="14">
        <v>42</v>
      </c>
    </row>
    <row r="56" spans="1:4">
      <c r="A56" s="11">
        <f>ROW()-13</f>
        <v>43</v>
      </c>
      <c r="B56" s="44"/>
      <c r="C56" s="44"/>
      <c r="D56" s="14">
        <v>43</v>
      </c>
    </row>
    <row r="57" spans="1:4">
      <c r="A57" s="11">
        <f>ROW()-13</f>
        <v>44</v>
      </c>
      <c r="B57" s="44"/>
      <c r="C57" s="44"/>
      <c r="D57" s="14">
        <v>44</v>
      </c>
    </row>
    <row r="58" spans="1:4">
      <c r="A58" s="11">
        <f>ROW()-13</f>
        <v>45</v>
      </c>
      <c r="B58" s="44"/>
      <c r="C58" s="44"/>
      <c r="D58" s="14">
        <v>45</v>
      </c>
    </row>
    <row r="59" spans="1:4">
      <c r="A59" s="11">
        <f>ROW()-13</f>
        <v>46</v>
      </c>
      <c r="B59" s="44"/>
      <c r="C59" s="44"/>
      <c r="D59" s="14">
        <v>46</v>
      </c>
    </row>
    <row r="60" spans="1:4">
      <c r="A60" s="11">
        <f>ROW()-13</f>
        <v>47</v>
      </c>
      <c r="B60" s="44"/>
      <c r="C60" s="44"/>
      <c r="D60" s="14">
        <v>47</v>
      </c>
    </row>
    <row r="61" spans="1:4">
      <c r="A61" s="11">
        <f>ROW()-13</f>
        <v>48</v>
      </c>
      <c r="B61" s="44"/>
      <c r="C61" s="44"/>
      <c r="D61" s="14">
        <v>48</v>
      </c>
    </row>
    <row r="62" spans="1:4">
      <c r="A62" s="11">
        <f>ROW()-13</f>
        <v>49</v>
      </c>
      <c r="B62" s="44"/>
      <c r="C62" s="44"/>
      <c r="D62" s="14">
        <v>49</v>
      </c>
    </row>
    <row r="63" spans="1:4">
      <c r="A63" s="11">
        <f>ROW()-13</f>
        <v>50</v>
      </c>
      <c r="B63" s="44"/>
      <c r="C63" s="44"/>
      <c r="D63" s="14">
        <v>50</v>
      </c>
    </row>
    <row r="64" spans="1:4">
      <c r="A64" s="11">
        <f>ROW()-13</f>
        <v>51</v>
      </c>
      <c r="B64" s="44"/>
      <c r="C64" s="44"/>
      <c r="D64" s="14">
        <v>51</v>
      </c>
    </row>
    <row r="65" spans="1:4">
      <c r="A65" s="11">
        <f>ROW()-13</f>
        <v>52</v>
      </c>
      <c r="B65" s="44"/>
      <c r="C65" s="44"/>
      <c r="D65" s="14">
        <v>52</v>
      </c>
    </row>
    <row r="66" spans="1:4">
      <c r="A66" s="11">
        <f>ROW()-13</f>
        <v>53</v>
      </c>
      <c r="B66" s="44"/>
      <c r="C66" s="44"/>
      <c r="D66" s="14">
        <v>53</v>
      </c>
    </row>
    <row r="67" spans="1:4">
      <c r="A67" s="11">
        <f>ROW()-13</f>
        <v>54</v>
      </c>
      <c r="B67" s="44"/>
      <c r="C67" s="44"/>
      <c r="D67" s="14">
        <v>54</v>
      </c>
    </row>
    <row r="68" spans="1:4">
      <c r="A68" s="11">
        <f>ROW()-13</f>
        <v>55</v>
      </c>
      <c r="B68" s="44"/>
      <c r="C68" s="44"/>
      <c r="D68" s="14">
        <v>55</v>
      </c>
    </row>
    <row r="69" spans="1:4">
      <c r="A69" s="11">
        <f>ROW()-13</f>
        <v>56</v>
      </c>
      <c r="B69" s="44"/>
      <c r="C69" s="44"/>
      <c r="D69" s="14">
        <v>56</v>
      </c>
    </row>
    <row r="70" spans="1:4">
      <c r="A70" s="11">
        <f>ROW()-13</f>
        <v>57</v>
      </c>
      <c r="B70" s="44"/>
      <c r="C70" s="44"/>
      <c r="D70" s="14">
        <v>57</v>
      </c>
    </row>
    <row r="71" spans="1:4">
      <c r="A71" s="11">
        <f>ROW()-13</f>
        <v>58</v>
      </c>
      <c r="B71" s="44"/>
      <c r="C71" s="44"/>
      <c r="D71" s="14">
        <v>58</v>
      </c>
    </row>
    <row r="72" spans="1:4">
      <c r="A72" s="11">
        <f>ROW()-13</f>
        <v>59</v>
      </c>
      <c r="B72" s="44"/>
      <c r="C72" s="44"/>
      <c r="D72" s="14">
        <v>59</v>
      </c>
    </row>
    <row r="73" spans="1:4">
      <c r="A73" s="11">
        <f>ROW()-13</f>
        <v>60</v>
      </c>
      <c r="B73" s="44"/>
      <c r="C73" s="44"/>
      <c r="D73" s="14">
        <v>60</v>
      </c>
    </row>
    <row r="74" spans="1:4">
      <c r="A74" s="11">
        <f>ROW()-13</f>
        <v>61</v>
      </c>
      <c r="B74" s="44"/>
      <c r="C74" s="44"/>
      <c r="D74" s="14">
        <v>61</v>
      </c>
    </row>
    <row r="75" spans="1:4">
      <c r="A75" s="11">
        <f>ROW()-13</f>
        <v>62</v>
      </c>
      <c r="B75" s="44"/>
      <c r="C75" s="44"/>
      <c r="D75" s="14">
        <v>62</v>
      </c>
    </row>
    <row r="76" spans="1:4">
      <c r="A76" s="11">
        <f>ROW()-13</f>
        <v>63</v>
      </c>
      <c r="B76" s="44"/>
      <c r="C76" s="44"/>
      <c r="D76" s="14">
        <v>63</v>
      </c>
    </row>
    <row r="77" spans="1:4">
      <c r="A77" s="11">
        <f>ROW()-13</f>
        <v>64</v>
      </c>
      <c r="B77" s="44"/>
      <c r="C77" s="44"/>
      <c r="D77" s="14">
        <v>64</v>
      </c>
    </row>
    <row r="78" spans="1:4">
      <c r="A78" s="11">
        <f>ROW()-13</f>
        <v>65</v>
      </c>
      <c r="B78" s="44"/>
      <c r="C78" s="44"/>
      <c r="D78" s="14">
        <v>65</v>
      </c>
    </row>
    <row r="79" spans="1:4">
      <c r="A79" s="11">
        <f>ROW()-13</f>
        <v>66</v>
      </c>
      <c r="B79" s="44"/>
      <c r="C79" s="44"/>
      <c r="D79" s="14">
        <v>66</v>
      </c>
    </row>
    <row r="80" spans="1:4">
      <c r="A80" s="11">
        <f>ROW()-13</f>
        <v>67</v>
      </c>
      <c r="B80" s="44"/>
      <c r="C80" s="44"/>
      <c r="D80" s="14">
        <v>67</v>
      </c>
    </row>
    <row r="81" spans="1:4">
      <c r="A81" s="11">
        <f>ROW()-13</f>
        <v>68</v>
      </c>
      <c r="B81" s="44"/>
      <c r="C81" s="44"/>
      <c r="D81" s="14">
        <v>68</v>
      </c>
    </row>
    <row r="82" spans="1:4">
      <c r="A82" s="11">
        <f>ROW()-13</f>
        <v>69</v>
      </c>
      <c r="B82" s="44"/>
      <c r="C82" s="44"/>
      <c r="D82" s="14">
        <v>69</v>
      </c>
    </row>
    <row r="83" spans="1:4">
      <c r="A83" s="11">
        <f>ROW()-13</f>
        <v>70</v>
      </c>
      <c r="B83" s="44"/>
      <c r="C83" s="44"/>
      <c r="D83" s="14">
        <v>70</v>
      </c>
    </row>
    <row r="84" spans="1:4">
      <c r="A84" s="11">
        <f>ROW()-13</f>
        <v>71</v>
      </c>
      <c r="B84" s="44"/>
      <c r="C84" s="44"/>
      <c r="D84" s="14">
        <v>71</v>
      </c>
    </row>
    <row r="85" spans="1:4">
      <c r="A85" s="11">
        <f>ROW()-13</f>
        <v>72</v>
      </c>
      <c r="B85" s="44"/>
      <c r="C85" s="44"/>
      <c r="D85" s="14">
        <v>72</v>
      </c>
    </row>
    <row r="86" spans="1:4">
      <c r="A86" s="11">
        <f>ROW()-13</f>
        <v>73</v>
      </c>
      <c r="B86" s="44"/>
      <c r="C86" s="44"/>
      <c r="D86" s="14">
        <v>73</v>
      </c>
    </row>
    <row r="87" spans="1:4">
      <c r="A87" s="11">
        <f>ROW()-13</f>
        <v>74</v>
      </c>
      <c r="B87" s="44"/>
      <c r="C87" s="44"/>
      <c r="D87" s="14">
        <v>74</v>
      </c>
    </row>
    <row r="88" spans="1:4">
      <c r="A88" s="11">
        <f>ROW()-13</f>
        <v>75</v>
      </c>
      <c r="B88" s="44"/>
      <c r="C88" s="44"/>
      <c r="D88" s="14">
        <v>75</v>
      </c>
    </row>
    <row r="89" spans="1:4">
      <c r="A89" s="11">
        <f>ROW()-13</f>
        <v>76</v>
      </c>
      <c r="B89" s="44"/>
      <c r="C89" s="44"/>
      <c r="D89" s="14">
        <v>76</v>
      </c>
    </row>
    <row r="90" spans="1:4">
      <c r="A90" s="11">
        <f>ROW()-13</f>
        <v>77</v>
      </c>
      <c r="B90" s="44"/>
      <c r="C90" s="44"/>
      <c r="D90" s="14">
        <v>77</v>
      </c>
    </row>
    <row r="91" spans="1:4">
      <c r="A91" s="11">
        <f>ROW()-13</f>
        <v>78</v>
      </c>
      <c r="B91" s="44"/>
      <c r="C91" s="44"/>
      <c r="D91" s="14">
        <v>78</v>
      </c>
    </row>
    <row r="92" spans="1:4">
      <c r="A92" s="11">
        <f>ROW()-13</f>
        <v>79</v>
      </c>
      <c r="B92" s="44"/>
      <c r="C92" s="44"/>
      <c r="D92" s="14">
        <v>79</v>
      </c>
    </row>
    <row r="93" spans="1:4">
      <c r="A93" s="11">
        <f>ROW()-13</f>
        <v>80</v>
      </c>
      <c r="B93" s="44"/>
      <c r="C93" s="44"/>
      <c r="D93" s="14">
        <v>80</v>
      </c>
    </row>
    <row r="94" spans="1:4">
      <c r="A94" s="11">
        <f>ROW()-13</f>
        <v>81</v>
      </c>
      <c r="B94" s="44"/>
      <c r="C94" s="44"/>
      <c r="D94" s="14">
        <v>81</v>
      </c>
    </row>
    <row r="95" spans="1:4">
      <c r="A95" s="11">
        <f>ROW()-13</f>
        <v>82</v>
      </c>
      <c r="B95" s="44"/>
      <c r="C95" s="44"/>
      <c r="D95" s="14">
        <v>82</v>
      </c>
    </row>
    <row r="96" spans="1:4">
      <c r="A96" s="11">
        <f>ROW()-13</f>
        <v>83</v>
      </c>
      <c r="B96" s="44"/>
      <c r="C96" s="44"/>
      <c r="D96" s="14">
        <v>83</v>
      </c>
    </row>
    <row r="97" spans="1:4">
      <c r="A97" s="11">
        <f>ROW()-13</f>
        <v>84</v>
      </c>
      <c r="B97" s="44"/>
      <c r="C97" s="44"/>
      <c r="D97" s="14">
        <v>84</v>
      </c>
    </row>
    <row r="98" spans="1:4">
      <c r="A98" s="11">
        <f>ROW()-13</f>
        <v>85</v>
      </c>
      <c r="B98" s="44"/>
      <c r="C98" s="44"/>
      <c r="D98" s="14">
        <v>85</v>
      </c>
    </row>
    <row r="99" spans="1:4">
      <c r="A99" s="11">
        <f>ROW()-13</f>
        <v>86</v>
      </c>
      <c r="B99" s="44"/>
      <c r="C99" s="44"/>
      <c r="D99" s="14">
        <v>86</v>
      </c>
    </row>
    <row r="100" spans="1:4">
      <c r="A100" s="11">
        <f>ROW()-13</f>
        <v>87</v>
      </c>
      <c r="B100" s="44"/>
      <c r="C100" s="44"/>
      <c r="D100" s="14">
        <v>87</v>
      </c>
    </row>
    <row r="101" spans="1:4">
      <c r="A101" s="11">
        <f>ROW()-13</f>
        <v>88</v>
      </c>
      <c r="B101" s="44"/>
      <c r="C101" s="44"/>
      <c r="D101" s="14">
        <v>88</v>
      </c>
    </row>
    <row r="102" spans="1:4">
      <c r="A102" s="11">
        <f>ROW()-13</f>
        <v>89</v>
      </c>
      <c r="B102" s="44"/>
      <c r="C102" s="44"/>
      <c r="D102" s="14">
        <v>89</v>
      </c>
    </row>
    <row r="103" spans="1:4">
      <c r="A103" s="11">
        <f>ROW()-13</f>
        <v>90</v>
      </c>
      <c r="B103" s="44"/>
      <c r="C103" s="44"/>
      <c r="D103" s="14">
        <v>90</v>
      </c>
    </row>
    <row r="104" spans="1:4">
      <c r="A104" s="11">
        <f>ROW()-13</f>
        <v>91</v>
      </c>
      <c r="B104" s="44"/>
      <c r="C104" s="44"/>
      <c r="D104" s="14">
        <v>91</v>
      </c>
    </row>
    <row r="105" spans="1:4">
      <c r="A105" s="11">
        <f>ROW()-13</f>
        <v>92</v>
      </c>
      <c r="B105" s="44"/>
      <c r="C105" s="44"/>
      <c r="D105" s="14">
        <v>92</v>
      </c>
    </row>
    <row r="106" spans="1:4">
      <c r="A106" s="11">
        <f>ROW()-13</f>
        <v>93</v>
      </c>
      <c r="B106" s="44"/>
      <c r="C106" s="44"/>
      <c r="D106" s="14">
        <v>93</v>
      </c>
    </row>
    <row r="107" spans="1:4">
      <c r="A107" s="11">
        <f>ROW()-13</f>
        <v>94</v>
      </c>
      <c r="B107" s="44"/>
      <c r="C107" s="44"/>
      <c r="D107" s="14">
        <v>94</v>
      </c>
    </row>
    <row r="108" spans="1:4">
      <c r="A108" s="11">
        <f>ROW()-13</f>
        <v>95</v>
      </c>
      <c r="B108" s="44"/>
      <c r="C108" s="44"/>
      <c r="D108" s="14">
        <v>95</v>
      </c>
    </row>
    <row r="109" spans="1:4">
      <c r="A109" s="11">
        <f>ROW()-13</f>
        <v>96</v>
      </c>
      <c r="B109" s="44"/>
      <c r="C109" s="44"/>
      <c r="D109" s="14">
        <v>96</v>
      </c>
    </row>
    <row r="110" spans="1:4">
      <c r="A110" s="11">
        <f>ROW()-13</f>
        <v>97</v>
      </c>
      <c r="B110" s="44"/>
      <c r="C110" s="44"/>
      <c r="D110" s="14">
        <v>97</v>
      </c>
    </row>
    <row r="111" spans="1:4">
      <c r="A111" s="11">
        <f>ROW()-13</f>
        <v>98</v>
      </c>
      <c r="B111" s="44"/>
      <c r="C111" s="44"/>
      <c r="D111" s="14">
        <v>98</v>
      </c>
    </row>
    <row r="112" spans="1:4">
      <c r="A112" s="11">
        <f>ROW()-13</f>
        <v>99</v>
      </c>
      <c r="B112" s="44"/>
      <c r="C112" s="44"/>
      <c r="D112" s="14">
        <v>99</v>
      </c>
    </row>
    <row r="113" spans="1:4">
      <c r="A113" s="17">
        <f>ROW()-13</f>
        <v>100</v>
      </c>
      <c r="B113" s="45"/>
      <c r="C113" s="45"/>
      <c r="D113" s="18">
        <v>100</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4:C24"/>
    <mergeCell ref="B25:C25"/>
    <mergeCell ref="B26:C26"/>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s>
  <phoneticPr fontId="2"/>
  <conditionalFormatting sqref="B14:D113">
    <cfRule type="expression" dxfId="3" priority="1" stopIfTrue="1">
      <formula>ISODD(ROW())</formula>
    </cfRule>
  </conditionalFormatting>
  <dataValidations count="1">
    <dataValidation type="list" allowBlank="1" showInputMessage="1" showErrorMessage="1" sqref="B3" xr:uid="{0BDECDE9-A72F-489C-90F4-B5314E84716A}">
      <formula1>"Oracle,PostgreSQL,SQLServer"</formula1>
    </dataValidation>
  </dataValidation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C223C-06C3-4356-8ABB-44A4ED8995E9}">
  <sheetPr codeName="Sheet3">
    <tabColor rgb="FF87E7AD"/>
  </sheetPr>
  <dimension ref="A1:G32"/>
  <sheetViews>
    <sheetView showGridLines="0" zoomScale="85" zoomScaleNormal="85" workbookViewId="0">
      <pane xSplit="2" ySplit="2" topLeftCell="C3" activePane="bottomRight" state="frozen"/>
      <selection activeCell="D14" sqref="D14"/>
      <selection pane="topRight" activeCell="D14" sqref="D14"/>
      <selection pane="bottomLeft" activeCell="D14" sqref="D14"/>
      <selection pane="bottomRight" activeCell="C3" sqref="C3"/>
    </sheetView>
  </sheetViews>
  <sheetFormatPr defaultRowHeight="18" outlineLevelRow="1"/>
  <cols>
    <col min="1" max="1" width="4.69921875" style="21" customWidth="1"/>
    <col min="2" max="2" width="55.69921875" style="21" customWidth="1"/>
    <col min="3" max="3" width="60.69921875" style="21" customWidth="1"/>
    <col min="4" max="7" width="20.69921875" style="21" customWidth="1"/>
    <col min="8" max="16384" width="8.796875" style="21"/>
  </cols>
  <sheetData>
    <row r="1" spans="1:7" ht="36" customHeight="1" outlineLevel="1"/>
    <row r="2" spans="1:7">
      <c r="A2" s="22" t="s">
        <v>1</v>
      </c>
      <c r="B2" s="23" t="s">
        <v>468</v>
      </c>
      <c r="C2" s="23" t="s">
        <v>469</v>
      </c>
      <c r="D2" s="23" t="s">
        <v>470</v>
      </c>
      <c r="E2" s="23" t="s">
        <v>4</v>
      </c>
      <c r="F2" s="23" t="s">
        <v>471</v>
      </c>
      <c r="G2" s="24" t="s">
        <v>472</v>
      </c>
    </row>
    <row r="3" spans="1:7">
      <c r="A3" s="25">
        <f t="shared" ref="A3:A32" si="0">ROW()-2</f>
        <v>1</v>
      </c>
      <c r="B3" s="26" t="str" cm="1">
        <f t="array" aca="1" ref="B3" ca="1">IF(OR(TRIM(C3)="",TRIM(D3)=""),"",IFERROR(_xlfn.LET(_xlpm.tblNm,C3,_xlpm.sheetNm,D3,_xlpm.searchRng,INDIRECT("'"&amp;_xlpm.sheetNm&amp;"'!C:C"),_xlpm.returnRng,INDIRECT("'"&amp;_xlpm.sheetNm&amp;"'!B:B"),_xlfn.XLOOKUP(_xlpm.tblNm,_xlpm.searchRng,_xlpm.returnRng,"※TBL物理名が存在しません")),"※参照Sheet名が存在しません"))</f>
        <v>顧客</v>
      </c>
      <c r="C3" s="27" t="s">
        <v>30</v>
      </c>
      <c r="D3" s="27" t="s">
        <v>473</v>
      </c>
      <c r="E3" s="27" t="s">
        <v>5</v>
      </c>
      <c r="F3" s="27" t="s">
        <v>474</v>
      </c>
      <c r="G3" s="28"/>
    </row>
    <row r="4" spans="1:7">
      <c r="A4" s="25">
        <f t="shared" si="0"/>
        <v>2</v>
      </c>
      <c r="B4" s="26" t="str" cm="1">
        <f t="array" aca="1" ref="B4" ca="1">IF(OR(TRIM(C4)="",TRIM(D4)=""),"",IFERROR(_xlfn.LET(_xlpm.tblNm,C4,_xlpm.sheetNm,D4,_xlpm.searchRng,INDIRECT("'"&amp;_xlpm.sheetNm&amp;"'!C:C"),_xlpm.returnRng,INDIRECT("'"&amp;_xlpm.sheetNm&amp;"'!B:B"),_xlfn.XLOOKUP(_xlpm.tblNm,_xlpm.searchRng,_xlpm.returnRng,"※TBL物理名が存在しません")),"※参照Sheet名が存在しません"))</f>
        <v>受注明細</v>
      </c>
      <c r="C4" s="27" t="s">
        <v>788</v>
      </c>
      <c r="D4" s="27" t="s">
        <v>473</v>
      </c>
      <c r="E4" s="27" t="s">
        <v>5</v>
      </c>
      <c r="F4" s="27" t="s">
        <v>474</v>
      </c>
      <c r="G4" s="28"/>
    </row>
    <row r="5" spans="1:7">
      <c r="A5" s="25">
        <f t="shared" si="0"/>
        <v>3</v>
      </c>
      <c r="B5" s="26" t="str" cm="1">
        <f t="array" aca="1" ref="B5" ca="1">IF(OR(TRIM(C5)="",TRIM(D5)=""),"",IFERROR(_xlfn.LET(_xlpm.tblNm,C5,_xlpm.sheetNm,D5,_xlpm.searchRng,INDIRECT("'"&amp;_xlpm.sheetNm&amp;"'!C:C"),_xlpm.returnRng,INDIRECT("'"&amp;_xlpm.sheetNm&amp;"'!B:B"),_xlfn.XLOOKUP(_xlpm.tblNm,_xlpm.searchRng,_xlpm.returnRng,"※TBL物理名が存在しません")),"※参照Sheet名が存在しません"))</f>
        <v/>
      </c>
      <c r="C5" s="27"/>
      <c r="D5" s="27"/>
      <c r="E5" s="27"/>
      <c r="F5" s="27"/>
      <c r="G5" s="28"/>
    </row>
    <row r="6" spans="1:7">
      <c r="A6" s="25">
        <f t="shared" si="0"/>
        <v>4</v>
      </c>
      <c r="B6" s="26" t="str" cm="1">
        <f t="array" aca="1" ref="B6" ca="1">IF(OR(TRIM(C6)="",TRIM(D6)=""),"",IFERROR(_xlfn.LET(_xlpm.tblNm,C6,_xlpm.sheetNm,D6,_xlpm.searchRng,INDIRECT("'"&amp;_xlpm.sheetNm&amp;"'!C:C"),_xlpm.returnRng,INDIRECT("'"&amp;_xlpm.sheetNm&amp;"'!B:B"),_xlfn.XLOOKUP(_xlpm.tblNm,_xlpm.searchRng,_xlpm.returnRng,"※TBL物理名が存在しません")),"※参照Sheet名が存在しません"))</f>
        <v/>
      </c>
      <c r="C6" s="27"/>
      <c r="D6" s="27"/>
      <c r="E6" s="27"/>
      <c r="F6" s="27"/>
      <c r="G6" s="28"/>
    </row>
    <row r="7" spans="1:7">
      <c r="A7" s="25">
        <f t="shared" si="0"/>
        <v>5</v>
      </c>
      <c r="B7" s="26" t="str" cm="1">
        <f t="array" aca="1" ref="B7" ca="1">IF(OR(TRIM(C7)="",TRIM(D7)=""),"",IFERROR(_xlfn.LET(_xlpm.tblNm,C7,_xlpm.sheetNm,D7,_xlpm.searchRng,INDIRECT("'"&amp;_xlpm.sheetNm&amp;"'!C:C"),_xlpm.returnRng,INDIRECT("'"&amp;_xlpm.sheetNm&amp;"'!B:B"),_xlfn.XLOOKUP(_xlpm.tblNm,_xlpm.searchRng,_xlpm.returnRng,"※TBL物理名が存在しません")),"※参照Sheet名が存在しません"))</f>
        <v/>
      </c>
      <c r="C7" s="27"/>
      <c r="D7" s="27"/>
      <c r="E7" s="27"/>
      <c r="F7" s="27"/>
      <c r="G7" s="28"/>
    </row>
    <row r="8" spans="1:7">
      <c r="A8" s="25">
        <f t="shared" si="0"/>
        <v>6</v>
      </c>
      <c r="B8" s="26" t="str" cm="1">
        <f t="array" aca="1" ref="B8" ca="1">IF(OR(TRIM(C8)="",TRIM(D8)=""),"",IFERROR(_xlfn.LET(_xlpm.tblNm,C8,_xlpm.sheetNm,D8,_xlpm.searchRng,INDIRECT("'"&amp;_xlpm.sheetNm&amp;"'!C:C"),_xlpm.returnRng,INDIRECT("'"&amp;_xlpm.sheetNm&amp;"'!B:B"),_xlfn.XLOOKUP(_xlpm.tblNm,_xlpm.searchRng,_xlpm.returnRng,"※TBL物理名が存在しません")),"※参照Sheet名が存在しません"))</f>
        <v/>
      </c>
      <c r="C8" s="27"/>
      <c r="D8" s="27"/>
      <c r="E8" s="27"/>
      <c r="F8" s="27"/>
      <c r="G8" s="28"/>
    </row>
    <row r="9" spans="1:7">
      <c r="A9" s="25">
        <f t="shared" si="0"/>
        <v>7</v>
      </c>
      <c r="B9" s="26" t="str" cm="1">
        <f t="array" aca="1" ref="B9" ca="1">IF(OR(TRIM(C9)="",TRIM(D9)=""),"",IFERROR(_xlfn.LET(_xlpm.tblNm,C9,_xlpm.sheetNm,D9,_xlpm.searchRng,INDIRECT("'"&amp;_xlpm.sheetNm&amp;"'!C:C"),_xlpm.returnRng,INDIRECT("'"&amp;_xlpm.sheetNm&amp;"'!B:B"),_xlfn.XLOOKUP(_xlpm.tblNm,_xlpm.searchRng,_xlpm.returnRng,"※TBL物理名が存在しません")),"※参照Sheet名が存在しません"))</f>
        <v/>
      </c>
      <c r="C9" s="27"/>
      <c r="D9" s="27"/>
      <c r="E9" s="27"/>
      <c r="F9" s="27"/>
      <c r="G9" s="28"/>
    </row>
    <row r="10" spans="1:7">
      <c r="A10" s="25">
        <f t="shared" si="0"/>
        <v>8</v>
      </c>
      <c r="B10" s="26" t="str" cm="1">
        <f t="array" aca="1" ref="B10" ca="1">IF(OR(TRIM(C10)="",TRIM(D10)=""),"",IFERROR(_xlfn.LET(_xlpm.tblNm,C10,_xlpm.sheetNm,D10,_xlpm.searchRng,INDIRECT("'"&amp;_xlpm.sheetNm&amp;"'!C:C"),_xlpm.returnRng,INDIRECT("'"&amp;_xlpm.sheetNm&amp;"'!B:B"),_xlfn.XLOOKUP(_xlpm.tblNm,_xlpm.searchRng,_xlpm.returnRng,"※TBL物理名が存在しません")),"※参照Sheet名が存在しません"))</f>
        <v/>
      </c>
      <c r="C10" s="27"/>
      <c r="D10" s="27"/>
      <c r="E10" s="27"/>
      <c r="F10" s="27"/>
      <c r="G10" s="28"/>
    </row>
    <row r="11" spans="1:7">
      <c r="A11" s="25">
        <f t="shared" si="0"/>
        <v>9</v>
      </c>
      <c r="B11" s="26" t="str" cm="1">
        <f t="array" aca="1" ref="B11" ca="1">IF(OR(TRIM(C11)="",TRIM(D11)=""),"",IFERROR(_xlfn.LET(_xlpm.tblNm,C11,_xlpm.sheetNm,D11,_xlpm.searchRng,INDIRECT("'"&amp;_xlpm.sheetNm&amp;"'!C:C"),_xlpm.returnRng,INDIRECT("'"&amp;_xlpm.sheetNm&amp;"'!B:B"),_xlfn.XLOOKUP(_xlpm.tblNm,_xlpm.searchRng,_xlpm.returnRng,"※TBL物理名が存在しません")),"※参照Sheet名が存在しません"))</f>
        <v/>
      </c>
      <c r="C11" s="27"/>
      <c r="D11" s="27"/>
      <c r="E11" s="27"/>
      <c r="F11" s="27"/>
      <c r="G11" s="28"/>
    </row>
    <row r="12" spans="1:7">
      <c r="A12" s="25">
        <f t="shared" si="0"/>
        <v>10</v>
      </c>
      <c r="B12" s="26" t="str" cm="1">
        <f t="array" aca="1" ref="B12" ca="1">IF(OR(TRIM(C12)="",TRIM(D12)=""),"",IFERROR(_xlfn.LET(_xlpm.tblNm,C12,_xlpm.sheetNm,D12,_xlpm.searchRng,INDIRECT("'"&amp;_xlpm.sheetNm&amp;"'!C:C"),_xlpm.returnRng,INDIRECT("'"&amp;_xlpm.sheetNm&amp;"'!B:B"),_xlfn.XLOOKUP(_xlpm.tblNm,_xlpm.searchRng,_xlpm.returnRng,"※TBL物理名が存在しません")),"※参照Sheet名が存在しません"))</f>
        <v/>
      </c>
      <c r="C12" s="27"/>
      <c r="D12" s="27"/>
      <c r="E12" s="27"/>
      <c r="F12" s="27"/>
      <c r="G12" s="28"/>
    </row>
    <row r="13" spans="1:7">
      <c r="A13" s="25">
        <f t="shared" si="0"/>
        <v>11</v>
      </c>
      <c r="B13" s="26" t="str" cm="1">
        <f t="array" aca="1" ref="B13" ca="1">IF(OR(TRIM(C13)="",TRIM(D13)=""),"",IFERROR(_xlfn.LET(_xlpm.tblNm,C13,_xlpm.sheetNm,D13,_xlpm.searchRng,INDIRECT("'"&amp;_xlpm.sheetNm&amp;"'!C:C"),_xlpm.returnRng,INDIRECT("'"&amp;_xlpm.sheetNm&amp;"'!B:B"),_xlfn.XLOOKUP(_xlpm.tblNm,_xlpm.searchRng,_xlpm.returnRng,"※TBL物理名が存在しません")),"※参照Sheet名が存在しません"))</f>
        <v/>
      </c>
      <c r="C13" s="27"/>
      <c r="D13" s="27"/>
      <c r="E13" s="27"/>
      <c r="F13" s="27"/>
      <c r="G13" s="28"/>
    </row>
    <row r="14" spans="1:7">
      <c r="A14" s="25">
        <f t="shared" si="0"/>
        <v>12</v>
      </c>
      <c r="B14" s="26" t="str" cm="1">
        <f t="array" aca="1" ref="B14" ca="1">IF(OR(TRIM(C14)="",TRIM(D14)=""),"",IFERROR(_xlfn.LET(_xlpm.tblNm,C14,_xlpm.sheetNm,D14,_xlpm.searchRng,INDIRECT("'"&amp;_xlpm.sheetNm&amp;"'!C:C"),_xlpm.returnRng,INDIRECT("'"&amp;_xlpm.sheetNm&amp;"'!B:B"),_xlfn.XLOOKUP(_xlpm.tblNm,_xlpm.searchRng,_xlpm.returnRng,"※TBL物理名が存在しません")),"※参照Sheet名が存在しません"))</f>
        <v/>
      </c>
      <c r="C14" s="27"/>
      <c r="D14" s="27"/>
      <c r="E14" s="27"/>
      <c r="F14" s="27"/>
      <c r="G14" s="28"/>
    </row>
    <row r="15" spans="1:7">
      <c r="A15" s="25">
        <f t="shared" si="0"/>
        <v>13</v>
      </c>
      <c r="B15" s="26" t="str" cm="1">
        <f t="array" aca="1" ref="B15" ca="1">IF(OR(TRIM(C15)="",TRIM(D15)=""),"",IFERROR(_xlfn.LET(_xlpm.tblNm,C15,_xlpm.sheetNm,D15,_xlpm.searchRng,INDIRECT("'"&amp;_xlpm.sheetNm&amp;"'!C:C"),_xlpm.returnRng,INDIRECT("'"&amp;_xlpm.sheetNm&amp;"'!B:B"),_xlfn.XLOOKUP(_xlpm.tblNm,_xlpm.searchRng,_xlpm.returnRng,"※TBL物理名が存在しません")),"※参照Sheet名が存在しません"))</f>
        <v/>
      </c>
      <c r="C15" s="27"/>
      <c r="D15" s="27"/>
      <c r="E15" s="27"/>
      <c r="F15" s="27"/>
      <c r="G15" s="28"/>
    </row>
    <row r="16" spans="1:7">
      <c r="A16" s="25">
        <f t="shared" si="0"/>
        <v>14</v>
      </c>
      <c r="B16" s="26" t="str" cm="1">
        <f t="array" aca="1" ref="B16" ca="1">IF(OR(TRIM(C16)="",TRIM(D16)=""),"",IFERROR(_xlfn.LET(_xlpm.tblNm,C16,_xlpm.sheetNm,D16,_xlpm.searchRng,INDIRECT("'"&amp;_xlpm.sheetNm&amp;"'!C:C"),_xlpm.returnRng,INDIRECT("'"&amp;_xlpm.sheetNm&amp;"'!B:B"),_xlfn.XLOOKUP(_xlpm.tblNm,_xlpm.searchRng,_xlpm.returnRng,"※TBL物理名が存在しません")),"※参照Sheet名が存在しません"))</f>
        <v/>
      </c>
      <c r="C16" s="27"/>
      <c r="D16" s="27"/>
      <c r="E16" s="27"/>
      <c r="F16" s="27"/>
      <c r="G16" s="28"/>
    </row>
    <row r="17" spans="1:7">
      <c r="A17" s="25">
        <f t="shared" si="0"/>
        <v>15</v>
      </c>
      <c r="B17" s="26" t="str" cm="1">
        <f t="array" aca="1" ref="B17" ca="1">IF(OR(TRIM(C17)="",TRIM(D17)=""),"",IFERROR(_xlfn.LET(_xlpm.tblNm,C17,_xlpm.sheetNm,D17,_xlpm.searchRng,INDIRECT("'"&amp;_xlpm.sheetNm&amp;"'!C:C"),_xlpm.returnRng,INDIRECT("'"&amp;_xlpm.sheetNm&amp;"'!B:B"),_xlfn.XLOOKUP(_xlpm.tblNm,_xlpm.searchRng,_xlpm.returnRng,"※TBL物理名が存在しません")),"※参照Sheet名が存在しません"))</f>
        <v/>
      </c>
      <c r="C17" s="27"/>
      <c r="D17" s="27"/>
      <c r="E17" s="27"/>
      <c r="F17" s="27"/>
      <c r="G17" s="28"/>
    </row>
    <row r="18" spans="1:7">
      <c r="A18" s="25">
        <f t="shared" si="0"/>
        <v>16</v>
      </c>
      <c r="B18" s="26" t="str" cm="1">
        <f t="array" aca="1" ref="B18" ca="1">IF(OR(TRIM(C18)="",TRIM(D18)=""),"",IFERROR(_xlfn.LET(_xlpm.tblNm,C18,_xlpm.sheetNm,D18,_xlpm.searchRng,INDIRECT("'"&amp;_xlpm.sheetNm&amp;"'!C:C"),_xlpm.returnRng,INDIRECT("'"&amp;_xlpm.sheetNm&amp;"'!B:B"),_xlfn.XLOOKUP(_xlpm.tblNm,_xlpm.searchRng,_xlpm.returnRng,"※TBL物理名が存在しません")),"※参照Sheet名が存在しません"))</f>
        <v/>
      </c>
      <c r="C18" s="27"/>
      <c r="D18" s="27"/>
      <c r="E18" s="27"/>
      <c r="F18" s="27"/>
      <c r="G18" s="28"/>
    </row>
    <row r="19" spans="1:7">
      <c r="A19" s="25">
        <f t="shared" si="0"/>
        <v>17</v>
      </c>
      <c r="B19" s="26" t="str" cm="1">
        <f t="array" aca="1" ref="B19" ca="1">IF(OR(TRIM(C19)="",TRIM(D19)=""),"",IFERROR(_xlfn.LET(_xlpm.tblNm,C19,_xlpm.sheetNm,D19,_xlpm.searchRng,INDIRECT("'"&amp;_xlpm.sheetNm&amp;"'!C:C"),_xlpm.returnRng,INDIRECT("'"&amp;_xlpm.sheetNm&amp;"'!B:B"),_xlfn.XLOOKUP(_xlpm.tblNm,_xlpm.searchRng,_xlpm.returnRng,"※TBL物理名が存在しません")),"※参照Sheet名が存在しません"))</f>
        <v/>
      </c>
      <c r="C19" s="27"/>
      <c r="D19" s="27"/>
      <c r="E19" s="27"/>
      <c r="F19" s="27"/>
      <c r="G19" s="28"/>
    </row>
    <row r="20" spans="1:7">
      <c r="A20" s="25">
        <f t="shared" si="0"/>
        <v>18</v>
      </c>
      <c r="B20" s="26" t="str" cm="1">
        <f t="array" aca="1" ref="B20" ca="1">IF(OR(TRIM(C20)="",TRIM(D20)=""),"",IFERROR(_xlfn.LET(_xlpm.tblNm,C20,_xlpm.sheetNm,D20,_xlpm.searchRng,INDIRECT("'"&amp;_xlpm.sheetNm&amp;"'!C:C"),_xlpm.returnRng,INDIRECT("'"&amp;_xlpm.sheetNm&amp;"'!B:B"),_xlfn.XLOOKUP(_xlpm.tblNm,_xlpm.searchRng,_xlpm.returnRng,"※TBL物理名が存在しません")),"※参照Sheet名が存在しません"))</f>
        <v/>
      </c>
      <c r="C20" s="27"/>
      <c r="D20" s="27"/>
      <c r="E20" s="27"/>
      <c r="F20" s="27"/>
      <c r="G20" s="28"/>
    </row>
    <row r="21" spans="1:7">
      <c r="A21" s="25">
        <f t="shared" si="0"/>
        <v>19</v>
      </c>
      <c r="B21" s="26" t="str" cm="1">
        <f t="array" aca="1" ref="B21" ca="1">IF(OR(TRIM(C21)="",TRIM(D21)=""),"",IFERROR(_xlfn.LET(_xlpm.tblNm,C21,_xlpm.sheetNm,D21,_xlpm.searchRng,INDIRECT("'"&amp;_xlpm.sheetNm&amp;"'!C:C"),_xlpm.returnRng,INDIRECT("'"&amp;_xlpm.sheetNm&amp;"'!B:B"),_xlfn.XLOOKUP(_xlpm.tblNm,_xlpm.searchRng,_xlpm.returnRng,"※TBL物理名が存在しません")),"※参照Sheet名が存在しません"))</f>
        <v/>
      </c>
      <c r="C21" s="27"/>
      <c r="D21" s="27"/>
      <c r="E21" s="27"/>
      <c r="F21" s="27"/>
      <c r="G21" s="28"/>
    </row>
    <row r="22" spans="1:7">
      <c r="A22" s="25">
        <f t="shared" si="0"/>
        <v>20</v>
      </c>
      <c r="B22" s="26" t="str" cm="1">
        <f t="array" aca="1" ref="B22" ca="1">IF(OR(TRIM(C22)="",TRIM(D22)=""),"",IFERROR(_xlfn.LET(_xlpm.tblNm,C22,_xlpm.sheetNm,D22,_xlpm.searchRng,INDIRECT("'"&amp;_xlpm.sheetNm&amp;"'!C:C"),_xlpm.returnRng,INDIRECT("'"&amp;_xlpm.sheetNm&amp;"'!B:B"),_xlfn.XLOOKUP(_xlpm.tblNm,_xlpm.searchRng,_xlpm.returnRng,"※TBL物理名が存在しません")),"※参照Sheet名が存在しません"))</f>
        <v/>
      </c>
      <c r="C22" s="27"/>
      <c r="D22" s="27"/>
      <c r="E22" s="27"/>
      <c r="F22" s="27"/>
      <c r="G22" s="28"/>
    </row>
    <row r="23" spans="1:7">
      <c r="A23" s="25">
        <f t="shared" si="0"/>
        <v>21</v>
      </c>
      <c r="B23" s="26" t="str" cm="1">
        <f t="array" aca="1" ref="B23" ca="1">IF(OR(TRIM(C23)="",TRIM(D23)=""),"",IFERROR(_xlfn.LET(_xlpm.tblNm,C23,_xlpm.sheetNm,D23,_xlpm.searchRng,INDIRECT("'"&amp;_xlpm.sheetNm&amp;"'!C:C"),_xlpm.returnRng,INDIRECT("'"&amp;_xlpm.sheetNm&amp;"'!B:B"),_xlfn.XLOOKUP(_xlpm.tblNm,_xlpm.searchRng,_xlpm.returnRng,"※TBL物理名が存在しません")),"※参照Sheet名が存在しません"))</f>
        <v/>
      </c>
      <c r="C23" s="27"/>
      <c r="D23" s="27"/>
      <c r="E23" s="27"/>
      <c r="F23" s="27"/>
      <c r="G23" s="28"/>
    </row>
    <row r="24" spans="1:7">
      <c r="A24" s="25">
        <f t="shared" si="0"/>
        <v>22</v>
      </c>
      <c r="B24" s="26" t="str" cm="1">
        <f t="array" aca="1" ref="B24" ca="1">IF(OR(TRIM(C24)="",TRIM(D24)=""),"",IFERROR(_xlfn.LET(_xlpm.tblNm,C24,_xlpm.sheetNm,D24,_xlpm.searchRng,INDIRECT("'"&amp;_xlpm.sheetNm&amp;"'!C:C"),_xlpm.returnRng,INDIRECT("'"&amp;_xlpm.sheetNm&amp;"'!B:B"),_xlfn.XLOOKUP(_xlpm.tblNm,_xlpm.searchRng,_xlpm.returnRng,"※TBL物理名が存在しません")),"※参照Sheet名が存在しません"))</f>
        <v/>
      </c>
      <c r="C24" s="27"/>
      <c r="D24" s="27"/>
      <c r="E24" s="27"/>
      <c r="F24" s="27"/>
      <c r="G24" s="28"/>
    </row>
    <row r="25" spans="1:7">
      <c r="A25" s="25">
        <f t="shared" si="0"/>
        <v>23</v>
      </c>
      <c r="B25" s="26" t="str" cm="1">
        <f t="array" aca="1" ref="B25" ca="1">IF(OR(TRIM(C25)="",TRIM(D25)=""),"",IFERROR(_xlfn.LET(_xlpm.tblNm,C25,_xlpm.sheetNm,D25,_xlpm.searchRng,INDIRECT("'"&amp;_xlpm.sheetNm&amp;"'!C:C"),_xlpm.returnRng,INDIRECT("'"&amp;_xlpm.sheetNm&amp;"'!B:B"),_xlfn.XLOOKUP(_xlpm.tblNm,_xlpm.searchRng,_xlpm.returnRng,"※TBL物理名が存在しません")),"※参照Sheet名が存在しません"))</f>
        <v/>
      </c>
      <c r="C25" s="27"/>
      <c r="D25" s="27"/>
      <c r="E25" s="27"/>
      <c r="F25" s="27"/>
      <c r="G25" s="28"/>
    </row>
    <row r="26" spans="1:7">
      <c r="A26" s="25">
        <f t="shared" si="0"/>
        <v>24</v>
      </c>
      <c r="B26" s="26" t="str" cm="1">
        <f t="array" aca="1" ref="B26" ca="1">IF(OR(TRIM(C26)="",TRIM(D26)=""),"",IFERROR(_xlfn.LET(_xlpm.tblNm,C26,_xlpm.sheetNm,D26,_xlpm.searchRng,INDIRECT("'"&amp;_xlpm.sheetNm&amp;"'!C:C"),_xlpm.returnRng,INDIRECT("'"&amp;_xlpm.sheetNm&amp;"'!B:B"),_xlfn.XLOOKUP(_xlpm.tblNm,_xlpm.searchRng,_xlpm.returnRng,"※TBL物理名が存在しません")),"※参照Sheet名が存在しません"))</f>
        <v/>
      </c>
      <c r="C26" s="27"/>
      <c r="D26" s="27"/>
      <c r="E26" s="27"/>
      <c r="F26" s="27"/>
      <c r="G26" s="28"/>
    </row>
    <row r="27" spans="1:7">
      <c r="A27" s="25">
        <f t="shared" si="0"/>
        <v>25</v>
      </c>
      <c r="B27" s="26" t="str" cm="1">
        <f t="array" aca="1" ref="B27" ca="1">IF(OR(TRIM(C27)="",TRIM(D27)=""),"",IFERROR(_xlfn.LET(_xlpm.tblNm,C27,_xlpm.sheetNm,D27,_xlpm.searchRng,INDIRECT("'"&amp;_xlpm.sheetNm&amp;"'!C:C"),_xlpm.returnRng,INDIRECT("'"&amp;_xlpm.sheetNm&amp;"'!B:B"),_xlfn.XLOOKUP(_xlpm.tblNm,_xlpm.searchRng,_xlpm.returnRng,"※TBL物理名が存在しません")),"※参照Sheet名が存在しません"))</f>
        <v/>
      </c>
      <c r="C27" s="27"/>
      <c r="D27" s="27"/>
      <c r="E27" s="27"/>
      <c r="F27" s="27"/>
      <c r="G27" s="28"/>
    </row>
    <row r="28" spans="1:7">
      <c r="A28" s="25">
        <f t="shared" si="0"/>
        <v>26</v>
      </c>
      <c r="B28" s="26" t="str" cm="1">
        <f t="array" aca="1" ref="B28" ca="1">IF(OR(TRIM(C28)="",TRIM(D28)=""),"",IFERROR(_xlfn.LET(_xlpm.tblNm,C28,_xlpm.sheetNm,D28,_xlpm.searchRng,INDIRECT("'"&amp;_xlpm.sheetNm&amp;"'!C:C"),_xlpm.returnRng,INDIRECT("'"&amp;_xlpm.sheetNm&amp;"'!B:B"),_xlfn.XLOOKUP(_xlpm.tblNm,_xlpm.searchRng,_xlpm.returnRng,"※TBL物理名が存在しません")),"※参照Sheet名が存在しません"))</f>
        <v/>
      </c>
      <c r="C28" s="27"/>
      <c r="D28" s="27"/>
      <c r="E28" s="27"/>
      <c r="F28" s="27"/>
      <c r="G28" s="28"/>
    </row>
    <row r="29" spans="1:7">
      <c r="A29" s="25">
        <f t="shared" si="0"/>
        <v>27</v>
      </c>
      <c r="B29" s="26" t="str" cm="1">
        <f t="array" aca="1" ref="B29" ca="1">IF(OR(TRIM(C29)="",TRIM(D29)=""),"",IFERROR(_xlfn.LET(_xlpm.tblNm,C29,_xlpm.sheetNm,D29,_xlpm.searchRng,INDIRECT("'"&amp;_xlpm.sheetNm&amp;"'!C:C"),_xlpm.returnRng,INDIRECT("'"&amp;_xlpm.sheetNm&amp;"'!B:B"),_xlfn.XLOOKUP(_xlpm.tblNm,_xlpm.searchRng,_xlpm.returnRng,"※TBL物理名が存在しません")),"※参照Sheet名が存在しません"))</f>
        <v/>
      </c>
      <c r="C29" s="27"/>
      <c r="D29" s="27"/>
      <c r="E29" s="27"/>
      <c r="F29" s="27"/>
      <c r="G29" s="28"/>
    </row>
    <row r="30" spans="1:7">
      <c r="A30" s="25">
        <f t="shared" si="0"/>
        <v>28</v>
      </c>
      <c r="B30" s="26" t="str" cm="1">
        <f t="array" aca="1" ref="B30" ca="1">IF(OR(TRIM(C30)="",TRIM(D30)=""),"",IFERROR(_xlfn.LET(_xlpm.tblNm,C30,_xlpm.sheetNm,D30,_xlpm.searchRng,INDIRECT("'"&amp;_xlpm.sheetNm&amp;"'!C:C"),_xlpm.returnRng,INDIRECT("'"&amp;_xlpm.sheetNm&amp;"'!B:B"),_xlfn.XLOOKUP(_xlpm.tblNm,_xlpm.searchRng,_xlpm.returnRng,"※TBL物理名が存在しません")),"※参照Sheet名が存在しません"))</f>
        <v/>
      </c>
      <c r="C30" s="27"/>
      <c r="D30" s="27"/>
      <c r="E30" s="27"/>
      <c r="F30" s="27"/>
      <c r="G30" s="28"/>
    </row>
    <row r="31" spans="1:7">
      <c r="A31" s="25">
        <f t="shared" si="0"/>
        <v>29</v>
      </c>
      <c r="B31" s="26" t="str" cm="1">
        <f t="array" aca="1" ref="B31" ca="1">IF(OR(TRIM(C31)="",TRIM(D31)=""),"",IFERROR(_xlfn.LET(_xlpm.tblNm,C31,_xlpm.sheetNm,D31,_xlpm.searchRng,INDIRECT("'"&amp;_xlpm.sheetNm&amp;"'!C:C"),_xlpm.returnRng,INDIRECT("'"&amp;_xlpm.sheetNm&amp;"'!B:B"),_xlfn.XLOOKUP(_xlpm.tblNm,_xlpm.searchRng,_xlpm.returnRng,"※TBL物理名が存在しません")),"※参照Sheet名が存在しません"))</f>
        <v/>
      </c>
      <c r="C31" s="27"/>
      <c r="D31" s="27"/>
      <c r="E31" s="27"/>
      <c r="F31" s="27"/>
      <c r="G31" s="28"/>
    </row>
    <row r="32" spans="1:7">
      <c r="A32" s="29">
        <f t="shared" si="0"/>
        <v>30</v>
      </c>
      <c r="B32" s="30" t="str" cm="1">
        <f t="array" aca="1" ref="B32" ca="1">IF(OR(TRIM(C32)="",TRIM(D32)=""),"",IFERROR(_xlfn.LET(_xlpm.tblNm,C32,_xlpm.sheetNm,D32,_xlpm.searchRng,INDIRECT("'"&amp;_xlpm.sheetNm&amp;"'!C:C"),_xlpm.returnRng,INDIRECT("'"&amp;_xlpm.sheetNm&amp;"'!B:B"),_xlfn.XLOOKUP(_xlpm.tblNm,_xlpm.searchRng,_xlpm.returnRng,"※TBL物理名が存在しません")),"※参照Sheet名が存在しません"))</f>
        <v/>
      </c>
      <c r="C32" s="31"/>
      <c r="D32" s="31"/>
      <c r="E32" s="31"/>
      <c r="F32" s="31"/>
      <c r="G32" s="32"/>
    </row>
  </sheetData>
  <phoneticPr fontId="2"/>
  <conditionalFormatting sqref="A3:A32">
    <cfRule type="expression" dxfId="5" priority="1" stopIfTrue="1">
      <formula>ISODD(ROW())</formula>
    </cfRule>
  </conditionalFormatting>
  <conditionalFormatting sqref="C3:G32">
    <cfRule type="expression" dxfId="4" priority="2" stopIfTrue="1">
      <formula>ISODD(ROW())</formula>
    </cfRule>
  </conditionalFormatting>
  <dataValidations count="1">
    <dataValidation type="list" allowBlank="1" showInputMessage="1" showErrorMessage="1" sqref="E3:E32" xr:uid="{271B1762-E873-410B-9FC9-A416DE2F6FDC}">
      <formula1>"Oracle,PostgreSQL,SQLServer"</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4BB844-5F15-4E57-BB0D-0B60F46413C1}">
  <sheetPr codeName="Sheet4">
    <tabColor rgb="FF87E7AD"/>
  </sheetPr>
  <dimension ref="A1:K25"/>
  <sheetViews>
    <sheetView showGridLines="0" zoomScale="85" zoomScaleNormal="85" workbookViewId="0">
      <pane xSplit="1" ySplit="1" topLeftCell="B2" activePane="bottomRight" state="frozen"/>
      <selection activeCell="D14" sqref="D14"/>
      <selection pane="topRight" activeCell="D14" sqref="D14"/>
      <selection pane="bottomLeft" activeCell="D14" sqref="D14"/>
      <selection pane="bottomRight" activeCell="C10" sqref="C10"/>
    </sheetView>
  </sheetViews>
  <sheetFormatPr defaultRowHeight="18"/>
  <cols>
    <col min="1" max="1" width="10.69921875" style="21" customWidth="1"/>
    <col min="2" max="3" width="30.69921875" style="21" customWidth="1"/>
    <col min="4" max="4" width="10.69921875" style="21" customWidth="1"/>
    <col min="5" max="5" width="5.69921875" style="21" customWidth="1"/>
    <col min="6" max="7" width="30.69921875" style="21" customWidth="1"/>
    <col min="8" max="8" width="20.69921875" style="21" customWidth="1"/>
    <col min="9" max="9" width="10.69921875" style="21" customWidth="1"/>
    <col min="10" max="10" width="12.69921875" style="21" customWidth="1"/>
    <col min="11" max="11" width="20.69921875" style="21" customWidth="1"/>
    <col min="12" max="16384" width="8.796875" style="21"/>
  </cols>
  <sheetData>
    <row r="1" spans="1:11">
      <c r="A1" s="33" t="s">
        <v>475</v>
      </c>
      <c r="B1" s="33" t="s">
        <v>476</v>
      </c>
      <c r="C1" s="33" t="s">
        <v>477</v>
      </c>
      <c r="D1" s="33" t="s">
        <v>478</v>
      </c>
      <c r="E1" s="33" t="s">
        <v>2</v>
      </c>
      <c r="F1" s="33" t="s">
        <v>479</v>
      </c>
      <c r="G1" s="33" t="s">
        <v>480</v>
      </c>
      <c r="H1" s="33" t="s">
        <v>25</v>
      </c>
      <c r="I1" s="33" t="s">
        <v>31</v>
      </c>
      <c r="J1" s="33" t="s">
        <v>34</v>
      </c>
      <c r="K1" s="33" t="s">
        <v>35</v>
      </c>
    </row>
    <row r="2" spans="1:11">
      <c r="A2" s="34">
        <v>1</v>
      </c>
      <c r="B2" s="35" t="s">
        <v>24</v>
      </c>
      <c r="C2" s="35" t="s">
        <v>30</v>
      </c>
      <c r="D2" s="35" t="s">
        <v>481</v>
      </c>
      <c r="E2" s="35" t="s">
        <v>785</v>
      </c>
      <c r="F2" s="35" t="s">
        <v>7</v>
      </c>
      <c r="G2" s="35" t="s">
        <v>482</v>
      </c>
      <c r="H2" s="35" t="s">
        <v>483</v>
      </c>
      <c r="I2" s="35" t="s">
        <v>32</v>
      </c>
      <c r="J2" s="35" t="s">
        <v>3</v>
      </c>
      <c r="K2" s="36" t="s">
        <v>484</v>
      </c>
    </row>
    <row r="3" spans="1:11">
      <c r="A3" s="34">
        <v>1</v>
      </c>
      <c r="B3" s="35" t="s">
        <v>24</v>
      </c>
      <c r="C3" s="35" t="s">
        <v>30</v>
      </c>
      <c r="D3" s="35" t="s">
        <v>485</v>
      </c>
      <c r="E3" s="35" t="s">
        <v>486</v>
      </c>
      <c r="F3" s="35" t="s">
        <v>8</v>
      </c>
      <c r="G3" s="35" t="s">
        <v>487</v>
      </c>
      <c r="H3" s="35" t="s">
        <v>488</v>
      </c>
      <c r="I3" s="35" t="s">
        <v>489</v>
      </c>
      <c r="J3" s="35" t="s">
        <v>3</v>
      </c>
      <c r="K3" s="36" t="s">
        <v>484</v>
      </c>
    </row>
    <row r="4" spans="1:11">
      <c r="A4" s="34">
        <v>1</v>
      </c>
      <c r="B4" s="35" t="s">
        <v>24</v>
      </c>
      <c r="C4" s="35" t="s">
        <v>30</v>
      </c>
      <c r="D4" s="35" t="s">
        <v>490</v>
      </c>
      <c r="E4" s="35" t="s">
        <v>486</v>
      </c>
      <c r="F4" s="35" t="s">
        <v>9</v>
      </c>
      <c r="G4" s="35" t="s">
        <v>491</v>
      </c>
      <c r="H4" s="35" t="s">
        <v>488</v>
      </c>
      <c r="I4" s="35" t="s">
        <v>492</v>
      </c>
      <c r="J4" s="35" t="s">
        <v>486</v>
      </c>
      <c r="K4" s="36" t="s">
        <v>484</v>
      </c>
    </row>
    <row r="5" spans="1:11">
      <c r="A5" s="34">
        <v>1</v>
      </c>
      <c r="B5" s="35" t="s">
        <v>24</v>
      </c>
      <c r="C5" s="35" t="s">
        <v>30</v>
      </c>
      <c r="D5" s="35" t="s">
        <v>493</v>
      </c>
      <c r="E5" s="35" t="s">
        <v>486</v>
      </c>
      <c r="F5" s="35" t="s">
        <v>10</v>
      </c>
      <c r="G5" s="35" t="s">
        <v>494</v>
      </c>
      <c r="H5" s="35" t="s">
        <v>488</v>
      </c>
      <c r="I5" s="35" t="s">
        <v>495</v>
      </c>
      <c r="J5" s="35" t="s">
        <v>486</v>
      </c>
      <c r="K5" s="36" t="s">
        <v>484</v>
      </c>
    </row>
    <row r="6" spans="1:11">
      <c r="A6" s="34">
        <v>1</v>
      </c>
      <c r="B6" s="35" t="s">
        <v>24</v>
      </c>
      <c r="C6" s="35" t="s">
        <v>30</v>
      </c>
      <c r="D6" s="35" t="s">
        <v>496</v>
      </c>
      <c r="E6" s="35" t="s">
        <v>486</v>
      </c>
      <c r="F6" s="35" t="s">
        <v>11</v>
      </c>
      <c r="G6" s="35" t="s">
        <v>497</v>
      </c>
      <c r="H6" s="35" t="s">
        <v>488</v>
      </c>
      <c r="I6" s="35" t="s">
        <v>492</v>
      </c>
      <c r="J6" s="35" t="s">
        <v>486</v>
      </c>
      <c r="K6" s="36" t="s">
        <v>484</v>
      </c>
    </row>
    <row r="7" spans="1:11">
      <c r="A7" s="34">
        <v>1</v>
      </c>
      <c r="B7" s="35" t="s">
        <v>24</v>
      </c>
      <c r="C7" s="35" t="s">
        <v>30</v>
      </c>
      <c r="D7" s="35" t="s">
        <v>498</v>
      </c>
      <c r="E7" s="35" t="s">
        <v>486</v>
      </c>
      <c r="F7" s="35" t="s">
        <v>12</v>
      </c>
      <c r="G7" s="35" t="s">
        <v>499</v>
      </c>
      <c r="H7" s="35" t="s">
        <v>500</v>
      </c>
      <c r="I7" s="35" t="s">
        <v>501</v>
      </c>
      <c r="J7" s="35" t="s">
        <v>3</v>
      </c>
      <c r="K7" s="35" t="s">
        <v>502</v>
      </c>
    </row>
    <row r="8" spans="1:11">
      <c r="A8" s="34">
        <v>1</v>
      </c>
      <c r="B8" s="35" t="s">
        <v>24</v>
      </c>
      <c r="C8" s="35" t="s">
        <v>30</v>
      </c>
      <c r="D8" s="35" t="s">
        <v>503</v>
      </c>
      <c r="E8" s="35" t="s">
        <v>486</v>
      </c>
      <c r="F8" s="35" t="s">
        <v>13</v>
      </c>
      <c r="G8" s="35" t="s">
        <v>504</v>
      </c>
      <c r="H8" s="35" t="s">
        <v>500</v>
      </c>
      <c r="I8" s="35" t="s">
        <v>501</v>
      </c>
      <c r="J8" s="35" t="s">
        <v>3</v>
      </c>
      <c r="K8" s="35" t="s">
        <v>502</v>
      </c>
    </row>
    <row r="9" spans="1:11">
      <c r="A9" s="34">
        <v>2</v>
      </c>
      <c r="B9" s="35" t="s">
        <v>447</v>
      </c>
      <c r="C9" s="35" t="s">
        <v>448</v>
      </c>
      <c r="D9" s="35" t="s">
        <v>481</v>
      </c>
      <c r="E9" s="35" t="s">
        <v>3</v>
      </c>
      <c r="F9" s="35" t="s">
        <v>437</v>
      </c>
      <c r="G9" s="35" t="s">
        <v>505</v>
      </c>
      <c r="H9" s="35" t="s">
        <v>483</v>
      </c>
      <c r="I9" s="35" t="s">
        <v>32</v>
      </c>
      <c r="J9" s="35" t="s">
        <v>3</v>
      </c>
      <c r="K9" s="36" t="s">
        <v>484</v>
      </c>
    </row>
    <row r="10" spans="1:11">
      <c r="A10" s="34">
        <v>2</v>
      </c>
      <c r="B10" s="35" t="s">
        <v>447</v>
      </c>
      <c r="C10" s="35" t="s">
        <v>788</v>
      </c>
      <c r="D10" s="35" t="s">
        <v>485</v>
      </c>
      <c r="E10" s="35" t="s">
        <v>486</v>
      </c>
      <c r="F10" s="35" t="s">
        <v>438</v>
      </c>
      <c r="G10" s="35" t="s">
        <v>506</v>
      </c>
      <c r="H10" s="35" t="s">
        <v>483</v>
      </c>
      <c r="I10" s="35" t="s">
        <v>32</v>
      </c>
      <c r="J10" s="35" t="s">
        <v>3</v>
      </c>
      <c r="K10" s="36" t="s">
        <v>484</v>
      </c>
    </row>
    <row r="11" spans="1:11">
      <c r="A11" s="34">
        <v>2</v>
      </c>
      <c r="B11" s="35" t="s">
        <v>447</v>
      </c>
      <c r="C11" s="35" t="s">
        <v>448</v>
      </c>
      <c r="D11" s="35" t="s">
        <v>490</v>
      </c>
      <c r="E11" s="35" t="s">
        <v>486</v>
      </c>
      <c r="F11" s="35" t="s">
        <v>439</v>
      </c>
      <c r="G11" s="35" t="s">
        <v>507</v>
      </c>
      <c r="H11" s="35" t="s">
        <v>483</v>
      </c>
      <c r="I11" s="35" t="s">
        <v>32</v>
      </c>
      <c r="J11" s="35" t="s">
        <v>3</v>
      </c>
      <c r="K11" s="36" t="s">
        <v>484</v>
      </c>
    </row>
    <row r="12" spans="1:11">
      <c r="A12" s="34">
        <v>2</v>
      </c>
      <c r="B12" s="35" t="s">
        <v>447</v>
      </c>
      <c r="C12" s="35" t="s">
        <v>448</v>
      </c>
      <c r="D12" s="35" t="s">
        <v>493</v>
      </c>
      <c r="E12" s="35" t="s">
        <v>486</v>
      </c>
      <c r="F12" s="35" t="s">
        <v>440</v>
      </c>
      <c r="G12" s="35" t="s">
        <v>508</v>
      </c>
      <c r="H12" s="35" t="s">
        <v>483</v>
      </c>
      <c r="I12" s="35" t="s">
        <v>32</v>
      </c>
      <c r="J12" s="35" t="s">
        <v>3</v>
      </c>
      <c r="K12" s="36" t="s">
        <v>484</v>
      </c>
    </row>
    <row r="13" spans="1:11">
      <c r="A13" s="34">
        <v>2</v>
      </c>
      <c r="B13" s="35" t="s">
        <v>447</v>
      </c>
      <c r="C13" s="35" t="s">
        <v>448</v>
      </c>
      <c r="D13" s="35" t="s">
        <v>496</v>
      </c>
      <c r="E13" s="35" t="s">
        <v>486</v>
      </c>
      <c r="F13" s="35" t="s">
        <v>441</v>
      </c>
      <c r="G13" s="35" t="s">
        <v>509</v>
      </c>
      <c r="H13" s="35" t="s">
        <v>483</v>
      </c>
      <c r="I13" s="35" t="s">
        <v>449</v>
      </c>
      <c r="J13" s="35" t="s">
        <v>3</v>
      </c>
      <c r="K13" s="36" t="s">
        <v>484</v>
      </c>
    </row>
    <row r="14" spans="1:11">
      <c r="A14" s="34">
        <v>3</v>
      </c>
      <c r="B14" s="35" t="s">
        <v>454</v>
      </c>
      <c r="C14" s="35" t="s">
        <v>456</v>
      </c>
      <c r="D14" s="35" t="s">
        <v>481</v>
      </c>
      <c r="E14" s="35" t="s">
        <v>3</v>
      </c>
      <c r="F14" s="35" t="s">
        <v>438</v>
      </c>
      <c r="G14" s="35" t="s">
        <v>506</v>
      </c>
      <c r="H14" s="35" t="s">
        <v>483</v>
      </c>
      <c r="I14" s="35" t="s">
        <v>32</v>
      </c>
      <c r="J14" s="35" t="s">
        <v>3</v>
      </c>
      <c r="K14" s="36" t="s">
        <v>484</v>
      </c>
    </row>
    <row r="15" spans="1:11">
      <c r="A15" s="34">
        <v>3</v>
      </c>
      <c r="B15" s="35" t="s">
        <v>454</v>
      </c>
      <c r="C15" s="35" t="s">
        <v>456</v>
      </c>
      <c r="D15" s="35" t="s">
        <v>485</v>
      </c>
      <c r="E15" s="35" t="s">
        <v>486</v>
      </c>
      <c r="F15" s="35" t="s">
        <v>7</v>
      </c>
      <c r="G15" s="35" t="s">
        <v>510</v>
      </c>
      <c r="H15" s="35" t="s">
        <v>483</v>
      </c>
      <c r="I15" s="35" t="s">
        <v>32</v>
      </c>
      <c r="J15" s="35" t="s">
        <v>3</v>
      </c>
      <c r="K15" s="36" t="s">
        <v>484</v>
      </c>
    </row>
    <row r="16" spans="1:11">
      <c r="A16" s="34">
        <v>3</v>
      </c>
      <c r="B16" s="35" t="s">
        <v>454</v>
      </c>
      <c r="C16" s="35" t="s">
        <v>456</v>
      </c>
      <c r="D16" s="35" t="s">
        <v>490</v>
      </c>
      <c r="E16" s="35" t="s">
        <v>486</v>
      </c>
      <c r="F16" s="35" t="s">
        <v>450</v>
      </c>
      <c r="G16" s="35" t="s">
        <v>511</v>
      </c>
      <c r="H16" s="35" t="s">
        <v>512</v>
      </c>
      <c r="I16" s="35" t="s">
        <v>501</v>
      </c>
      <c r="J16" s="35" t="s">
        <v>3</v>
      </c>
      <c r="K16" s="35" t="s">
        <v>513</v>
      </c>
    </row>
    <row r="17" spans="1:11">
      <c r="A17" s="34">
        <v>3</v>
      </c>
      <c r="B17" s="35" t="s">
        <v>454</v>
      </c>
      <c r="C17" s="35" t="s">
        <v>456</v>
      </c>
      <c r="D17" s="35" t="s">
        <v>493</v>
      </c>
      <c r="E17" s="35" t="s">
        <v>486</v>
      </c>
      <c r="F17" s="35" t="s">
        <v>451</v>
      </c>
      <c r="G17" s="35" t="s">
        <v>514</v>
      </c>
      <c r="H17" s="35" t="s">
        <v>488</v>
      </c>
      <c r="I17" s="35" t="s">
        <v>495</v>
      </c>
      <c r="J17" s="35" t="s">
        <v>3</v>
      </c>
      <c r="K17" s="36" t="s">
        <v>484</v>
      </c>
    </row>
    <row r="18" spans="1:11">
      <c r="A18" s="34">
        <v>3</v>
      </c>
      <c r="B18" s="35" t="s">
        <v>454</v>
      </c>
      <c r="C18" s="35" t="s">
        <v>456</v>
      </c>
      <c r="D18" s="35" t="s">
        <v>496</v>
      </c>
      <c r="E18" s="35" t="s">
        <v>486</v>
      </c>
      <c r="F18" s="35" t="s">
        <v>12</v>
      </c>
      <c r="G18" s="35" t="s">
        <v>499</v>
      </c>
      <c r="H18" s="35" t="s">
        <v>500</v>
      </c>
      <c r="I18" s="35" t="s">
        <v>501</v>
      </c>
      <c r="J18" s="35" t="s">
        <v>3</v>
      </c>
      <c r="K18" s="35" t="s">
        <v>502</v>
      </c>
    </row>
    <row r="19" spans="1:11">
      <c r="A19" s="34">
        <v>3</v>
      </c>
      <c r="B19" s="35" t="s">
        <v>454</v>
      </c>
      <c r="C19" s="35" t="s">
        <v>456</v>
      </c>
      <c r="D19" s="35" t="s">
        <v>498</v>
      </c>
      <c r="E19" s="35" t="s">
        <v>486</v>
      </c>
      <c r="F19" s="35" t="s">
        <v>13</v>
      </c>
      <c r="G19" s="35" t="s">
        <v>504</v>
      </c>
      <c r="H19" s="35" t="s">
        <v>500</v>
      </c>
      <c r="I19" s="35" t="s">
        <v>501</v>
      </c>
      <c r="J19" s="35" t="s">
        <v>3</v>
      </c>
      <c r="K19" s="35" t="s">
        <v>502</v>
      </c>
    </row>
    <row r="20" spans="1:11">
      <c r="A20" s="34">
        <v>4</v>
      </c>
      <c r="B20" s="35" t="s">
        <v>463</v>
      </c>
      <c r="C20" s="35" t="s">
        <v>464</v>
      </c>
      <c r="D20" s="35" t="s">
        <v>481</v>
      </c>
      <c r="E20" s="35" t="s">
        <v>3</v>
      </c>
      <c r="F20" s="35" t="s">
        <v>439</v>
      </c>
      <c r="G20" s="35" t="s">
        <v>507</v>
      </c>
      <c r="H20" s="35" t="s">
        <v>483</v>
      </c>
      <c r="I20" s="35" t="s">
        <v>32</v>
      </c>
      <c r="J20" s="35" t="s">
        <v>3</v>
      </c>
      <c r="K20" s="36" t="s">
        <v>484</v>
      </c>
    </row>
    <row r="21" spans="1:11">
      <c r="A21" s="34">
        <v>4</v>
      </c>
      <c r="B21" s="35" t="s">
        <v>463</v>
      </c>
      <c r="C21" s="35" t="s">
        <v>464</v>
      </c>
      <c r="D21" s="35" t="s">
        <v>485</v>
      </c>
      <c r="E21" s="35" t="s">
        <v>486</v>
      </c>
      <c r="F21" s="35" t="s">
        <v>458</v>
      </c>
      <c r="G21" s="35" t="s">
        <v>515</v>
      </c>
      <c r="H21" s="35" t="s">
        <v>488</v>
      </c>
      <c r="I21" s="35" t="s">
        <v>489</v>
      </c>
      <c r="J21" s="35" t="s">
        <v>3</v>
      </c>
      <c r="K21" s="36" t="s">
        <v>484</v>
      </c>
    </row>
    <row r="22" spans="1:11">
      <c r="A22" s="34">
        <v>4</v>
      </c>
      <c r="B22" s="35" t="s">
        <v>463</v>
      </c>
      <c r="C22" s="35" t="s">
        <v>464</v>
      </c>
      <c r="D22" s="35" t="s">
        <v>490</v>
      </c>
      <c r="E22" s="35" t="s">
        <v>486</v>
      </c>
      <c r="F22" s="35" t="s">
        <v>459</v>
      </c>
      <c r="G22" s="35" t="s">
        <v>509</v>
      </c>
      <c r="H22" s="35" t="s">
        <v>483</v>
      </c>
      <c r="I22" s="35" t="s">
        <v>449</v>
      </c>
      <c r="J22" s="35" t="s">
        <v>3</v>
      </c>
      <c r="K22" s="36" t="s">
        <v>484</v>
      </c>
    </row>
    <row r="23" spans="1:11">
      <c r="A23" s="34">
        <v>4</v>
      </c>
      <c r="B23" s="35" t="s">
        <v>463</v>
      </c>
      <c r="C23" s="35" t="s">
        <v>464</v>
      </c>
      <c r="D23" s="35" t="s">
        <v>493</v>
      </c>
      <c r="E23" s="35" t="s">
        <v>486</v>
      </c>
      <c r="F23" s="35" t="s">
        <v>460</v>
      </c>
      <c r="G23" s="35" t="s">
        <v>516</v>
      </c>
      <c r="H23" s="35" t="s">
        <v>483</v>
      </c>
      <c r="I23" s="35" t="s">
        <v>465</v>
      </c>
      <c r="J23" s="35" t="s">
        <v>3</v>
      </c>
      <c r="K23" s="35" t="s">
        <v>517</v>
      </c>
    </row>
    <row r="24" spans="1:11">
      <c r="A24" s="34">
        <v>4</v>
      </c>
      <c r="B24" s="35" t="s">
        <v>463</v>
      </c>
      <c r="C24" s="35" t="s">
        <v>464</v>
      </c>
      <c r="D24" s="35" t="s">
        <v>496</v>
      </c>
      <c r="E24" s="35" t="s">
        <v>486</v>
      </c>
      <c r="F24" s="35" t="s">
        <v>12</v>
      </c>
      <c r="G24" s="35" t="s">
        <v>499</v>
      </c>
      <c r="H24" s="35" t="s">
        <v>500</v>
      </c>
      <c r="I24" s="35" t="s">
        <v>501</v>
      </c>
      <c r="J24" s="35" t="s">
        <v>3</v>
      </c>
      <c r="K24" s="35" t="s">
        <v>502</v>
      </c>
    </row>
    <row r="25" spans="1:11">
      <c r="A25" s="34">
        <v>4</v>
      </c>
      <c r="B25" s="35" t="s">
        <v>463</v>
      </c>
      <c r="C25" s="35" t="s">
        <v>464</v>
      </c>
      <c r="D25" s="35" t="s">
        <v>498</v>
      </c>
      <c r="E25" s="35" t="s">
        <v>486</v>
      </c>
      <c r="F25" s="35" t="s">
        <v>13</v>
      </c>
      <c r="G25" s="35" t="s">
        <v>504</v>
      </c>
      <c r="H25" s="35" t="s">
        <v>500</v>
      </c>
      <c r="I25" s="35" t="s">
        <v>501</v>
      </c>
      <c r="J25" s="35" t="s">
        <v>3</v>
      </c>
      <c r="K25" s="35" t="s">
        <v>502</v>
      </c>
    </row>
  </sheetData>
  <autoFilter ref="A1:K1" xr:uid="{1D59B169-BC4B-4367-AE2B-753FEC0A0280}"/>
  <phoneticPr fontId="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DC046-A794-488B-ADBD-3336ED5E7DB8}">
  <sheetPr codeName="Sheet5">
    <tabColor rgb="FF87E7AD"/>
  </sheetPr>
  <dimension ref="A1:K25"/>
  <sheetViews>
    <sheetView showGridLines="0" zoomScale="85" zoomScaleNormal="85" workbookViewId="0">
      <pane xSplit="1" ySplit="1" topLeftCell="B2" activePane="bottomRight" state="frozen"/>
      <selection activeCell="D14" sqref="D14"/>
      <selection pane="topRight" activeCell="D14" sqref="D14"/>
      <selection pane="bottomLeft" activeCell="D14" sqref="D14"/>
      <selection pane="bottomRight" activeCell="B2" sqref="B2"/>
    </sheetView>
  </sheetViews>
  <sheetFormatPr defaultRowHeight="18"/>
  <cols>
    <col min="1" max="1" width="10.69921875" style="21" customWidth="1"/>
    <col min="2" max="3" width="30.69921875" style="21" customWidth="1"/>
    <col min="4" max="4" width="10.69921875" style="21" customWidth="1"/>
    <col min="5" max="5" width="5.69921875" style="21" customWidth="1"/>
    <col min="6" max="7" width="30.69921875" style="21" customWidth="1"/>
    <col min="8" max="8" width="20.69921875" style="21" customWidth="1"/>
    <col min="9" max="9" width="10.69921875" style="21" customWidth="1"/>
    <col min="10" max="10" width="12.69921875" style="21" customWidth="1"/>
    <col min="11" max="11" width="20.69921875" style="21" customWidth="1"/>
    <col min="12" max="16384" width="8.796875" style="21"/>
  </cols>
  <sheetData>
    <row r="1" spans="1:11">
      <c r="A1" s="33" t="s">
        <v>475</v>
      </c>
      <c r="B1" s="33" t="s">
        <v>476</v>
      </c>
      <c r="C1" s="33" t="s">
        <v>477</v>
      </c>
      <c r="D1" s="33" t="s">
        <v>478</v>
      </c>
      <c r="E1" s="33" t="s">
        <v>2</v>
      </c>
      <c r="F1" s="33" t="s">
        <v>479</v>
      </c>
      <c r="G1" s="33" t="s">
        <v>480</v>
      </c>
      <c r="H1" s="33" t="s">
        <v>25</v>
      </c>
      <c r="I1" s="33" t="s">
        <v>31</v>
      </c>
      <c r="J1" s="33" t="s">
        <v>34</v>
      </c>
      <c r="K1" s="33" t="s">
        <v>35</v>
      </c>
    </row>
    <row r="2" spans="1:11">
      <c r="A2" s="34">
        <v>1</v>
      </c>
      <c r="B2" s="35" t="s">
        <v>24</v>
      </c>
      <c r="C2" s="35" t="s">
        <v>518</v>
      </c>
      <c r="D2" s="35" t="s">
        <v>481</v>
      </c>
      <c r="E2" s="35" t="s">
        <v>3</v>
      </c>
      <c r="F2" s="35" t="s">
        <v>7</v>
      </c>
      <c r="G2" s="35" t="s">
        <v>436</v>
      </c>
      <c r="H2" s="35" t="s">
        <v>26</v>
      </c>
      <c r="I2" s="35" t="s">
        <v>32</v>
      </c>
      <c r="J2" s="35" t="s">
        <v>3</v>
      </c>
      <c r="K2" s="35"/>
    </row>
    <row r="3" spans="1:11">
      <c r="A3" s="34">
        <v>1</v>
      </c>
      <c r="B3" s="35" t="s">
        <v>24</v>
      </c>
      <c r="C3" s="35" t="s">
        <v>518</v>
      </c>
      <c r="D3" s="35" t="s">
        <v>485</v>
      </c>
      <c r="E3" s="35" t="s">
        <v>486</v>
      </c>
      <c r="F3" s="35" t="s">
        <v>8</v>
      </c>
      <c r="G3" s="35" t="s">
        <v>17</v>
      </c>
      <c r="H3" s="35" t="s">
        <v>519</v>
      </c>
      <c r="I3" s="35" t="s">
        <v>489</v>
      </c>
      <c r="J3" s="35" t="s">
        <v>3</v>
      </c>
      <c r="K3" s="35"/>
    </row>
    <row r="4" spans="1:11">
      <c r="A4" s="34">
        <v>1</v>
      </c>
      <c r="B4" s="35" t="s">
        <v>24</v>
      </c>
      <c r="C4" s="35" t="s">
        <v>518</v>
      </c>
      <c r="D4" s="35" t="s">
        <v>490</v>
      </c>
      <c r="E4" s="35" t="s">
        <v>486</v>
      </c>
      <c r="F4" s="35" t="s">
        <v>9</v>
      </c>
      <c r="G4" s="35" t="s">
        <v>18</v>
      </c>
      <c r="H4" s="35" t="s">
        <v>519</v>
      </c>
      <c r="I4" s="35" t="s">
        <v>492</v>
      </c>
      <c r="J4" s="35" t="s">
        <v>486</v>
      </c>
      <c r="K4" s="35"/>
    </row>
    <row r="5" spans="1:11">
      <c r="A5" s="34">
        <v>1</v>
      </c>
      <c r="B5" s="35" t="s">
        <v>24</v>
      </c>
      <c r="C5" s="35" t="s">
        <v>518</v>
      </c>
      <c r="D5" s="35" t="s">
        <v>493</v>
      </c>
      <c r="E5" s="35" t="s">
        <v>486</v>
      </c>
      <c r="F5" s="35" t="s">
        <v>10</v>
      </c>
      <c r="G5" s="35" t="s">
        <v>19</v>
      </c>
      <c r="H5" s="35" t="s">
        <v>519</v>
      </c>
      <c r="I5" s="35" t="s">
        <v>495</v>
      </c>
      <c r="J5" s="35" t="s">
        <v>486</v>
      </c>
      <c r="K5" s="35"/>
    </row>
    <row r="6" spans="1:11">
      <c r="A6" s="34">
        <v>1</v>
      </c>
      <c r="B6" s="35" t="s">
        <v>24</v>
      </c>
      <c r="C6" s="35" t="s">
        <v>518</v>
      </c>
      <c r="D6" s="35" t="s">
        <v>496</v>
      </c>
      <c r="E6" s="35" t="s">
        <v>486</v>
      </c>
      <c r="F6" s="35" t="s">
        <v>11</v>
      </c>
      <c r="G6" s="35" t="s">
        <v>20</v>
      </c>
      <c r="H6" s="35" t="s">
        <v>519</v>
      </c>
      <c r="I6" s="35" t="s">
        <v>492</v>
      </c>
      <c r="J6" s="35" t="s">
        <v>486</v>
      </c>
      <c r="K6" s="35"/>
    </row>
    <row r="7" spans="1:11">
      <c r="A7" s="34">
        <v>1</v>
      </c>
      <c r="B7" s="35" t="s">
        <v>24</v>
      </c>
      <c r="C7" s="35" t="s">
        <v>518</v>
      </c>
      <c r="D7" s="35" t="s">
        <v>498</v>
      </c>
      <c r="E7" s="35" t="s">
        <v>486</v>
      </c>
      <c r="F7" s="35" t="s">
        <v>12</v>
      </c>
      <c r="G7" s="35" t="s">
        <v>21</v>
      </c>
      <c r="H7" s="35" t="s">
        <v>520</v>
      </c>
      <c r="I7" s="35"/>
      <c r="J7" s="35" t="s">
        <v>3</v>
      </c>
      <c r="K7" s="35" t="s">
        <v>521</v>
      </c>
    </row>
    <row r="8" spans="1:11">
      <c r="A8" s="34">
        <v>1</v>
      </c>
      <c r="B8" s="35" t="s">
        <v>24</v>
      </c>
      <c r="C8" s="35" t="s">
        <v>518</v>
      </c>
      <c r="D8" s="35" t="s">
        <v>503</v>
      </c>
      <c r="E8" s="35" t="s">
        <v>486</v>
      </c>
      <c r="F8" s="35" t="s">
        <v>13</v>
      </c>
      <c r="G8" s="35" t="s">
        <v>22</v>
      </c>
      <c r="H8" s="35" t="s">
        <v>520</v>
      </c>
      <c r="I8" s="35"/>
      <c r="J8" s="35" t="s">
        <v>3</v>
      </c>
      <c r="K8" s="35" t="s">
        <v>521</v>
      </c>
    </row>
    <row r="9" spans="1:11">
      <c r="A9" s="34">
        <v>2</v>
      </c>
      <c r="B9" s="35" t="s">
        <v>447</v>
      </c>
      <c r="C9" s="35" t="s">
        <v>522</v>
      </c>
      <c r="D9" s="35" t="s">
        <v>481</v>
      </c>
      <c r="E9" s="35" t="s">
        <v>3</v>
      </c>
      <c r="F9" s="35" t="s">
        <v>437</v>
      </c>
      <c r="G9" s="35" t="s">
        <v>442</v>
      </c>
      <c r="H9" s="35" t="s">
        <v>26</v>
      </c>
      <c r="I9" s="35" t="s">
        <v>32</v>
      </c>
      <c r="J9" s="35" t="s">
        <v>3</v>
      </c>
      <c r="K9" s="35"/>
    </row>
    <row r="10" spans="1:11">
      <c r="A10" s="34">
        <v>2</v>
      </c>
      <c r="B10" s="35" t="s">
        <v>447</v>
      </c>
      <c r="C10" s="35" t="s">
        <v>522</v>
      </c>
      <c r="D10" s="35" t="s">
        <v>485</v>
      </c>
      <c r="E10" s="35" t="s">
        <v>486</v>
      </c>
      <c r="F10" s="35" t="s">
        <v>438</v>
      </c>
      <c r="G10" s="35" t="s">
        <v>443</v>
      </c>
      <c r="H10" s="35" t="s">
        <v>26</v>
      </c>
      <c r="I10" s="35" t="s">
        <v>32</v>
      </c>
      <c r="J10" s="35" t="s">
        <v>3</v>
      </c>
      <c r="K10" s="35"/>
    </row>
    <row r="11" spans="1:11">
      <c r="A11" s="34">
        <v>2</v>
      </c>
      <c r="B11" s="35" t="s">
        <v>447</v>
      </c>
      <c r="C11" s="35" t="s">
        <v>522</v>
      </c>
      <c r="D11" s="35" t="s">
        <v>490</v>
      </c>
      <c r="E11" s="35" t="s">
        <v>486</v>
      </c>
      <c r="F11" s="35" t="s">
        <v>439</v>
      </c>
      <c r="G11" s="35" t="s">
        <v>444</v>
      </c>
      <c r="H11" s="35" t="s">
        <v>26</v>
      </c>
      <c r="I11" s="35" t="s">
        <v>32</v>
      </c>
      <c r="J11" s="35" t="s">
        <v>3</v>
      </c>
      <c r="K11" s="35"/>
    </row>
    <row r="12" spans="1:11">
      <c r="A12" s="34">
        <v>2</v>
      </c>
      <c r="B12" s="35" t="s">
        <v>447</v>
      </c>
      <c r="C12" s="35" t="s">
        <v>522</v>
      </c>
      <c r="D12" s="35" t="s">
        <v>493</v>
      </c>
      <c r="E12" s="35" t="s">
        <v>486</v>
      </c>
      <c r="F12" s="35" t="s">
        <v>440</v>
      </c>
      <c r="G12" s="35" t="s">
        <v>445</v>
      </c>
      <c r="H12" s="35" t="s">
        <v>26</v>
      </c>
      <c r="I12" s="35" t="s">
        <v>32</v>
      </c>
      <c r="J12" s="35" t="s">
        <v>3</v>
      </c>
      <c r="K12" s="35"/>
    </row>
    <row r="13" spans="1:11">
      <c r="A13" s="34">
        <v>2</v>
      </c>
      <c r="B13" s="35" t="s">
        <v>447</v>
      </c>
      <c r="C13" s="35" t="s">
        <v>522</v>
      </c>
      <c r="D13" s="35" t="s">
        <v>496</v>
      </c>
      <c r="E13" s="35" t="s">
        <v>486</v>
      </c>
      <c r="F13" s="35" t="s">
        <v>441</v>
      </c>
      <c r="G13" s="35" t="s">
        <v>446</v>
      </c>
      <c r="H13" s="35" t="s">
        <v>26</v>
      </c>
      <c r="I13" s="35" t="s">
        <v>449</v>
      </c>
      <c r="J13" s="35" t="s">
        <v>3</v>
      </c>
      <c r="K13" s="35"/>
    </row>
    <row r="14" spans="1:11">
      <c r="A14" s="34">
        <v>3</v>
      </c>
      <c r="B14" s="35" t="s">
        <v>454</v>
      </c>
      <c r="C14" s="35" t="s">
        <v>523</v>
      </c>
      <c r="D14" s="35" t="s">
        <v>481</v>
      </c>
      <c r="E14" s="35" t="s">
        <v>3</v>
      </c>
      <c r="F14" s="35" t="s">
        <v>438</v>
      </c>
      <c r="G14" s="35" t="s">
        <v>443</v>
      </c>
      <c r="H14" s="35" t="s">
        <v>26</v>
      </c>
      <c r="I14" s="35" t="s">
        <v>32</v>
      </c>
      <c r="J14" s="35" t="s">
        <v>3</v>
      </c>
      <c r="K14" s="35"/>
    </row>
    <row r="15" spans="1:11">
      <c r="A15" s="34">
        <v>3</v>
      </c>
      <c r="B15" s="35" t="s">
        <v>454</v>
      </c>
      <c r="C15" s="35" t="s">
        <v>523</v>
      </c>
      <c r="D15" s="35" t="s">
        <v>485</v>
      </c>
      <c r="E15" s="35" t="s">
        <v>486</v>
      </c>
      <c r="F15" s="35" t="s">
        <v>7</v>
      </c>
      <c r="G15" s="35" t="s">
        <v>436</v>
      </c>
      <c r="H15" s="35" t="s">
        <v>26</v>
      </c>
      <c r="I15" s="35" t="s">
        <v>32</v>
      </c>
      <c r="J15" s="35" t="s">
        <v>3</v>
      </c>
      <c r="K15" s="35"/>
    </row>
    <row r="16" spans="1:11">
      <c r="A16" s="34">
        <v>3</v>
      </c>
      <c r="B16" s="35" t="s">
        <v>454</v>
      </c>
      <c r="C16" s="35" t="s">
        <v>523</v>
      </c>
      <c r="D16" s="35" t="s">
        <v>490</v>
      </c>
      <c r="E16" s="35" t="s">
        <v>486</v>
      </c>
      <c r="F16" s="35" t="s">
        <v>450</v>
      </c>
      <c r="G16" s="35" t="s">
        <v>452</v>
      </c>
      <c r="H16" s="35" t="s">
        <v>455</v>
      </c>
      <c r="I16" s="35"/>
      <c r="J16" s="35" t="s">
        <v>3</v>
      </c>
      <c r="K16" s="35" t="s">
        <v>524</v>
      </c>
    </row>
    <row r="17" spans="1:11">
      <c r="A17" s="34">
        <v>3</v>
      </c>
      <c r="B17" s="35" t="s">
        <v>454</v>
      </c>
      <c r="C17" s="35" t="s">
        <v>523</v>
      </c>
      <c r="D17" s="35" t="s">
        <v>493</v>
      </c>
      <c r="E17" s="35" t="s">
        <v>486</v>
      </c>
      <c r="F17" s="35" t="s">
        <v>451</v>
      </c>
      <c r="G17" s="35" t="s">
        <v>453</v>
      </c>
      <c r="H17" s="35" t="s">
        <v>519</v>
      </c>
      <c r="I17" s="35" t="s">
        <v>495</v>
      </c>
      <c r="J17" s="35" t="s">
        <v>3</v>
      </c>
      <c r="K17" s="35"/>
    </row>
    <row r="18" spans="1:11">
      <c r="A18" s="34">
        <v>3</v>
      </c>
      <c r="B18" s="35" t="s">
        <v>454</v>
      </c>
      <c r="C18" s="35" t="s">
        <v>523</v>
      </c>
      <c r="D18" s="35" t="s">
        <v>496</v>
      </c>
      <c r="E18" s="35" t="s">
        <v>486</v>
      </c>
      <c r="F18" s="35" t="s">
        <v>12</v>
      </c>
      <c r="G18" s="35" t="s">
        <v>21</v>
      </c>
      <c r="H18" s="35" t="s">
        <v>520</v>
      </c>
      <c r="I18" s="35"/>
      <c r="J18" s="35" t="s">
        <v>3</v>
      </c>
      <c r="K18" s="35" t="s">
        <v>521</v>
      </c>
    </row>
    <row r="19" spans="1:11">
      <c r="A19" s="34">
        <v>3</v>
      </c>
      <c r="B19" s="35" t="s">
        <v>454</v>
      </c>
      <c r="C19" s="35" t="s">
        <v>523</v>
      </c>
      <c r="D19" s="35" t="s">
        <v>498</v>
      </c>
      <c r="E19" s="35" t="s">
        <v>486</v>
      </c>
      <c r="F19" s="35" t="s">
        <v>13</v>
      </c>
      <c r="G19" s="35" t="s">
        <v>22</v>
      </c>
      <c r="H19" s="35" t="s">
        <v>520</v>
      </c>
      <c r="I19" s="35"/>
      <c r="J19" s="35" t="s">
        <v>3</v>
      </c>
      <c r="K19" s="35" t="s">
        <v>521</v>
      </c>
    </row>
    <row r="20" spans="1:11">
      <c r="A20" s="34">
        <v>4</v>
      </c>
      <c r="B20" s="35" t="s">
        <v>463</v>
      </c>
      <c r="C20" s="35" t="s">
        <v>525</v>
      </c>
      <c r="D20" s="35" t="s">
        <v>481</v>
      </c>
      <c r="E20" s="35" t="s">
        <v>3</v>
      </c>
      <c r="F20" s="35" t="s">
        <v>439</v>
      </c>
      <c r="G20" s="35" t="s">
        <v>444</v>
      </c>
      <c r="H20" s="35" t="s">
        <v>26</v>
      </c>
      <c r="I20" s="35" t="s">
        <v>32</v>
      </c>
      <c r="J20" s="35" t="s">
        <v>3</v>
      </c>
      <c r="K20" s="35"/>
    </row>
    <row r="21" spans="1:11">
      <c r="A21" s="34">
        <v>4</v>
      </c>
      <c r="B21" s="35" t="s">
        <v>463</v>
      </c>
      <c r="C21" s="35" t="s">
        <v>525</v>
      </c>
      <c r="D21" s="35" t="s">
        <v>485</v>
      </c>
      <c r="E21" s="35" t="s">
        <v>486</v>
      </c>
      <c r="F21" s="35" t="s">
        <v>458</v>
      </c>
      <c r="G21" s="35" t="s">
        <v>461</v>
      </c>
      <c r="H21" s="35" t="s">
        <v>519</v>
      </c>
      <c r="I21" s="35" t="s">
        <v>489</v>
      </c>
      <c r="J21" s="35" t="s">
        <v>3</v>
      </c>
      <c r="K21" s="35"/>
    </row>
    <row r="22" spans="1:11">
      <c r="A22" s="34">
        <v>4</v>
      </c>
      <c r="B22" s="35" t="s">
        <v>463</v>
      </c>
      <c r="C22" s="35" t="s">
        <v>525</v>
      </c>
      <c r="D22" s="35" t="s">
        <v>490</v>
      </c>
      <c r="E22" s="35" t="s">
        <v>486</v>
      </c>
      <c r="F22" s="35" t="s">
        <v>459</v>
      </c>
      <c r="G22" s="35" t="s">
        <v>446</v>
      </c>
      <c r="H22" s="35" t="s">
        <v>26</v>
      </c>
      <c r="I22" s="35" t="s">
        <v>449</v>
      </c>
      <c r="J22" s="35" t="s">
        <v>3</v>
      </c>
      <c r="K22" s="35"/>
    </row>
    <row r="23" spans="1:11">
      <c r="A23" s="34">
        <v>4</v>
      </c>
      <c r="B23" s="35" t="s">
        <v>463</v>
      </c>
      <c r="C23" s="35" t="s">
        <v>525</v>
      </c>
      <c r="D23" s="35" t="s">
        <v>493</v>
      </c>
      <c r="E23" s="35" t="s">
        <v>486</v>
      </c>
      <c r="F23" s="35" t="s">
        <v>460</v>
      </c>
      <c r="G23" s="35" t="s">
        <v>462</v>
      </c>
      <c r="H23" s="35" t="s">
        <v>26</v>
      </c>
      <c r="I23" s="35" t="s">
        <v>465</v>
      </c>
      <c r="J23" s="35" t="s">
        <v>3</v>
      </c>
      <c r="K23" s="35" t="s">
        <v>526</v>
      </c>
    </row>
    <row r="24" spans="1:11">
      <c r="A24" s="34">
        <v>4</v>
      </c>
      <c r="B24" s="35" t="s">
        <v>463</v>
      </c>
      <c r="C24" s="35" t="s">
        <v>525</v>
      </c>
      <c r="D24" s="35" t="s">
        <v>496</v>
      </c>
      <c r="E24" s="35" t="s">
        <v>486</v>
      </c>
      <c r="F24" s="35" t="s">
        <v>12</v>
      </c>
      <c r="G24" s="35" t="s">
        <v>21</v>
      </c>
      <c r="H24" s="35" t="s">
        <v>520</v>
      </c>
      <c r="I24" s="35"/>
      <c r="J24" s="35" t="s">
        <v>3</v>
      </c>
      <c r="K24" s="35" t="s">
        <v>521</v>
      </c>
    </row>
    <row r="25" spans="1:11">
      <c r="A25" s="34">
        <v>4</v>
      </c>
      <c r="B25" s="35" t="s">
        <v>463</v>
      </c>
      <c r="C25" s="35" t="s">
        <v>525</v>
      </c>
      <c r="D25" s="35" t="s">
        <v>498</v>
      </c>
      <c r="E25" s="35" t="s">
        <v>486</v>
      </c>
      <c r="F25" s="35" t="s">
        <v>13</v>
      </c>
      <c r="G25" s="35" t="s">
        <v>22</v>
      </c>
      <c r="H25" s="35" t="s">
        <v>520</v>
      </c>
      <c r="I25" s="35"/>
      <c r="J25" s="35" t="s">
        <v>3</v>
      </c>
      <c r="K25" s="35" t="s">
        <v>521</v>
      </c>
    </row>
  </sheetData>
  <autoFilter ref="A1:K1" xr:uid="{1D59B169-BC4B-4367-AE2B-753FEC0A0280}"/>
  <phoneticPr fontId="2"/>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9EE3B7-27FC-4861-850F-1B6AC8D8C758}">
  <sheetPr codeName="Sheet6">
    <tabColor rgb="FF87E7AD"/>
  </sheetPr>
  <dimension ref="A1:K25"/>
  <sheetViews>
    <sheetView showGridLines="0" zoomScale="85" zoomScaleNormal="85" workbookViewId="0">
      <pane xSplit="1" ySplit="1" topLeftCell="B2" activePane="bottomRight" state="frozen"/>
      <selection activeCell="D14" sqref="D14"/>
      <selection pane="topRight" activeCell="D14" sqref="D14"/>
      <selection pane="bottomLeft" activeCell="D14" sqref="D14"/>
      <selection pane="bottomRight" activeCell="B2" sqref="B2"/>
    </sheetView>
  </sheetViews>
  <sheetFormatPr defaultRowHeight="18"/>
  <cols>
    <col min="1" max="1" width="10.69921875" style="21" customWidth="1"/>
    <col min="2" max="3" width="30.69921875" style="21" customWidth="1"/>
    <col min="4" max="4" width="10.69921875" style="21" customWidth="1"/>
    <col min="5" max="5" width="5.69921875" style="21" customWidth="1"/>
    <col min="6" max="7" width="30.69921875" style="21" customWidth="1"/>
    <col min="8" max="8" width="20.69921875" style="21" customWidth="1"/>
    <col min="9" max="9" width="10.69921875" style="21" customWidth="1"/>
    <col min="10" max="10" width="12.69921875" style="21" customWidth="1"/>
    <col min="11" max="11" width="20.69921875" style="21" customWidth="1"/>
    <col min="12" max="16384" width="8.796875" style="21"/>
  </cols>
  <sheetData>
    <row r="1" spans="1:11">
      <c r="A1" s="33" t="s">
        <v>475</v>
      </c>
      <c r="B1" s="33" t="s">
        <v>476</v>
      </c>
      <c r="C1" s="33" t="s">
        <v>477</v>
      </c>
      <c r="D1" s="33" t="s">
        <v>478</v>
      </c>
      <c r="E1" s="33" t="s">
        <v>2</v>
      </c>
      <c r="F1" s="33" t="s">
        <v>479</v>
      </c>
      <c r="G1" s="33" t="s">
        <v>480</v>
      </c>
      <c r="H1" s="33" t="s">
        <v>25</v>
      </c>
      <c r="I1" s="33" t="s">
        <v>31</v>
      </c>
      <c r="J1" s="33" t="s">
        <v>34</v>
      </c>
      <c r="K1" s="33" t="s">
        <v>35</v>
      </c>
    </row>
    <row r="2" spans="1:11">
      <c r="A2" s="34">
        <v>1</v>
      </c>
      <c r="B2" s="35" t="s">
        <v>24</v>
      </c>
      <c r="C2" s="35" t="s">
        <v>518</v>
      </c>
      <c r="D2" s="35" t="s">
        <v>481</v>
      </c>
      <c r="E2" s="35" t="s">
        <v>784</v>
      </c>
      <c r="F2" s="35" t="s">
        <v>7</v>
      </c>
      <c r="G2" s="35" t="s">
        <v>436</v>
      </c>
      <c r="H2" s="35" t="s">
        <v>26</v>
      </c>
      <c r="I2" s="35" t="s">
        <v>32</v>
      </c>
      <c r="J2" s="35" t="s">
        <v>3</v>
      </c>
      <c r="K2" s="35"/>
    </row>
    <row r="3" spans="1:11">
      <c r="A3" s="34">
        <v>1</v>
      </c>
      <c r="B3" s="35" t="s">
        <v>24</v>
      </c>
      <c r="C3" s="35" t="s">
        <v>518</v>
      </c>
      <c r="D3" s="35" t="s">
        <v>485</v>
      </c>
      <c r="E3" s="35" t="s">
        <v>486</v>
      </c>
      <c r="F3" s="35" t="s">
        <v>8</v>
      </c>
      <c r="G3" s="35" t="s">
        <v>17</v>
      </c>
      <c r="H3" s="35" t="s">
        <v>27</v>
      </c>
      <c r="I3" s="35" t="s">
        <v>489</v>
      </c>
      <c r="J3" s="35" t="s">
        <v>3</v>
      </c>
      <c r="K3" s="35"/>
    </row>
    <row r="4" spans="1:11">
      <c r="A4" s="34">
        <v>1</v>
      </c>
      <c r="B4" s="35" t="s">
        <v>24</v>
      </c>
      <c r="C4" s="35" t="s">
        <v>518</v>
      </c>
      <c r="D4" s="35" t="s">
        <v>490</v>
      </c>
      <c r="E4" s="35" t="s">
        <v>486</v>
      </c>
      <c r="F4" s="35" t="s">
        <v>9</v>
      </c>
      <c r="G4" s="35" t="s">
        <v>18</v>
      </c>
      <c r="H4" s="35" t="s">
        <v>27</v>
      </c>
      <c r="I4" s="35" t="s">
        <v>492</v>
      </c>
      <c r="J4" s="35" t="s">
        <v>486</v>
      </c>
      <c r="K4" s="35"/>
    </row>
    <row r="5" spans="1:11">
      <c r="A5" s="34">
        <v>1</v>
      </c>
      <c r="B5" s="35" t="s">
        <v>24</v>
      </c>
      <c r="C5" s="35" t="s">
        <v>518</v>
      </c>
      <c r="D5" s="35" t="s">
        <v>493</v>
      </c>
      <c r="E5" s="35" t="s">
        <v>486</v>
      </c>
      <c r="F5" s="35" t="s">
        <v>10</v>
      </c>
      <c r="G5" s="35" t="s">
        <v>19</v>
      </c>
      <c r="H5" s="35" t="s">
        <v>27</v>
      </c>
      <c r="I5" s="35" t="s">
        <v>495</v>
      </c>
      <c r="J5" s="35" t="s">
        <v>486</v>
      </c>
      <c r="K5" s="35"/>
    </row>
    <row r="6" spans="1:11">
      <c r="A6" s="34">
        <v>1</v>
      </c>
      <c r="B6" s="35" t="s">
        <v>24</v>
      </c>
      <c r="C6" s="35" t="s">
        <v>518</v>
      </c>
      <c r="D6" s="35" t="s">
        <v>496</v>
      </c>
      <c r="E6" s="35" t="s">
        <v>486</v>
      </c>
      <c r="F6" s="35" t="s">
        <v>11</v>
      </c>
      <c r="G6" s="35" t="s">
        <v>20</v>
      </c>
      <c r="H6" s="35" t="s">
        <v>27</v>
      </c>
      <c r="I6" s="35" t="s">
        <v>492</v>
      </c>
      <c r="J6" s="35" t="s">
        <v>486</v>
      </c>
      <c r="K6" s="35"/>
    </row>
    <row r="7" spans="1:11">
      <c r="A7" s="34">
        <v>1</v>
      </c>
      <c r="B7" s="35" t="s">
        <v>24</v>
      </c>
      <c r="C7" s="35" t="s">
        <v>518</v>
      </c>
      <c r="D7" s="35" t="s">
        <v>498</v>
      </c>
      <c r="E7" s="35" t="s">
        <v>486</v>
      </c>
      <c r="F7" s="35" t="s">
        <v>12</v>
      </c>
      <c r="G7" s="35" t="s">
        <v>21</v>
      </c>
      <c r="H7" s="35" t="s">
        <v>28</v>
      </c>
      <c r="I7" s="35"/>
      <c r="J7" s="35" t="s">
        <v>3</v>
      </c>
      <c r="K7" s="35" t="s">
        <v>36</v>
      </c>
    </row>
    <row r="8" spans="1:11">
      <c r="A8" s="34">
        <v>1</v>
      </c>
      <c r="B8" s="35" t="s">
        <v>24</v>
      </c>
      <c r="C8" s="35" t="s">
        <v>518</v>
      </c>
      <c r="D8" s="35" t="s">
        <v>503</v>
      </c>
      <c r="E8" s="35" t="s">
        <v>486</v>
      </c>
      <c r="F8" s="35" t="s">
        <v>13</v>
      </c>
      <c r="G8" s="35" t="s">
        <v>22</v>
      </c>
      <c r="H8" s="35" t="s">
        <v>28</v>
      </c>
      <c r="I8" s="35"/>
      <c r="J8" s="35" t="s">
        <v>3</v>
      </c>
      <c r="K8" s="35" t="s">
        <v>36</v>
      </c>
    </row>
    <row r="9" spans="1:11">
      <c r="A9" s="34">
        <v>2</v>
      </c>
      <c r="B9" s="35" t="s">
        <v>447</v>
      </c>
      <c r="C9" s="35" t="s">
        <v>522</v>
      </c>
      <c r="D9" s="35" t="s">
        <v>481</v>
      </c>
      <c r="E9" s="35" t="s">
        <v>3</v>
      </c>
      <c r="F9" s="35" t="s">
        <v>437</v>
      </c>
      <c r="G9" s="35" t="s">
        <v>442</v>
      </c>
      <c r="H9" s="35" t="s">
        <v>26</v>
      </c>
      <c r="I9" s="35" t="s">
        <v>32</v>
      </c>
      <c r="J9" s="35" t="s">
        <v>3</v>
      </c>
      <c r="K9" s="35"/>
    </row>
    <row r="10" spans="1:11">
      <c r="A10" s="34">
        <v>2</v>
      </c>
      <c r="B10" s="35" t="s">
        <v>447</v>
      </c>
      <c r="C10" s="35" t="s">
        <v>522</v>
      </c>
      <c r="D10" s="35" t="s">
        <v>485</v>
      </c>
      <c r="E10" s="35" t="s">
        <v>486</v>
      </c>
      <c r="F10" s="35" t="s">
        <v>438</v>
      </c>
      <c r="G10" s="35" t="s">
        <v>443</v>
      </c>
      <c r="H10" s="35" t="s">
        <v>26</v>
      </c>
      <c r="I10" s="35" t="s">
        <v>32</v>
      </c>
      <c r="J10" s="35" t="s">
        <v>3</v>
      </c>
      <c r="K10" s="35"/>
    </row>
    <row r="11" spans="1:11">
      <c r="A11" s="34">
        <v>2</v>
      </c>
      <c r="B11" s="35" t="s">
        <v>447</v>
      </c>
      <c r="C11" s="35" t="s">
        <v>522</v>
      </c>
      <c r="D11" s="35" t="s">
        <v>490</v>
      </c>
      <c r="E11" s="35" t="s">
        <v>486</v>
      </c>
      <c r="F11" s="35" t="s">
        <v>439</v>
      </c>
      <c r="G11" s="35" t="s">
        <v>444</v>
      </c>
      <c r="H11" s="35" t="s">
        <v>26</v>
      </c>
      <c r="I11" s="35" t="s">
        <v>32</v>
      </c>
      <c r="J11" s="35" t="s">
        <v>3</v>
      </c>
      <c r="K11" s="35"/>
    </row>
    <row r="12" spans="1:11">
      <c r="A12" s="34">
        <v>2</v>
      </c>
      <c r="B12" s="35" t="s">
        <v>447</v>
      </c>
      <c r="C12" s="35" t="s">
        <v>522</v>
      </c>
      <c r="D12" s="35" t="s">
        <v>493</v>
      </c>
      <c r="E12" s="35" t="s">
        <v>486</v>
      </c>
      <c r="F12" s="35" t="s">
        <v>440</v>
      </c>
      <c r="G12" s="35" t="s">
        <v>445</v>
      </c>
      <c r="H12" s="35" t="s">
        <v>26</v>
      </c>
      <c r="I12" s="35" t="s">
        <v>32</v>
      </c>
      <c r="J12" s="35" t="s">
        <v>3</v>
      </c>
      <c r="K12" s="35"/>
    </row>
    <row r="13" spans="1:11">
      <c r="A13" s="34">
        <v>2</v>
      </c>
      <c r="B13" s="35" t="s">
        <v>447</v>
      </c>
      <c r="C13" s="35" t="s">
        <v>522</v>
      </c>
      <c r="D13" s="35" t="s">
        <v>496</v>
      </c>
      <c r="E13" s="35" t="s">
        <v>486</v>
      </c>
      <c r="F13" s="35" t="s">
        <v>441</v>
      </c>
      <c r="G13" s="35" t="s">
        <v>446</v>
      </c>
      <c r="H13" s="35" t="s">
        <v>26</v>
      </c>
      <c r="I13" s="35" t="s">
        <v>449</v>
      </c>
      <c r="J13" s="35" t="s">
        <v>3</v>
      </c>
      <c r="K13" s="35"/>
    </row>
    <row r="14" spans="1:11">
      <c r="A14" s="34">
        <v>3</v>
      </c>
      <c r="B14" s="35" t="s">
        <v>454</v>
      </c>
      <c r="C14" s="35" t="s">
        <v>523</v>
      </c>
      <c r="D14" s="35" t="s">
        <v>481</v>
      </c>
      <c r="E14" s="35" t="s">
        <v>3</v>
      </c>
      <c r="F14" s="35" t="s">
        <v>438</v>
      </c>
      <c r="G14" s="35" t="s">
        <v>443</v>
      </c>
      <c r="H14" s="35" t="s">
        <v>26</v>
      </c>
      <c r="I14" s="35" t="s">
        <v>32</v>
      </c>
      <c r="J14" s="35" t="s">
        <v>3</v>
      </c>
      <c r="K14" s="35"/>
    </row>
    <row r="15" spans="1:11">
      <c r="A15" s="34">
        <v>3</v>
      </c>
      <c r="B15" s="35" t="s">
        <v>454</v>
      </c>
      <c r="C15" s="35" t="s">
        <v>523</v>
      </c>
      <c r="D15" s="35" t="s">
        <v>485</v>
      </c>
      <c r="E15" s="35" t="s">
        <v>486</v>
      </c>
      <c r="F15" s="35" t="s">
        <v>7</v>
      </c>
      <c r="G15" s="35" t="s">
        <v>436</v>
      </c>
      <c r="H15" s="35" t="s">
        <v>26</v>
      </c>
      <c r="I15" s="35" t="s">
        <v>32</v>
      </c>
      <c r="J15" s="35" t="s">
        <v>3</v>
      </c>
      <c r="K15" s="35"/>
    </row>
    <row r="16" spans="1:11">
      <c r="A16" s="34">
        <v>3</v>
      </c>
      <c r="B16" s="35" t="s">
        <v>454</v>
      </c>
      <c r="C16" s="35" t="s">
        <v>523</v>
      </c>
      <c r="D16" s="35" t="s">
        <v>490</v>
      </c>
      <c r="E16" s="35" t="s">
        <v>486</v>
      </c>
      <c r="F16" s="35" t="s">
        <v>450</v>
      </c>
      <c r="G16" s="35" t="s">
        <v>452</v>
      </c>
      <c r="H16" s="35" t="s">
        <v>455</v>
      </c>
      <c r="I16" s="35"/>
      <c r="J16" s="35" t="s">
        <v>3</v>
      </c>
      <c r="K16" s="35" t="s">
        <v>457</v>
      </c>
    </row>
    <row r="17" spans="1:11">
      <c r="A17" s="34">
        <v>3</v>
      </c>
      <c r="B17" s="35" t="s">
        <v>454</v>
      </c>
      <c r="C17" s="35" t="s">
        <v>523</v>
      </c>
      <c r="D17" s="35" t="s">
        <v>493</v>
      </c>
      <c r="E17" s="35" t="s">
        <v>486</v>
      </c>
      <c r="F17" s="35" t="s">
        <v>451</v>
      </c>
      <c r="G17" s="35" t="s">
        <v>453</v>
      </c>
      <c r="H17" s="35" t="s">
        <v>27</v>
      </c>
      <c r="I17" s="35" t="s">
        <v>495</v>
      </c>
      <c r="J17" s="35" t="s">
        <v>3</v>
      </c>
      <c r="K17" s="35"/>
    </row>
    <row r="18" spans="1:11">
      <c r="A18" s="34">
        <v>3</v>
      </c>
      <c r="B18" s="35" t="s">
        <v>454</v>
      </c>
      <c r="C18" s="35" t="s">
        <v>523</v>
      </c>
      <c r="D18" s="35" t="s">
        <v>496</v>
      </c>
      <c r="E18" s="35" t="s">
        <v>486</v>
      </c>
      <c r="F18" s="35" t="s">
        <v>12</v>
      </c>
      <c r="G18" s="35" t="s">
        <v>21</v>
      </c>
      <c r="H18" s="35" t="s">
        <v>28</v>
      </c>
      <c r="I18" s="35"/>
      <c r="J18" s="35" t="s">
        <v>3</v>
      </c>
      <c r="K18" s="35" t="s">
        <v>36</v>
      </c>
    </row>
    <row r="19" spans="1:11">
      <c r="A19" s="34">
        <v>3</v>
      </c>
      <c r="B19" s="35" t="s">
        <v>454</v>
      </c>
      <c r="C19" s="35" t="s">
        <v>523</v>
      </c>
      <c r="D19" s="35" t="s">
        <v>498</v>
      </c>
      <c r="E19" s="35" t="s">
        <v>486</v>
      </c>
      <c r="F19" s="35" t="s">
        <v>13</v>
      </c>
      <c r="G19" s="35" t="s">
        <v>22</v>
      </c>
      <c r="H19" s="35" t="s">
        <v>28</v>
      </c>
      <c r="I19" s="35"/>
      <c r="J19" s="35" t="s">
        <v>3</v>
      </c>
      <c r="K19" s="35" t="s">
        <v>36</v>
      </c>
    </row>
    <row r="20" spans="1:11">
      <c r="A20" s="34">
        <v>4</v>
      </c>
      <c r="B20" s="35" t="s">
        <v>463</v>
      </c>
      <c r="C20" s="35" t="s">
        <v>525</v>
      </c>
      <c r="D20" s="35" t="s">
        <v>481</v>
      </c>
      <c r="E20" s="35" t="s">
        <v>3</v>
      </c>
      <c r="F20" s="35" t="s">
        <v>439</v>
      </c>
      <c r="G20" s="35" t="s">
        <v>444</v>
      </c>
      <c r="H20" s="35" t="s">
        <v>26</v>
      </c>
      <c r="I20" s="35" t="s">
        <v>32</v>
      </c>
      <c r="J20" s="35" t="s">
        <v>3</v>
      </c>
      <c r="K20" s="35"/>
    </row>
    <row r="21" spans="1:11">
      <c r="A21" s="34">
        <v>4</v>
      </c>
      <c r="B21" s="35" t="s">
        <v>463</v>
      </c>
      <c r="C21" s="35" t="s">
        <v>525</v>
      </c>
      <c r="D21" s="35" t="s">
        <v>485</v>
      </c>
      <c r="E21" s="35" t="s">
        <v>486</v>
      </c>
      <c r="F21" s="35" t="s">
        <v>458</v>
      </c>
      <c r="G21" s="35" t="s">
        <v>461</v>
      </c>
      <c r="H21" s="35" t="s">
        <v>27</v>
      </c>
      <c r="I21" s="35" t="s">
        <v>489</v>
      </c>
      <c r="J21" s="35" t="s">
        <v>3</v>
      </c>
      <c r="K21" s="35"/>
    </row>
    <row r="22" spans="1:11">
      <c r="A22" s="34">
        <v>4</v>
      </c>
      <c r="B22" s="35" t="s">
        <v>463</v>
      </c>
      <c r="C22" s="35" t="s">
        <v>525</v>
      </c>
      <c r="D22" s="35" t="s">
        <v>490</v>
      </c>
      <c r="E22" s="35" t="s">
        <v>486</v>
      </c>
      <c r="F22" s="35" t="s">
        <v>459</v>
      </c>
      <c r="G22" s="35" t="s">
        <v>446</v>
      </c>
      <c r="H22" s="35" t="s">
        <v>26</v>
      </c>
      <c r="I22" s="35" t="s">
        <v>449</v>
      </c>
      <c r="J22" s="35" t="s">
        <v>3</v>
      </c>
      <c r="K22" s="35"/>
    </row>
    <row r="23" spans="1:11">
      <c r="A23" s="34">
        <v>4</v>
      </c>
      <c r="B23" s="35" t="s">
        <v>463</v>
      </c>
      <c r="C23" s="35" t="s">
        <v>525</v>
      </c>
      <c r="D23" s="35" t="s">
        <v>493</v>
      </c>
      <c r="E23" s="35" t="s">
        <v>486</v>
      </c>
      <c r="F23" s="35" t="s">
        <v>460</v>
      </c>
      <c r="G23" s="35" t="s">
        <v>462</v>
      </c>
      <c r="H23" s="35" t="s">
        <v>26</v>
      </c>
      <c r="I23" s="35" t="s">
        <v>465</v>
      </c>
      <c r="J23" s="35" t="s">
        <v>3</v>
      </c>
      <c r="K23" s="35" t="s">
        <v>466</v>
      </c>
    </row>
    <row r="24" spans="1:11">
      <c r="A24" s="34">
        <v>4</v>
      </c>
      <c r="B24" s="35" t="s">
        <v>463</v>
      </c>
      <c r="C24" s="35" t="s">
        <v>525</v>
      </c>
      <c r="D24" s="35" t="s">
        <v>496</v>
      </c>
      <c r="E24" s="35" t="s">
        <v>486</v>
      </c>
      <c r="F24" s="35" t="s">
        <v>12</v>
      </c>
      <c r="G24" s="35" t="s">
        <v>21</v>
      </c>
      <c r="H24" s="35" t="s">
        <v>28</v>
      </c>
      <c r="I24" s="35"/>
      <c r="J24" s="35" t="s">
        <v>3</v>
      </c>
      <c r="K24" s="35" t="s">
        <v>36</v>
      </c>
    </row>
    <row r="25" spans="1:11">
      <c r="A25" s="34">
        <v>4</v>
      </c>
      <c r="B25" s="35" t="s">
        <v>463</v>
      </c>
      <c r="C25" s="35" t="s">
        <v>525</v>
      </c>
      <c r="D25" s="35" t="s">
        <v>498</v>
      </c>
      <c r="E25" s="35" t="s">
        <v>486</v>
      </c>
      <c r="F25" s="35" t="s">
        <v>13</v>
      </c>
      <c r="G25" s="35" t="s">
        <v>22</v>
      </c>
      <c r="H25" s="35" t="s">
        <v>28</v>
      </c>
      <c r="I25" s="35"/>
      <c r="J25" s="35" t="s">
        <v>3</v>
      </c>
      <c r="K25" s="35" t="s">
        <v>36</v>
      </c>
    </row>
  </sheetData>
  <autoFilter ref="A1:K1" xr:uid="{1D59B169-BC4B-4367-AE2B-753FEC0A0280}"/>
  <phoneticPr fontId="2"/>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154AB-ACF0-45E8-A42D-EFB421E04464}">
  <sheetPr codeName="Sheet2"/>
  <dimension ref="A1:A230"/>
  <sheetViews>
    <sheetView showGridLines="0" workbookViewId="0"/>
  </sheetViews>
  <sheetFormatPr defaultRowHeight="13.2" outlineLevelRow="1"/>
  <cols>
    <col min="1" max="1" width="110.69921875" style="38" customWidth="1"/>
    <col min="2" max="16384" width="8.796875" style="38"/>
  </cols>
  <sheetData>
    <row r="1" spans="1:1">
      <c r="A1" s="37" t="s">
        <v>527</v>
      </c>
    </row>
    <row r="2" spans="1:1">
      <c r="A2" s="37" t="s">
        <v>528</v>
      </c>
    </row>
    <row r="3" spans="1:1">
      <c r="A3" s="37" t="s">
        <v>527</v>
      </c>
    </row>
    <row r="4" spans="1:1" outlineLevel="1">
      <c r="A4" s="39" t="s">
        <v>529</v>
      </c>
    </row>
    <row r="5" spans="1:1" outlineLevel="1">
      <c r="A5" s="38" t="s">
        <v>530</v>
      </c>
    </row>
    <row r="6" spans="1:1" outlineLevel="1">
      <c r="A6" s="38" t="s">
        <v>531</v>
      </c>
    </row>
    <row r="7" spans="1:1" outlineLevel="1">
      <c r="A7" s="38" t="s">
        <v>532</v>
      </c>
    </row>
    <row r="8" spans="1:1" outlineLevel="1">
      <c r="A8" s="38" t="s">
        <v>533</v>
      </c>
    </row>
    <row r="9" spans="1:1" outlineLevel="1">
      <c r="A9" s="38" t="s">
        <v>534</v>
      </c>
    </row>
    <row r="10" spans="1:1" outlineLevel="1">
      <c r="A10" s="38" t="s">
        <v>535</v>
      </c>
    </row>
    <row r="11" spans="1:1" outlineLevel="1">
      <c r="A11" s="38" t="s">
        <v>536</v>
      </c>
    </row>
    <row r="12" spans="1:1" outlineLevel="1">
      <c r="A12" s="38" t="s">
        <v>537</v>
      </c>
    </row>
    <row r="13" spans="1:1" outlineLevel="1">
      <c r="A13" s="38" t="s">
        <v>538</v>
      </c>
    </row>
    <row r="14" spans="1:1" outlineLevel="1">
      <c r="A14" s="38" t="s">
        <v>539</v>
      </c>
    </row>
    <row r="15" spans="1:1" outlineLevel="1">
      <c r="A15" s="38" t="s">
        <v>540</v>
      </c>
    </row>
    <row r="16" spans="1:1" outlineLevel="1">
      <c r="A16" s="38" t="s">
        <v>541</v>
      </c>
    </row>
    <row r="17" spans="1:1" outlineLevel="1">
      <c r="A17" s="38" t="s">
        <v>542</v>
      </c>
    </row>
    <row r="18" spans="1:1" outlineLevel="1">
      <c r="A18" s="38" t="s">
        <v>543</v>
      </c>
    </row>
    <row r="19" spans="1:1" outlineLevel="1">
      <c r="A19" s="38" t="s">
        <v>544</v>
      </c>
    </row>
    <row r="20" spans="1:1" outlineLevel="1">
      <c r="A20" s="38" t="s">
        <v>545</v>
      </c>
    </row>
    <row r="21" spans="1:1" outlineLevel="1">
      <c r="A21" s="38" t="s">
        <v>546</v>
      </c>
    </row>
    <row r="22" spans="1:1" outlineLevel="1">
      <c r="A22" s="38" t="s">
        <v>547</v>
      </c>
    </row>
    <row r="23" spans="1:1" outlineLevel="1">
      <c r="A23" s="38" t="s">
        <v>548</v>
      </c>
    </row>
    <row r="24" spans="1:1" outlineLevel="1">
      <c r="A24" s="39" t="s">
        <v>549</v>
      </c>
    </row>
    <row r="25" spans="1:1" outlineLevel="1">
      <c r="A25" s="38" t="s">
        <v>550</v>
      </c>
    </row>
    <row r="26" spans="1:1" outlineLevel="1">
      <c r="A26" s="38" t="s">
        <v>551</v>
      </c>
    </row>
    <row r="27" spans="1:1" outlineLevel="1">
      <c r="A27" s="38" t="s">
        <v>552</v>
      </c>
    </row>
    <row r="28" spans="1:1" outlineLevel="1">
      <c r="A28" s="38" t="s">
        <v>553</v>
      </c>
    </row>
    <row r="29" spans="1:1" outlineLevel="1">
      <c r="A29" s="38" t="s">
        <v>554</v>
      </c>
    </row>
    <row r="30" spans="1:1" outlineLevel="1">
      <c r="A30" s="38" t="s">
        <v>555</v>
      </c>
    </row>
    <row r="31" spans="1:1" outlineLevel="1">
      <c r="A31" s="38" t="s">
        <v>556</v>
      </c>
    </row>
    <row r="32" spans="1:1" outlineLevel="1">
      <c r="A32" s="38" t="s">
        <v>557</v>
      </c>
    </row>
    <row r="33" spans="1:1" outlineLevel="1">
      <c r="A33" s="38" t="s">
        <v>558</v>
      </c>
    </row>
    <row r="34" spans="1:1" outlineLevel="1">
      <c r="A34" s="38" t="s">
        <v>559</v>
      </c>
    </row>
    <row r="35" spans="1:1" outlineLevel="1">
      <c r="A35" s="38" t="s">
        <v>560</v>
      </c>
    </row>
    <row r="36" spans="1:1" outlineLevel="1">
      <c r="A36" s="38" t="s">
        <v>561</v>
      </c>
    </row>
    <row r="37" spans="1:1" outlineLevel="1">
      <c r="A37" s="38" t="s">
        <v>562</v>
      </c>
    </row>
    <row r="38" spans="1:1" outlineLevel="1">
      <c r="A38" s="38" t="s">
        <v>563</v>
      </c>
    </row>
    <row r="39" spans="1:1" outlineLevel="1">
      <c r="A39" s="38" t="s">
        <v>564</v>
      </c>
    </row>
    <row r="40" spans="1:1" outlineLevel="1">
      <c r="A40" s="38" t="s">
        <v>565</v>
      </c>
    </row>
    <row r="41" spans="1:1" outlineLevel="1">
      <c r="A41" s="38" t="s">
        <v>566</v>
      </c>
    </row>
    <row r="42" spans="1:1" outlineLevel="1">
      <c r="A42" s="38" t="s">
        <v>567</v>
      </c>
    </row>
    <row r="43" spans="1:1" outlineLevel="1">
      <c r="A43" s="38" t="s">
        <v>568</v>
      </c>
    </row>
    <row r="44" spans="1:1" outlineLevel="1">
      <c r="A44" s="38" t="s">
        <v>569</v>
      </c>
    </row>
    <row r="45" spans="1:1" outlineLevel="1">
      <c r="A45" s="38" t="s">
        <v>570</v>
      </c>
    </row>
    <row r="46" spans="1:1" outlineLevel="1">
      <c r="A46" s="38" t="s">
        <v>571</v>
      </c>
    </row>
    <row r="47" spans="1:1" outlineLevel="1">
      <c r="A47" s="38" t="s">
        <v>572</v>
      </c>
    </row>
    <row r="48" spans="1:1" outlineLevel="1">
      <c r="A48" s="38" t="s">
        <v>573</v>
      </c>
    </row>
    <row r="49" spans="1:1" outlineLevel="1">
      <c r="A49" s="38" t="s">
        <v>574</v>
      </c>
    </row>
    <row r="50" spans="1:1" outlineLevel="1">
      <c r="A50" s="38" t="s">
        <v>575</v>
      </c>
    </row>
    <row r="51" spans="1:1" outlineLevel="1">
      <c r="A51" s="38" t="s">
        <v>576</v>
      </c>
    </row>
    <row r="52" spans="1:1" outlineLevel="1">
      <c r="A52" s="39" t="s">
        <v>577</v>
      </c>
    </row>
    <row r="53" spans="1:1" outlineLevel="1">
      <c r="A53" s="38" t="s">
        <v>578</v>
      </c>
    </row>
    <row r="54" spans="1:1" outlineLevel="1">
      <c r="A54" s="38" t="s">
        <v>579</v>
      </c>
    </row>
    <row r="55" spans="1:1" outlineLevel="1">
      <c r="A55" s="39" t="s">
        <v>580</v>
      </c>
    </row>
    <row r="56" spans="1:1" outlineLevel="1">
      <c r="A56" s="38" t="s">
        <v>581</v>
      </c>
    </row>
    <row r="57" spans="1:1" outlineLevel="1">
      <c r="A57" s="38" t="s">
        <v>582</v>
      </c>
    </row>
    <row r="59" spans="1:1">
      <c r="A59" s="37" t="s">
        <v>527</v>
      </c>
    </row>
    <row r="60" spans="1:1">
      <c r="A60" s="37" t="s">
        <v>583</v>
      </c>
    </row>
    <row r="61" spans="1:1">
      <c r="A61" s="37" t="s">
        <v>527</v>
      </c>
    </row>
    <row r="62" spans="1:1" outlineLevel="1">
      <c r="A62" s="39" t="s">
        <v>529</v>
      </c>
    </row>
    <row r="63" spans="1:1" outlineLevel="1">
      <c r="A63" s="38" t="s">
        <v>584</v>
      </c>
    </row>
    <row r="64" spans="1:1" outlineLevel="1">
      <c r="A64" s="38" t="s">
        <v>585</v>
      </c>
    </row>
    <row r="65" spans="1:1" outlineLevel="1">
      <c r="A65" s="38" t="s">
        <v>586</v>
      </c>
    </row>
    <row r="66" spans="1:1" outlineLevel="1">
      <c r="A66" s="38" t="s">
        <v>587</v>
      </c>
    </row>
    <row r="67" spans="1:1" outlineLevel="1">
      <c r="A67" s="38" t="s">
        <v>588</v>
      </c>
    </row>
    <row r="68" spans="1:1" outlineLevel="1">
      <c r="A68" s="38" t="s">
        <v>589</v>
      </c>
    </row>
    <row r="69" spans="1:1" outlineLevel="1">
      <c r="A69" s="38" t="s">
        <v>590</v>
      </c>
    </row>
    <row r="70" spans="1:1" outlineLevel="1">
      <c r="A70" s="38" t="s">
        <v>591</v>
      </c>
    </row>
    <row r="71" spans="1:1" outlineLevel="1">
      <c r="A71" s="38" t="s">
        <v>538</v>
      </c>
    </row>
    <row r="72" spans="1:1" outlineLevel="1">
      <c r="A72" s="38" t="s">
        <v>592</v>
      </c>
    </row>
    <row r="73" spans="1:1" outlineLevel="1">
      <c r="A73" s="38" t="s">
        <v>593</v>
      </c>
    </row>
    <row r="74" spans="1:1" outlineLevel="1">
      <c r="A74" s="38" t="s">
        <v>594</v>
      </c>
    </row>
    <row r="75" spans="1:1" outlineLevel="1">
      <c r="A75" s="38" t="s">
        <v>595</v>
      </c>
    </row>
    <row r="76" spans="1:1" outlineLevel="1">
      <c r="A76" s="38" t="s">
        <v>596</v>
      </c>
    </row>
    <row r="77" spans="1:1" outlineLevel="1">
      <c r="A77" s="38" t="s">
        <v>597</v>
      </c>
    </row>
    <row r="78" spans="1:1" outlineLevel="1">
      <c r="A78" s="38" t="s">
        <v>598</v>
      </c>
    </row>
    <row r="79" spans="1:1" outlineLevel="1">
      <c r="A79" s="38" t="s">
        <v>546</v>
      </c>
    </row>
    <row r="80" spans="1:1" outlineLevel="1">
      <c r="A80" s="38" t="s">
        <v>599</v>
      </c>
    </row>
    <row r="81" spans="1:1" outlineLevel="1">
      <c r="A81" s="38" t="s">
        <v>600</v>
      </c>
    </row>
    <row r="82" spans="1:1" outlineLevel="1">
      <c r="A82" s="39" t="s">
        <v>549</v>
      </c>
    </row>
    <row r="83" spans="1:1" outlineLevel="1">
      <c r="A83" s="38" t="s">
        <v>601</v>
      </c>
    </row>
    <row r="84" spans="1:1" outlineLevel="1">
      <c r="A84" s="38" t="s">
        <v>602</v>
      </c>
    </row>
    <row r="85" spans="1:1" outlineLevel="1">
      <c r="A85" s="38" t="s">
        <v>603</v>
      </c>
    </row>
    <row r="86" spans="1:1" outlineLevel="1">
      <c r="A86" s="38" t="s">
        <v>604</v>
      </c>
    </row>
    <row r="87" spans="1:1" outlineLevel="1">
      <c r="A87" s="38" t="s">
        <v>554</v>
      </c>
    </row>
    <row r="88" spans="1:1" outlineLevel="1">
      <c r="A88" s="38" t="s">
        <v>555</v>
      </c>
    </row>
    <row r="89" spans="1:1" outlineLevel="1">
      <c r="A89" s="38" t="s">
        <v>605</v>
      </c>
    </row>
    <row r="90" spans="1:1" outlineLevel="1">
      <c r="A90" s="38" t="s">
        <v>606</v>
      </c>
    </row>
    <row r="91" spans="1:1" outlineLevel="1">
      <c r="A91" s="38" t="s">
        <v>607</v>
      </c>
    </row>
    <row r="92" spans="1:1" outlineLevel="1">
      <c r="A92" s="38" t="s">
        <v>559</v>
      </c>
    </row>
    <row r="93" spans="1:1" outlineLevel="1">
      <c r="A93" s="38" t="s">
        <v>608</v>
      </c>
    </row>
    <row r="94" spans="1:1" outlineLevel="1">
      <c r="A94" s="38" t="s">
        <v>609</v>
      </c>
    </row>
    <row r="95" spans="1:1" outlineLevel="1">
      <c r="A95" s="38" t="s">
        <v>610</v>
      </c>
    </row>
    <row r="96" spans="1:1" outlineLevel="1">
      <c r="A96" s="38" t="s">
        <v>611</v>
      </c>
    </row>
    <row r="97" spans="1:1" outlineLevel="1">
      <c r="A97" s="38" t="s">
        <v>612</v>
      </c>
    </row>
    <row r="98" spans="1:1" outlineLevel="1">
      <c r="A98" s="38" t="s">
        <v>613</v>
      </c>
    </row>
    <row r="99" spans="1:1" outlineLevel="1">
      <c r="A99" s="38" t="s">
        <v>564</v>
      </c>
    </row>
    <row r="100" spans="1:1" outlineLevel="1">
      <c r="A100" s="38" t="s">
        <v>614</v>
      </c>
    </row>
    <row r="101" spans="1:1" outlineLevel="1">
      <c r="A101" s="38" t="s">
        <v>615</v>
      </c>
    </row>
    <row r="102" spans="1:1" outlineLevel="1">
      <c r="A102" s="38" t="s">
        <v>616</v>
      </c>
    </row>
    <row r="103" spans="1:1" outlineLevel="1">
      <c r="A103" s="38" t="s">
        <v>617</v>
      </c>
    </row>
    <row r="104" spans="1:1" outlineLevel="1">
      <c r="A104" s="38" t="s">
        <v>618</v>
      </c>
    </row>
    <row r="105" spans="1:1" outlineLevel="1">
      <c r="A105" s="38" t="s">
        <v>554</v>
      </c>
    </row>
    <row r="106" spans="1:1" outlineLevel="1">
      <c r="A106" s="38" t="s">
        <v>555</v>
      </c>
    </row>
    <row r="107" spans="1:1" outlineLevel="1">
      <c r="A107" s="38" t="s">
        <v>619</v>
      </c>
    </row>
    <row r="108" spans="1:1" outlineLevel="1">
      <c r="A108" s="38" t="s">
        <v>620</v>
      </c>
    </row>
    <row r="109" spans="1:1" outlineLevel="1">
      <c r="A109" s="38" t="s">
        <v>621</v>
      </c>
    </row>
    <row r="110" spans="1:1" outlineLevel="1">
      <c r="A110" s="38" t="s">
        <v>559</v>
      </c>
    </row>
    <row r="111" spans="1:1" outlineLevel="1">
      <c r="A111" s="38" t="s">
        <v>622</v>
      </c>
    </row>
    <row r="112" spans="1:1" outlineLevel="1">
      <c r="A112" s="38" t="s">
        <v>623</v>
      </c>
    </row>
    <row r="113" spans="1:1" outlineLevel="1">
      <c r="A113" s="38" t="s">
        <v>624</v>
      </c>
    </row>
    <row r="114" spans="1:1" outlineLevel="1">
      <c r="A114" s="38" t="s">
        <v>564</v>
      </c>
    </row>
    <row r="115" spans="1:1" outlineLevel="1">
      <c r="A115" s="38" t="s">
        <v>625</v>
      </c>
    </row>
    <row r="116" spans="1:1" outlineLevel="1">
      <c r="A116" s="38" t="s">
        <v>626</v>
      </c>
    </row>
    <row r="117" spans="1:1" outlineLevel="1">
      <c r="A117" s="38" t="s">
        <v>627</v>
      </c>
    </row>
    <row r="118" spans="1:1" outlineLevel="1">
      <c r="A118" s="38" t="s">
        <v>628</v>
      </c>
    </row>
    <row r="119" spans="1:1" outlineLevel="1">
      <c r="A119" s="38" t="s">
        <v>554</v>
      </c>
    </row>
    <row r="120" spans="1:1" outlineLevel="1">
      <c r="A120" s="38" t="s">
        <v>555</v>
      </c>
    </row>
    <row r="121" spans="1:1" outlineLevel="1">
      <c r="A121" s="38" t="s">
        <v>619</v>
      </c>
    </row>
    <row r="122" spans="1:1" outlineLevel="1">
      <c r="A122" s="38" t="s">
        <v>620</v>
      </c>
    </row>
    <row r="123" spans="1:1" outlineLevel="1">
      <c r="A123" s="38" t="s">
        <v>629</v>
      </c>
    </row>
    <row r="124" spans="1:1" outlineLevel="1">
      <c r="A124" s="38" t="s">
        <v>630</v>
      </c>
    </row>
    <row r="125" spans="1:1" outlineLevel="1">
      <c r="A125" s="38" t="s">
        <v>559</v>
      </c>
    </row>
    <row r="126" spans="1:1" outlineLevel="1">
      <c r="A126" s="38" t="s">
        <v>622</v>
      </c>
    </row>
    <row r="127" spans="1:1" outlineLevel="1">
      <c r="A127" s="38" t="s">
        <v>623</v>
      </c>
    </row>
    <row r="128" spans="1:1" outlineLevel="1">
      <c r="A128" s="38" t="s">
        <v>624</v>
      </c>
    </row>
    <row r="129" spans="1:1" outlineLevel="1">
      <c r="A129" s="38" t="s">
        <v>631</v>
      </c>
    </row>
    <row r="130" spans="1:1" outlineLevel="1">
      <c r="A130" s="38" t="s">
        <v>632</v>
      </c>
    </row>
    <row r="131" spans="1:1" outlineLevel="1">
      <c r="A131" s="38" t="s">
        <v>564</v>
      </c>
    </row>
    <row r="132" spans="1:1" outlineLevel="1">
      <c r="A132" s="38" t="s">
        <v>633</v>
      </c>
    </row>
    <row r="133" spans="1:1" outlineLevel="1">
      <c r="A133" s="38" t="s">
        <v>634</v>
      </c>
    </row>
    <row r="134" spans="1:1" outlineLevel="1">
      <c r="A134" s="38" t="s">
        <v>635</v>
      </c>
    </row>
    <row r="135" spans="1:1" outlineLevel="1">
      <c r="A135" s="38" t="s">
        <v>636</v>
      </c>
    </row>
    <row r="136" spans="1:1" outlineLevel="1">
      <c r="A136" s="38" t="s">
        <v>637</v>
      </c>
    </row>
    <row r="137" spans="1:1" outlineLevel="1">
      <c r="A137" s="38" t="s">
        <v>638</v>
      </c>
    </row>
    <row r="138" spans="1:1" outlineLevel="1">
      <c r="A138" s="39" t="s">
        <v>577</v>
      </c>
    </row>
    <row r="139" spans="1:1" outlineLevel="1">
      <c r="A139" s="38" t="s">
        <v>639</v>
      </c>
    </row>
    <row r="140" spans="1:1" outlineLevel="1">
      <c r="A140" s="38" t="s">
        <v>640</v>
      </c>
    </row>
    <row r="141" spans="1:1" outlineLevel="1">
      <c r="A141" s="38" t="s">
        <v>641</v>
      </c>
    </row>
    <row r="142" spans="1:1" outlineLevel="1">
      <c r="A142" s="39" t="s">
        <v>580</v>
      </c>
    </row>
    <row r="143" spans="1:1" outlineLevel="1">
      <c r="A143" s="38" t="s">
        <v>642</v>
      </c>
    </row>
    <row r="144" spans="1:1" outlineLevel="1">
      <c r="A144" s="38" t="s">
        <v>643</v>
      </c>
    </row>
    <row r="146" spans="1:1">
      <c r="A146" s="37" t="s">
        <v>527</v>
      </c>
    </row>
    <row r="147" spans="1:1">
      <c r="A147" s="37" t="s">
        <v>644</v>
      </c>
    </row>
    <row r="148" spans="1:1">
      <c r="A148" s="37" t="s">
        <v>527</v>
      </c>
    </row>
    <row r="149" spans="1:1" outlineLevel="1">
      <c r="A149" s="39" t="s">
        <v>529</v>
      </c>
    </row>
    <row r="150" spans="1:1" outlineLevel="1">
      <c r="A150" s="38" t="s">
        <v>645</v>
      </c>
    </row>
    <row r="151" spans="1:1" outlineLevel="1">
      <c r="A151" s="38" t="s">
        <v>646</v>
      </c>
    </row>
    <row r="152" spans="1:1" outlineLevel="1">
      <c r="A152" s="38" t="s">
        <v>647</v>
      </c>
    </row>
    <row r="153" spans="1:1" outlineLevel="1">
      <c r="A153" s="38" t="s">
        <v>648</v>
      </c>
    </row>
    <row r="154" spans="1:1" outlineLevel="1">
      <c r="A154" s="38" t="s">
        <v>649</v>
      </c>
    </row>
    <row r="155" spans="1:1" outlineLevel="1">
      <c r="A155" s="38" t="s">
        <v>650</v>
      </c>
    </row>
    <row r="156" spans="1:1" outlineLevel="1">
      <c r="A156" s="38" t="s">
        <v>651</v>
      </c>
    </row>
    <row r="157" spans="1:1" outlineLevel="1">
      <c r="A157" s="38" t="s">
        <v>652</v>
      </c>
    </row>
    <row r="158" spans="1:1" outlineLevel="1">
      <c r="A158" s="38" t="s">
        <v>538</v>
      </c>
    </row>
    <row r="159" spans="1:1" outlineLevel="1">
      <c r="A159" s="38" t="s">
        <v>653</v>
      </c>
    </row>
    <row r="160" spans="1:1" outlineLevel="1">
      <c r="A160" s="38" t="s">
        <v>654</v>
      </c>
    </row>
    <row r="161" spans="1:1" outlineLevel="1">
      <c r="A161" s="38" t="s">
        <v>655</v>
      </c>
    </row>
    <row r="162" spans="1:1" outlineLevel="1">
      <c r="A162" s="38" t="s">
        <v>656</v>
      </c>
    </row>
    <row r="163" spans="1:1" outlineLevel="1">
      <c r="A163" s="38" t="s">
        <v>657</v>
      </c>
    </row>
    <row r="164" spans="1:1" outlineLevel="1">
      <c r="A164" s="38" t="s">
        <v>658</v>
      </c>
    </row>
    <row r="165" spans="1:1" outlineLevel="1">
      <c r="A165" s="38" t="s">
        <v>659</v>
      </c>
    </row>
    <row r="166" spans="1:1" outlineLevel="1">
      <c r="A166" s="38" t="s">
        <v>660</v>
      </c>
    </row>
    <row r="167" spans="1:1" outlineLevel="1">
      <c r="A167" s="38" t="s">
        <v>661</v>
      </c>
    </row>
    <row r="168" spans="1:1" outlineLevel="1">
      <c r="A168" s="38" t="s">
        <v>662</v>
      </c>
    </row>
    <row r="169" spans="1:1" outlineLevel="1">
      <c r="A169" s="38" t="s">
        <v>663</v>
      </c>
    </row>
    <row r="170" spans="1:1" outlineLevel="1">
      <c r="A170" s="38" t="s">
        <v>664</v>
      </c>
    </row>
    <row r="171" spans="1:1" outlineLevel="1">
      <c r="A171" s="38" t="s">
        <v>665</v>
      </c>
    </row>
    <row r="172" spans="1:1" outlineLevel="1">
      <c r="A172" s="38" t="s">
        <v>598</v>
      </c>
    </row>
    <row r="173" spans="1:1" outlineLevel="1">
      <c r="A173" s="38" t="s">
        <v>666</v>
      </c>
    </row>
    <row r="174" spans="1:1" outlineLevel="1">
      <c r="A174" s="38" t="s">
        <v>667</v>
      </c>
    </row>
    <row r="175" spans="1:1" outlineLevel="1">
      <c r="A175" s="38" t="s">
        <v>668</v>
      </c>
    </row>
    <row r="176" spans="1:1" outlineLevel="1">
      <c r="A176" s="39" t="s">
        <v>549</v>
      </c>
    </row>
    <row r="177" spans="1:1" outlineLevel="1">
      <c r="A177" s="38" t="s">
        <v>669</v>
      </c>
    </row>
    <row r="178" spans="1:1" outlineLevel="1">
      <c r="A178" s="38" t="s">
        <v>670</v>
      </c>
    </row>
    <row r="179" spans="1:1" outlineLevel="1">
      <c r="A179" s="38" t="s">
        <v>671</v>
      </c>
    </row>
    <row r="180" spans="1:1" outlineLevel="1">
      <c r="A180" s="38" t="s">
        <v>554</v>
      </c>
    </row>
    <row r="181" spans="1:1" outlineLevel="1">
      <c r="A181" s="38" t="s">
        <v>555</v>
      </c>
    </row>
    <row r="182" spans="1:1" outlineLevel="1">
      <c r="A182" s="38" t="s">
        <v>672</v>
      </c>
    </row>
    <row r="183" spans="1:1" outlineLevel="1">
      <c r="A183" s="38" t="s">
        <v>673</v>
      </c>
    </row>
    <row r="184" spans="1:1" outlineLevel="1">
      <c r="A184" s="38" t="s">
        <v>559</v>
      </c>
    </row>
    <row r="185" spans="1:1" outlineLevel="1">
      <c r="A185" s="38" t="s">
        <v>674</v>
      </c>
    </row>
    <row r="186" spans="1:1" outlineLevel="1">
      <c r="A186" s="38" t="s">
        <v>675</v>
      </c>
    </row>
    <row r="187" spans="1:1" outlineLevel="1">
      <c r="A187" s="38" t="s">
        <v>676</v>
      </c>
    </row>
    <row r="188" spans="1:1" outlineLevel="1">
      <c r="A188" s="38" t="s">
        <v>677</v>
      </c>
    </row>
    <row r="189" spans="1:1" outlineLevel="1">
      <c r="A189" s="38" t="s">
        <v>564</v>
      </c>
    </row>
    <row r="190" spans="1:1" outlineLevel="1">
      <c r="A190" s="38" t="s">
        <v>678</v>
      </c>
    </row>
    <row r="191" spans="1:1" outlineLevel="1">
      <c r="A191" s="38" t="s">
        <v>615</v>
      </c>
    </row>
    <row r="192" spans="1:1" outlineLevel="1">
      <c r="A192" s="38" t="s">
        <v>679</v>
      </c>
    </row>
    <row r="193" spans="1:1" outlineLevel="1">
      <c r="A193" s="38" t="s">
        <v>680</v>
      </c>
    </row>
    <row r="194" spans="1:1" outlineLevel="1">
      <c r="A194" s="38" t="s">
        <v>554</v>
      </c>
    </row>
    <row r="195" spans="1:1" outlineLevel="1">
      <c r="A195" s="38" t="s">
        <v>555</v>
      </c>
    </row>
    <row r="196" spans="1:1" outlineLevel="1">
      <c r="A196" s="38" t="s">
        <v>681</v>
      </c>
    </row>
    <row r="197" spans="1:1" outlineLevel="1">
      <c r="A197" s="38" t="s">
        <v>682</v>
      </c>
    </row>
    <row r="198" spans="1:1" outlineLevel="1">
      <c r="A198" s="38" t="s">
        <v>559</v>
      </c>
    </row>
    <row r="199" spans="1:1" outlineLevel="1">
      <c r="A199" s="38" t="s">
        <v>683</v>
      </c>
    </row>
    <row r="200" spans="1:1" outlineLevel="1">
      <c r="A200" s="38" t="s">
        <v>684</v>
      </c>
    </row>
    <row r="201" spans="1:1" outlineLevel="1">
      <c r="A201" s="38" t="s">
        <v>685</v>
      </c>
    </row>
    <row r="202" spans="1:1" outlineLevel="1">
      <c r="A202" s="38" t="s">
        <v>686</v>
      </c>
    </row>
    <row r="203" spans="1:1" outlineLevel="1">
      <c r="A203" s="38" t="s">
        <v>687</v>
      </c>
    </row>
    <row r="204" spans="1:1" outlineLevel="1">
      <c r="A204" s="38" t="s">
        <v>626</v>
      </c>
    </row>
    <row r="205" spans="1:1" outlineLevel="1">
      <c r="A205" s="38" t="s">
        <v>688</v>
      </c>
    </row>
    <row r="206" spans="1:1" outlineLevel="1">
      <c r="A206" s="38" t="s">
        <v>554</v>
      </c>
    </row>
    <row r="207" spans="1:1" outlineLevel="1">
      <c r="A207" s="38" t="s">
        <v>555</v>
      </c>
    </row>
    <row r="208" spans="1:1" outlineLevel="1">
      <c r="A208" s="38" t="s">
        <v>689</v>
      </c>
    </row>
    <row r="209" spans="1:1" outlineLevel="1">
      <c r="A209" s="38" t="s">
        <v>690</v>
      </c>
    </row>
    <row r="210" spans="1:1" outlineLevel="1">
      <c r="A210" s="38" t="s">
        <v>682</v>
      </c>
    </row>
    <row r="211" spans="1:1" outlineLevel="1">
      <c r="A211" s="38" t="s">
        <v>559</v>
      </c>
    </row>
    <row r="212" spans="1:1" outlineLevel="1">
      <c r="A212" s="38" t="s">
        <v>691</v>
      </c>
    </row>
    <row r="213" spans="1:1" outlineLevel="1">
      <c r="A213" s="38" t="s">
        <v>684</v>
      </c>
    </row>
    <row r="214" spans="1:1" outlineLevel="1">
      <c r="A214" s="38" t="s">
        <v>692</v>
      </c>
    </row>
    <row r="215" spans="1:1" outlineLevel="1">
      <c r="A215" s="38" t="s">
        <v>693</v>
      </c>
    </row>
    <row r="216" spans="1:1" outlineLevel="1">
      <c r="A216" s="38" t="s">
        <v>687</v>
      </c>
    </row>
    <row r="217" spans="1:1" outlineLevel="1">
      <c r="A217" s="38" t="s">
        <v>635</v>
      </c>
    </row>
    <row r="218" spans="1:1" outlineLevel="1">
      <c r="A218" s="38" t="s">
        <v>694</v>
      </c>
    </row>
    <row r="219" spans="1:1" outlineLevel="1">
      <c r="A219" s="38" t="s">
        <v>695</v>
      </c>
    </row>
    <row r="220" spans="1:1" outlineLevel="1">
      <c r="A220" s="38" t="s">
        <v>696</v>
      </c>
    </row>
    <row r="221" spans="1:1" outlineLevel="1">
      <c r="A221" s="38" t="s">
        <v>697</v>
      </c>
    </row>
    <row r="222" spans="1:1" outlineLevel="1">
      <c r="A222" s="38" t="s">
        <v>698</v>
      </c>
    </row>
    <row r="223" spans="1:1" outlineLevel="1">
      <c r="A223" s="38" t="s">
        <v>699</v>
      </c>
    </row>
    <row r="224" spans="1:1" outlineLevel="1">
      <c r="A224" s="38" t="s">
        <v>700</v>
      </c>
    </row>
    <row r="225" spans="1:1" outlineLevel="1">
      <c r="A225" s="39" t="s">
        <v>577</v>
      </c>
    </row>
    <row r="226" spans="1:1" outlineLevel="1">
      <c r="A226" s="38" t="s">
        <v>701</v>
      </c>
    </row>
    <row r="227" spans="1:1" outlineLevel="1">
      <c r="A227" s="38" t="s">
        <v>702</v>
      </c>
    </row>
    <row r="228" spans="1:1" outlineLevel="1">
      <c r="A228" s="39" t="s">
        <v>580</v>
      </c>
    </row>
    <row r="229" spans="1:1" outlineLevel="1">
      <c r="A229" s="38" t="s">
        <v>703</v>
      </c>
    </row>
    <row r="230" spans="1:1" outlineLevel="1">
      <c r="A230" s="38" t="s">
        <v>704</v>
      </c>
    </row>
  </sheetData>
  <phoneticPr fontId="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8DE15C-08A1-4684-90BB-98FAF04C3B77}">
  <sheetPr codeName="Sheet58">
    <tabColor rgb="FF808080"/>
  </sheetPr>
  <dimension ref="B2:AM80"/>
  <sheetViews>
    <sheetView showGridLines="0" zoomScale="85" zoomScaleNormal="85" workbookViewId="0"/>
  </sheetViews>
  <sheetFormatPr defaultColWidth="2.69921875" defaultRowHeight="18"/>
  <cols>
    <col min="1" max="16384" width="2.69921875" style="21"/>
  </cols>
  <sheetData>
    <row r="2" spans="2:21">
      <c r="B2" s="21" t="s">
        <v>705</v>
      </c>
    </row>
    <row r="4" spans="2:21">
      <c r="B4" s="21" t="s">
        <v>706</v>
      </c>
      <c r="C4" s="21" t="s">
        <v>707</v>
      </c>
    </row>
    <row r="5" spans="2:21">
      <c r="C5" s="21" t="s">
        <v>708</v>
      </c>
      <c r="E5" s="21" t="s">
        <v>709</v>
      </c>
    </row>
    <row r="6" spans="2:21">
      <c r="E6" s="21" t="s">
        <v>710</v>
      </c>
    </row>
    <row r="8" spans="2:21">
      <c r="E8" s="21" t="s">
        <v>711</v>
      </c>
    </row>
    <row r="9" spans="2:21" ht="18.600000000000001" thickBot="1">
      <c r="E9" s="40"/>
      <c r="F9" s="135" t="s">
        <v>475</v>
      </c>
      <c r="G9" s="135"/>
      <c r="H9" s="135"/>
      <c r="I9" s="135"/>
      <c r="J9" s="135"/>
      <c r="K9" s="135" t="s">
        <v>476</v>
      </c>
      <c r="L9" s="135"/>
      <c r="M9" s="135"/>
      <c r="N9" s="135"/>
      <c r="O9" s="135"/>
      <c r="P9" s="135" t="s">
        <v>477</v>
      </c>
      <c r="Q9" s="135"/>
      <c r="R9" s="135"/>
      <c r="S9" s="135"/>
      <c r="T9" s="135"/>
      <c r="U9" s="136"/>
    </row>
    <row r="10" spans="2:21" ht="18.600000000000001" thickTop="1">
      <c r="E10" s="42"/>
      <c r="F10" s="137">
        <v>1</v>
      </c>
      <c r="G10" s="138"/>
      <c r="H10" s="138"/>
      <c r="I10" s="138"/>
      <c r="J10" s="138"/>
      <c r="K10" s="139" t="s">
        <v>24</v>
      </c>
      <c r="L10" s="139"/>
      <c r="M10" s="139"/>
      <c r="N10" s="139"/>
      <c r="O10" s="139"/>
      <c r="P10" s="139" t="s">
        <v>30</v>
      </c>
      <c r="Q10" s="139"/>
      <c r="R10" s="139"/>
      <c r="S10" s="139"/>
      <c r="T10" s="139"/>
      <c r="U10" s="140"/>
    </row>
    <row r="11" spans="2:21">
      <c r="E11" s="42"/>
      <c r="F11" s="127">
        <v>2</v>
      </c>
      <c r="G11" s="128"/>
      <c r="H11" s="128"/>
      <c r="I11" s="128"/>
      <c r="J11" s="128"/>
      <c r="K11" s="129" t="s">
        <v>454</v>
      </c>
      <c r="L11" s="129"/>
      <c r="M11" s="129"/>
      <c r="N11" s="129"/>
      <c r="O11" s="129"/>
      <c r="P11" s="129" t="s">
        <v>456</v>
      </c>
      <c r="Q11" s="129"/>
      <c r="R11" s="129"/>
      <c r="S11" s="129"/>
      <c r="T11" s="129"/>
      <c r="U11" s="130"/>
    </row>
    <row r="12" spans="2:21" ht="18.600000000000001" thickBot="1">
      <c r="E12" s="41"/>
      <c r="F12" s="131">
        <v>3</v>
      </c>
      <c r="G12" s="132"/>
      <c r="H12" s="132"/>
      <c r="I12" s="132"/>
      <c r="J12" s="132"/>
      <c r="K12" s="133" t="s">
        <v>447</v>
      </c>
      <c r="L12" s="133"/>
      <c r="M12" s="133"/>
      <c r="N12" s="133"/>
      <c r="O12" s="133"/>
      <c r="P12" s="133" t="s">
        <v>448</v>
      </c>
      <c r="Q12" s="133"/>
      <c r="R12" s="133"/>
      <c r="S12" s="133"/>
      <c r="T12" s="133"/>
      <c r="U12" s="134"/>
    </row>
    <row r="13" spans="2:21" ht="18.600000000000001" thickTop="1"/>
    <row r="14" spans="2:21">
      <c r="E14" s="21" t="s">
        <v>712</v>
      </c>
    </row>
    <row r="16" spans="2:21" ht="18.600000000000001" thickBot="1">
      <c r="E16" s="21" t="s">
        <v>713</v>
      </c>
    </row>
    <row r="17" spans="2:39" ht="19.2" thickTop="1" thickBot="1">
      <c r="E17" s="121" t="s">
        <v>475</v>
      </c>
      <c r="F17" s="122"/>
      <c r="G17" s="123"/>
      <c r="H17" s="124" t="s">
        <v>476</v>
      </c>
      <c r="I17" s="125"/>
      <c r="J17" s="125"/>
      <c r="K17" s="125"/>
      <c r="L17" s="125" t="s">
        <v>477</v>
      </c>
      <c r="M17" s="125"/>
      <c r="N17" s="125"/>
      <c r="O17" s="125"/>
      <c r="P17" s="125"/>
      <c r="Q17" s="126"/>
      <c r="U17" s="125" t="s">
        <v>475</v>
      </c>
      <c r="V17" s="125"/>
      <c r="W17" s="125"/>
      <c r="X17" s="125" t="s">
        <v>476</v>
      </c>
      <c r="Y17" s="125"/>
      <c r="Z17" s="125"/>
      <c r="AA17" s="125"/>
      <c r="AB17" s="125" t="s">
        <v>477</v>
      </c>
      <c r="AC17" s="125"/>
      <c r="AD17" s="125"/>
      <c r="AE17" s="125"/>
      <c r="AF17" s="125"/>
      <c r="AG17" s="126"/>
    </row>
    <row r="18" spans="2:39" ht="18.600000000000001" thickTop="1">
      <c r="E18" s="117" t="s">
        <v>714</v>
      </c>
      <c r="F18" s="117"/>
      <c r="G18" s="117"/>
      <c r="H18" s="109"/>
      <c r="I18" s="109"/>
      <c r="J18" s="109"/>
      <c r="K18" s="109"/>
      <c r="L18" s="109"/>
      <c r="M18" s="109"/>
      <c r="N18" s="109"/>
      <c r="O18" s="109"/>
      <c r="P18" s="109"/>
      <c r="Q18" s="110"/>
      <c r="S18" s="21" t="s">
        <v>715</v>
      </c>
      <c r="U18" s="118">
        <v>1</v>
      </c>
      <c r="V18" s="118"/>
      <c r="W18" s="118"/>
      <c r="X18" s="119" t="s">
        <v>24</v>
      </c>
      <c r="Y18" s="119"/>
      <c r="Z18" s="119"/>
      <c r="AA18" s="119"/>
      <c r="AB18" s="119" t="s">
        <v>30</v>
      </c>
      <c r="AC18" s="119"/>
      <c r="AD18" s="119"/>
      <c r="AE18" s="119"/>
      <c r="AF18" s="119"/>
      <c r="AG18" s="120"/>
    </row>
    <row r="19" spans="2:39">
      <c r="U19" s="118">
        <v>2</v>
      </c>
      <c r="V19" s="118"/>
      <c r="W19" s="118"/>
      <c r="X19" s="119" t="s">
        <v>454</v>
      </c>
      <c r="Y19" s="119"/>
      <c r="Z19" s="119"/>
      <c r="AA19" s="119"/>
      <c r="AB19" s="119" t="s">
        <v>456</v>
      </c>
      <c r="AC19" s="119"/>
      <c r="AD19" s="119"/>
      <c r="AE19" s="119"/>
      <c r="AF19" s="119"/>
      <c r="AG19" s="120"/>
    </row>
    <row r="20" spans="2:39">
      <c r="U20" s="108">
        <v>3</v>
      </c>
      <c r="V20" s="108"/>
      <c r="W20" s="108"/>
      <c r="X20" s="109" t="s">
        <v>447</v>
      </c>
      <c r="Y20" s="109"/>
      <c r="Z20" s="109"/>
      <c r="AA20" s="109"/>
      <c r="AB20" s="109" t="s">
        <v>448</v>
      </c>
      <c r="AC20" s="109"/>
      <c r="AD20" s="109"/>
      <c r="AE20" s="109"/>
      <c r="AF20" s="109"/>
      <c r="AG20" s="110"/>
    </row>
    <row r="23" spans="2:39">
      <c r="B23" s="21" t="s">
        <v>716</v>
      </c>
      <c r="C23" s="21" t="s">
        <v>717</v>
      </c>
    </row>
    <row r="24" spans="2:39">
      <c r="C24" s="21" t="s">
        <v>718</v>
      </c>
      <c r="E24" s="21" t="s">
        <v>719</v>
      </c>
    </row>
    <row r="25" spans="2:39" ht="18.600000000000001" thickBot="1"/>
    <row r="26" spans="2:39" ht="19.2" thickTop="1" thickBot="1">
      <c r="E26" s="111" t="s">
        <v>1</v>
      </c>
      <c r="F26" s="112"/>
      <c r="G26" s="112" t="s">
        <v>468</v>
      </c>
      <c r="H26" s="112"/>
      <c r="I26" s="112"/>
      <c r="J26" s="112"/>
      <c r="K26" s="113"/>
      <c r="L26" s="114" t="s">
        <v>469</v>
      </c>
      <c r="M26" s="115"/>
      <c r="N26" s="115"/>
      <c r="O26" s="115"/>
      <c r="P26" s="115"/>
      <c r="Q26" s="115"/>
      <c r="R26" s="115"/>
      <c r="S26" s="115" t="s">
        <v>470</v>
      </c>
      <c r="T26" s="115"/>
      <c r="U26" s="115"/>
      <c r="V26" s="115"/>
      <c r="W26" s="115"/>
      <c r="X26" s="115" t="s">
        <v>4</v>
      </c>
      <c r="Y26" s="115"/>
      <c r="Z26" s="115"/>
      <c r="AA26" s="115" t="s">
        <v>471</v>
      </c>
      <c r="AB26" s="115"/>
      <c r="AC26" s="115"/>
      <c r="AD26" s="115"/>
      <c r="AE26" s="115"/>
      <c r="AF26" s="115"/>
      <c r="AG26" s="115" t="s">
        <v>472</v>
      </c>
      <c r="AH26" s="115"/>
      <c r="AI26" s="115"/>
      <c r="AJ26" s="115"/>
      <c r="AK26" s="115"/>
      <c r="AL26" s="115"/>
      <c r="AM26" s="116"/>
    </row>
    <row r="27" spans="2:39" ht="18.600000000000001" thickTop="1">
      <c r="E27" s="106">
        <v>1</v>
      </c>
      <c r="F27" s="107"/>
      <c r="G27" s="103" t="s">
        <v>24</v>
      </c>
      <c r="H27" s="103"/>
      <c r="I27" s="103"/>
      <c r="J27" s="103"/>
      <c r="K27" s="103"/>
      <c r="L27" s="99" t="s">
        <v>30</v>
      </c>
      <c r="M27" s="99"/>
      <c r="N27" s="99"/>
      <c r="O27" s="99"/>
      <c r="P27" s="99"/>
      <c r="Q27" s="99"/>
      <c r="R27" s="99"/>
      <c r="S27" s="99" t="s">
        <v>720</v>
      </c>
      <c r="T27" s="99"/>
      <c r="U27" s="99"/>
      <c r="V27" s="99"/>
      <c r="W27" s="99"/>
      <c r="X27" s="99" t="s">
        <v>721</v>
      </c>
      <c r="Y27" s="99"/>
      <c r="Z27" s="99"/>
      <c r="AA27" s="99" t="s">
        <v>722</v>
      </c>
      <c r="AB27" s="99"/>
      <c r="AC27" s="99"/>
      <c r="AD27" s="99"/>
      <c r="AE27" s="99"/>
      <c r="AF27" s="99"/>
      <c r="AG27" s="99" t="s">
        <v>723</v>
      </c>
      <c r="AH27" s="99"/>
      <c r="AI27" s="99"/>
      <c r="AJ27" s="99"/>
      <c r="AK27" s="99"/>
      <c r="AL27" s="99"/>
      <c r="AM27" s="100"/>
    </row>
    <row r="28" spans="2:39">
      <c r="E28" s="101">
        <v>2</v>
      </c>
      <c r="F28" s="102"/>
      <c r="G28" s="103" t="s">
        <v>454</v>
      </c>
      <c r="H28" s="103"/>
      <c r="I28" s="103"/>
      <c r="J28" s="103"/>
      <c r="K28" s="103"/>
      <c r="L28" s="104" t="s">
        <v>456</v>
      </c>
      <c r="M28" s="104"/>
      <c r="N28" s="104"/>
      <c r="O28" s="104"/>
      <c r="P28" s="104"/>
      <c r="Q28" s="104"/>
      <c r="R28" s="104"/>
      <c r="S28" s="104" t="s">
        <v>720</v>
      </c>
      <c r="T28" s="104"/>
      <c r="U28" s="104"/>
      <c r="V28" s="104"/>
      <c r="W28" s="104"/>
      <c r="X28" s="104" t="s">
        <v>721</v>
      </c>
      <c r="Y28" s="104"/>
      <c r="Z28" s="104"/>
      <c r="AA28" s="104" t="s">
        <v>722</v>
      </c>
      <c r="AB28" s="104"/>
      <c r="AC28" s="104"/>
      <c r="AD28" s="104"/>
      <c r="AE28" s="104"/>
      <c r="AF28" s="104"/>
      <c r="AG28" s="104" t="s">
        <v>724</v>
      </c>
      <c r="AH28" s="104"/>
      <c r="AI28" s="104"/>
      <c r="AJ28" s="104"/>
      <c r="AK28" s="104"/>
      <c r="AL28" s="104"/>
      <c r="AM28" s="105"/>
    </row>
    <row r="29" spans="2:39">
      <c r="E29" s="96">
        <v>3</v>
      </c>
      <c r="F29" s="97"/>
      <c r="G29" s="98" t="s">
        <v>447</v>
      </c>
      <c r="H29" s="98"/>
      <c r="I29" s="98"/>
      <c r="J29" s="98"/>
      <c r="K29" s="98"/>
      <c r="L29" s="92" t="s">
        <v>448</v>
      </c>
      <c r="M29" s="92"/>
      <c r="N29" s="92"/>
      <c r="O29" s="92"/>
      <c r="P29" s="92"/>
      <c r="Q29" s="92"/>
      <c r="R29" s="92"/>
      <c r="S29" s="92" t="s">
        <v>720</v>
      </c>
      <c r="T29" s="92"/>
      <c r="U29" s="92"/>
      <c r="V29" s="92"/>
      <c r="W29" s="92"/>
      <c r="X29" s="92" t="s">
        <v>721</v>
      </c>
      <c r="Y29" s="92"/>
      <c r="Z29" s="92"/>
      <c r="AA29" s="92" t="s">
        <v>722</v>
      </c>
      <c r="AB29" s="92"/>
      <c r="AC29" s="92"/>
      <c r="AD29" s="92"/>
      <c r="AE29" s="92"/>
      <c r="AF29" s="92"/>
      <c r="AG29" s="92" t="s">
        <v>725</v>
      </c>
      <c r="AH29" s="92"/>
      <c r="AI29" s="92"/>
      <c r="AJ29" s="92"/>
      <c r="AK29" s="92"/>
      <c r="AL29" s="92"/>
      <c r="AM29" s="93"/>
    </row>
    <row r="30" spans="2:39" ht="18.600000000000001" thickBot="1"/>
    <row r="31" spans="2:39" ht="19.2" thickTop="1" thickBot="1">
      <c r="C31" s="21" t="s">
        <v>726</v>
      </c>
      <c r="E31" s="21" t="s">
        <v>727</v>
      </c>
      <c r="G31" s="48" t="s">
        <v>728</v>
      </c>
      <c r="H31" s="49"/>
      <c r="I31" s="49"/>
      <c r="J31" s="50"/>
      <c r="K31" s="21" t="s">
        <v>729</v>
      </c>
    </row>
    <row r="32" spans="2:39" ht="18.600000000000001" thickTop="1"/>
    <row r="33" spans="2:28">
      <c r="C33" s="21" t="s">
        <v>730</v>
      </c>
      <c r="E33" s="21" t="s">
        <v>731</v>
      </c>
    </row>
    <row r="34" spans="2:28">
      <c r="E34" s="21" t="s">
        <v>732</v>
      </c>
      <c r="H34" s="21" t="s">
        <v>733</v>
      </c>
    </row>
    <row r="35" spans="2:28">
      <c r="E35" s="21" t="s">
        <v>734</v>
      </c>
      <c r="H35" s="21" t="s">
        <v>735</v>
      </c>
    </row>
    <row r="37" spans="2:28">
      <c r="E37" s="94" t="s">
        <v>736</v>
      </c>
      <c r="F37" s="94"/>
      <c r="G37" s="94"/>
      <c r="H37" s="94"/>
      <c r="I37" s="95" t="s">
        <v>737</v>
      </c>
      <c r="J37" s="95"/>
      <c r="K37" s="95"/>
      <c r="L37" s="95"/>
      <c r="M37" s="94" t="s">
        <v>738</v>
      </c>
      <c r="N37" s="94"/>
      <c r="O37" s="94"/>
      <c r="P37" s="94"/>
      <c r="Q37" s="95" t="s">
        <v>739</v>
      </c>
      <c r="R37" s="95"/>
      <c r="S37" s="95"/>
      <c r="T37" s="95"/>
      <c r="U37" s="94" t="s">
        <v>740</v>
      </c>
      <c r="V37" s="94"/>
      <c r="W37" s="94"/>
      <c r="X37" s="94"/>
      <c r="Y37" s="95" t="s">
        <v>741</v>
      </c>
      <c r="Z37" s="95"/>
      <c r="AA37" s="95"/>
      <c r="AB37" s="95"/>
    </row>
    <row r="40" spans="2:28">
      <c r="B40" s="21" t="s">
        <v>742</v>
      </c>
      <c r="C40" s="86" t="s">
        <v>743</v>
      </c>
      <c r="D40" s="86"/>
      <c r="E40" s="86"/>
      <c r="F40" s="21" t="s">
        <v>744</v>
      </c>
    </row>
    <row r="41" spans="2:28">
      <c r="C41" s="21" t="s">
        <v>745</v>
      </c>
      <c r="E41" s="43" t="s">
        <v>746</v>
      </c>
    </row>
    <row r="43" spans="2:28">
      <c r="D43" s="21" t="s">
        <v>747</v>
      </c>
    </row>
    <row r="44" spans="2:28">
      <c r="D44" s="87"/>
      <c r="E44" s="88"/>
      <c r="F44" s="89" t="s">
        <v>1</v>
      </c>
      <c r="G44" s="89"/>
      <c r="H44" s="89"/>
      <c r="I44" s="90"/>
      <c r="J44" s="91">
        <v>1</v>
      </c>
      <c r="K44" s="91"/>
      <c r="L44" s="91"/>
      <c r="M44" s="91"/>
      <c r="N44" s="91"/>
      <c r="O44" s="91"/>
      <c r="P44" s="91">
        <v>2</v>
      </c>
      <c r="Q44" s="91"/>
      <c r="R44" s="91"/>
      <c r="S44" s="91"/>
      <c r="T44" s="91"/>
      <c r="U44" s="91"/>
      <c r="V44" s="91">
        <v>3</v>
      </c>
      <c r="W44" s="91"/>
      <c r="X44" s="91"/>
      <c r="Y44" s="91"/>
      <c r="Z44" s="91"/>
      <c r="AA44" s="91"/>
    </row>
    <row r="45" spans="2:28">
      <c r="D45" s="78"/>
      <c r="E45" s="79"/>
      <c r="F45" s="80" t="s">
        <v>2</v>
      </c>
      <c r="G45" s="80"/>
      <c r="H45" s="80"/>
      <c r="I45" s="81"/>
      <c r="J45" s="84" t="s">
        <v>3</v>
      </c>
      <c r="K45" s="84"/>
      <c r="L45" s="84"/>
      <c r="M45" s="84"/>
      <c r="N45" s="84"/>
      <c r="O45" s="84"/>
      <c r="P45" s="85"/>
      <c r="Q45" s="85"/>
      <c r="R45" s="85"/>
      <c r="S45" s="85"/>
      <c r="T45" s="85"/>
      <c r="U45" s="85"/>
      <c r="V45" s="85"/>
      <c r="W45" s="85"/>
      <c r="X45" s="85"/>
      <c r="Y45" s="85"/>
      <c r="Z45" s="85"/>
      <c r="AA45" s="85"/>
    </row>
    <row r="46" spans="2:28">
      <c r="D46" s="78"/>
      <c r="E46" s="79"/>
      <c r="F46" s="80" t="s">
        <v>6</v>
      </c>
      <c r="G46" s="80"/>
      <c r="H46" s="80"/>
      <c r="I46" s="81"/>
      <c r="J46" s="70" t="s">
        <v>7</v>
      </c>
      <c r="K46" s="70"/>
      <c r="L46" s="70"/>
      <c r="M46" s="70"/>
      <c r="N46" s="70"/>
      <c r="O46" s="70"/>
      <c r="P46" s="70" t="s">
        <v>8</v>
      </c>
      <c r="Q46" s="70"/>
      <c r="R46" s="70"/>
      <c r="S46" s="70"/>
      <c r="T46" s="70"/>
      <c r="U46" s="70"/>
      <c r="V46" s="70" t="s">
        <v>9</v>
      </c>
      <c r="W46" s="70"/>
      <c r="X46" s="70"/>
      <c r="Y46" s="70"/>
      <c r="Z46" s="70"/>
      <c r="AA46" s="70"/>
    </row>
    <row r="47" spans="2:28">
      <c r="D47" s="78"/>
      <c r="E47" s="79"/>
      <c r="F47" s="80" t="s">
        <v>16</v>
      </c>
      <c r="G47" s="80"/>
      <c r="H47" s="80"/>
      <c r="I47" s="81"/>
      <c r="J47" s="70" t="s">
        <v>510</v>
      </c>
      <c r="K47" s="70"/>
      <c r="L47" s="70"/>
      <c r="M47" s="70"/>
      <c r="N47" s="70"/>
      <c r="O47" s="70"/>
      <c r="P47" s="70" t="s">
        <v>487</v>
      </c>
      <c r="Q47" s="70"/>
      <c r="R47" s="70"/>
      <c r="S47" s="70"/>
      <c r="T47" s="70"/>
      <c r="U47" s="70"/>
      <c r="V47" s="70" t="s">
        <v>491</v>
      </c>
      <c r="W47" s="70"/>
      <c r="X47" s="70"/>
      <c r="Y47" s="70"/>
      <c r="Z47" s="70"/>
      <c r="AA47" s="70"/>
    </row>
    <row r="48" spans="2:28">
      <c r="D48" s="78"/>
      <c r="E48" s="79"/>
      <c r="F48" s="80" t="s">
        <v>25</v>
      </c>
      <c r="G48" s="80"/>
      <c r="H48" s="80"/>
      <c r="I48" s="81"/>
      <c r="J48" s="70" t="s">
        <v>483</v>
      </c>
      <c r="K48" s="70"/>
      <c r="L48" s="70"/>
      <c r="M48" s="70"/>
      <c r="N48" s="70"/>
      <c r="O48" s="70"/>
      <c r="P48" s="70" t="s">
        <v>488</v>
      </c>
      <c r="Q48" s="70"/>
      <c r="R48" s="70"/>
      <c r="S48" s="70"/>
      <c r="T48" s="70"/>
      <c r="U48" s="70"/>
      <c r="V48" s="70" t="s">
        <v>488</v>
      </c>
      <c r="W48" s="70"/>
      <c r="X48" s="70"/>
      <c r="Y48" s="70"/>
      <c r="Z48" s="70"/>
      <c r="AA48" s="70"/>
    </row>
    <row r="49" spans="3:27">
      <c r="D49" s="78"/>
      <c r="E49" s="79"/>
      <c r="F49" s="80" t="s">
        <v>31</v>
      </c>
      <c r="G49" s="80"/>
      <c r="H49" s="80"/>
      <c r="I49" s="81"/>
      <c r="J49" s="70" t="s">
        <v>32</v>
      </c>
      <c r="K49" s="70"/>
      <c r="L49" s="70"/>
      <c r="M49" s="70"/>
      <c r="N49" s="70"/>
      <c r="O49" s="70"/>
      <c r="P49" s="82" t="s">
        <v>489</v>
      </c>
      <c r="Q49" s="82"/>
      <c r="R49" s="82"/>
      <c r="S49" s="82"/>
      <c r="T49" s="82"/>
      <c r="U49" s="82"/>
      <c r="V49" s="82" t="s">
        <v>492</v>
      </c>
      <c r="W49" s="82"/>
      <c r="X49" s="82"/>
      <c r="Y49" s="82"/>
      <c r="Z49" s="82"/>
      <c r="AA49" s="82"/>
    </row>
    <row r="50" spans="3:27">
      <c r="D50" s="78"/>
      <c r="E50" s="79"/>
      <c r="F50" s="80" t="s">
        <v>34</v>
      </c>
      <c r="G50" s="80"/>
      <c r="H50" s="80"/>
      <c r="I50" s="81"/>
      <c r="J50" s="83" t="s">
        <v>3</v>
      </c>
      <c r="K50" s="83"/>
      <c r="L50" s="83"/>
      <c r="M50" s="83"/>
      <c r="N50" s="83"/>
      <c r="O50" s="83"/>
      <c r="P50" s="83" t="s">
        <v>3</v>
      </c>
      <c r="Q50" s="83"/>
      <c r="R50" s="83"/>
      <c r="S50" s="83"/>
      <c r="T50" s="83"/>
      <c r="U50" s="83"/>
      <c r="V50" s="83"/>
      <c r="W50" s="83"/>
      <c r="X50" s="83"/>
      <c r="Y50" s="83"/>
      <c r="Z50" s="83"/>
      <c r="AA50" s="83"/>
    </row>
    <row r="51" spans="3:27" ht="18.600000000000001" thickBot="1">
      <c r="D51" s="67" t="s">
        <v>1</v>
      </c>
      <c r="E51" s="68"/>
      <c r="F51" s="68" t="s">
        <v>35</v>
      </c>
      <c r="G51" s="68"/>
      <c r="H51" s="68"/>
      <c r="I51" s="69"/>
      <c r="J51" s="70"/>
      <c r="K51" s="70"/>
      <c r="L51" s="70"/>
      <c r="M51" s="70"/>
      <c r="N51" s="70"/>
      <c r="O51" s="70"/>
      <c r="P51" s="70"/>
      <c r="Q51" s="70"/>
      <c r="R51" s="70"/>
      <c r="S51" s="70"/>
      <c r="T51" s="70"/>
      <c r="U51" s="70"/>
      <c r="V51" s="70"/>
      <c r="W51" s="70"/>
      <c r="X51" s="70"/>
      <c r="Y51" s="70"/>
      <c r="Z51" s="70"/>
      <c r="AA51" s="70"/>
    </row>
    <row r="52" spans="3:27" ht="18.600000000000001" thickTop="1">
      <c r="D52" s="71">
        <v>1</v>
      </c>
      <c r="E52" s="72"/>
      <c r="F52" s="73"/>
      <c r="G52" s="73"/>
      <c r="H52" s="73"/>
      <c r="I52" s="73"/>
      <c r="J52" s="74" t="s">
        <v>748</v>
      </c>
      <c r="K52" s="75"/>
      <c r="L52" s="75"/>
      <c r="M52" s="75"/>
      <c r="N52" s="75"/>
      <c r="O52" s="75"/>
      <c r="P52" s="76" t="s">
        <v>749</v>
      </c>
      <c r="Q52" s="76"/>
      <c r="R52" s="76"/>
      <c r="S52" s="76"/>
      <c r="T52" s="76"/>
      <c r="U52" s="76"/>
      <c r="V52" s="76" t="s">
        <v>750</v>
      </c>
      <c r="W52" s="76"/>
      <c r="X52" s="76"/>
      <c r="Y52" s="76"/>
      <c r="Z52" s="76"/>
      <c r="AA52" s="77"/>
    </row>
    <row r="53" spans="3:27">
      <c r="D53" s="54">
        <v>2</v>
      </c>
      <c r="E53" s="55"/>
      <c r="F53" s="56"/>
      <c r="G53" s="56"/>
      <c r="H53" s="56"/>
      <c r="I53" s="56"/>
      <c r="J53" s="57" t="s">
        <v>751</v>
      </c>
      <c r="K53" s="58"/>
      <c r="L53" s="58"/>
      <c r="M53" s="58"/>
      <c r="N53" s="58"/>
      <c r="O53" s="58"/>
      <c r="P53" s="56" t="s">
        <v>752</v>
      </c>
      <c r="Q53" s="56"/>
      <c r="R53" s="56"/>
      <c r="S53" s="56"/>
      <c r="T53" s="56"/>
      <c r="U53" s="56"/>
      <c r="V53" s="56" t="s">
        <v>753</v>
      </c>
      <c r="W53" s="56"/>
      <c r="X53" s="56"/>
      <c r="Y53" s="56"/>
      <c r="Z53" s="56"/>
      <c r="AA53" s="59"/>
    </row>
    <row r="54" spans="3:27" ht="18.600000000000001" thickBot="1">
      <c r="D54" s="60">
        <v>3</v>
      </c>
      <c r="E54" s="61"/>
      <c r="F54" s="62"/>
      <c r="G54" s="62"/>
      <c r="H54" s="62"/>
      <c r="I54" s="62"/>
      <c r="J54" s="63" t="s">
        <v>754</v>
      </c>
      <c r="K54" s="64"/>
      <c r="L54" s="64"/>
      <c r="M54" s="64"/>
      <c r="N54" s="64"/>
      <c r="O54" s="64"/>
      <c r="P54" s="65" t="s">
        <v>755</v>
      </c>
      <c r="Q54" s="65"/>
      <c r="R54" s="65"/>
      <c r="S54" s="65"/>
      <c r="T54" s="65"/>
      <c r="U54" s="65"/>
      <c r="V54" s="65" t="s">
        <v>756</v>
      </c>
      <c r="W54" s="65"/>
      <c r="X54" s="65"/>
      <c r="Y54" s="65"/>
      <c r="Z54" s="65"/>
      <c r="AA54" s="66"/>
    </row>
    <row r="55" spans="3:27" ht="18.600000000000001" thickTop="1"/>
    <row r="56" spans="3:27">
      <c r="C56" s="21" t="s">
        <v>757</v>
      </c>
      <c r="E56" s="21" t="s">
        <v>758</v>
      </c>
    </row>
    <row r="58" spans="3:27">
      <c r="D58" s="52" t="s">
        <v>759</v>
      </c>
      <c r="E58" s="52"/>
      <c r="F58" s="52"/>
      <c r="G58" s="53"/>
      <c r="H58" s="53"/>
      <c r="I58" s="53"/>
      <c r="J58" s="53"/>
      <c r="K58" s="53"/>
      <c r="L58" s="53"/>
      <c r="M58" s="53"/>
      <c r="N58" s="53"/>
      <c r="O58" s="53"/>
      <c r="P58" s="53"/>
      <c r="R58" s="21" t="s">
        <v>760</v>
      </c>
    </row>
    <row r="59" spans="3:27">
      <c r="D59" s="52" t="s">
        <v>761</v>
      </c>
      <c r="E59" s="52"/>
      <c r="F59" s="52"/>
      <c r="G59" s="53"/>
      <c r="H59" s="53"/>
      <c r="I59" s="53"/>
      <c r="J59" s="53"/>
      <c r="K59" s="53"/>
      <c r="L59" s="53"/>
      <c r="M59" s="53"/>
      <c r="N59" s="53"/>
      <c r="O59" s="53"/>
      <c r="P59" s="53"/>
    </row>
    <row r="60" spans="3:27">
      <c r="D60" s="52" t="s">
        <v>4</v>
      </c>
      <c r="E60" s="52"/>
      <c r="F60" s="52"/>
      <c r="G60" s="53" t="s">
        <v>721</v>
      </c>
      <c r="H60" s="53"/>
      <c r="I60" s="53"/>
      <c r="J60" s="53"/>
      <c r="K60" s="53"/>
      <c r="L60" s="53"/>
      <c r="M60" s="53"/>
      <c r="N60" s="53"/>
      <c r="O60" s="53"/>
      <c r="P60" s="53"/>
      <c r="R60" s="21" t="s">
        <v>762</v>
      </c>
    </row>
    <row r="61" spans="3:27">
      <c r="D61" s="52" t="s">
        <v>14</v>
      </c>
      <c r="E61" s="52"/>
      <c r="F61" s="52"/>
      <c r="G61" s="53" t="s">
        <v>722</v>
      </c>
      <c r="H61" s="53"/>
      <c r="I61" s="53"/>
      <c r="J61" s="53"/>
      <c r="K61" s="53"/>
      <c r="L61" s="53"/>
      <c r="M61" s="53"/>
      <c r="N61" s="53"/>
      <c r="O61" s="53"/>
      <c r="P61" s="53"/>
      <c r="R61" s="21" t="s">
        <v>763</v>
      </c>
    </row>
    <row r="62" spans="3:27">
      <c r="D62" s="52" t="s">
        <v>23</v>
      </c>
      <c r="E62" s="52"/>
      <c r="F62" s="52"/>
      <c r="G62" s="53" t="s">
        <v>24</v>
      </c>
      <c r="H62" s="53"/>
      <c r="I62" s="53"/>
      <c r="J62" s="53"/>
      <c r="K62" s="53"/>
      <c r="L62" s="53"/>
      <c r="M62" s="53"/>
      <c r="N62" s="53"/>
      <c r="O62" s="53"/>
      <c r="P62" s="53"/>
      <c r="R62" s="21" t="s">
        <v>764</v>
      </c>
    </row>
    <row r="63" spans="3:27">
      <c r="D63" s="52" t="s">
        <v>29</v>
      </c>
      <c r="E63" s="52"/>
      <c r="F63" s="52"/>
      <c r="G63" s="53" t="s">
        <v>30</v>
      </c>
      <c r="H63" s="53"/>
      <c r="I63" s="53"/>
      <c r="J63" s="53"/>
      <c r="K63" s="53"/>
      <c r="L63" s="53"/>
      <c r="M63" s="53"/>
      <c r="N63" s="53"/>
      <c r="O63" s="53"/>
      <c r="P63" s="53"/>
      <c r="R63" s="21" t="s">
        <v>765</v>
      </c>
    </row>
    <row r="64" spans="3:27" ht="18.600000000000001" thickBot="1"/>
    <row r="65" spans="2:11" ht="19.2" thickTop="1" thickBot="1">
      <c r="C65" s="21" t="s">
        <v>766</v>
      </c>
      <c r="E65" s="21" t="s">
        <v>767</v>
      </c>
      <c r="G65" s="48" t="s">
        <v>768</v>
      </c>
      <c r="H65" s="49"/>
      <c r="I65" s="49"/>
      <c r="J65" s="50"/>
      <c r="K65" s="21" t="s">
        <v>729</v>
      </c>
    </row>
    <row r="66" spans="2:11" ht="18.600000000000001" thickTop="1"/>
    <row r="67" spans="2:11">
      <c r="C67" s="21" t="s">
        <v>769</v>
      </c>
      <c r="E67" s="21" t="s">
        <v>770</v>
      </c>
    </row>
    <row r="68" spans="2:11">
      <c r="F68" s="21" t="s">
        <v>706</v>
      </c>
      <c r="G68" s="21" t="s">
        <v>771</v>
      </c>
    </row>
    <row r="69" spans="2:11">
      <c r="H69" s="21" t="str">
        <f ca="1">"Excelファイル &gt; "&amp;TEXT(TODAY(),"yyyymmdd")&amp;" &gt; [I-CUSTOMERS.sql]"</f>
        <v>Excelファイル &gt; 20261001 &gt; [I-CUSTOMERS.sql]</v>
      </c>
    </row>
    <row r="70" spans="2:11">
      <c r="F70" s="21" t="s">
        <v>716</v>
      </c>
      <c r="G70" s="21" t="s">
        <v>772</v>
      </c>
    </row>
    <row r="71" spans="2:11">
      <c r="H71" s="21" t="str">
        <f ca="1">"Excelファイル &gt; "&amp;TEXT(TODAY(),"yyyymmdd")&amp;" &gt; [IMP-I-CUSTOMERS.csv]"</f>
        <v>Excelファイル &gt; 20261001 &gt; [IMP-I-CUSTOMERS.csv]</v>
      </c>
    </row>
    <row r="74" spans="2:11">
      <c r="B74" s="21" t="s">
        <v>773</v>
      </c>
      <c r="C74" s="51" t="s">
        <v>774</v>
      </c>
      <c r="D74" s="51"/>
      <c r="E74" s="51"/>
      <c r="F74" s="21" t="s">
        <v>744</v>
      </c>
    </row>
    <row r="75" spans="2:11">
      <c r="C75" s="21" t="s">
        <v>775</v>
      </c>
      <c r="E75" s="21" t="s">
        <v>776</v>
      </c>
    </row>
    <row r="76" spans="2:11">
      <c r="C76" s="21" t="s">
        <v>777</v>
      </c>
      <c r="E76" s="21" t="s">
        <v>778</v>
      </c>
    </row>
    <row r="77" spans="2:11">
      <c r="C77" s="21" t="s">
        <v>779</v>
      </c>
      <c r="E77" s="21" t="s">
        <v>780</v>
      </c>
    </row>
    <row r="78" spans="2:11">
      <c r="C78" s="21" t="s">
        <v>781</v>
      </c>
      <c r="E78" s="21" t="s">
        <v>782</v>
      </c>
    </row>
    <row r="79" spans="2:11">
      <c r="F79" s="21" t="s">
        <v>706</v>
      </c>
      <c r="G79" s="21" t="s">
        <v>783</v>
      </c>
    </row>
    <row r="80" spans="2:11">
      <c r="H80" s="21" t="str">
        <f ca="1">"Excelファイル &gt; "&amp;TEXT(TODAY(),"yyyymmdd")&amp;" &gt; [D-CUSTOMERS.sql]"</f>
        <v>Excelファイル &gt; 20261001 &gt; [D-CUSTOMERS.sql]</v>
      </c>
    </row>
  </sheetData>
  <mergeCells count="133">
    <mergeCell ref="F11:J11"/>
    <mergeCell ref="K11:O11"/>
    <mergeCell ref="P11:U11"/>
    <mergeCell ref="F12:J12"/>
    <mergeCell ref="K12:O12"/>
    <mergeCell ref="P12:U12"/>
    <mergeCell ref="F9:J9"/>
    <mergeCell ref="K9:O9"/>
    <mergeCell ref="P9:U9"/>
    <mergeCell ref="F10:J10"/>
    <mergeCell ref="K10:O10"/>
    <mergeCell ref="P10:U10"/>
    <mergeCell ref="E18:Q18"/>
    <mergeCell ref="U18:W18"/>
    <mergeCell ref="X18:AA18"/>
    <mergeCell ref="AB18:AG18"/>
    <mergeCell ref="U19:W19"/>
    <mergeCell ref="X19:AA19"/>
    <mergeCell ref="AB19:AG19"/>
    <mergeCell ref="E17:G17"/>
    <mergeCell ref="H17:K17"/>
    <mergeCell ref="L17:Q17"/>
    <mergeCell ref="U17:W17"/>
    <mergeCell ref="X17:AA17"/>
    <mergeCell ref="AB17:AG17"/>
    <mergeCell ref="U20:W20"/>
    <mergeCell ref="X20:AA20"/>
    <mergeCell ref="AB20:AG20"/>
    <mergeCell ref="E26:F26"/>
    <mergeCell ref="G26:K26"/>
    <mergeCell ref="L26:R26"/>
    <mergeCell ref="S26:W26"/>
    <mergeCell ref="X26:Z26"/>
    <mergeCell ref="AA26:AF26"/>
    <mergeCell ref="AG26:AM26"/>
    <mergeCell ref="AG27:AM27"/>
    <mergeCell ref="E28:F28"/>
    <mergeCell ref="G28:K28"/>
    <mergeCell ref="L28:R28"/>
    <mergeCell ref="S28:W28"/>
    <mergeCell ref="X28:Z28"/>
    <mergeCell ref="AA28:AF28"/>
    <mergeCell ref="AG28:AM28"/>
    <mergeCell ref="E27:F27"/>
    <mergeCell ref="G27:K27"/>
    <mergeCell ref="L27:R27"/>
    <mergeCell ref="S27:W27"/>
    <mergeCell ref="X27:Z27"/>
    <mergeCell ref="AA27:AF27"/>
    <mergeCell ref="C40:E40"/>
    <mergeCell ref="D44:E44"/>
    <mergeCell ref="F44:I44"/>
    <mergeCell ref="J44:O44"/>
    <mergeCell ref="P44:U44"/>
    <mergeCell ref="V44:AA44"/>
    <mergeCell ref="AG29:AM29"/>
    <mergeCell ref="G31:J31"/>
    <mergeCell ref="E37:H37"/>
    <mergeCell ref="I37:L37"/>
    <mergeCell ref="M37:P37"/>
    <mergeCell ref="Q37:T37"/>
    <mergeCell ref="U37:X37"/>
    <mergeCell ref="Y37:AB37"/>
    <mergeCell ref="E29:F29"/>
    <mergeCell ref="G29:K29"/>
    <mergeCell ref="L29:R29"/>
    <mergeCell ref="S29:W29"/>
    <mergeCell ref="X29:Z29"/>
    <mergeCell ref="AA29:AF29"/>
    <mergeCell ref="D45:E45"/>
    <mergeCell ref="F45:I45"/>
    <mergeCell ref="J45:O45"/>
    <mergeCell ref="P45:U45"/>
    <mergeCell ref="V45:AA45"/>
    <mergeCell ref="D46:E46"/>
    <mergeCell ref="F46:I46"/>
    <mergeCell ref="J46:O46"/>
    <mergeCell ref="P46:U46"/>
    <mergeCell ref="V46:AA46"/>
    <mergeCell ref="D47:E47"/>
    <mergeCell ref="F47:I47"/>
    <mergeCell ref="J47:O47"/>
    <mergeCell ref="P47:U47"/>
    <mergeCell ref="V47:AA47"/>
    <mergeCell ref="D48:E48"/>
    <mergeCell ref="F48:I48"/>
    <mergeCell ref="J48:O48"/>
    <mergeCell ref="P48:U48"/>
    <mergeCell ref="V48:AA48"/>
    <mergeCell ref="D49:E49"/>
    <mergeCell ref="F49:I49"/>
    <mergeCell ref="J49:O49"/>
    <mergeCell ref="P49:U49"/>
    <mergeCell ref="V49:AA49"/>
    <mergeCell ref="D50:E50"/>
    <mergeCell ref="F50:I50"/>
    <mergeCell ref="J50:O50"/>
    <mergeCell ref="P50:U50"/>
    <mergeCell ref="V50:AA50"/>
    <mergeCell ref="D51:E51"/>
    <mergeCell ref="F51:I51"/>
    <mergeCell ref="J51:O51"/>
    <mergeCell ref="P51:U51"/>
    <mergeCell ref="V51:AA51"/>
    <mergeCell ref="D52:E52"/>
    <mergeCell ref="F52:I52"/>
    <mergeCell ref="J52:O52"/>
    <mergeCell ref="P52:U52"/>
    <mergeCell ref="V52:AA52"/>
    <mergeCell ref="D53:E53"/>
    <mergeCell ref="F53:I53"/>
    <mergeCell ref="J53:O53"/>
    <mergeCell ref="P53:U53"/>
    <mergeCell ref="V53:AA53"/>
    <mergeCell ref="D54:E54"/>
    <mergeCell ref="F54:I54"/>
    <mergeCell ref="J54:O54"/>
    <mergeCell ref="P54:U54"/>
    <mergeCell ref="V54:AA54"/>
    <mergeCell ref="G65:J65"/>
    <mergeCell ref="C74:E74"/>
    <mergeCell ref="D61:F61"/>
    <mergeCell ref="G61:P61"/>
    <mergeCell ref="D62:F62"/>
    <mergeCell ref="G62:P62"/>
    <mergeCell ref="D63:F63"/>
    <mergeCell ref="G63:P63"/>
    <mergeCell ref="D58:F58"/>
    <mergeCell ref="G58:P58"/>
    <mergeCell ref="D59:F59"/>
    <mergeCell ref="G59:P59"/>
    <mergeCell ref="D60:F60"/>
    <mergeCell ref="G60:P60"/>
  </mergeCells>
  <phoneticPr fontId="2"/>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3203BC-D12E-45DA-AFE8-285A4DA1FB6C}">
  <sheetPr codeName="Sheet1"/>
  <dimension ref="A1"/>
  <sheetViews>
    <sheetView workbookViewId="0"/>
  </sheetViews>
  <sheetFormatPr defaultRowHeight="18"/>
  <sheetData/>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11</vt:i4>
      </vt:variant>
    </vt:vector>
  </HeadingPairs>
  <TitlesOfParts>
    <vt:vector size="11" baseType="lpstr">
      <vt:lpstr>I-CUSTOMERS</vt:lpstr>
      <vt:lpstr>D-CUSTOMERS</vt:lpstr>
      <vt:lpstr>I-ORDER_DETAILS</vt:lpstr>
      <vt:lpstr>D-ORDER_DETAILS</vt:lpstr>
      <vt:lpstr>Sheet作成</vt:lpstr>
      <vt:lpstr>TBL1</vt:lpstr>
      <vt:lpstr>TBL2</vt:lpstr>
      <vt:lpstr>TBL3</vt:lpstr>
      <vt:lpstr>SQL</vt:lpstr>
      <vt:lpstr>使い方</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KEITA OONISHI</dc:creator>
  <cp:lastModifiedBy>KEITA OONISHI</cp:lastModifiedBy>
  <dcterms:created xsi:type="dcterms:W3CDTF">2026-09-28T10:15:21Z</dcterms:created>
  <dcterms:modified xsi:type="dcterms:W3CDTF">2026-10-01T02:19:07Z</dcterms:modified>
</cp:coreProperties>
</file>