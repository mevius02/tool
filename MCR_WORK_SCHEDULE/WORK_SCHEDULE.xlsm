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_CREATE_WORK_SCHEDULE\"/>
    </mc:Choice>
  </mc:AlternateContent>
  <xr:revisionPtr revIDLastSave="0" documentId="13_ncr:1_{72447D27-2B43-4B2D-8223-CEC61B722886}" xr6:coauthVersionLast="47" xr6:coauthVersionMax="47" xr10:uidLastSave="{00000000-0000-0000-0000-000000000000}"/>
  <bookViews>
    <workbookView xWindow="-108" yWindow="-108" windowWidth="23256" windowHeight="12456" tabRatio="1000" xr2:uid="{1FF89011-A191-45E8-9A83-C1FA8DA044D9}"/>
  </bookViews>
  <sheets>
    <sheet name="2027" sheetId="104" r:id="rId1"/>
    <sheet name="2026" sheetId="103" r:id="rId2"/>
    <sheet name="祝日" sheetId="102" r:id="rId3"/>
    <sheet name="Sheet1" sheetId="101" r:id="rId4"/>
  </sheets>
  <functionGroups builtInGroupCount="19"/>
  <definedNames>
    <definedName name="_xlnm._FilterDatabase" localSheetId="2" hidden="1">祝日!$A$1:$D$1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2" i="104" l="1"/>
  <c r="C3" i="104"/>
  <c r="C2" i="104" s="1"/>
  <c r="D3" i="104"/>
  <c r="D2" i="104" s="1"/>
  <c r="E3" i="104"/>
  <c r="E2" i="104" s="1"/>
  <c r="AJ3" i="104"/>
  <c r="AJ4" i="104"/>
  <c r="AJ5" i="104"/>
  <c r="AJ6" i="104"/>
  <c r="AJ8" i="104" s="1"/>
  <c r="AJ7" i="104"/>
  <c r="AJ14" i="104"/>
  <c r="C15" i="104"/>
  <c r="C14" i="104" s="1"/>
  <c r="D15" i="104"/>
  <c r="D14" i="104" s="1"/>
  <c r="E15" i="104"/>
  <c r="E14" i="104" s="1"/>
  <c r="AJ15" i="104"/>
  <c r="AJ16" i="104"/>
  <c r="AJ17" i="104"/>
  <c r="AJ18" i="104"/>
  <c r="AJ19" i="104"/>
  <c r="AJ38" i="104"/>
  <c r="AJ39" i="104"/>
  <c r="AJ40" i="104"/>
  <c r="AJ41" i="104"/>
  <c r="AJ42" i="104"/>
  <c r="AJ43" i="104"/>
  <c r="AJ26" i="104"/>
  <c r="AJ27" i="104"/>
  <c r="AJ28" i="104"/>
  <c r="AJ29" i="104"/>
  <c r="AJ30" i="104"/>
  <c r="C135" i="104"/>
  <c r="D135" i="104" s="1"/>
  <c r="AJ139" i="104"/>
  <c r="AJ138" i="104"/>
  <c r="AJ137" i="104"/>
  <c r="AJ136" i="104"/>
  <c r="AJ135" i="104"/>
  <c r="AJ134" i="104"/>
  <c r="C123" i="104"/>
  <c r="C122" i="104" s="1"/>
  <c r="AJ127" i="104"/>
  <c r="AJ126" i="104"/>
  <c r="AJ125" i="104"/>
  <c r="AJ124" i="104"/>
  <c r="AJ123" i="104"/>
  <c r="AJ122" i="104"/>
  <c r="C111" i="104"/>
  <c r="D111" i="104" s="1"/>
  <c r="E111" i="104" s="1"/>
  <c r="AJ115" i="104"/>
  <c r="AJ114" i="104"/>
  <c r="AJ113" i="104"/>
  <c r="AJ112" i="104"/>
  <c r="AJ111" i="104"/>
  <c r="AJ110" i="104"/>
  <c r="C99" i="104"/>
  <c r="C98" i="104" s="1"/>
  <c r="AJ103" i="104"/>
  <c r="AJ102" i="104"/>
  <c r="AJ101" i="104"/>
  <c r="AJ100" i="104"/>
  <c r="AJ99" i="104"/>
  <c r="AJ98" i="104"/>
  <c r="C87" i="104"/>
  <c r="C86" i="104" s="1"/>
  <c r="AJ91" i="104"/>
  <c r="AJ90" i="104"/>
  <c r="AJ92" i="104" s="1"/>
  <c r="AJ89" i="104"/>
  <c r="AJ88" i="104"/>
  <c r="AJ87" i="104"/>
  <c r="AJ86" i="104"/>
  <c r="C75" i="104"/>
  <c r="D75" i="104" s="1"/>
  <c r="AJ79" i="104"/>
  <c r="AJ78" i="104"/>
  <c r="AJ80" i="104" s="1"/>
  <c r="AJ77" i="104"/>
  <c r="AJ76" i="104"/>
  <c r="AJ75" i="104"/>
  <c r="AJ74" i="104"/>
  <c r="C63" i="104"/>
  <c r="D63" i="104" s="1"/>
  <c r="E63" i="104" s="1"/>
  <c r="AJ67" i="104"/>
  <c r="AJ66" i="104"/>
  <c r="AJ68" i="104" s="1"/>
  <c r="AJ65" i="104"/>
  <c r="AJ64" i="104"/>
  <c r="AJ63" i="104"/>
  <c r="AJ62" i="104"/>
  <c r="C51" i="104"/>
  <c r="D51" i="104" s="1"/>
  <c r="AJ55" i="104"/>
  <c r="AJ54" i="104"/>
  <c r="AJ53" i="104"/>
  <c r="AJ52" i="104"/>
  <c r="AJ51" i="104"/>
  <c r="AJ50" i="104"/>
  <c r="C39" i="104"/>
  <c r="D39" i="104" s="1"/>
  <c r="C27" i="104"/>
  <c r="D27" i="104" s="1"/>
  <c r="AJ31" i="104"/>
  <c r="C135" i="103"/>
  <c r="D135" i="103" s="1"/>
  <c r="AJ139" i="103"/>
  <c r="AJ138" i="103"/>
  <c r="AJ140" i="103" s="1"/>
  <c r="AJ137" i="103"/>
  <c r="AJ136" i="103"/>
  <c r="AJ135" i="103"/>
  <c r="AJ134" i="103"/>
  <c r="C123" i="103"/>
  <c r="D123" i="103" s="1"/>
  <c r="AJ127" i="103"/>
  <c r="AJ126" i="103"/>
  <c r="AJ128" i="103" s="1"/>
  <c r="AJ125" i="103"/>
  <c r="AJ124" i="103"/>
  <c r="AJ123" i="103"/>
  <c r="AJ122" i="103"/>
  <c r="C111" i="103"/>
  <c r="D111" i="103" s="1"/>
  <c r="AJ115" i="103"/>
  <c r="AJ114" i="103"/>
  <c r="AJ116" i="103" s="1"/>
  <c r="AJ113" i="103"/>
  <c r="AJ112" i="103"/>
  <c r="AJ111" i="103"/>
  <c r="AJ110" i="103"/>
  <c r="D99" i="103"/>
  <c r="E99" i="103" s="1"/>
  <c r="E98" i="103" s="1"/>
  <c r="C98" i="103"/>
  <c r="C99" i="103"/>
  <c r="AJ103" i="103"/>
  <c r="AJ102" i="103"/>
  <c r="AJ104" i="103" s="1"/>
  <c r="AJ101" i="103"/>
  <c r="AJ100" i="103"/>
  <c r="AJ99" i="103"/>
  <c r="AJ98" i="103"/>
  <c r="C87" i="103"/>
  <c r="C86" i="103" s="1"/>
  <c r="AJ91" i="103"/>
  <c r="AJ90" i="103"/>
  <c r="AJ89" i="103"/>
  <c r="AJ88" i="103"/>
  <c r="AJ87" i="103"/>
  <c r="AJ86" i="103"/>
  <c r="C75" i="103"/>
  <c r="C74" i="103" s="1"/>
  <c r="AJ79" i="103"/>
  <c r="AJ78" i="103"/>
  <c r="AJ80" i="103" s="1"/>
  <c r="AJ77" i="103"/>
  <c r="AJ76" i="103"/>
  <c r="AJ75" i="103"/>
  <c r="AJ74" i="103"/>
  <c r="D63" i="103"/>
  <c r="D62" i="103" s="1"/>
  <c r="E63" i="103"/>
  <c r="F63" i="103" s="1"/>
  <c r="C63" i="103"/>
  <c r="C62" i="103" s="1"/>
  <c r="AJ67" i="103"/>
  <c r="AJ66" i="103"/>
  <c r="AJ68" i="103" s="1"/>
  <c r="AJ65" i="103"/>
  <c r="AJ64" i="103"/>
  <c r="AJ63" i="103"/>
  <c r="AJ62" i="103"/>
  <c r="C51" i="103"/>
  <c r="D51" i="103" s="1"/>
  <c r="AJ55" i="103"/>
  <c r="AJ54" i="103"/>
  <c r="AJ53" i="103"/>
  <c r="AJ52" i="103"/>
  <c r="AJ51" i="103"/>
  <c r="AJ50" i="103"/>
  <c r="C39" i="103"/>
  <c r="D39" i="103" s="1"/>
  <c r="AJ43" i="103"/>
  <c r="AJ42" i="103"/>
  <c r="AJ41" i="103"/>
  <c r="AJ40" i="103"/>
  <c r="AJ39" i="103"/>
  <c r="AJ38" i="103"/>
  <c r="D27" i="103"/>
  <c r="E27" i="103" s="1"/>
  <c r="E26" i="103" s="1"/>
  <c r="C26" i="103"/>
  <c r="C27" i="103"/>
  <c r="AJ31" i="103"/>
  <c r="AJ30" i="103"/>
  <c r="AJ32" i="103" s="1"/>
  <c r="AJ29" i="103"/>
  <c r="AJ28" i="103"/>
  <c r="AJ27" i="103"/>
  <c r="AJ26" i="103"/>
  <c r="C15" i="103"/>
  <c r="C14" i="103" s="1"/>
  <c r="AJ19" i="103"/>
  <c r="AJ18" i="103"/>
  <c r="AJ20" i="103" s="1"/>
  <c r="AJ17" i="103"/>
  <c r="AJ16" i="103"/>
  <c r="AJ15" i="103"/>
  <c r="AJ14" i="103"/>
  <c r="C3" i="103"/>
  <c r="D3" i="103" s="1"/>
  <c r="E3" i="103" s="1"/>
  <c r="AJ7" i="103"/>
  <c r="AJ6" i="103"/>
  <c r="AJ8" i="103" s="1"/>
  <c r="AJ5" i="103"/>
  <c r="AJ4" i="103"/>
  <c r="AJ3" i="103"/>
  <c r="AJ2" i="103"/>
  <c r="A2" i="102"/>
  <c r="A3" i="102"/>
  <c r="A4" i="102"/>
  <c r="A5" i="102"/>
  <c r="A6" i="102"/>
  <c r="A7" i="102"/>
  <c r="A8" i="102"/>
  <c r="A9" i="102"/>
  <c r="A10" i="102"/>
  <c r="A11" i="102"/>
  <c r="A12" i="102"/>
  <c r="A13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1" i="102"/>
  <c r="A32" i="102"/>
  <c r="A33" i="102"/>
  <c r="A34" i="102"/>
  <c r="A35" i="102"/>
  <c r="A36" i="102"/>
  <c r="A37" i="102"/>
  <c r="A38" i="102"/>
  <c r="A39" i="102"/>
  <c r="A40" i="102"/>
  <c r="A41" i="102"/>
  <c r="A42" i="102"/>
  <c r="A43" i="102"/>
  <c r="A44" i="102"/>
  <c r="A45" i="102"/>
  <c r="A46" i="102"/>
  <c r="A47" i="102"/>
  <c r="A48" i="102"/>
  <c r="A49" i="102"/>
  <c r="A50" i="102"/>
  <c r="A51" i="102"/>
  <c r="A52" i="102"/>
  <c r="A53" i="102"/>
  <c r="A54" i="102"/>
  <c r="A55" i="102"/>
  <c r="A56" i="102"/>
  <c r="A57" i="102"/>
  <c r="A58" i="102"/>
  <c r="A59" i="102"/>
  <c r="A60" i="102"/>
  <c r="A61" i="102"/>
  <c r="A62" i="102"/>
  <c r="A63" i="102"/>
  <c r="A64" i="102"/>
  <c r="A65" i="102"/>
  <c r="A66" i="102"/>
  <c r="A67" i="102"/>
  <c r="A68" i="102"/>
  <c r="A69" i="102"/>
  <c r="A70" i="102"/>
  <c r="A71" i="102"/>
  <c r="A72" i="102"/>
  <c r="A73" i="102"/>
  <c r="A74" i="102"/>
  <c r="A75" i="102"/>
  <c r="A76" i="102"/>
  <c r="A77" i="102"/>
  <c r="A78" i="102"/>
  <c r="A79" i="102"/>
  <c r="A80" i="102"/>
  <c r="A81" i="102"/>
  <c r="A82" i="102"/>
  <c r="A83" i="102"/>
  <c r="A84" i="102"/>
  <c r="A85" i="102"/>
  <c r="A86" i="102"/>
  <c r="A87" i="102"/>
  <c r="A88" i="102"/>
  <c r="A89" i="102"/>
  <c r="A90" i="102"/>
  <c r="A91" i="102"/>
  <c r="A92" i="102"/>
  <c r="A93" i="102"/>
  <c r="A94" i="102"/>
  <c r="A95" i="102"/>
  <c r="A96" i="102"/>
  <c r="A97" i="102"/>
  <c r="A98" i="102"/>
  <c r="A99" i="102"/>
  <c r="A100" i="102"/>
  <c r="A101" i="102"/>
  <c r="A102" i="102"/>
  <c r="A103" i="102"/>
  <c r="A104" i="102"/>
  <c r="A105" i="102"/>
  <c r="A106" i="102"/>
  <c r="A107" i="102"/>
  <c r="A108" i="102"/>
  <c r="A109" i="102"/>
  <c r="A110" i="102"/>
  <c r="A111" i="102"/>
  <c r="A112" i="102"/>
  <c r="A113" i="102"/>
  <c r="A114" i="102"/>
  <c r="A115" i="102"/>
  <c r="A116" i="102"/>
  <c r="A117" i="102"/>
  <c r="A118" i="102"/>
  <c r="A119" i="102"/>
  <c r="A120" i="102"/>
  <c r="A121" i="102"/>
  <c r="A122" i="102"/>
  <c r="A123" i="102"/>
  <c r="A124" i="102"/>
  <c r="A125" i="102"/>
  <c r="A126" i="102"/>
  <c r="A127" i="102"/>
  <c r="A128" i="102"/>
  <c r="A129" i="102"/>
  <c r="A130" i="102"/>
  <c r="A131" i="102"/>
  <c r="A132" i="102"/>
  <c r="A133" i="102"/>
  <c r="A134" i="102"/>
  <c r="A135" i="102"/>
  <c r="A136" i="102"/>
  <c r="A137" i="102"/>
  <c r="A138" i="102"/>
  <c r="A139" i="102"/>
  <c r="A140" i="102"/>
  <c r="A141" i="102"/>
  <c r="A142" i="102"/>
  <c r="A143" i="102"/>
  <c r="A144" i="102"/>
  <c r="A145" i="102"/>
  <c r="A146" i="102"/>
  <c r="A147" i="102"/>
  <c r="A148" i="102"/>
  <c r="A149" i="102"/>
  <c r="A150" i="102"/>
  <c r="A151" i="102"/>
  <c r="A152" i="102"/>
  <c r="A153" i="102"/>
  <c r="A154" i="102"/>
  <c r="A155" i="102"/>
  <c r="A156" i="102"/>
  <c r="A157" i="102"/>
  <c r="A158" i="102"/>
  <c r="A159" i="102"/>
  <c r="A160" i="102"/>
  <c r="A161" i="102"/>
  <c r="A162" i="102"/>
  <c r="A163" i="102"/>
  <c r="A164" i="102"/>
  <c r="A165" i="102"/>
  <c r="A166" i="102"/>
  <c r="A167" i="102"/>
  <c r="A168" i="102"/>
  <c r="A169" i="102"/>
  <c r="A170" i="102"/>
  <c r="A171" i="102"/>
  <c r="A172" i="102"/>
  <c r="A173" i="102"/>
  <c r="A174" i="102"/>
  <c r="A175" i="102"/>
  <c r="A176" i="102"/>
  <c r="A177" i="102"/>
  <c r="A178" i="102"/>
  <c r="A179" i="102"/>
  <c r="A180" i="102"/>
  <c r="A181" i="102"/>
  <c r="A182" i="102"/>
  <c r="A183" i="102"/>
  <c r="A184" i="102"/>
  <c r="A185" i="102"/>
  <c r="A186" i="102"/>
  <c r="A187" i="102"/>
  <c r="A188" i="102"/>
  <c r="A189" i="102"/>
  <c r="A190" i="102"/>
  <c r="A191" i="102"/>
  <c r="A192" i="102"/>
  <c r="A193" i="102"/>
  <c r="A194" i="102"/>
  <c r="A195" i="102"/>
  <c r="A196" i="102"/>
  <c r="A197" i="102"/>
  <c r="A198" i="102"/>
  <c r="A199" i="102"/>
  <c r="A200" i="102"/>
  <c r="A201" i="102"/>
  <c r="A202" i="102"/>
  <c r="A203" i="102"/>
  <c r="A204" i="102"/>
  <c r="A205" i="102"/>
  <c r="A206" i="102"/>
  <c r="A207" i="102"/>
  <c r="A208" i="102"/>
  <c r="A209" i="102"/>
  <c r="A210" i="102"/>
  <c r="A211" i="102"/>
  <c r="A212" i="102"/>
  <c r="A213" i="102"/>
  <c r="A214" i="102"/>
  <c r="A215" i="102"/>
  <c r="A216" i="102"/>
  <c r="AJ20" i="104" l="1"/>
  <c r="F3" i="104"/>
  <c r="AJ56" i="104"/>
  <c r="F15" i="104"/>
  <c r="C26" i="104"/>
  <c r="AJ116" i="104"/>
  <c r="E39" i="104"/>
  <c r="E38" i="104" s="1"/>
  <c r="D38" i="104"/>
  <c r="E135" i="104"/>
  <c r="E134" i="104" s="1"/>
  <c r="D134" i="104"/>
  <c r="D99" i="104"/>
  <c r="D98" i="104" s="1"/>
  <c r="C74" i="104"/>
  <c r="C134" i="104"/>
  <c r="C38" i="104"/>
  <c r="C62" i="104"/>
  <c r="E75" i="104"/>
  <c r="E74" i="104" s="1"/>
  <c r="D74" i="104"/>
  <c r="E27" i="104"/>
  <c r="E26" i="104" s="1"/>
  <c r="D26" i="104"/>
  <c r="E51" i="104"/>
  <c r="E50" i="104" s="1"/>
  <c r="D50" i="104"/>
  <c r="D87" i="104"/>
  <c r="C50" i="104"/>
  <c r="AJ44" i="104"/>
  <c r="C110" i="104"/>
  <c r="AJ140" i="104"/>
  <c r="AJ104" i="104"/>
  <c r="D123" i="104"/>
  <c r="E99" i="104"/>
  <c r="E98" i="104" s="1"/>
  <c r="AJ32" i="104"/>
  <c r="AJ128" i="104"/>
  <c r="F135" i="104"/>
  <c r="E110" i="104"/>
  <c r="F111" i="104"/>
  <c r="D110" i="104"/>
  <c r="F63" i="104"/>
  <c r="E62" i="104"/>
  <c r="D62" i="104"/>
  <c r="F39" i="104"/>
  <c r="D110" i="103"/>
  <c r="E111" i="103"/>
  <c r="E110" i="103" s="1"/>
  <c r="E39" i="103"/>
  <c r="D38" i="103"/>
  <c r="D122" i="103"/>
  <c r="E123" i="103"/>
  <c r="E122" i="103" s="1"/>
  <c r="E51" i="103"/>
  <c r="E50" i="103" s="1"/>
  <c r="D50" i="103"/>
  <c r="D134" i="103"/>
  <c r="E135" i="103"/>
  <c r="F135" i="103" s="1"/>
  <c r="G135" i="103" s="1"/>
  <c r="C50" i="103"/>
  <c r="D15" i="103"/>
  <c r="E15" i="103" s="1"/>
  <c r="E14" i="103" s="1"/>
  <c r="D87" i="103"/>
  <c r="C38" i="103"/>
  <c r="C110" i="103"/>
  <c r="D75" i="103"/>
  <c r="C2" i="103"/>
  <c r="D26" i="103"/>
  <c r="D98" i="103"/>
  <c r="C134" i="103"/>
  <c r="C122" i="103"/>
  <c r="AJ44" i="103"/>
  <c r="AJ56" i="103"/>
  <c r="AJ92" i="103"/>
  <c r="E134" i="103"/>
  <c r="F123" i="103"/>
  <c r="F111" i="103"/>
  <c r="F99" i="103"/>
  <c r="G63" i="103"/>
  <c r="F62" i="103"/>
  <c r="E62" i="103"/>
  <c r="E38" i="103"/>
  <c r="F39" i="103"/>
  <c r="F27" i="103"/>
  <c r="F3" i="103"/>
  <c r="E2" i="103"/>
  <c r="D2" i="103"/>
  <c r="F2" i="104" l="1"/>
  <c r="G3" i="104"/>
  <c r="F14" i="104"/>
  <c r="G15" i="104"/>
  <c r="F27" i="104"/>
  <c r="G27" i="104" s="1"/>
  <c r="F99" i="104"/>
  <c r="F98" i="104" s="1"/>
  <c r="E123" i="104"/>
  <c r="D122" i="104"/>
  <c r="F75" i="104"/>
  <c r="F74" i="104" s="1"/>
  <c r="E87" i="104"/>
  <c r="D86" i="104"/>
  <c r="F51" i="104"/>
  <c r="F50" i="104" s="1"/>
  <c r="F134" i="104"/>
  <c r="G135" i="104"/>
  <c r="F110" i="104"/>
  <c r="G111" i="104"/>
  <c r="F62" i="104"/>
  <c r="G63" i="104"/>
  <c r="F38" i="104"/>
  <c r="G39" i="104"/>
  <c r="F26" i="104"/>
  <c r="D86" i="103"/>
  <c r="E87" i="103"/>
  <c r="F134" i="103"/>
  <c r="E75" i="103"/>
  <c r="D74" i="103"/>
  <c r="D14" i="103"/>
  <c r="F15" i="103"/>
  <c r="F51" i="103"/>
  <c r="F50" i="103" s="1"/>
  <c r="G134" i="103"/>
  <c r="H135" i="103"/>
  <c r="G123" i="103"/>
  <c r="F122" i="103"/>
  <c r="F110" i="103"/>
  <c r="G111" i="103"/>
  <c r="F98" i="103"/>
  <c r="G99" i="103"/>
  <c r="G62" i="103"/>
  <c r="H63" i="103"/>
  <c r="F38" i="103"/>
  <c r="G39" i="103"/>
  <c r="F26" i="103"/>
  <c r="G27" i="103"/>
  <c r="G15" i="103"/>
  <c r="F14" i="103"/>
  <c r="G3" i="103"/>
  <c r="F2" i="103"/>
  <c r="G99" i="104" l="1"/>
  <c r="G2" i="104"/>
  <c r="H3" i="104"/>
  <c r="G14" i="104"/>
  <c r="H15" i="104"/>
  <c r="G51" i="104"/>
  <c r="H51" i="104" s="1"/>
  <c r="E86" i="104"/>
  <c r="F87" i="104"/>
  <c r="G75" i="104"/>
  <c r="H75" i="104" s="1"/>
  <c r="E122" i="104"/>
  <c r="F123" i="104"/>
  <c r="H135" i="104"/>
  <c r="G134" i="104"/>
  <c r="G110" i="104"/>
  <c r="H111" i="104"/>
  <c r="G98" i="104"/>
  <c r="H99" i="104"/>
  <c r="G62" i="104"/>
  <c r="H63" i="104"/>
  <c r="G38" i="104"/>
  <c r="H39" i="104"/>
  <c r="G26" i="104"/>
  <c r="H27" i="104"/>
  <c r="G51" i="103"/>
  <c r="E86" i="103"/>
  <c r="F87" i="103"/>
  <c r="E74" i="103"/>
  <c r="F75" i="103"/>
  <c r="H134" i="103"/>
  <c r="I135" i="103"/>
  <c r="G122" i="103"/>
  <c r="H123" i="103"/>
  <c r="G110" i="103"/>
  <c r="H111" i="103"/>
  <c r="G98" i="103"/>
  <c r="H99" i="103"/>
  <c r="H62" i="103"/>
  <c r="I63" i="103"/>
  <c r="G50" i="103"/>
  <c r="H51" i="103"/>
  <c r="G38" i="103"/>
  <c r="H39" i="103"/>
  <c r="G26" i="103"/>
  <c r="H27" i="103"/>
  <c r="G14" i="103"/>
  <c r="H15" i="103"/>
  <c r="G2" i="103"/>
  <c r="H3" i="103"/>
  <c r="H2" i="104" l="1"/>
  <c r="I3" i="104"/>
  <c r="H14" i="104"/>
  <c r="I15" i="104"/>
  <c r="G50" i="104"/>
  <c r="F122" i="104"/>
  <c r="G123" i="104"/>
  <c r="G87" i="104"/>
  <c r="F86" i="104"/>
  <c r="G74" i="104"/>
  <c r="H134" i="104"/>
  <c r="I135" i="104"/>
  <c r="H110" i="104"/>
  <c r="I111" i="104"/>
  <c r="H98" i="104"/>
  <c r="I99" i="104"/>
  <c r="I75" i="104"/>
  <c r="H74" i="104"/>
  <c r="H62" i="104"/>
  <c r="I63" i="104"/>
  <c r="H50" i="104"/>
  <c r="I51" i="104"/>
  <c r="H38" i="104"/>
  <c r="I39" i="104"/>
  <c r="J39" i="104" s="1"/>
  <c r="J38" i="104" s="1"/>
  <c r="H26" i="104"/>
  <c r="I27" i="104"/>
  <c r="J27" i="104" s="1"/>
  <c r="J26" i="104" s="1"/>
  <c r="F74" i="103"/>
  <c r="G75" i="103"/>
  <c r="F86" i="103"/>
  <c r="G87" i="103"/>
  <c r="I134" i="103"/>
  <c r="J135" i="103"/>
  <c r="H122" i="103"/>
  <c r="I123" i="103"/>
  <c r="H110" i="103"/>
  <c r="I111" i="103"/>
  <c r="H98" i="103"/>
  <c r="I99" i="103"/>
  <c r="I62" i="103"/>
  <c r="J63" i="103"/>
  <c r="H50" i="103"/>
  <c r="I51" i="103"/>
  <c r="H38" i="103"/>
  <c r="I39" i="103"/>
  <c r="H26" i="103"/>
  <c r="I27" i="103"/>
  <c r="H14" i="103"/>
  <c r="I15" i="103"/>
  <c r="H2" i="103"/>
  <c r="I3" i="103"/>
  <c r="I2" i="104" l="1"/>
  <c r="J3" i="104"/>
  <c r="I14" i="104"/>
  <c r="J15" i="104"/>
  <c r="G86" i="104"/>
  <c r="H87" i="104"/>
  <c r="H123" i="104"/>
  <c r="G122" i="104"/>
  <c r="I134" i="104"/>
  <c r="J135" i="104"/>
  <c r="I110" i="104"/>
  <c r="J111" i="104"/>
  <c r="I98" i="104"/>
  <c r="J99" i="104"/>
  <c r="I74" i="104"/>
  <c r="J75" i="104"/>
  <c r="I62" i="104"/>
  <c r="J63" i="104"/>
  <c r="J51" i="104"/>
  <c r="I50" i="104"/>
  <c r="I38" i="104"/>
  <c r="I26" i="104"/>
  <c r="H75" i="103"/>
  <c r="G74" i="103"/>
  <c r="G86" i="103"/>
  <c r="H87" i="103"/>
  <c r="J134" i="103"/>
  <c r="K135" i="103"/>
  <c r="I122" i="103"/>
  <c r="J123" i="103"/>
  <c r="I110" i="103"/>
  <c r="J111" i="103"/>
  <c r="I98" i="103"/>
  <c r="J99" i="103"/>
  <c r="J62" i="103"/>
  <c r="K63" i="103"/>
  <c r="I50" i="103"/>
  <c r="J51" i="103"/>
  <c r="I38" i="103"/>
  <c r="J39" i="103"/>
  <c r="I26" i="103"/>
  <c r="J27" i="103"/>
  <c r="I14" i="103"/>
  <c r="J15" i="103"/>
  <c r="I2" i="103"/>
  <c r="J3" i="103"/>
  <c r="K3" i="104" l="1"/>
  <c r="J2" i="104"/>
  <c r="K15" i="104"/>
  <c r="J14" i="104"/>
  <c r="H122" i="104"/>
  <c r="I123" i="104"/>
  <c r="H86" i="104"/>
  <c r="I87" i="104"/>
  <c r="J134" i="104"/>
  <c r="K135" i="104"/>
  <c r="J110" i="104"/>
  <c r="K111" i="104"/>
  <c r="J98" i="104"/>
  <c r="K99" i="104"/>
  <c r="J74" i="104"/>
  <c r="K75" i="104"/>
  <c r="J62" i="104"/>
  <c r="K63" i="104"/>
  <c r="J50" i="104"/>
  <c r="K51" i="104"/>
  <c r="K39" i="104"/>
  <c r="K27" i="104"/>
  <c r="H86" i="103"/>
  <c r="I87" i="103"/>
  <c r="H74" i="103"/>
  <c r="I75" i="103"/>
  <c r="K134" i="103"/>
  <c r="L135" i="103"/>
  <c r="J122" i="103"/>
  <c r="K123" i="103"/>
  <c r="J110" i="103"/>
  <c r="K111" i="103"/>
  <c r="J98" i="103"/>
  <c r="K99" i="103"/>
  <c r="K62" i="103"/>
  <c r="L63" i="103"/>
  <c r="J50" i="103"/>
  <c r="K51" i="103"/>
  <c r="J38" i="103"/>
  <c r="K39" i="103"/>
  <c r="J26" i="103"/>
  <c r="K27" i="103"/>
  <c r="J14" i="103"/>
  <c r="K15" i="103"/>
  <c r="J2" i="103"/>
  <c r="K3" i="103"/>
  <c r="K2" i="104" l="1"/>
  <c r="L3" i="104"/>
  <c r="K14" i="104"/>
  <c r="L15" i="104"/>
  <c r="J87" i="104"/>
  <c r="I86" i="104"/>
  <c r="J123" i="104"/>
  <c r="I122" i="104"/>
  <c r="K134" i="104"/>
  <c r="L135" i="104"/>
  <c r="K110" i="104"/>
  <c r="L111" i="104"/>
  <c r="K98" i="104"/>
  <c r="L99" i="104"/>
  <c r="K74" i="104"/>
  <c r="L75" i="104"/>
  <c r="L63" i="104"/>
  <c r="K62" i="104"/>
  <c r="K50" i="104"/>
  <c r="L51" i="104"/>
  <c r="K38" i="104"/>
  <c r="L39" i="104"/>
  <c r="K26" i="104"/>
  <c r="L27" i="104"/>
  <c r="J87" i="103"/>
  <c r="I86" i="103"/>
  <c r="J75" i="103"/>
  <c r="I74" i="103"/>
  <c r="L134" i="103"/>
  <c r="M135" i="103"/>
  <c r="K122" i="103"/>
  <c r="L123" i="103"/>
  <c r="K110" i="103"/>
  <c r="L111" i="103"/>
  <c r="K98" i="103"/>
  <c r="L99" i="103"/>
  <c r="L62" i="103"/>
  <c r="M63" i="103"/>
  <c r="L51" i="103"/>
  <c r="K50" i="103"/>
  <c r="K38" i="103"/>
  <c r="L39" i="103"/>
  <c r="K26" i="103"/>
  <c r="L27" i="103"/>
  <c r="K14" i="103"/>
  <c r="L15" i="103"/>
  <c r="K2" i="103"/>
  <c r="L3" i="103"/>
  <c r="M3" i="104" l="1"/>
  <c r="L2" i="104"/>
  <c r="L14" i="104"/>
  <c r="M15" i="104"/>
  <c r="K123" i="104"/>
  <c r="J122" i="104"/>
  <c r="K87" i="104"/>
  <c r="J86" i="104"/>
  <c r="L134" i="104"/>
  <c r="M135" i="104"/>
  <c r="L110" i="104"/>
  <c r="M111" i="104"/>
  <c r="L98" i="104"/>
  <c r="M99" i="104"/>
  <c r="L74" i="104"/>
  <c r="M75" i="104"/>
  <c r="M63" i="104"/>
  <c r="L62" i="104"/>
  <c r="L50" i="104"/>
  <c r="M51" i="104"/>
  <c r="L38" i="104"/>
  <c r="M39" i="104"/>
  <c r="L26" i="104"/>
  <c r="M27" i="104"/>
  <c r="K75" i="103"/>
  <c r="J74" i="103"/>
  <c r="K87" i="103"/>
  <c r="J86" i="103"/>
  <c r="M134" i="103"/>
  <c r="N135" i="103"/>
  <c r="L122" i="103"/>
  <c r="M123" i="103"/>
  <c r="L110" i="103"/>
  <c r="M111" i="103"/>
  <c r="L98" i="103"/>
  <c r="M99" i="103"/>
  <c r="M62" i="103"/>
  <c r="N63" i="103"/>
  <c r="L50" i="103"/>
  <c r="M51" i="103"/>
  <c r="L38" i="103"/>
  <c r="M39" i="103"/>
  <c r="L26" i="103"/>
  <c r="M27" i="103"/>
  <c r="L14" i="103"/>
  <c r="M15" i="103"/>
  <c r="L2" i="103"/>
  <c r="M3" i="103"/>
  <c r="M2" i="104" l="1"/>
  <c r="N3" i="104"/>
  <c r="M14" i="104"/>
  <c r="N15" i="104"/>
  <c r="K86" i="104"/>
  <c r="L87" i="104"/>
  <c r="L123" i="104"/>
  <c r="K122" i="104"/>
  <c r="M134" i="104"/>
  <c r="N135" i="104"/>
  <c r="M110" i="104"/>
  <c r="N111" i="104"/>
  <c r="M98" i="104"/>
  <c r="N99" i="104"/>
  <c r="M74" i="104"/>
  <c r="N75" i="104"/>
  <c r="M62" i="104"/>
  <c r="N63" i="104"/>
  <c r="M50" i="104"/>
  <c r="N51" i="104"/>
  <c r="M38" i="104"/>
  <c r="N39" i="104"/>
  <c r="M26" i="104"/>
  <c r="N27" i="104"/>
  <c r="L87" i="103"/>
  <c r="K86" i="103"/>
  <c r="L75" i="103"/>
  <c r="K74" i="103"/>
  <c r="N134" i="103"/>
  <c r="O135" i="103"/>
  <c r="M122" i="103"/>
  <c r="N123" i="103"/>
  <c r="M110" i="103"/>
  <c r="N111" i="103"/>
  <c r="M98" i="103"/>
  <c r="N99" i="103"/>
  <c r="N62" i="103"/>
  <c r="O63" i="103"/>
  <c r="M50" i="103"/>
  <c r="N51" i="103"/>
  <c r="M38" i="103"/>
  <c r="N39" i="103"/>
  <c r="M26" i="103"/>
  <c r="N27" i="103"/>
  <c r="M14" i="103"/>
  <c r="N15" i="103"/>
  <c r="M2" i="103"/>
  <c r="N3" i="103"/>
  <c r="N2" i="104" l="1"/>
  <c r="O3" i="104"/>
  <c r="O15" i="104"/>
  <c r="N14" i="104"/>
  <c r="M123" i="104"/>
  <c r="L122" i="104"/>
  <c r="L86" i="104"/>
  <c r="M87" i="104"/>
  <c r="N134" i="104"/>
  <c r="O135" i="104"/>
  <c r="N110" i="104"/>
  <c r="O111" i="104"/>
  <c r="N98" i="104"/>
  <c r="O99" i="104"/>
  <c r="N74" i="104"/>
  <c r="O75" i="104"/>
  <c r="N62" i="104"/>
  <c r="O63" i="104"/>
  <c r="N50" i="104"/>
  <c r="O51" i="104"/>
  <c r="N38" i="104"/>
  <c r="O39" i="104"/>
  <c r="N26" i="104"/>
  <c r="O27" i="104"/>
  <c r="L74" i="103"/>
  <c r="M75" i="103"/>
  <c r="L86" i="103"/>
  <c r="M87" i="103"/>
  <c r="O134" i="103"/>
  <c r="P135" i="103"/>
  <c r="N122" i="103"/>
  <c r="O123" i="103"/>
  <c r="O111" i="103"/>
  <c r="N110" i="103"/>
  <c r="N98" i="103"/>
  <c r="O99" i="103"/>
  <c r="O62" i="103"/>
  <c r="P63" i="103"/>
  <c r="N50" i="103"/>
  <c r="O51" i="103"/>
  <c r="N38" i="103"/>
  <c r="O39" i="103"/>
  <c r="N26" i="103"/>
  <c r="O27" i="103"/>
  <c r="N14" i="103"/>
  <c r="O15" i="103"/>
  <c r="N2" i="103"/>
  <c r="O3" i="103"/>
  <c r="P3" i="104" l="1"/>
  <c r="O2" i="104"/>
  <c r="O14" i="104"/>
  <c r="P15" i="104"/>
  <c r="M86" i="104"/>
  <c r="N87" i="104"/>
  <c r="N123" i="104"/>
  <c r="M122" i="104"/>
  <c r="O134" i="104"/>
  <c r="P135" i="104"/>
  <c r="O110" i="104"/>
  <c r="P111" i="104"/>
  <c r="O98" i="104"/>
  <c r="P99" i="104"/>
  <c r="O74" i="104"/>
  <c r="P75" i="104"/>
  <c r="P63" i="104"/>
  <c r="O62" i="104"/>
  <c r="O50" i="104"/>
  <c r="P51" i="104"/>
  <c r="O38" i="104"/>
  <c r="P39" i="104"/>
  <c r="O26" i="104"/>
  <c r="P27" i="104"/>
  <c r="M74" i="103"/>
  <c r="N75" i="103"/>
  <c r="N87" i="103"/>
  <c r="M86" i="103"/>
  <c r="P134" i="103"/>
  <c r="Q135" i="103"/>
  <c r="O122" i="103"/>
  <c r="P123" i="103"/>
  <c r="O110" i="103"/>
  <c r="P111" i="103"/>
  <c r="O98" i="103"/>
  <c r="P99" i="103"/>
  <c r="P62" i="103"/>
  <c r="Q63" i="103"/>
  <c r="O50" i="103"/>
  <c r="P51" i="103"/>
  <c r="O38" i="103"/>
  <c r="P39" i="103"/>
  <c r="O26" i="103"/>
  <c r="P27" i="103"/>
  <c r="O14" i="103"/>
  <c r="P15" i="103"/>
  <c r="O2" i="103"/>
  <c r="P3" i="103"/>
  <c r="P2" i="104" l="1"/>
  <c r="Q3" i="104"/>
  <c r="Q15" i="104"/>
  <c r="P14" i="104"/>
  <c r="N122" i="104"/>
  <c r="O123" i="104"/>
  <c r="N86" i="104"/>
  <c r="O87" i="104"/>
  <c r="Q135" i="104"/>
  <c r="P134" i="104"/>
  <c r="P110" i="104"/>
  <c r="Q111" i="104"/>
  <c r="P98" i="104"/>
  <c r="Q99" i="104"/>
  <c r="P74" i="104"/>
  <c r="Q75" i="104"/>
  <c r="Q63" i="104"/>
  <c r="P62" i="104"/>
  <c r="P50" i="104"/>
  <c r="Q51" i="104"/>
  <c r="P38" i="104"/>
  <c r="Q39" i="104"/>
  <c r="P26" i="104"/>
  <c r="Q27" i="104"/>
  <c r="N86" i="103"/>
  <c r="O87" i="103"/>
  <c r="N74" i="103"/>
  <c r="O75" i="103"/>
  <c r="Q134" i="103"/>
  <c r="R135" i="103"/>
  <c r="P122" i="103"/>
  <c r="Q123" i="103"/>
  <c r="Q111" i="103"/>
  <c r="P110" i="103"/>
  <c r="P98" i="103"/>
  <c r="Q99" i="103"/>
  <c r="Q62" i="103"/>
  <c r="R63" i="103"/>
  <c r="P50" i="103"/>
  <c r="Q51" i="103"/>
  <c r="P38" i="103"/>
  <c r="Q39" i="103"/>
  <c r="P26" i="103"/>
  <c r="Q27" i="103"/>
  <c r="P14" i="103"/>
  <c r="Q15" i="103"/>
  <c r="P2" i="103"/>
  <c r="Q3" i="103"/>
  <c r="Q2" i="104" l="1"/>
  <c r="R3" i="104"/>
  <c r="R15" i="104"/>
  <c r="Q14" i="104"/>
  <c r="P87" i="104"/>
  <c r="O86" i="104"/>
  <c r="P123" i="104"/>
  <c r="O122" i="104"/>
  <c r="Q134" i="104"/>
  <c r="R135" i="104"/>
  <c r="Q110" i="104"/>
  <c r="R111" i="104"/>
  <c r="Q98" i="104"/>
  <c r="R99" i="104"/>
  <c r="Q74" i="104"/>
  <c r="R75" i="104"/>
  <c r="R63" i="104"/>
  <c r="Q62" i="104"/>
  <c r="Q50" i="104"/>
  <c r="R51" i="104"/>
  <c r="Q38" i="104"/>
  <c r="R39" i="104"/>
  <c r="Q26" i="104"/>
  <c r="R27" i="104"/>
  <c r="P87" i="103"/>
  <c r="O86" i="103"/>
  <c r="P75" i="103"/>
  <c r="O74" i="103"/>
  <c r="R134" i="103"/>
  <c r="S135" i="103"/>
  <c r="Q122" i="103"/>
  <c r="R123" i="103"/>
  <c r="Q110" i="103"/>
  <c r="R111" i="103"/>
  <c r="Q98" i="103"/>
  <c r="R99" i="103"/>
  <c r="R62" i="103"/>
  <c r="S63" i="103"/>
  <c r="Q50" i="103"/>
  <c r="R51" i="103"/>
  <c r="Q38" i="103"/>
  <c r="R39" i="103"/>
  <c r="Q26" i="103"/>
  <c r="R27" i="103"/>
  <c r="Q14" i="103"/>
  <c r="R15" i="103"/>
  <c r="Q2" i="103"/>
  <c r="R3" i="103"/>
  <c r="S3" i="104" l="1"/>
  <c r="R2" i="104"/>
  <c r="S15" i="104"/>
  <c r="R14" i="104"/>
  <c r="P122" i="104"/>
  <c r="Q123" i="104"/>
  <c r="P86" i="104"/>
  <c r="Q87" i="104"/>
  <c r="R134" i="104"/>
  <c r="S135" i="104"/>
  <c r="R110" i="104"/>
  <c r="S111" i="104"/>
  <c r="R98" i="104"/>
  <c r="S99" i="104"/>
  <c r="R74" i="104"/>
  <c r="S75" i="104"/>
  <c r="R62" i="104"/>
  <c r="S63" i="104"/>
  <c r="R50" i="104"/>
  <c r="S51" i="104"/>
  <c r="R38" i="104"/>
  <c r="S39" i="104"/>
  <c r="R26" i="104"/>
  <c r="S27" i="104"/>
  <c r="Q75" i="103"/>
  <c r="P74" i="103"/>
  <c r="P86" i="103"/>
  <c r="Q87" i="103"/>
  <c r="T135" i="103"/>
  <c r="S134" i="103"/>
  <c r="R122" i="103"/>
  <c r="S123" i="103"/>
  <c r="R110" i="103"/>
  <c r="S111" i="103"/>
  <c r="R98" i="103"/>
  <c r="S99" i="103"/>
  <c r="S62" i="103"/>
  <c r="T63" i="103"/>
  <c r="R50" i="103"/>
  <c r="S51" i="103"/>
  <c r="R38" i="103"/>
  <c r="S39" i="103"/>
  <c r="R26" i="103"/>
  <c r="S27" i="103"/>
  <c r="R14" i="103"/>
  <c r="S15" i="103"/>
  <c r="R2" i="103"/>
  <c r="S3" i="103"/>
  <c r="S2" i="104" l="1"/>
  <c r="T3" i="104"/>
  <c r="S14" i="104"/>
  <c r="T15" i="104"/>
  <c r="R123" i="104"/>
  <c r="Q122" i="104"/>
  <c r="R87" i="104"/>
  <c r="Q86" i="104"/>
  <c r="T135" i="104"/>
  <c r="S134" i="104"/>
  <c r="T111" i="104"/>
  <c r="S110" i="104"/>
  <c r="T99" i="104"/>
  <c r="S98" i="104"/>
  <c r="T75" i="104"/>
  <c r="S74" i="104"/>
  <c r="T63" i="104"/>
  <c r="S62" i="104"/>
  <c r="T51" i="104"/>
  <c r="S50" i="104"/>
  <c r="T39" i="104"/>
  <c r="S38" i="104"/>
  <c r="T27" i="104"/>
  <c r="S26" i="104"/>
  <c r="R87" i="103"/>
  <c r="Q86" i="103"/>
  <c r="Q74" i="103"/>
  <c r="R75" i="103"/>
  <c r="T134" i="103"/>
  <c r="U135" i="103"/>
  <c r="S122" i="103"/>
  <c r="T123" i="103"/>
  <c r="T111" i="103"/>
  <c r="S110" i="103"/>
  <c r="T99" i="103"/>
  <c r="S98" i="103"/>
  <c r="T62" i="103"/>
  <c r="U63" i="103"/>
  <c r="T51" i="103"/>
  <c r="S50" i="103"/>
  <c r="T39" i="103"/>
  <c r="S38" i="103"/>
  <c r="T27" i="103"/>
  <c r="S26" i="103"/>
  <c r="S14" i="103"/>
  <c r="T15" i="103"/>
  <c r="S2" i="103"/>
  <c r="T3" i="103"/>
  <c r="T2" i="104" l="1"/>
  <c r="U3" i="104"/>
  <c r="T14" i="104"/>
  <c r="U15" i="104"/>
  <c r="R86" i="104"/>
  <c r="S87" i="104"/>
  <c r="R122" i="104"/>
  <c r="S123" i="104"/>
  <c r="U135" i="104"/>
  <c r="T134" i="104"/>
  <c r="U111" i="104"/>
  <c r="T110" i="104"/>
  <c r="U99" i="104"/>
  <c r="T98" i="104"/>
  <c r="U75" i="104"/>
  <c r="T74" i="104"/>
  <c r="U63" i="104"/>
  <c r="T62" i="104"/>
  <c r="U51" i="104"/>
  <c r="T50" i="104"/>
  <c r="U39" i="104"/>
  <c r="T38" i="104"/>
  <c r="U27" i="104"/>
  <c r="T26" i="104"/>
  <c r="R74" i="103"/>
  <c r="S75" i="103"/>
  <c r="R86" i="103"/>
  <c r="S87" i="103"/>
  <c r="V135" i="103"/>
  <c r="U134" i="103"/>
  <c r="T122" i="103"/>
  <c r="U123" i="103"/>
  <c r="U111" i="103"/>
  <c r="T110" i="103"/>
  <c r="U99" i="103"/>
  <c r="T98" i="103"/>
  <c r="V63" i="103"/>
  <c r="U62" i="103"/>
  <c r="U51" i="103"/>
  <c r="T50" i="103"/>
  <c r="U39" i="103"/>
  <c r="T38" i="103"/>
  <c r="U27" i="103"/>
  <c r="T26" i="103"/>
  <c r="T14" i="103"/>
  <c r="U15" i="103"/>
  <c r="T2" i="103"/>
  <c r="U3" i="103"/>
  <c r="U2" i="104" l="1"/>
  <c r="V3" i="104"/>
  <c r="U14" i="104"/>
  <c r="V15" i="104"/>
  <c r="T87" i="104"/>
  <c r="S86" i="104"/>
  <c r="S122" i="104"/>
  <c r="T123" i="104"/>
  <c r="U134" i="104"/>
  <c r="V135" i="104"/>
  <c r="V111" i="104"/>
  <c r="U110" i="104"/>
  <c r="U98" i="104"/>
  <c r="V99" i="104"/>
  <c r="U74" i="104"/>
  <c r="V75" i="104"/>
  <c r="V63" i="104"/>
  <c r="U62" i="104"/>
  <c r="U50" i="104"/>
  <c r="V51" i="104"/>
  <c r="U38" i="104"/>
  <c r="V39" i="104"/>
  <c r="U26" i="104"/>
  <c r="V27" i="104"/>
  <c r="S74" i="103"/>
  <c r="T75" i="103"/>
  <c r="T87" i="103"/>
  <c r="S86" i="103"/>
  <c r="W135" i="103"/>
  <c r="V134" i="103"/>
  <c r="V123" i="103"/>
  <c r="U122" i="103"/>
  <c r="U110" i="103"/>
  <c r="V111" i="103"/>
  <c r="U98" i="103"/>
  <c r="V99" i="103"/>
  <c r="W63" i="103"/>
  <c r="V62" i="103"/>
  <c r="U50" i="103"/>
  <c r="V51" i="103"/>
  <c r="U38" i="103"/>
  <c r="V39" i="103"/>
  <c r="U26" i="103"/>
  <c r="V27" i="103"/>
  <c r="V15" i="103"/>
  <c r="U14" i="103"/>
  <c r="V3" i="103"/>
  <c r="U2" i="103"/>
  <c r="V2" i="104" l="1"/>
  <c r="W3" i="104"/>
  <c r="V14" i="104"/>
  <c r="W15" i="104"/>
  <c r="U123" i="104"/>
  <c r="T122" i="104"/>
  <c r="U87" i="104"/>
  <c r="T86" i="104"/>
  <c r="V134" i="104"/>
  <c r="W135" i="104"/>
  <c r="V110" i="104"/>
  <c r="W111" i="104"/>
  <c r="V98" i="104"/>
  <c r="W99" i="104"/>
  <c r="V74" i="104"/>
  <c r="W75" i="104"/>
  <c r="V62" i="104"/>
  <c r="W63" i="104"/>
  <c r="W51" i="104"/>
  <c r="V50" i="104"/>
  <c r="V38" i="104"/>
  <c r="W39" i="104"/>
  <c r="W27" i="104"/>
  <c r="V26" i="104"/>
  <c r="U75" i="103"/>
  <c r="T74" i="103"/>
  <c r="U87" i="103"/>
  <c r="T86" i="103"/>
  <c r="W134" i="103"/>
  <c r="X135" i="103"/>
  <c r="W123" i="103"/>
  <c r="V122" i="103"/>
  <c r="V110" i="103"/>
  <c r="W111" i="103"/>
  <c r="V98" i="103"/>
  <c r="W99" i="103"/>
  <c r="W62" i="103"/>
  <c r="X63" i="103"/>
  <c r="V50" i="103"/>
  <c r="W51" i="103"/>
  <c r="V38" i="103"/>
  <c r="W39" i="103"/>
  <c r="V26" i="103"/>
  <c r="W27" i="103"/>
  <c r="W15" i="103"/>
  <c r="V14" i="103"/>
  <c r="W3" i="103"/>
  <c r="V2" i="103"/>
  <c r="W2" i="104" l="1"/>
  <c r="X3" i="104"/>
  <c r="W14" i="104"/>
  <c r="X15" i="104"/>
  <c r="V87" i="104"/>
  <c r="U86" i="104"/>
  <c r="V123" i="104"/>
  <c r="U122" i="104"/>
  <c r="X135" i="104"/>
  <c r="W134" i="104"/>
  <c r="W110" i="104"/>
  <c r="X111" i="104"/>
  <c r="W98" i="104"/>
  <c r="X99" i="104"/>
  <c r="W74" i="104"/>
  <c r="X75" i="104"/>
  <c r="W62" i="104"/>
  <c r="X63" i="104"/>
  <c r="W50" i="104"/>
  <c r="X51" i="104"/>
  <c r="W38" i="104"/>
  <c r="X39" i="104"/>
  <c r="W26" i="104"/>
  <c r="X27" i="104"/>
  <c r="V87" i="103"/>
  <c r="U86" i="103"/>
  <c r="V75" i="103"/>
  <c r="U74" i="103"/>
  <c r="X134" i="103"/>
  <c r="Y135" i="103"/>
  <c r="W122" i="103"/>
  <c r="X123" i="103"/>
  <c r="W110" i="103"/>
  <c r="X111" i="103"/>
  <c r="W98" i="103"/>
  <c r="X99" i="103"/>
  <c r="X62" i="103"/>
  <c r="Y63" i="103"/>
  <c r="W50" i="103"/>
  <c r="X51" i="103"/>
  <c r="W38" i="103"/>
  <c r="X39" i="103"/>
  <c r="W26" i="103"/>
  <c r="X27" i="103"/>
  <c r="W14" i="103"/>
  <c r="X15" i="103"/>
  <c r="W2" i="103"/>
  <c r="X3" i="103"/>
  <c r="X2" i="104" l="1"/>
  <c r="Y3" i="104"/>
  <c r="X14" i="104"/>
  <c r="Y15" i="104"/>
  <c r="W123" i="104"/>
  <c r="V122" i="104"/>
  <c r="V86" i="104"/>
  <c r="W87" i="104"/>
  <c r="Y135" i="104"/>
  <c r="X134" i="104"/>
  <c r="X110" i="104"/>
  <c r="Y111" i="104"/>
  <c r="X98" i="104"/>
  <c r="Y99" i="104"/>
  <c r="X74" i="104"/>
  <c r="Y75" i="104"/>
  <c r="X62" i="104"/>
  <c r="Y63" i="104"/>
  <c r="Y51" i="104"/>
  <c r="X50" i="104"/>
  <c r="Y39" i="104"/>
  <c r="X38" i="104"/>
  <c r="X26" i="104"/>
  <c r="Y27" i="104"/>
  <c r="V74" i="103"/>
  <c r="W75" i="103"/>
  <c r="V86" i="103"/>
  <c r="W87" i="103"/>
  <c r="Y134" i="103"/>
  <c r="Z135" i="103"/>
  <c r="X122" i="103"/>
  <c r="Y123" i="103"/>
  <c r="X110" i="103"/>
  <c r="Y111" i="103"/>
  <c r="X98" i="103"/>
  <c r="Y99" i="103"/>
  <c r="Y62" i="103"/>
  <c r="Z63" i="103"/>
  <c r="X50" i="103"/>
  <c r="Y51" i="103"/>
  <c r="X38" i="103"/>
  <c r="Y39" i="103"/>
  <c r="X26" i="103"/>
  <c r="Y27" i="103"/>
  <c r="X14" i="103"/>
  <c r="Y15" i="103"/>
  <c r="X2" i="103"/>
  <c r="Y3" i="103"/>
  <c r="Z3" i="104" l="1"/>
  <c r="Y2" i="104"/>
  <c r="Y14" i="104"/>
  <c r="Z15" i="104"/>
  <c r="W86" i="104"/>
  <c r="X87" i="104"/>
  <c r="X123" i="104"/>
  <c r="W122" i="104"/>
  <c r="Y134" i="104"/>
  <c r="Z135" i="104"/>
  <c r="Y110" i="104"/>
  <c r="Z111" i="104"/>
  <c r="Y98" i="104"/>
  <c r="Z99" i="104"/>
  <c r="Y74" i="104"/>
  <c r="Z75" i="104"/>
  <c r="Y62" i="104"/>
  <c r="Z63" i="104"/>
  <c r="Y50" i="104"/>
  <c r="Z51" i="104"/>
  <c r="Y38" i="104"/>
  <c r="Z39" i="104"/>
  <c r="Y26" i="104"/>
  <c r="Z27" i="104"/>
  <c r="W86" i="103"/>
  <c r="X87" i="103"/>
  <c r="W74" i="103"/>
  <c r="X75" i="103"/>
  <c r="Z134" i="103"/>
  <c r="AA135" i="103"/>
  <c r="Y122" i="103"/>
  <c r="Z123" i="103"/>
  <c r="Y110" i="103"/>
  <c r="Z111" i="103"/>
  <c r="Y98" i="103"/>
  <c r="Z99" i="103"/>
  <c r="Z62" i="103"/>
  <c r="AA63" i="103"/>
  <c r="Y50" i="103"/>
  <c r="Z51" i="103"/>
  <c r="Y38" i="103"/>
  <c r="Z39" i="103"/>
  <c r="Y26" i="103"/>
  <c r="Z27" i="103"/>
  <c r="Y14" i="103"/>
  <c r="Z15" i="103"/>
  <c r="Y2" i="103"/>
  <c r="Z3" i="103"/>
  <c r="AA3" i="104" l="1"/>
  <c r="Z2" i="104"/>
  <c r="Z14" i="104"/>
  <c r="AA15" i="104"/>
  <c r="X122" i="104"/>
  <c r="Y123" i="104"/>
  <c r="Y87" i="104"/>
  <c r="X86" i="104"/>
  <c r="Z134" i="104"/>
  <c r="AA135" i="104"/>
  <c r="Z110" i="104"/>
  <c r="AA111" i="104"/>
  <c r="Z98" i="104"/>
  <c r="AA99" i="104"/>
  <c r="Z74" i="104"/>
  <c r="AA75" i="104"/>
  <c r="Z62" i="104"/>
  <c r="AA63" i="104"/>
  <c r="Z50" i="104"/>
  <c r="AA51" i="104"/>
  <c r="Z38" i="104"/>
  <c r="AA39" i="104"/>
  <c r="Z26" i="104"/>
  <c r="AA27" i="104"/>
  <c r="X86" i="103"/>
  <c r="Y87" i="103"/>
  <c r="X74" i="103"/>
  <c r="Y75" i="103"/>
  <c r="AA134" i="103"/>
  <c r="AB135" i="103"/>
  <c r="Z122" i="103"/>
  <c r="AA123" i="103"/>
  <c r="Z110" i="103"/>
  <c r="AA111" i="103"/>
  <c r="Z98" i="103"/>
  <c r="AA99" i="103"/>
  <c r="AA62" i="103"/>
  <c r="AB63" i="103"/>
  <c r="Z50" i="103"/>
  <c r="AA51" i="103"/>
  <c r="Z38" i="103"/>
  <c r="AA39" i="103"/>
  <c r="Z26" i="103"/>
  <c r="AA27" i="103"/>
  <c r="Z14" i="103"/>
  <c r="AA15" i="103"/>
  <c r="Z2" i="103"/>
  <c r="AA3" i="103"/>
  <c r="AA2" i="104" l="1"/>
  <c r="AB3" i="104"/>
  <c r="AA14" i="104"/>
  <c r="AB15" i="104"/>
  <c r="Y86" i="104"/>
  <c r="Z87" i="104"/>
  <c r="Y122" i="104"/>
  <c r="Z123" i="104"/>
  <c r="AA134" i="104"/>
  <c r="AB135" i="104"/>
  <c r="AA110" i="104"/>
  <c r="AB111" i="104"/>
  <c r="AA98" i="104"/>
  <c r="AB99" i="104"/>
  <c r="AA74" i="104"/>
  <c r="AB75" i="104"/>
  <c r="AA62" i="104"/>
  <c r="AB63" i="104"/>
  <c r="AA50" i="104"/>
  <c r="AB51" i="104"/>
  <c r="AA38" i="104"/>
  <c r="AB39" i="104"/>
  <c r="AA26" i="104"/>
  <c r="AB27" i="104"/>
  <c r="Z87" i="103"/>
  <c r="Y86" i="103"/>
  <c r="Y74" i="103"/>
  <c r="Z75" i="103"/>
  <c r="AB134" i="103"/>
  <c r="AC135" i="103"/>
  <c r="AA122" i="103"/>
  <c r="AB123" i="103"/>
  <c r="AA110" i="103"/>
  <c r="AB111" i="103"/>
  <c r="AA98" i="103"/>
  <c r="AB99" i="103"/>
  <c r="AB62" i="103"/>
  <c r="AC63" i="103"/>
  <c r="AA50" i="103"/>
  <c r="AB51" i="103"/>
  <c r="AA38" i="103"/>
  <c r="AB39" i="103"/>
  <c r="AA26" i="103"/>
  <c r="AB27" i="103"/>
  <c r="AA14" i="103"/>
  <c r="AB15" i="103"/>
  <c r="AA2" i="103"/>
  <c r="AB3" i="103"/>
  <c r="AB2" i="104" l="1"/>
  <c r="AC3" i="104"/>
  <c r="AB14" i="104"/>
  <c r="AC15" i="104"/>
  <c r="Z86" i="104"/>
  <c r="AA87" i="104"/>
  <c r="Z122" i="104"/>
  <c r="AA123" i="104"/>
  <c r="AC135" i="104"/>
  <c r="AB134" i="104"/>
  <c r="AB110" i="104"/>
  <c r="AC111" i="104"/>
  <c r="AB98" i="104"/>
  <c r="AC99" i="104"/>
  <c r="AB74" i="104"/>
  <c r="AC75" i="104"/>
  <c r="AB62" i="104"/>
  <c r="AC63" i="104"/>
  <c r="AB50" i="104"/>
  <c r="AC51" i="104"/>
  <c r="AB38" i="104"/>
  <c r="AC39" i="104"/>
  <c r="AB26" i="104"/>
  <c r="AC27" i="104"/>
  <c r="AA75" i="103"/>
  <c r="Z74" i="103"/>
  <c r="AA87" i="103"/>
  <c r="Z86" i="103"/>
  <c r="AC134" i="103"/>
  <c r="AD135" i="103"/>
  <c r="AB122" i="103"/>
  <c r="AC123" i="103"/>
  <c r="AB110" i="103"/>
  <c r="AC111" i="103"/>
  <c r="AB98" i="103"/>
  <c r="AC99" i="103"/>
  <c r="AC62" i="103"/>
  <c r="AD63" i="103"/>
  <c r="AB50" i="103"/>
  <c r="AC51" i="103"/>
  <c r="AB38" i="103"/>
  <c r="AC39" i="103"/>
  <c r="AB26" i="103"/>
  <c r="AC27" i="103"/>
  <c r="AB14" i="103"/>
  <c r="AC15" i="103"/>
  <c r="AB2" i="103"/>
  <c r="AC3" i="103"/>
  <c r="AC2" i="104" l="1"/>
  <c r="AD3" i="104"/>
  <c r="AD15" i="104"/>
  <c r="AC14" i="104"/>
  <c r="AA86" i="104"/>
  <c r="AB87" i="104"/>
  <c r="AB123" i="104"/>
  <c r="AA122" i="104"/>
  <c r="AC134" i="104"/>
  <c r="AD135" i="104"/>
  <c r="AC110" i="104"/>
  <c r="AD111" i="104"/>
  <c r="AC98" i="104"/>
  <c r="AD99" i="104"/>
  <c r="AC74" i="104"/>
  <c r="AD75" i="104"/>
  <c r="AD63" i="104"/>
  <c r="AC62" i="104"/>
  <c r="AC50" i="104"/>
  <c r="AD51" i="104"/>
  <c r="AC38" i="104"/>
  <c r="AD39" i="104"/>
  <c r="AC26" i="104"/>
  <c r="AD27" i="104"/>
  <c r="AA86" i="103"/>
  <c r="AB87" i="103"/>
  <c r="AA74" i="103"/>
  <c r="AB75" i="103"/>
  <c r="AD134" i="103"/>
  <c r="AE135" i="103"/>
  <c r="AC122" i="103"/>
  <c r="AD123" i="103"/>
  <c r="AD111" i="103"/>
  <c r="AC110" i="103"/>
  <c r="AC98" i="103"/>
  <c r="AD99" i="103"/>
  <c r="AD62" i="103"/>
  <c r="AE63" i="103"/>
  <c r="AC50" i="103"/>
  <c r="AD51" i="103"/>
  <c r="AC38" i="103"/>
  <c r="AD39" i="103"/>
  <c r="AC26" i="103"/>
  <c r="AD27" i="103"/>
  <c r="AC14" i="103"/>
  <c r="AD15" i="103"/>
  <c r="AC2" i="103"/>
  <c r="AD3" i="103"/>
  <c r="AD2" i="104" l="1"/>
  <c r="AE3" i="104"/>
  <c r="AD14" i="104"/>
  <c r="AE15" i="104"/>
  <c r="AB122" i="104"/>
  <c r="AC123" i="104"/>
  <c r="AC87" i="104"/>
  <c r="AB86" i="104"/>
  <c r="AD134" i="104"/>
  <c r="AE135" i="104"/>
  <c r="AD110" i="104"/>
  <c r="AE111" i="104"/>
  <c r="AD98" i="104"/>
  <c r="AE99" i="104"/>
  <c r="AD74" i="104"/>
  <c r="AE75" i="104"/>
  <c r="AD62" i="104"/>
  <c r="AE63" i="104"/>
  <c r="AD50" i="104"/>
  <c r="AE51" i="104"/>
  <c r="AD38" i="104"/>
  <c r="AE39" i="104"/>
  <c r="AD26" i="104"/>
  <c r="AE27" i="104"/>
  <c r="AC87" i="103"/>
  <c r="AB86" i="103"/>
  <c r="AC75" i="103"/>
  <c r="AB74" i="103"/>
  <c r="AE134" i="103"/>
  <c r="AF135" i="103"/>
  <c r="AD122" i="103"/>
  <c r="AE123" i="103"/>
  <c r="AD110" i="103"/>
  <c r="AE111" i="103"/>
  <c r="AE99" i="103"/>
  <c r="AD98" i="103"/>
  <c r="AE62" i="103"/>
  <c r="AF63" i="103"/>
  <c r="AD50" i="103"/>
  <c r="AE51" i="103"/>
  <c r="AD38" i="103"/>
  <c r="AE39" i="103"/>
  <c r="AD26" i="103"/>
  <c r="AE27" i="103"/>
  <c r="AD14" i="103"/>
  <c r="AE15" i="103"/>
  <c r="AD2" i="103"/>
  <c r="AE3" i="103"/>
  <c r="AF3" i="104" l="1"/>
  <c r="AE2" i="104"/>
  <c r="AE14" i="104"/>
  <c r="AF15" i="104"/>
  <c r="AD87" i="104"/>
  <c r="AC86" i="104"/>
  <c r="AD123" i="104"/>
  <c r="AC122" i="104"/>
  <c r="AE134" i="104"/>
  <c r="AF135" i="104"/>
  <c r="AE110" i="104"/>
  <c r="AF111" i="104"/>
  <c r="AE98" i="104"/>
  <c r="AF99" i="104"/>
  <c r="AE74" i="104"/>
  <c r="AF75" i="104"/>
  <c r="AE62" i="104"/>
  <c r="AF63" i="104"/>
  <c r="AE50" i="104"/>
  <c r="AF51" i="104"/>
  <c r="AE38" i="104"/>
  <c r="AF39" i="104"/>
  <c r="AE26" i="104"/>
  <c r="AF27" i="104"/>
  <c r="AC74" i="103"/>
  <c r="AD75" i="103"/>
  <c r="AC86" i="103"/>
  <c r="AD87" i="103"/>
  <c r="AF134" i="103"/>
  <c r="AG135" i="103"/>
  <c r="AG134" i="103" s="1"/>
  <c r="AE122" i="103"/>
  <c r="AF123" i="103"/>
  <c r="AE110" i="103"/>
  <c r="AF111" i="103"/>
  <c r="AF99" i="103"/>
  <c r="AE98" i="103"/>
  <c r="AF62" i="103"/>
  <c r="AG63" i="103"/>
  <c r="AG62" i="103" s="1"/>
  <c r="AF51" i="103"/>
  <c r="AE50" i="103"/>
  <c r="AE38" i="103"/>
  <c r="AF39" i="103"/>
  <c r="AE26" i="103"/>
  <c r="AF27" i="103"/>
  <c r="AE14" i="103"/>
  <c r="AF15" i="103"/>
  <c r="AE2" i="103"/>
  <c r="AF3" i="103"/>
  <c r="AG3" i="104" l="1"/>
  <c r="AG2" i="104" s="1"/>
  <c r="AF2" i="104"/>
  <c r="AF14" i="104"/>
  <c r="AG15" i="104"/>
  <c r="AG14" i="104" s="1"/>
  <c r="AD122" i="104"/>
  <c r="AE123" i="104"/>
  <c r="AE87" i="104"/>
  <c r="AD86" i="104"/>
  <c r="AF134" i="104"/>
  <c r="AG135" i="104"/>
  <c r="AG134" i="104" s="1"/>
  <c r="AF110" i="104"/>
  <c r="AG111" i="104"/>
  <c r="AG110" i="104" s="1"/>
  <c r="AF98" i="104"/>
  <c r="AG99" i="104"/>
  <c r="AG98" i="104" s="1"/>
  <c r="AF74" i="104"/>
  <c r="AG75" i="104"/>
  <c r="AG74" i="104" s="1"/>
  <c r="AF62" i="104"/>
  <c r="AG63" i="104"/>
  <c r="AG62" i="104" s="1"/>
  <c r="AF50" i="104"/>
  <c r="AG51" i="104"/>
  <c r="AG50" i="104" s="1"/>
  <c r="AF38" i="104"/>
  <c r="AG39" i="104"/>
  <c r="AG38" i="104" s="1"/>
  <c r="AF26" i="104"/>
  <c r="AG27" i="104"/>
  <c r="AG26" i="104" s="1"/>
  <c r="AE75" i="103"/>
  <c r="AD74" i="103"/>
  <c r="AD86" i="103"/>
  <c r="AE87" i="103"/>
  <c r="AF122" i="103"/>
  <c r="AG123" i="103"/>
  <c r="AG122" i="103" s="1"/>
  <c r="AF110" i="103"/>
  <c r="AG111" i="103"/>
  <c r="AG110" i="103" s="1"/>
  <c r="AF98" i="103"/>
  <c r="AG99" i="103"/>
  <c r="AG98" i="103" s="1"/>
  <c r="AG51" i="103"/>
  <c r="AG50" i="103" s="1"/>
  <c r="AF50" i="103"/>
  <c r="AF38" i="103"/>
  <c r="AG39" i="103"/>
  <c r="AG38" i="103" s="1"/>
  <c r="AF26" i="103"/>
  <c r="AG27" i="103"/>
  <c r="AG26" i="103" s="1"/>
  <c r="AF14" i="103"/>
  <c r="AG15" i="103"/>
  <c r="AG14" i="103" s="1"/>
  <c r="AF2" i="103"/>
  <c r="AG3" i="103"/>
  <c r="AG2" i="103" s="1"/>
  <c r="AF87" i="104" l="1"/>
  <c r="AE86" i="104"/>
  <c r="AE122" i="104"/>
  <c r="AF123" i="104"/>
  <c r="AF87" i="103"/>
  <c r="AE86" i="103"/>
  <c r="AF75" i="103"/>
  <c r="AE74" i="103"/>
  <c r="AG123" i="104" l="1"/>
  <c r="AG122" i="104" s="1"/>
  <c r="AF122" i="104"/>
  <c r="AF86" i="104"/>
  <c r="AG87" i="104"/>
  <c r="AG86" i="104" s="1"/>
  <c r="AF74" i="103"/>
  <c r="AG75" i="103"/>
  <c r="AG74" i="103" s="1"/>
  <c r="AG87" i="103"/>
  <c r="AG86" i="103" s="1"/>
  <c r="AF86" i="103"/>
</calcChain>
</file>

<file path=xl/sharedStrings.xml><?xml version="1.0" encoding="utf-8"?>
<sst xmlns="http://schemas.openxmlformats.org/spreadsheetml/2006/main" count="972" uniqueCount="34">
  <si>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</si>
  <si>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</si>
  <si>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</si>
  <si>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</si>
  <si>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</si>
  <si>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</si>
  <si>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</si>
  <si>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</si>
  <si>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</si>
  <si>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</si>
  <si>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</si>
  <si>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</si>
  <si>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</si>
  <si>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</si>
  <si>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</si>
  <si>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</si>
  <si>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</si>
  <si>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</si>
  <si>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</si>
  <si>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</si>
  <si>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</si>
  <si>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</si>
  <si>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</si>
  <si>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</si>
  <si>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</si>
  <si>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</si>
  <si>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</si>
  <si>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</si>
  <si>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</si>
  <si>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</si>
  <si>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</si>
  <si>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</si>
  <si>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出率</t>
  </si>
  <si>
    <t>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</si>
</sst>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AE9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n">
        <color rgb="FFBFBFBF"/>
      </top>
      <bottom/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176" fontId="0" fillId="0" borderId="1" xfId="0" applyNumberFormat="1" applyBorder="1" applyAlignment="1">
      <alignment horizontal="center" vertical="top"/>
    </xf>
    <xf numFmtId="177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0" fillId="3" borderId="0" xfId="0" applyFill="1" applyAlignment="1">
      <alignment horizontal="center" vertical="top"/>
    </xf>
    <xf numFmtId="0" fontId="0" fillId="3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79" fontId="0" fillId="0" borderId="0" xfId="0" applyNumberFormat="1" applyAlignment="1">
      <alignment horizontal="center" vertical="top"/>
    </xf>
    <xf numFmtId="180" fontId="0" fillId="3" borderId="0" xfId="0" applyNumberFormat="1" applyFill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0" fontId="0" fillId="0" borderId="7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178" fontId="2" fillId="4" borderId="0" xfId="0" applyNumberFormat="1" applyFont="1" applyFill="1" applyAlignment="1">
      <alignment horizontal="center" vertical="top"/>
    </xf>
    <xf numFmtId="182" fontId="2" fillId="4" borderId="0" xfId="0" applyNumberFormat="1" applyFont="1" applyFill="1" applyAlignment="1">
      <alignment horizontal="center" vertical="top"/>
    </xf>
    <xf numFmtId="14" fontId="2" fillId="4" borderId="0" xfId="0" applyNumberFormat="1" applyFont="1" applyFill="1" applyAlignment="1">
      <alignment horizontal="center" vertical="top"/>
    </xf>
    <xf numFmtId="0" fontId="0" fillId="0" borderId="13" xfId="0" applyBorder="1" applyAlignment="1">
      <alignment horizontal="left" vertical="top"/>
    </xf>
  </cellXfs>
  <cellStyles count="1">
    <cellStyle name="標準" xfId="0" builtinId="0"/>
  </cellStyles>
  <dxfs count="97">
    <dxf>
      <fill>
        <patternFill>
          <bgColor rgb="FFF2F2F2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7CC2-31D0-44E0-AC8A-163663C7AF24}">
  <sheetPr codeName="Sheet1"/>
  <dimension ref="A1:AJ144"/>
  <sheetViews>
    <sheetView showGridLines="0" tabSelected="1" workbookViewId="0"/>
  </sheetViews>
  <sheetFormatPr defaultRowHeight="18" outlineLevelRow="1" x14ac:dyDescent="0.45"/>
  <cols>
    <col min="1" max="1" width="3.69921875" style="1" customWidth="1"/>
    <col min="2" max="2" width="0.8984375" style="1" customWidth="1"/>
    <col min="3" max="33" width="3.69921875" style="1" customWidth="1"/>
    <col min="34" max="34" width="0.8984375" style="1" customWidth="1"/>
    <col min="35" max="36" width="8.69921875" style="1" customWidth="1"/>
    <col min="37" max="16384" width="8.796875" style="1"/>
  </cols>
  <sheetData>
    <row r="1" spans="1:36" x14ac:dyDescent="0.45">
      <c r="C1" s="36">
        <v>46388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6" outlineLevel="1" x14ac:dyDescent="0.45">
      <c r="C2" s="3" t="str">
        <f t="shared" ref="C2:AG2" si="0">TEXT(C3,"aaa")</f>
        <v>金</v>
      </c>
      <c r="D2" s="3" t="str">
        <f t="shared" si="0"/>
        <v>土</v>
      </c>
      <c r="E2" s="3" t="str">
        <f t="shared" si="0"/>
        <v>日</v>
      </c>
      <c r="F2" s="3" t="str">
        <f t="shared" si="0"/>
        <v>月</v>
      </c>
      <c r="G2" s="3" t="str">
        <f t="shared" si="0"/>
        <v>火</v>
      </c>
      <c r="H2" s="3" t="str">
        <f t="shared" si="0"/>
        <v>水</v>
      </c>
      <c r="I2" s="3" t="str">
        <f t="shared" si="0"/>
        <v>木</v>
      </c>
      <c r="J2" s="3" t="str">
        <f t="shared" si="0"/>
        <v>金</v>
      </c>
      <c r="K2" s="3" t="str">
        <f t="shared" si="0"/>
        <v>土</v>
      </c>
      <c r="L2" s="3" t="str">
        <f t="shared" si="0"/>
        <v>日</v>
      </c>
      <c r="M2" s="3" t="str">
        <f t="shared" si="0"/>
        <v>月</v>
      </c>
      <c r="N2" s="3" t="str">
        <f t="shared" si="0"/>
        <v>火</v>
      </c>
      <c r="O2" s="3" t="str">
        <f t="shared" si="0"/>
        <v>水</v>
      </c>
      <c r="P2" s="3" t="str">
        <f t="shared" si="0"/>
        <v>木</v>
      </c>
      <c r="Q2" s="3" t="str">
        <f t="shared" si="0"/>
        <v>金</v>
      </c>
      <c r="R2" s="3" t="str">
        <f t="shared" si="0"/>
        <v>土</v>
      </c>
      <c r="S2" s="3" t="str">
        <f t="shared" si="0"/>
        <v>日</v>
      </c>
      <c r="T2" s="3" t="str">
        <f t="shared" si="0"/>
        <v>月</v>
      </c>
      <c r="U2" s="3" t="str">
        <f t="shared" si="0"/>
        <v>火</v>
      </c>
      <c r="V2" s="3" t="str">
        <f t="shared" si="0"/>
        <v>水</v>
      </c>
      <c r="W2" s="3" t="str">
        <f t="shared" si="0"/>
        <v>木</v>
      </c>
      <c r="X2" s="3" t="str">
        <f t="shared" si="0"/>
        <v>金</v>
      </c>
      <c r="Y2" s="3" t="str">
        <f t="shared" si="0"/>
        <v>土</v>
      </c>
      <c r="Z2" s="3" t="str">
        <f t="shared" si="0"/>
        <v>日</v>
      </c>
      <c r="AA2" s="3" t="str">
        <f t="shared" si="0"/>
        <v>月</v>
      </c>
      <c r="AB2" s="3" t="str">
        <f t="shared" si="0"/>
        <v>火</v>
      </c>
      <c r="AC2" s="3" t="str">
        <f t="shared" si="0"/>
        <v>水</v>
      </c>
      <c r="AD2" s="3" t="str">
        <f t="shared" si="0"/>
        <v>木</v>
      </c>
      <c r="AE2" s="3" t="str">
        <f t="shared" si="0"/>
        <v>金</v>
      </c>
      <c r="AF2" s="3" t="str">
        <f t="shared" si="0"/>
        <v>土</v>
      </c>
      <c r="AG2" s="3" t="str">
        <f t="shared" si="0"/>
        <v>日</v>
      </c>
      <c r="AI2" s="20" t="s">
        <v>26</v>
      </c>
      <c r="AJ2" s="24">
        <f>COUNT(C4:AG4)</f>
        <v>19</v>
      </c>
    </row>
    <row r="3" spans="1:36" outlineLevel="1" x14ac:dyDescent="0.45">
      <c r="C3" s="23">
        <f>C1</f>
        <v>46388</v>
      </c>
      <c r="D3" s="23">
        <f t="shared" ref="D3:AG3" si="1">IF(C3="","",IF(C3+1&lt;=EOMONTH($C$1,0),C3+1,""))</f>
        <v>46389</v>
      </c>
      <c r="E3" s="23">
        <f t="shared" si="1"/>
        <v>46390</v>
      </c>
      <c r="F3" s="23">
        <f t="shared" si="1"/>
        <v>46391</v>
      </c>
      <c r="G3" s="23">
        <f t="shared" si="1"/>
        <v>46392</v>
      </c>
      <c r="H3" s="23">
        <f t="shared" si="1"/>
        <v>46393</v>
      </c>
      <c r="I3" s="23">
        <f t="shared" si="1"/>
        <v>46394</v>
      </c>
      <c r="J3" s="23">
        <f t="shared" si="1"/>
        <v>46395</v>
      </c>
      <c r="K3" s="23">
        <f t="shared" si="1"/>
        <v>46396</v>
      </c>
      <c r="L3" s="23">
        <f t="shared" si="1"/>
        <v>46397</v>
      </c>
      <c r="M3" s="23">
        <f t="shared" si="1"/>
        <v>46398</v>
      </c>
      <c r="N3" s="23">
        <f t="shared" si="1"/>
        <v>46399</v>
      </c>
      <c r="O3" s="23">
        <f t="shared" si="1"/>
        <v>46400</v>
      </c>
      <c r="P3" s="23">
        <f t="shared" si="1"/>
        <v>46401</v>
      </c>
      <c r="Q3" s="23">
        <f t="shared" si="1"/>
        <v>46402</v>
      </c>
      <c r="R3" s="23">
        <f t="shared" si="1"/>
        <v>46403</v>
      </c>
      <c r="S3" s="23">
        <f t="shared" si="1"/>
        <v>46404</v>
      </c>
      <c r="T3" s="23">
        <f t="shared" si="1"/>
        <v>46405</v>
      </c>
      <c r="U3" s="23">
        <f t="shared" si="1"/>
        <v>46406</v>
      </c>
      <c r="V3" s="23">
        <f t="shared" si="1"/>
        <v>46407</v>
      </c>
      <c r="W3" s="23">
        <f t="shared" si="1"/>
        <v>46408</v>
      </c>
      <c r="X3" s="23">
        <f t="shared" si="1"/>
        <v>46409</v>
      </c>
      <c r="Y3" s="23">
        <f t="shared" si="1"/>
        <v>46410</v>
      </c>
      <c r="Z3" s="23">
        <f t="shared" si="1"/>
        <v>46411</v>
      </c>
      <c r="AA3" s="23">
        <f t="shared" si="1"/>
        <v>46412</v>
      </c>
      <c r="AB3" s="23">
        <f t="shared" si="1"/>
        <v>46413</v>
      </c>
      <c r="AC3" s="23">
        <f t="shared" si="1"/>
        <v>46414</v>
      </c>
      <c r="AD3" s="23">
        <f t="shared" si="1"/>
        <v>46415</v>
      </c>
      <c r="AE3" s="23">
        <f t="shared" si="1"/>
        <v>46416</v>
      </c>
      <c r="AF3" s="23">
        <f t="shared" si="1"/>
        <v>46417</v>
      </c>
      <c r="AG3" s="23">
        <f t="shared" si="1"/>
        <v>46418</v>
      </c>
      <c r="AI3" s="20" t="s">
        <v>27</v>
      </c>
      <c r="AJ3" s="21" t="str">
        <f>_xlfn.LET(_xlpm.v, SUM(C4:AG4),IF(_xlpm.v = INT(_xlpm.v),TEXT(_xlpm.v, "0") &amp; " h",TEXT(_xlpm.v, "0.###") &amp; " h"))</f>
        <v>142.5 h</v>
      </c>
    </row>
    <row r="4" spans="1:36" outlineLevel="1" x14ac:dyDescent="0.45">
      <c r="A4" s="20" t="s">
        <v>22</v>
      </c>
      <c r="C4" s="20"/>
      <c r="D4" s="20"/>
      <c r="E4" s="20"/>
      <c r="F4" s="20">
        <v>7.5</v>
      </c>
      <c r="G4" s="20">
        <v>7.5</v>
      </c>
      <c r="H4" s="20">
        <v>7.5</v>
      </c>
      <c r="I4" s="20">
        <v>7.5</v>
      </c>
      <c r="J4" s="20">
        <v>7.5</v>
      </c>
      <c r="K4" s="20"/>
      <c r="L4" s="20"/>
      <c r="M4" s="20"/>
      <c r="N4" s="20">
        <v>7.5</v>
      </c>
      <c r="O4" s="20">
        <v>7.5</v>
      </c>
      <c r="P4" s="20">
        <v>7.5</v>
      </c>
      <c r="Q4" s="20">
        <v>7.5</v>
      </c>
      <c r="R4" s="20"/>
      <c r="S4" s="20"/>
      <c r="T4" s="20">
        <v>7.5</v>
      </c>
      <c r="U4" s="20">
        <v>7.5</v>
      </c>
      <c r="V4" s="20">
        <v>7.5</v>
      </c>
      <c r="W4" s="20">
        <v>7.5</v>
      </c>
      <c r="X4" s="20">
        <v>7.5</v>
      </c>
      <c r="Y4" s="20"/>
      <c r="Z4" s="20"/>
      <c r="AA4" s="20">
        <v>7.5</v>
      </c>
      <c r="AB4" s="20">
        <v>7.5</v>
      </c>
      <c r="AC4" s="20">
        <v>7.5</v>
      </c>
      <c r="AD4" s="20">
        <v>7.5</v>
      </c>
      <c r="AE4" s="20">
        <v>7.5</v>
      </c>
      <c r="AF4" s="20"/>
      <c r="AG4" s="20"/>
      <c r="AI4" s="3" t="s">
        <v>28</v>
      </c>
      <c r="AJ4" s="25">
        <f>COUNT(C5:AG5)</f>
        <v>19</v>
      </c>
    </row>
    <row r="5" spans="1:36" outlineLevel="1" x14ac:dyDescent="0.45">
      <c r="A5" s="3" t="s">
        <v>23</v>
      </c>
      <c r="C5" s="3"/>
      <c r="D5" s="3"/>
      <c r="E5" s="3"/>
      <c r="F5" s="3">
        <v>7.5</v>
      </c>
      <c r="G5" s="3">
        <v>7.5</v>
      </c>
      <c r="H5" s="3">
        <v>7.5</v>
      </c>
      <c r="I5" s="3">
        <v>7.5</v>
      </c>
      <c r="J5" s="3">
        <v>7.5</v>
      </c>
      <c r="K5" s="3"/>
      <c r="L5" s="3"/>
      <c r="M5" s="3"/>
      <c r="N5" s="3">
        <v>7.5</v>
      </c>
      <c r="O5" s="3">
        <v>7.5</v>
      </c>
      <c r="P5" s="3">
        <v>7.5</v>
      </c>
      <c r="Q5" s="3">
        <v>7.5</v>
      </c>
      <c r="R5" s="3"/>
      <c r="S5" s="3"/>
      <c r="T5" s="3">
        <v>7.5</v>
      </c>
      <c r="U5" s="3">
        <v>7.5</v>
      </c>
      <c r="V5" s="3">
        <v>7.5</v>
      </c>
      <c r="W5" s="3">
        <v>7.5</v>
      </c>
      <c r="X5" s="3">
        <v>7.5</v>
      </c>
      <c r="Y5" s="3"/>
      <c r="Z5" s="3"/>
      <c r="AA5" s="3">
        <v>7.5</v>
      </c>
      <c r="AB5" s="3">
        <v>7.5</v>
      </c>
      <c r="AC5" s="3">
        <v>7.5</v>
      </c>
      <c r="AD5" s="3">
        <v>7.5</v>
      </c>
      <c r="AE5" s="3">
        <v>7.5</v>
      </c>
      <c r="AF5" s="3"/>
      <c r="AG5" s="3"/>
      <c r="AI5" s="3" t="s">
        <v>29</v>
      </c>
      <c r="AJ5" s="22" t="str">
        <f>_xlfn.LET(_xlpm.v, SUM(C5:AG5),IF(_xlpm.v = INT(_xlpm.v),TEXT(_xlpm.v, "0") &amp; " h",TEXT(_xlpm.v, "0.###") &amp; " h"))</f>
        <v>142.5 h</v>
      </c>
    </row>
    <row r="6" spans="1:36" outlineLevel="1" x14ac:dyDescent="0.45">
      <c r="A6" s="3" t="s">
        <v>24</v>
      </c>
      <c r="C6" s="3"/>
      <c r="D6" s="3"/>
      <c r="E6" s="3"/>
      <c r="F6" s="3" t="s">
        <v>33</v>
      </c>
      <c r="G6" s="3" t="s">
        <v>33</v>
      </c>
      <c r="H6" s="3" t="s">
        <v>33</v>
      </c>
      <c r="I6" s="3" t="s">
        <v>33</v>
      </c>
      <c r="J6" s="3" t="s">
        <v>33</v>
      </c>
      <c r="K6" s="3"/>
      <c r="L6" s="3"/>
      <c r="M6" s="3"/>
      <c r="N6" s="3" t="s">
        <v>33</v>
      </c>
      <c r="O6" s="3" t="s">
        <v>33</v>
      </c>
      <c r="P6" s="3" t="s">
        <v>33</v>
      </c>
      <c r="Q6" s="3" t="s">
        <v>33</v>
      </c>
      <c r="R6" s="3"/>
      <c r="S6" s="3"/>
      <c r="T6" s="3" t="s">
        <v>33</v>
      </c>
      <c r="U6" s="3" t="s">
        <v>33</v>
      </c>
      <c r="V6" s="3" t="s">
        <v>33</v>
      </c>
      <c r="W6" s="3" t="s">
        <v>33</v>
      </c>
      <c r="X6" s="3" t="s">
        <v>33</v>
      </c>
      <c r="Y6" s="3"/>
      <c r="Z6" s="3"/>
      <c r="AA6" s="3" t="s">
        <v>33</v>
      </c>
      <c r="AB6" s="3" t="s">
        <v>33</v>
      </c>
      <c r="AC6" s="3" t="s">
        <v>33</v>
      </c>
      <c r="AD6" s="3" t="s">
        <v>33</v>
      </c>
      <c r="AE6" s="3" t="s">
        <v>33</v>
      </c>
      <c r="AF6" s="3"/>
      <c r="AG6" s="3"/>
      <c r="AI6" s="3" t="s">
        <v>30</v>
      </c>
      <c r="AJ6" s="25">
        <f>COUNTIF(C6:AG6,"出")</f>
        <v>0</v>
      </c>
    </row>
    <row r="7" spans="1:36" outlineLevel="1" x14ac:dyDescent="0.45">
      <c r="A7" s="3" t="s">
        <v>25</v>
      </c>
      <c r="C7" s="27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9"/>
      <c r="S7" s="27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9"/>
      <c r="AI7" s="3" t="s">
        <v>31</v>
      </c>
      <c r="AJ7" s="25">
        <f>COUNTIF(C6:AG6,"リ")</f>
        <v>19</v>
      </c>
    </row>
    <row r="8" spans="1:36" outlineLevel="1" x14ac:dyDescent="0.45">
      <c r="C8" s="30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2"/>
      <c r="S8" s="30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2"/>
      <c r="AI8" s="3" t="s">
        <v>32</v>
      </c>
      <c r="AJ8" s="26">
        <f>AJ6/(AJ6+AJ7)</f>
        <v>0</v>
      </c>
    </row>
    <row r="9" spans="1:36" outlineLevel="1" x14ac:dyDescent="0.45">
      <c r="C9" s="30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2"/>
      <c r="S9" s="30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2"/>
    </row>
    <row r="10" spans="1:36" outlineLevel="1" x14ac:dyDescent="0.45">
      <c r="C10" s="30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2"/>
      <c r="S10" s="30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2"/>
    </row>
    <row r="11" spans="1:36" outlineLevel="1" x14ac:dyDescent="0.45">
      <c r="C11" s="33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5"/>
      <c r="S11" s="33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5"/>
    </row>
    <row r="12" spans="1:36" outlineLevel="1" x14ac:dyDescent="0.45"/>
    <row r="13" spans="1:36" x14ac:dyDescent="0.45">
      <c r="C13" s="37">
        <v>46419</v>
      </c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</row>
    <row r="14" spans="1:36" outlineLevel="1" x14ac:dyDescent="0.45">
      <c r="C14" s="3" t="str">
        <f t="shared" ref="C14:AG14" si="2">TEXT(C15,"aaa")</f>
        <v>月</v>
      </c>
      <c r="D14" s="3" t="str">
        <f t="shared" si="2"/>
        <v>火</v>
      </c>
      <c r="E14" s="3" t="str">
        <f t="shared" si="2"/>
        <v>水</v>
      </c>
      <c r="F14" s="3" t="str">
        <f t="shared" si="2"/>
        <v>木</v>
      </c>
      <c r="G14" s="3" t="str">
        <f t="shared" si="2"/>
        <v>金</v>
      </c>
      <c r="H14" s="3" t="str">
        <f t="shared" si="2"/>
        <v>土</v>
      </c>
      <c r="I14" s="3" t="str">
        <f t="shared" si="2"/>
        <v>日</v>
      </c>
      <c r="J14" s="3" t="str">
        <f t="shared" si="2"/>
        <v>月</v>
      </c>
      <c r="K14" s="3" t="str">
        <f t="shared" si="2"/>
        <v>火</v>
      </c>
      <c r="L14" s="3" t="str">
        <f t="shared" si="2"/>
        <v>水</v>
      </c>
      <c r="M14" s="3" t="str">
        <f t="shared" si="2"/>
        <v>木</v>
      </c>
      <c r="N14" s="3" t="str">
        <f t="shared" si="2"/>
        <v>金</v>
      </c>
      <c r="O14" s="3" t="str">
        <f t="shared" si="2"/>
        <v>土</v>
      </c>
      <c r="P14" s="3" t="str">
        <f t="shared" si="2"/>
        <v>日</v>
      </c>
      <c r="Q14" s="3" t="str">
        <f t="shared" si="2"/>
        <v>月</v>
      </c>
      <c r="R14" s="3" t="str">
        <f t="shared" si="2"/>
        <v>火</v>
      </c>
      <c r="S14" s="3" t="str">
        <f t="shared" si="2"/>
        <v>水</v>
      </c>
      <c r="T14" s="3" t="str">
        <f t="shared" si="2"/>
        <v>木</v>
      </c>
      <c r="U14" s="3" t="str">
        <f t="shared" si="2"/>
        <v>金</v>
      </c>
      <c r="V14" s="3" t="str">
        <f t="shared" si="2"/>
        <v>土</v>
      </c>
      <c r="W14" s="3" t="str">
        <f t="shared" si="2"/>
        <v>日</v>
      </c>
      <c r="X14" s="3" t="str">
        <f t="shared" si="2"/>
        <v>月</v>
      </c>
      <c r="Y14" s="3" t="str">
        <f t="shared" si="2"/>
        <v>火</v>
      </c>
      <c r="Z14" s="3" t="str">
        <f t="shared" si="2"/>
        <v>水</v>
      </c>
      <c r="AA14" s="3" t="str">
        <f t="shared" si="2"/>
        <v>木</v>
      </c>
      <c r="AB14" s="3" t="str">
        <f t="shared" si="2"/>
        <v>金</v>
      </c>
      <c r="AC14" s="3" t="str">
        <f t="shared" si="2"/>
        <v>土</v>
      </c>
      <c r="AD14" s="3" t="str">
        <f t="shared" si="2"/>
        <v>日</v>
      </c>
      <c r="AE14" s="3" t="str">
        <f t="shared" si="2"/>
        <v/>
      </c>
      <c r="AF14" s="3" t="str">
        <f t="shared" si="2"/>
        <v/>
      </c>
      <c r="AG14" s="3" t="str">
        <f t="shared" si="2"/>
        <v/>
      </c>
      <c r="AI14" s="20" t="s">
        <v>26</v>
      </c>
      <c r="AJ14" s="24">
        <f>COUNT(C16:AG16)</f>
        <v>18</v>
      </c>
    </row>
    <row r="15" spans="1:36" outlineLevel="1" x14ac:dyDescent="0.45">
      <c r="C15" s="23">
        <f>C13</f>
        <v>46419</v>
      </c>
      <c r="D15" s="23">
        <f t="shared" ref="D15:AG15" si="3">IF(C15="","",IF(C15+1&lt;=EOMONTH($C$13,0),C15+1,""))</f>
        <v>46420</v>
      </c>
      <c r="E15" s="23">
        <f t="shared" si="3"/>
        <v>46421</v>
      </c>
      <c r="F15" s="23">
        <f t="shared" si="3"/>
        <v>46422</v>
      </c>
      <c r="G15" s="23">
        <f t="shared" si="3"/>
        <v>46423</v>
      </c>
      <c r="H15" s="23">
        <f t="shared" si="3"/>
        <v>46424</v>
      </c>
      <c r="I15" s="23">
        <f t="shared" si="3"/>
        <v>46425</v>
      </c>
      <c r="J15" s="23">
        <f t="shared" si="3"/>
        <v>46426</v>
      </c>
      <c r="K15" s="23">
        <f t="shared" si="3"/>
        <v>46427</v>
      </c>
      <c r="L15" s="23">
        <f t="shared" si="3"/>
        <v>46428</v>
      </c>
      <c r="M15" s="23">
        <f t="shared" si="3"/>
        <v>46429</v>
      </c>
      <c r="N15" s="23">
        <f t="shared" si="3"/>
        <v>46430</v>
      </c>
      <c r="O15" s="23">
        <f t="shared" si="3"/>
        <v>46431</v>
      </c>
      <c r="P15" s="23">
        <f t="shared" si="3"/>
        <v>46432</v>
      </c>
      <c r="Q15" s="23">
        <f t="shared" si="3"/>
        <v>46433</v>
      </c>
      <c r="R15" s="23">
        <f t="shared" si="3"/>
        <v>46434</v>
      </c>
      <c r="S15" s="23">
        <f t="shared" si="3"/>
        <v>46435</v>
      </c>
      <c r="T15" s="23">
        <f t="shared" si="3"/>
        <v>46436</v>
      </c>
      <c r="U15" s="23">
        <f t="shared" si="3"/>
        <v>46437</v>
      </c>
      <c r="V15" s="23">
        <f t="shared" si="3"/>
        <v>46438</v>
      </c>
      <c r="W15" s="23">
        <f t="shared" si="3"/>
        <v>46439</v>
      </c>
      <c r="X15" s="23">
        <f t="shared" si="3"/>
        <v>46440</v>
      </c>
      <c r="Y15" s="23">
        <f t="shared" si="3"/>
        <v>46441</v>
      </c>
      <c r="Z15" s="23">
        <f t="shared" si="3"/>
        <v>46442</v>
      </c>
      <c r="AA15" s="23">
        <f t="shared" si="3"/>
        <v>46443</v>
      </c>
      <c r="AB15" s="23">
        <f t="shared" si="3"/>
        <v>46444</v>
      </c>
      <c r="AC15" s="23">
        <f t="shared" si="3"/>
        <v>46445</v>
      </c>
      <c r="AD15" s="23">
        <f t="shared" si="3"/>
        <v>46446</v>
      </c>
      <c r="AE15" s="23" t="str">
        <f t="shared" si="3"/>
        <v/>
      </c>
      <c r="AF15" s="23" t="str">
        <f t="shared" si="3"/>
        <v/>
      </c>
      <c r="AG15" s="23" t="str">
        <f t="shared" si="3"/>
        <v/>
      </c>
      <c r="AI15" s="20" t="s">
        <v>27</v>
      </c>
      <c r="AJ15" s="21" t="str">
        <f>_xlfn.LET(_xlpm.v, SUM(C16:AG16),IF(_xlpm.v = INT(_xlpm.v),TEXT(_xlpm.v, "0") &amp; " h",TEXT(_xlpm.v, "0.###") &amp; " h"))</f>
        <v>135 h</v>
      </c>
    </row>
    <row r="16" spans="1:36" outlineLevel="1" x14ac:dyDescent="0.45">
      <c r="A16" s="20" t="s">
        <v>22</v>
      </c>
      <c r="C16" s="20">
        <v>7.5</v>
      </c>
      <c r="D16" s="20">
        <v>7.5</v>
      </c>
      <c r="E16" s="20">
        <v>7.5</v>
      </c>
      <c r="F16" s="20">
        <v>7.5</v>
      </c>
      <c r="G16" s="20">
        <v>7.5</v>
      </c>
      <c r="H16" s="20"/>
      <c r="I16" s="20"/>
      <c r="J16" s="20">
        <v>7.5</v>
      </c>
      <c r="K16" s="20">
        <v>7.5</v>
      </c>
      <c r="L16" s="20">
        <v>7.5</v>
      </c>
      <c r="M16" s="20"/>
      <c r="N16" s="20">
        <v>7.5</v>
      </c>
      <c r="O16" s="20"/>
      <c r="P16" s="20"/>
      <c r="Q16" s="20">
        <v>7.5</v>
      </c>
      <c r="R16" s="20">
        <v>7.5</v>
      </c>
      <c r="S16" s="20">
        <v>7.5</v>
      </c>
      <c r="T16" s="20">
        <v>7.5</v>
      </c>
      <c r="U16" s="20">
        <v>7.5</v>
      </c>
      <c r="V16" s="20"/>
      <c r="W16" s="20"/>
      <c r="X16" s="20">
        <v>7.5</v>
      </c>
      <c r="Y16" s="20"/>
      <c r="Z16" s="20">
        <v>7.5</v>
      </c>
      <c r="AA16" s="20">
        <v>7.5</v>
      </c>
      <c r="AB16" s="20">
        <v>7.5</v>
      </c>
      <c r="AC16" s="20"/>
      <c r="AD16" s="20"/>
      <c r="AE16" s="20"/>
      <c r="AF16" s="20"/>
      <c r="AG16" s="20"/>
      <c r="AI16" s="3" t="s">
        <v>28</v>
      </c>
      <c r="AJ16" s="25">
        <f>COUNT(C17:AG17)</f>
        <v>18</v>
      </c>
    </row>
    <row r="17" spans="1:36" outlineLevel="1" x14ac:dyDescent="0.45">
      <c r="A17" s="3" t="s">
        <v>23</v>
      </c>
      <c r="C17" s="3">
        <v>7.5</v>
      </c>
      <c r="D17" s="3">
        <v>7.5</v>
      </c>
      <c r="E17" s="3">
        <v>7.5</v>
      </c>
      <c r="F17" s="3">
        <v>7.5</v>
      </c>
      <c r="G17" s="3">
        <v>7.5</v>
      </c>
      <c r="H17" s="3"/>
      <c r="I17" s="3"/>
      <c r="J17" s="3">
        <v>7.5</v>
      </c>
      <c r="K17" s="3">
        <v>7.5</v>
      </c>
      <c r="L17" s="3">
        <v>7.5</v>
      </c>
      <c r="M17" s="3"/>
      <c r="N17" s="3">
        <v>7.5</v>
      </c>
      <c r="O17" s="3"/>
      <c r="P17" s="3"/>
      <c r="Q17" s="3">
        <v>7.5</v>
      </c>
      <c r="R17" s="3">
        <v>7.5</v>
      </c>
      <c r="S17" s="3">
        <v>7.5</v>
      </c>
      <c r="T17" s="3">
        <v>7.5</v>
      </c>
      <c r="U17" s="3">
        <v>7.5</v>
      </c>
      <c r="V17" s="3"/>
      <c r="W17" s="3"/>
      <c r="X17" s="3">
        <v>7.5</v>
      </c>
      <c r="Y17" s="3"/>
      <c r="Z17" s="3">
        <v>7.5</v>
      </c>
      <c r="AA17" s="3">
        <v>7.5</v>
      </c>
      <c r="AB17" s="3">
        <v>7.5</v>
      </c>
      <c r="AC17" s="3"/>
      <c r="AD17" s="3"/>
      <c r="AE17" s="3"/>
      <c r="AF17" s="3"/>
      <c r="AG17" s="3"/>
      <c r="AI17" s="3" t="s">
        <v>29</v>
      </c>
      <c r="AJ17" s="22" t="str">
        <f>_xlfn.LET(_xlpm.v, SUM(C17:AG17),IF(_xlpm.v = INT(_xlpm.v),TEXT(_xlpm.v, "0") &amp; " h",TEXT(_xlpm.v, "0.###") &amp; " h"))</f>
        <v>135 h</v>
      </c>
    </row>
    <row r="18" spans="1:36" outlineLevel="1" x14ac:dyDescent="0.45">
      <c r="A18" s="3" t="s">
        <v>24</v>
      </c>
      <c r="C18" s="3" t="s">
        <v>33</v>
      </c>
      <c r="D18" s="3" t="s">
        <v>33</v>
      </c>
      <c r="E18" s="3" t="s">
        <v>33</v>
      </c>
      <c r="F18" s="3" t="s">
        <v>33</v>
      </c>
      <c r="G18" s="3" t="s">
        <v>33</v>
      </c>
      <c r="H18" s="3"/>
      <c r="I18" s="3"/>
      <c r="J18" s="3" t="s">
        <v>33</v>
      </c>
      <c r="K18" s="3" t="s">
        <v>33</v>
      </c>
      <c r="L18" s="3" t="s">
        <v>33</v>
      </c>
      <c r="M18" s="3"/>
      <c r="N18" s="3" t="s">
        <v>33</v>
      </c>
      <c r="O18" s="3"/>
      <c r="P18" s="3"/>
      <c r="Q18" s="3" t="s">
        <v>33</v>
      </c>
      <c r="R18" s="3" t="s">
        <v>33</v>
      </c>
      <c r="S18" s="3" t="s">
        <v>33</v>
      </c>
      <c r="T18" s="3" t="s">
        <v>33</v>
      </c>
      <c r="U18" s="3" t="s">
        <v>33</v>
      </c>
      <c r="V18" s="3"/>
      <c r="W18" s="3"/>
      <c r="X18" s="3" t="s">
        <v>33</v>
      </c>
      <c r="Y18" s="3"/>
      <c r="Z18" s="3" t="s">
        <v>33</v>
      </c>
      <c r="AA18" s="3" t="s">
        <v>33</v>
      </c>
      <c r="AB18" s="3" t="s">
        <v>33</v>
      </c>
      <c r="AC18" s="3"/>
      <c r="AD18" s="3"/>
      <c r="AE18" s="3"/>
      <c r="AF18" s="3"/>
      <c r="AG18" s="3"/>
      <c r="AI18" s="3" t="s">
        <v>30</v>
      </c>
      <c r="AJ18" s="25">
        <f>COUNTIF(C18:AG18,"出")</f>
        <v>0</v>
      </c>
    </row>
    <row r="19" spans="1:36" outlineLevel="1" x14ac:dyDescent="0.45">
      <c r="A19" s="3" t="s">
        <v>25</v>
      </c>
      <c r="C19" s="27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9"/>
      <c r="S19" s="27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  <c r="AI19" s="3" t="s">
        <v>31</v>
      </c>
      <c r="AJ19" s="25">
        <f>COUNTIF(C18:AG18,"リ")</f>
        <v>18</v>
      </c>
    </row>
    <row r="20" spans="1:36" outlineLevel="1" x14ac:dyDescent="0.45">
      <c r="C20" s="30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2"/>
      <c r="S20" s="30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2"/>
      <c r="AI20" s="3" t="s">
        <v>32</v>
      </c>
      <c r="AJ20" s="26">
        <f>AJ18/(AJ18+AJ19)</f>
        <v>0</v>
      </c>
    </row>
    <row r="21" spans="1:36" outlineLevel="1" x14ac:dyDescent="0.45">
      <c r="C21" s="30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2"/>
      <c r="S21" s="30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2"/>
    </row>
    <row r="22" spans="1:36" outlineLevel="1" x14ac:dyDescent="0.45">
      <c r="C22" s="30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2"/>
      <c r="S22" s="30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2"/>
    </row>
    <row r="23" spans="1:36" outlineLevel="1" x14ac:dyDescent="0.45">
      <c r="C23" s="33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5"/>
      <c r="S23" s="33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5"/>
    </row>
    <row r="24" spans="1:36" outlineLevel="1" x14ac:dyDescent="0.45"/>
    <row r="25" spans="1:36" x14ac:dyDescent="0.45">
      <c r="C25" s="37">
        <v>46447</v>
      </c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</row>
    <row r="26" spans="1:36" outlineLevel="1" x14ac:dyDescent="0.45">
      <c r="C26" s="3" t="str">
        <f t="shared" ref="C26:AG26" si="4">TEXT(C27,"aaa")</f>
        <v>月</v>
      </c>
      <c r="D26" s="3" t="str">
        <f t="shared" si="4"/>
        <v>火</v>
      </c>
      <c r="E26" s="3" t="str">
        <f t="shared" si="4"/>
        <v>水</v>
      </c>
      <c r="F26" s="3" t="str">
        <f t="shared" si="4"/>
        <v>木</v>
      </c>
      <c r="G26" s="3" t="str">
        <f t="shared" si="4"/>
        <v>金</v>
      </c>
      <c r="H26" s="3" t="str">
        <f t="shared" si="4"/>
        <v>土</v>
      </c>
      <c r="I26" s="3" t="str">
        <f t="shared" si="4"/>
        <v>日</v>
      </c>
      <c r="J26" s="3" t="str">
        <f t="shared" si="4"/>
        <v>月</v>
      </c>
      <c r="K26" s="3" t="str">
        <f t="shared" si="4"/>
        <v>火</v>
      </c>
      <c r="L26" s="3" t="str">
        <f t="shared" si="4"/>
        <v>水</v>
      </c>
      <c r="M26" s="3" t="str">
        <f t="shared" si="4"/>
        <v>木</v>
      </c>
      <c r="N26" s="3" t="str">
        <f t="shared" si="4"/>
        <v>金</v>
      </c>
      <c r="O26" s="3" t="str">
        <f t="shared" si="4"/>
        <v>土</v>
      </c>
      <c r="P26" s="3" t="str">
        <f t="shared" si="4"/>
        <v>日</v>
      </c>
      <c r="Q26" s="3" t="str">
        <f t="shared" si="4"/>
        <v>月</v>
      </c>
      <c r="R26" s="3" t="str">
        <f t="shared" si="4"/>
        <v>火</v>
      </c>
      <c r="S26" s="3" t="str">
        <f t="shared" si="4"/>
        <v>水</v>
      </c>
      <c r="T26" s="3" t="str">
        <f t="shared" si="4"/>
        <v>木</v>
      </c>
      <c r="U26" s="3" t="str">
        <f t="shared" si="4"/>
        <v>金</v>
      </c>
      <c r="V26" s="3" t="str">
        <f t="shared" si="4"/>
        <v>土</v>
      </c>
      <c r="W26" s="3" t="str">
        <f t="shared" si="4"/>
        <v>日</v>
      </c>
      <c r="X26" s="3" t="str">
        <f t="shared" si="4"/>
        <v>月</v>
      </c>
      <c r="Y26" s="3" t="str">
        <f t="shared" si="4"/>
        <v>火</v>
      </c>
      <c r="Z26" s="3" t="str">
        <f t="shared" si="4"/>
        <v>水</v>
      </c>
      <c r="AA26" s="3" t="str">
        <f t="shared" si="4"/>
        <v>木</v>
      </c>
      <c r="AB26" s="3" t="str">
        <f t="shared" si="4"/>
        <v>金</v>
      </c>
      <c r="AC26" s="3" t="str">
        <f t="shared" si="4"/>
        <v>土</v>
      </c>
      <c r="AD26" s="3" t="str">
        <f t="shared" si="4"/>
        <v>日</v>
      </c>
      <c r="AE26" s="3" t="str">
        <f t="shared" si="4"/>
        <v>月</v>
      </c>
      <c r="AF26" s="3" t="str">
        <f t="shared" si="4"/>
        <v>火</v>
      </c>
      <c r="AG26" s="3" t="str">
        <f t="shared" si="4"/>
        <v>水</v>
      </c>
      <c r="AI26" s="20" t="s">
        <v>26</v>
      </c>
      <c r="AJ26" s="24">
        <f>COUNT(C28:AG28)</f>
        <v>22</v>
      </c>
    </row>
    <row r="27" spans="1:36" outlineLevel="1" x14ac:dyDescent="0.45">
      <c r="C27" s="23">
        <f>C25</f>
        <v>46447</v>
      </c>
      <c r="D27" s="23">
        <f t="shared" ref="D27:AG27" si="5">IF(C27="","",IF(C27+1&lt;=EOMONTH($C$25,0),C27+1,""))</f>
        <v>46448</v>
      </c>
      <c r="E27" s="23">
        <f t="shared" si="5"/>
        <v>46449</v>
      </c>
      <c r="F27" s="23">
        <f t="shared" si="5"/>
        <v>46450</v>
      </c>
      <c r="G27" s="23">
        <f t="shared" si="5"/>
        <v>46451</v>
      </c>
      <c r="H27" s="23">
        <f t="shared" si="5"/>
        <v>46452</v>
      </c>
      <c r="I27" s="23">
        <f t="shared" si="5"/>
        <v>46453</v>
      </c>
      <c r="J27" s="23">
        <f t="shared" si="5"/>
        <v>46454</v>
      </c>
      <c r="K27" s="23">
        <f t="shared" si="5"/>
        <v>46455</v>
      </c>
      <c r="L27" s="23">
        <f t="shared" si="5"/>
        <v>46456</v>
      </c>
      <c r="M27" s="23">
        <f t="shared" si="5"/>
        <v>46457</v>
      </c>
      <c r="N27" s="23">
        <f t="shared" si="5"/>
        <v>46458</v>
      </c>
      <c r="O27" s="23">
        <f t="shared" si="5"/>
        <v>46459</v>
      </c>
      <c r="P27" s="23">
        <f t="shared" si="5"/>
        <v>46460</v>
      </c>
      <c r="Q27" s="23">
        <f t="shared" si="5"/>
        <v>46461</v>
      </c>
      <c r="R27" s="23">
        <f t="shared" si="5"/>
        <v>46462</v>
      </c>
      <c r="S27" s="23">
        <f t="shared" si="5"/>
        <v>46463</v>
      </c>
      <c r="T27" s="23">
        <f t="shared" si="5"/>
        <v>46464</v>
      </c>
      <c r="U27" s="23">
        <f t="shared" si="5"/>
        <v>46465</v>
      </c>
      <c r="V27" s="23">
        <f t="shared" si="5"/>
        <v>46466</v>
      </c>
      <c r="W27" s="23">
        <f t="shared" si="5"/>
        <v>46467</v>
      </c>
      <c r="X27" s="23">
        <f t="shared" si="5"/>
        <v>46468</v>
      </c>
      <c r="Y27" s="23">
        <f t="shared" si="5"/>
        <v>46469</v>
      </c>
      <c r="Z27" s="23">
        <f t="shared" si="5"/>
        <v>46470</v>
      </c>
      <c r="AA27" s="23">
        <f t="shared" si="5"/>
        <v>46471</v>
      </c>
      <c r="AB27" s="23">
        <f t="shared" si="5"/>
        <v>46472</v>
      </c>
      <c r="AC27" s="23">
        <f t="shared" si="5"/>
        <v>46473</v>
      </c>
      <c r="AD27" s="23">
        <f t="shared" si="5"/>
        <v>46474</v>
      </c>
      <c r="AE27" s="23">
        <f t="shared" si="5"/>
        <v>46475</v>
      </c>
      <c r="AF27" s="23">
        <f t="shared" si="5"/>
        <v>46476</v>
      </c>
      <c r="AG27" s="23">
        <f t="shared" si="5"/>
        <v>46477</v>
      </c>
      <c r="AI27" s="20" t="s">
        <v>27</v>
      </c>
      <c r="AJ27" s="21" t="str">
        <f>_xlfn.LET(_xlpm.v, SUM(C28:AG28),IF(_xlpm.v = INT(_xlpm.v),TEXT(_xlpm.v, "0") &amp; " h",TEXT(_xlpm.v, "0.###") &amp; " h"))</f>
        <v>165 h</v>
      </c>
    </row>
    <row r="28" spans="1:36" outlineLevel="1" x14ac:dyDescent="0.45">
      <c r="A28" s="20" t="s">
        <v>22</v>
      </c>
      <c r="C28" s="20">
        <v>7.5</v>
      </c>
      <c r="D28" s="20">
        <v>7.5</v>
      </c>
      <c r="E28" s="20">
        <v>7.5</v>
      </c>
      <c r="F28" s="20">
        <v>7.5</v>
      </c>
      <c r="G28" s="20">
        <v>7.5</v>
      </c>
      <c r="H28" s="20"/>
      <c r="I28" s="20"/>
      <c r="J28" s="20">
        <v>7.5</v>
      </c>
      <c r="K28" s="20">
        <v>7.5</v>
      </c>
      <c r="L28" s="20">
        <v>7.5</v>
      </c>
      <c r="M28" s="20">
        <v>7.5</v>
      </c>
      <c r="N28" s="20">
        <v>7.5</v>
      </c>
      <c r="O28" s="20"/>
      <c r="P28" s="20"/>
      <c r="Q28" s="20">
        <v>7.5</v>
      </c>
      <c r="R28" s="20">
        <v>7.5</v>
      </c>
      <c r="S28" s="20">
        <v>7.5</v>
      </c>
      <c r="T28" s="20">
        <v>7.5</v>
      </c>
      <c r="U28" s="20">
        <v>7.5</v>
      </c>
      <c r="V28" s="20"/>
      <c r="W28" s="20"/>
      <c r="X28" s="20"/>
      <c r="Y28" s="20">
        <v>7.5</v>
      </c>
      <c r="Z28" s="20">
        <v>7.5</v>
      </c>
      <c r="AA28" s="20">
        <v>7.5</v>
      </c>
      <c r="AB28" s="20">
        <v>7.5</v>
      </c>
      <c r="AC28" s="20"/>
      <c r="AD28" s="20"/>
      <c r="AE28" s="20">
        <v>7.5</v>
      </c>
      <c r="AF28" s="20">
        <v>7.5</v>
      </c>
      <c r="AG28" s="20">
        <v>7.5</v>
      </c>
      <c r="AI28" s="3" t="s">
        <v>28</v>
      </c>
      <c r="AJ28" s="25">
        <f>COUNT(C29:AG29)</f>
        <v>22</v>
      </c>
    </row>
    <row r="29" spans="1:36" outlineLevel="1" x14ac:dyDescent="0.45">
      <c r="A29" s="3" t="s">
        <v>23</v>
      </c>
      <c r="C29" s="3">
        <v>7.5</v>
      </c>
      <c r="D29" s="3">
        <v>7.5</v>
      </c>
      <c r="E29" s="3">
        <v>7.5</v>
      </c>
      <c r="F29" s="3">
        <v>7.5</v>
      </c>
      <c r="G29" s="3">
        <v>7.5</v>
      </c>
      <c r="H29" s="3"/>
      <c r="I29" s="3"/>
      <c r="J29" s="3">
        <v>7.5</v>
      </c>
      <c r="K29" s="3">
        <v>7.5</v>
      </c>
      <c r="L29" s="3">
        <v>7.5</v>
      </c>
      <c r="M29" s="3">
        <v>7.5</v>
      </c>
      <c r="N29" s="3">
        <v>7.5</v>
      </c>
      <c r="O29" s="3"/>
      <c r="P29" s="3"/>
      <c r="Q29" s="3">
        <v>7.5</v>
      </c>
      <c r="R29" s="3">
        <v>7.5</v>
      </c>
      <c r="S29" s="3">
        <v>7.5</v>
      </c>
      <c r="T29" s="3">
        <v>7.5</v>
      </c>
      <c r="U29" s="3">
        <v>7.5</v>
      </c>
      <c r="V29" s="3"/>
      <c r="W29" s="3"/>
      <c r="X29" s="3"/>
      <c r="Y29" s="3">
        <v>7.5</v>
      </c>
      <c r="Z29" s="3">
        <v>7.5</v>
      </c>
      <c r="AA29" s="3">
        <v>7.5</v>
      </c>
      <c r="AB29" s="3">
        <v>7.5</v>
      </c>
      <c r="AC29" s="3"/>
      <c r="AD29" s="3"/>
      <c r="AE29" s="3">
        <v>7.5</v>
      </c>
      <c r="AF29" s="3">
        <v>7.5</v>
      </c>
      <c r="AG29" s="3">
        <v>7.5</v>
      </c>
      <c r="AI29" s="3" t="s">
        <v>29</v>
      </c>
      <c r="AJ29" s="22" t="str">
        <f>_xlfn.LET(_xlpm.v, SUM(C29:AG29),IF(_xlpm.v = INT(_xlpm.v),TEXT(_xlpm.v, "0") &amp; " h",TEXT(_xlpm.v, "0.###") &amp; " h"))</f>
        <v>165 h</v>
      </c>
    </row>
    <row r="30" spans="1:36" outlineLevel="1" x14ac:dyDescent="0.45">
      <c r="A30" s="3" t="s">
        <v>24</v>
      </c>
      <c r="C30" s="3" t="s">
        <v>33</v>
      </c>
      <c r="D30" s="3" t="s">
        <v>33</v>
      </c>
      <c r="E30" s="3" t="s">
        <v>33</v>
      </c>
      <c r="F30" s="3" t="s">
        <v>33</v>
      </c>
      <c r="G30" s="3" t="s">
        <v>33</v>
      </c>
      <c r="H30" s="3"/>
      <c r="I30" s="3"/>
      <c r="J30" s="3" t="s">
        <v>33</v>
      </c>
      <c r="K30" s="3" t="s">
        <v>33</v>
      </c>
      <c r="L30" s="3" t="s">
        <v>33</v>
      </c>
      <c r="M30" s="3" t="s">
        <v>33</v>
      </c>
      <c r="N30" s="3" t="s">
        <v>33</v>
      </c>
      <c r="O30" s="3"/>
      <c r="P30" s="3"/>
      <c r="Q30" s="3" t="s">
        <v>33</v>
      </c>
      <c r="R30" s="3" t="s">
        <v>33</v>
      </c>
      <c r="S30" s="3" t="s">
        <v>33</v>
      </c>
      <c r="T30" s="3" t="s">
        <v>33</v>
      </c>
      <c r="U30" s="3" t="s">
        <v>33</v>
      </c>
      <c r="V30" s="3"/>
      <c r="W30" s="3"/>
      <c r="X30" s="3"/>
      <c r="Y30" s="3" t="s">
        <v>33</v>
      </c>
      <c r="Z30" s="3" t="s">
        <v>33</v>
      </c>
      <c r="AA30" s="3" t="s">
        <v>33</v>
      </c>
      <c r="AB30" s="3" t="s">
        <v>33</v>
      </c>
      <c r="AC30" s="3"/>
      <c r="AD30" s="3"/>
      <c r="AE30" s="3" t="s">
        <v>33</v>
      </c>
      <c r="AF30" s="3" t="s">
        <v>33</v>
      </c>
      <c r="AG30" s="3" t="s">
        <v>33</v>
      </c>
      <c r="AI30" s="3" t="s">
        <v>30</v>
      </c>
      <c r="AJ30" s="25">
        <f>COUNTIF(C30:AG30,"出")</f>
        <v>0</v>
      </c>
    </row>
    <row r="31" spans="1:36" outlineLevel="1" x14ac:dyDescent="0.45">
      <c r="A31" s="3" t="s">
        <v>25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I31" s="3" t="s">
        <v>31</v>
      </c>
      <c r="AJ31" s="25">
        <f>COUNTIF(C30:AG30,"リ")</f>
        <v>22</v>
      </c>
    </row>
    <row r="32" spans="1:36" outlineLevel="1" x14ac:dyDescent="0.45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I32" s="3" t="s">
        <v>32</v>
      </c>
      <c r="AJ32" s="26">
        <f>AJ30/(AJ30+AJ31)</f>
        <v>0</v>
      </c>
    </row>
    <row r="33" spans="1:36" outlineLevel="1" x14ac:dyDescent="0.45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</row>
    <row r="34" spans="1:36" outlineLevel="1" x14ac:dyDescent="0.45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</row>
    <row r="35" spans="1:36" outlineLevel="1" x14ac:dyDescent="0.45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</row>
    <row r="36" spans="1:36" outlineLevel="1" x14ac:dyDescent="0.45"/>
    <row r="37" spans="1:36" x14ac:dyDescent="0.45">
      <c r="C37" s="37">
        <v>46478</v>
      </c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</row>
    <row r="38" spans="1:36" outlineLevel="1" x14ac:dyDescent="0.45">
      <c r="C38" s="3" t="str">
        <f t="shared" ref="C38:AG38" si="6">TEXT(C39,"aaa")</f>
        <v>木</v>
      </c>
      <c r="D38" s="3" t="str">
        <f t="shared" si="6"/>
        <v>金</v>
      </c>
      <c r="E38" s="3" t="str">
        <f t="shared" si="6"/>
        <v>土</v>
      </c>
      <c r="F38" s="3" t="str">
        <f t="shared" si="6"/>
        <v>日</v>
      </c>
      <c r="G38" s="3" t="str">
        <f t="shared" si="6"/>
        <v>月</v>
      </c>
      <c r="H38" s="3" t="str">
        <f t="shared" si="6"/>
        <v>火</v>
      </c>
      <c r="I38" s="3" t="str">
        <f t="shared" si="6"/>
        <v>水</v>
      </c>
      <c r="J38" s="3" t="str">
        <f t="shared" si="6"/>
        <v>木</v>
      </c>
      <c r="K38" s="3" t="str">
        <f t="shared" si="6"/>
        <v>金</v>
      </c>
      <c r="L38" s="3" t="str">
        <f t="shared" si="6"/>
        <v>土</v>
      </c>
      <c r="M38" s="3" t="str">
        <f t="shared" si="6"/>
        <v>日</v>
      </c>
      <c r="N38" s="3" t="str">
        <f t="shared" si="6"/>
        <v>月</v>
      </c>
      <c r="O38" s="3" t="str">
        <f t="shared" si="6"/>
        <v>火</v>
      </c>
      <c r="P38" s="3" t="str">
        <f t="shared" si="6"/>
        <v>水</v>
      </c>
      <c r="Q38" s="3" t="str">
        <f t="shared" si="6"/>
        <v>木</v>
      </c>
      <c r="R38" s="3" t="str">
        <f t="shared" si="6"/>
        <v>金</v>
      </c>
      <c r="S38" s="3" t="str">
        <f t="shared" si="6"/>
        <v>土</v>
      </c>
      <c r="T38" s="3" t="str">
        <f t="shared" si="6"/>
        <v>日</v>
      </c>
      <c r="U38" s="3" t="str">
        <f t="shared" si="6"/>
        <v>月</v>
      </c>
      <c r="V38" s="3" t="str">
        <f t="shared" si="6"/>
        <v>火</v>
      </c>
      <c r="W38" s="3" t="str">
        <f t="shared" si="6"/>
        <v>水</v>
      </c>
      <c r="X38" s="3" t="str">
        <f t="shared" si="6"/>
        <v>木</v>
      </c>
      <c r="Y38" s="3" t="str">
        <f t="shared" si="6"/>
        <v>金</v>
      </c>
      <c r="Z38" s="3" t="str">
        <f t="shared" si="6"/>
        <v>土</v>
      </c>
      <c r="AA38" s="3" t="str">
        <f t="shared" si="6"/>
        <v>日</v>
      </c>
      <c r="AB38" s="3" t="str">
        <f t="shared" si="6"/>
        <v>月</v>
      </c>
      <c r="AC38" s="3" t="str">
        <f t="shared" si="6"/>
        <v>火</v>
      </c>
      <c r="AD38" s="3" t="str">
        <f t="shared" si="6"/>
        <v>水</v>
      </c>
      <c r="AE38" s="3" t="str">
        <f t="shared" si="6"/>
        <v>木</v>
      </c>
      <c r="AF38" s="3" t="str">
        <f t="shared" si="6"/>
        <v>金</v>
      </c>
      <c r="AG38" s="3" t="str">
        <f t="shared" si="6"/>
        <v/>
      </c>
      <c r="AI38" s="20" t="s">
        <v>26</v>
      </c>
      <c r="AJ38" s="24">
        <f>COUNT(C40:AG40)</f>
        <v>21</v>
      </c>
    </row>
    <row r="39" spans="1:36" outlineLevel="1" x14ac:dyDescent="0.45">
      <c r="C39" s="23">
        <f>C37</f>
        <v>46478</v>
      </c>
      <c r="D39" s="23">
        <f t="shared" ref="D39:AG39" si="7">IF(C39="","",IF(C39+1&lt;=EOMONTH($C$37,0),C39+1,""))</f>
        <v>46479</v>
      </c>
      <c r="E39" s="23">
        <f t="shared" si="7"/>
        <v>46480</v>
      </c>
      <c r="F39" s="23">
        <f t="shared" si="7"/>
        <v>46481</v>
      </c>
      <c r="G39" s="23">
        <f t="shared" si="7"/>
        <v>46482</v>
      </c>
      <c r="H39" s="23">
        <f t="shared" si="7"/>
        <v>46483</v>
      </c>
      <c r="I39" s="23">
        <f t="shared" si="7"/>
        <v>46484</v>
      </c>
      <c r="J39" s="23">
        <f t="shared" si="7"/>
        <v>46485</v>
      </c>
      <c r="K39" s="23">
        <f t="shared" si="7"/>
        <v>46486</v>
      </c>
      <c r="L39" s="23">
        <f t="shared" si="7"/>
        <v>46487</v>
      </c>
      <c r="M39" s="23">
        <f t="shared" si="7"/>
        <v>46488</v>
      </c>
      <c r="N39" s="23">
        <f t="shared" si="7"/>
        <v>46489</v>
      </c>
      <c r="O39" s="23">
        <f t="shared" si="7"/>
        <v>46490</v>
      </c>
      <c r="P39" s="23">
        <f t="shared" si="7"/>
        <v>46491</v>
      </c>
      <c r="Q39" s="23">
        <f t="shared" si="7"/>
        <v>46492</v>
      </c>
      <c r="R39" s="23">
        <f t="shared" si="7"/>
        <v>46493</v>
      </c>
      <c r="S39" s="23">
        <f t="shared" si="7"/>
        <v>46494</v>
      </c>
      <c r="T39" s="23">
        <f t="shared" si="7"/>
        <v>46495</v>
      </c>
      <c r="U39" s="23">
        <f t="shared" si="7"/>
        <v>46496</v>
      </c>
      <c r="V39" s="23">
        <f t="shared" si="7"/>
        <v>46497</v>
      </c>
      <c r="W39" s="23">
        <f t="shared" si="7"/>
        <v>46498</v>
      </c>
      <c r="X39" s="23">
        <f t="shared" si="7"/>
        <v>46499</v>
      </c>
      <c r="Y39" s="23">
        <f t="shared" si="7"/>
        <v>46500</v>
      </c>
      <c r="Z39" s="23">
        <f t="shared" si="7"/>
        <v>46501</v>
      </c>
      <c r="AA39" s="23">
        <f t="shared" si="7"/>
        <v>46502</v>
      </c>
      <c r="AB39" s="23">
        <f t="shared" si="7"/>
        <v>46503</v>
      </c>
      <c r="AC39" s="23">
        <f t="shared" si="7"/>
        <v>46504</v>
      </c>
      <c r="AD39" s="23">
        <f t="shared" si="7"/>
        <v>46505</v>
      </c>
      <c r="AE39" s="23">
        <f t="shared" si="7"/>
        <v>46506</v>
      </c>
      <c r="AF39" s="23">
        <f t="shared" si="7"/>
        <v>46507</v>
      </c>
      <c r="AG39" s="23" t="str">
        <f t="shared" si="7"/>
        <v/>
      </c>
      <c r="AI39" s="20" t="s">
        <v>27</v>
      </c>
      <c r="AJ39" s="21" t="str">
        <f>_xlfn.LET(_xlpm.v, SUM(C40:AG40),IF(_xlpm.v = INT(_xlpm.v),TEXT(_xlpm.v, "0") &amp; " h",TEXT(_xlpm.v, "0.###") &amp; " h"))</f>
        <v>157.5 h</v>
      </c>
    </row>
    <row r="40" spans="1:36" outlineLevel="1" x14ac:dyDescent="0.45">
      <c r="A40" s="20" t="s">
        <v>22</v>
      </c>
      <c r="C40" s="20">
        <v>7.5</v>
      </c>
      <c r="D40" s="20">
        <v>7.5</v>
      </c>
      <c r="E40" s="20"/>
      <c r="F40" s="20"/>
      <c r="G40" s="20">
        <v>7.5</v>
      </c>
      <c r="H40" s="20">
        <v>7.5</v>
      </c>
      <c r="I40" s="20">
        <v>7.5</v>
      </c>
      <c r="J40" s="20">
        <v>7.5</v>
      </c>
      <c r="K40" s="20">
        <v>7.5</v>
      </c>
      <c r="L40" s="20"/>
      <c r="M40" s="20"/>
      <c r="N40" s="20">
        <v>7.5</v>
      </c>
      <c r="O40" s="20">
        <v>7.5</v>
      </c>
      <c r="P40" s="20">
        <v>7.5</v>
      </c>
      <c r="Q40" s="20">
        <v>7.5</v>
      </c>
      <c r="R40" s="20">
        <v>7.5</v>
      </c>
      <c r="S40" s="20"/>
      <c r="T40" s="20"/>
      <c r="U40" s="20">
        <v>7.5</v>
      </c>
      <c r="V40" s="20">
        <v>7.5</v>
      </c>
      <c r="W40" s="20">
        <v>7.5</v>
      </c>
      <c r="X40" s="20">
        <v>7.5</v>
      </c>
      <c r="Y40" s="20">
        <v>7.5</v>
      </c>
      <c r="Z40" s="20"/>
      <c r="AA40" s="20"/>
      <c r="AB40" s="20">
        <v>7.5</v>
      </c>
      <c r="AC40" s="20">
        <v>7.5</v>
      </c>
      <c r="AD40" s="20">
        <v>7.5</v>
      </c>
      <c r="AE40" s="20"/>
      <c r="AF40" s="20">
        <v>7.5</v>
      </c>
      <c r="AG40" s="20"/>
      <c r="AI40" s="3" t="s">
        <v>28</v>
      </c>
      <c r="AJ40" s="25">
        <f>COUNT(C41:AG41)</f>
        <v>21</v>
      </c>
    </row>
    <row r="41" spans="1:36" outlineLevel="1" x14ac:dyDescent="0.45">
      <c r="A41" s="3" t="s">
        <v>23</v>
      </c>
      <c r="C41" s="3">
        <v>7.5</v>
      </c>
      <c r="D41" s="3">
        <v>7.5</v>
      </c>
      <c r="E41" s="3"/>
      <c r="F41" s="3"/>
      <c r="G41" s="3">
        <v>7.5</v>
      </c>
      <c r="H41" s="3">
        <v>7.5</v>
      </c>
      <c r="I41" s="3">
        <v>7.5</v>
      </c>
      <c r="J41" s="3">
        <v>7.5</v>
      </c>
      <c r="K41" s="3">
        <v>7.5</v>
      </c>
      <c r="L41" s="3"/>
      <c r="M41" s="3"/>
      <c r="N41" s="3">
        <v>7.5</v>
      </c>
      <c r="O41" s="3">
        <v>7.5</v>
      </c>
      <c r="P41" s="3">
        <v>7.5</v>
      </c>
      <c r="Q41" s="3">
        <v>7.5</v>
      </c>
      <c r="R41" s="3">
        <v>7.5</v>
      </c>
      <c r="S41" s="3"/>
      <c r="T41" s="3"/>
      <c r="U41" s="3">
        <v>7.5</v>
      </c>
      <c r="V41" s="3">
        <v>7.5</v>
      </c>
      <c r="W41" s="3">
        <v>7.5</v>
      </c>
      <c r="X41" s="3">
        <v>7.5</v>
      </c>
      <c r="Y41" s="3">
        <v>7.5</v>
      </c>
      <c r="Z41" s="3"/>
      <c r="AA41" s="3"/>
      <c r="AB41" s="3">
        <v>7.5</v>
      </c>
      <c r="AC41" s="3">
        <v>7.5</v>
      </c>
      <c r="AD41" s="3">
        <v>7.5</v>
      </c>
      <c r="AE41" s="3"/>
      <c r="AF41" s="3">
        <v>7.5</v>
      </c>
      <c r="AG41" s="3"/>
      <c r="AI41" s="3" t="s">
        <v>29</v>
      </c>
      <c r="AJ41" s="22" t="str">
        <f>_xlfn.LET(_xlpm.v, SUM(C41:AG41),IF(_xlpm.v = INT(_xlpm.v),TEXT(_xlpm.v, "0") &amp; " h",TEXT(_xlpm.v, "0.###") &amp; " h"))</f>
        <v>157.5 h</v>
      </c>
    </row>
    <row r="42" spans="1:36" outlineLevel="1" x14ac:dyDescent="0.45">
      <c r="A42" s="3" t="s">
        <v>24</v>
      </c>
      <c r="C42" s="3" t="s">
        <v>33</v>
      </c>
      <c r="D42" s="3" t="s">
        <v>33</v>
      </c>
      <c r="E42" s="3"/>
      <c r="F42" s="3"/>
      <c r="G42" s="3" t="s">
        <v>33</v>
      </c>
      <c r="H42" s="3" t="s">
        <v>33</v>
      </c>
      <c r="I42" s="3" t="s">
        <v>33</v>
      </c>
      <c r="J42" s="3" t="s">
        <v>33</v>
      </c>
      <c r="K42" s="3" t="s">
        <v>33</v>
      </c>
      <c r="L42" s="3"/>
      <c r="M42" s="3"/>
      <c r="N42" s="3" t="s">
        <v>33</v>
      </c>
      <c r="O42" s="3" t="s">
        <v>33</v>
      </c>
      <c r="P42" s="3" t="s">
        <v>33</v>
      </c>
      <c r="Q42" s="3" t="s">
        <v>33</v>
      </c>
      <c r="R42" s="3" t="s">
        <v>33</v>
      </c>
      <c r="S42" s="3"/>
      <c r="T42" s="3"/>
      <c r="U42" s="3" t="s">
        <v>33</v>
      </c>
      <c r="V42" s="3" t="s">
        <v>33</v>
      </c>
      <c r="W42" s="3" t="s">
        <v>33</v>
      </c>
      <c r="X42" s="3" t="s">
        <v>33</v>
      </c>
      <c r="Y42" s="3" t="s">
        <v>33</v>
      </c>
      <c r="Z42" s="3"/>
      <c r="AA42" s="3"/>
      <c r="AB42" s="3" t="s">
        <v>33</v>
      </c>
      <c r="AC42" s="3" t="s">
        <v>33</v>
      </c>
      <c r="AD42" s="3" t="s">
        <v>33</v>
      </c>
      <c r="AE42" s="3"/>
      <c r="AF42" s="3" t="s">
        <v>33</v>
      </c>
      <c r="AG42" s="3"/>
      <c r="AI42" s="3" t="s">
        <v>30</v>
      </c>
      <c r="AJ42" s="25">
        <f>COUNTIF(C42:AG42,"出")</f>
        <v>0</v>
      </c>
    </row>
    <row r="43" spans="1:36" outlineLevel="1" x14ac:dyDescent="0.45">
      <c r="A43" s="3" t="s">
        <v>25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I43" s="3" t="s">
        <v>31</v>
      </c>
      <c r="AJ43" s="25">
        <f>COUNTIF(C42:AG42,"リ")</f>
        <v>21</v>
      </c>
    </row>
    <row r="44" spans="1:36" outlineLevel="1" x14ac:dyDescent="0.45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I44" s="3" t="s">
        <v>32</v>
      </c>
      <c r="AJ44" s="26">
        <f>AJ42/(AJ42+AJ43)</f>
        <v>0</v>
      </c>
    </row>
    <row r="45" spans="1:36" outlineLevel="1" x14ac:dyDescent="0.45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</row>
    <row r="46" spans="1:36" outlineLevel="1" x14ac:dyDescent="0.45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</row>
    <row r="47" spans="1:36" outlineLevel="1" x14ac:dyDescent="0.45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</row>
    <row r="48" spans="1:36" outlineLevel="1" x14ac:dyDescent="0.45"/>
    <row r="49" spans="1:36" x14ac:dyDescent="0.45">
      <c r="C49" s="37">
        <v>46508</v>
      </c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</row>
    <row r="50" spans="1:36" outlineLevel="1" x14ac:dyDescent="0.45">
      <c r="C50" s="3" t="str">
        <f t="shared" ref="C50:AG50" si="8">TEXT(C51,"aaa")</f>
        <v>土</v>
      </c>
      <c r="D50" s="3" t="str">
        <f t="shared" si="8"/>
        <v>日</v>
      </c>
      <c r="E50" s="3" t="str">
        <f t="shared" si="8"/>
        <v>月</v>
      </c>
      <c r="F50" s="3" t="str">
        <f t="shared" si="8"/>
        <v>火</v>
      </c>
      <c r="G50" s="3" t="str">
        <f t="shared" si="8"/>
        <v>水</v>
      </c>
      <c r="H50" s="3" t="str">
        <f t="shared" si="8"/>
        <v>木</v>
      </c>
      <c r="I50" s="3" t="str">
        <f t="shared" si="8"/>
        <v>金</v>
      </c>
      <c r="J50" s="3" t="str">
        <f t="shared" si="8"/>
        <v>土</v>
      </c>
      <c r="K50" s="3" t="str">
        <f t="shared" si="8"/>
        <v>日</v>
      </c>
      <c r="L50" s="3" t="str">
        <f t="shared" si="8"/>
        <v>月</v>
      </c>
      <c r="M50" s="3" t="str">
        <f t="shared" si="8"/>
        <v>火</v>
      </c>
      <c r="N50" s="3" t="str">
        <f t="shared" si="8"/>
        <v>水</v>
      </c>
      <c r="O50" s="3" t="str">
        <f t="shared" si="8"/>
        <v>木</v>
      </c>
      <c r="P50" s="3" t="str">
        <f t="shared" si="8"/>
        <v>金</v>
      </c>
      <c r="Q50" s="3" t="str">
        <f t="shared" si="8"/>
        <v>土</v>
      </c>
      <c r="R50" s="3" t="str">
        <f t="shared" si="8"/>
        <v>日</v>
      </c>
      <c r="S50" s="3" t="str">
        <f t="shared" si="8"/>
        <v>月</v>
      </c>
      <c r="T50" s="3" t="str">
        <f t="shared" si="8"/>
        <v>火</v>
      </c>
      <c r="U50" s="3" t="str">
        <f t="shared" si="8"/>
        <v>水</v>
      </c>
      <c r="V50" s="3" t="str">
        <f t="shared" si="8"/>
        <v>木</v>
      </c>
      <c r="W50" s="3" t="str">
        <f t="shared" si="8"/>
        <v>金</v>
      </c>
      <c r="X50" s="3" t="str">
        <f t="shared" si="8"/>
        <v>土</v>
      </c>
      <c r="Y50" s="3" t="str">
        <f t="shared" si="8"/>
        <v>日</v>
      </c>
      <c r="Z50" s="3" t="str">
        <f t="shared" si="8"/>
        <v>月</v>
      </c>
      <c r="AA50" s="3" t="str">
        <f t="shared" si="8"/>
        <v>火</v>
      </c>
      <c r="AB50" s="3" t="str">
        <f t="shared" si="8"/>
        <v>水</v>
      </c>
      <c r="AC50" s="3" t="str">
        <f t="shared" si="8"/>
        <v>木</v>
      </c>
      <c r="AD50" s="3" t="str">
        <f t="shared" si="8"/>
        <v>金</v>
      </c>
      <c r="AE50" s="3" t="str">
        <f t="shared" si="8"/>
        <v>土</v>
      </c>
      <c r="AF50" s="3" t="str">
        <f t="shared" si="8"/>
        <v>日</v>
      </c>
      <c r="AG50" s="3" t="str">
        <f t="shared" si="8"/>
        <v>月</v>
      </c>
      <c r="AI50" s="20" t="s">
        <v>26</v>
      </c>
      <c r="AJ50" s="24">
        <f>COUNT(C52:AG52)</f>
        <v>18</v>
      </c>
    </row>
    <row r="51" spans="1:36" outlineLevel="1" x14ac:dyDescent="0.45">
      <c r="C51" s="23">
        <f>C49</f>
        <v>46508</v>
      </c>
      <c r="D51" s="23">
        <f t="shared" ref="D51:AG51" si="9">IF(C51="","",IF(C51+1&lt;=EOMONTH($C$49,0),C51+1,""))</f>
        <v>46509</v>
      </c>
      <c r="E51" s="23">
        <f t="shared" si="9"/>
        <v>46510</v>
      </c>
      <c r="F51" s="23">
        <f t="shared" si="9"/>
        <v>46511</v>
      </c>
      <c r="G51" s="23">
        <f t="shared" si="9"/>
        <v>46512</v>
      </c>
      <c r="H51" s="23">
        <f t="shared" si="9"/>
        <v>46513</v>
      </c>
      <c r="I51" s="23">
        <f t="shared" si="9"/>
        <v>46514</v>
      </c>
      <c r="J51" s="23">
        <f t="shared" si="9"/>
        <v>46515</v>
      </c>
      <c r="K51" s="23">
        <f t="shared" si="9"/>
        <v>46516</v>
      </c>
      <c r="L51" s="23">
        <f t="shared" si="9"/>
        <v>46517</v>
      </c>
      <c r="M51" s="23">
        <f t="shared" si="9"/>
        <v>46518</v>
      </c>
      <c r="N51" s="23">
        <f t="shared" si="9"/>
        <v>46519</v>
      </c>
      <c r="O51" s="23">
        <f t="shared" si="9"/>
        <v>46520</v>
      </c>
      <c r="P51" s="23">
        <f t="shared" si="9"/>
        <v>46521</v>
      </c>
      <c r="Q51" s="23">
        <f t="shared" si="9"/>
        <v>46522</v>
      </c>
      <c r="R51" s="23">
        <f t="shared" si="9"/>
        <v>46523</v>
      </c>
      <c r="S51" s="23">
        <f t="shared" si="9"/>
        <v>46524</v>
      </c>
      <c r="T51" s="23">
        <f t="shared" si="9"/>
        <v>46525</v>
      </c>
      <c r="U51" s="23">
        <f t="shared" si="9"/>
        <v>46526</v>
      </c>
      <c r="V51" s="23">
        <f t="shared" si="9"/>
        <v>46527</v>
      </c>
      <c r="W51" s="23">
        <f t="shared" si="9"/>
        <v>46528</v>
      </c>
      <c r="X51" s="23">
        <f t="shared" si="9"/>
        <v>46529</v>
      </c>
      <c r="Y51" s="23">
        <f t="shared" si="9"/>
        <v>46530</v>
      </c>
      <c r="Z51" s="23">
        <f t="shared" si="9"/>
        <v>46531</v>
      </c>
      <c r="AA51" s="23">
        <f t="shared" si="9"/>
        <v>46532</v>
      </c>
      <c r="AB51" s="23">
        <f t="shared" si="9"/>
        <v>46533</v>
      </c>
      <c r="AC51" s="23">
        <f t="shared" si="9"/>
        <v>46534</v>
      </c>
      <c r="AD51" s="23">
        <f t="shared" si="9"/>
        <v>46535</v>
      </c>
      <c r="AE51" s="23">
        <f t="shared" si="9"/>
        <v>46536</v>
      </c>
      <c r="AF51" s="23">
        <f t="shared" si="9"/>
        <v>46537</v>
      </c>
      <c r="AG51" s="23">
        <f t="shared" si="9"/>
        <v>46538</v>
      </c>
      <c r="AI51" s="20" t="s">
        <v>27</v>
      </c>
      <c r="AJ51" s="21" t="str">
        <f>_xlfn.LET(_xlpm.v, SUM(C52:AG52),IF(_xlpm.v = INT(_xlpm.v),TEXT(_xlpm.v, "0") &amp; " h",TEXT(_xlpm.v, "0.###") &amp; " h"))</f>
        <v>135 h</v>
      </c>
    </row>
    <row r="52" spans="1:36" outlineLevel="1" x14ac:dyDescent="0.45">
      <c r="A52" s="20" t="s">
        <v>22</v>
      </c>
      <c r="C52" s="20"/>
      <c r="D52" s="20"/>
      <c r="E52" s="20"/>
      <c r="F52" s="20"/>
      <c r="G52" s="20"/>
      <c r="H52" s="20">
        <v>7.5</v>
      </c>
      <c r="I52" s="20">
        <v>7.5</v>
      </c>
      <c r="J52" s="20"/>
      <c r="K52" s="20"/>
      <c r="L52" s="20">
        <v>7.5</v>
      </c>
      <c r="M52" s="20">
        <v>7.5</v>
      </c>
      <c r="N52" s="20">
        <v>7.5</v>
      </c>
      <c r="O52" s="20">
        <v>7.5</v>
      </c>
      <c r="P52" s="20">
        <v>7.5</v>
      </c>
      <c r="Q52" s="20"/>
      <c r="R52" s="20"/>
      <c r="S52" s="20">
        <v>7.5</v>
      </c>
      <c r="T52" s="20">
        <v>7.5</v>
      </c>
      <c r="U52" s="20">
        <v>7.5</v>
      </c>
      <c r="V52" s="20">
        <v>7.5</v>
      </c>
      <c r="W52" s="20">
        <v>7.5</v>
      </c>
      <c r="X52" s="20"/>
      <c r="Y52" s="20"/>
      <c r="Z52" s="20">
        <v>7.5</v>
      </c>
      <c r="AA52" s="20">
        <v>7.5</v>
      </c>
      <c r="AB52" s="20">
        <v>7.5</v>
      </c>
      <c r="AC52" s="20">
        <v>7.5</v>
      </c>
      <c r="AD52" s="20">
        <v>7.5</v>
      </c>
      <c r="AE52" s="20"/>
      <c r="AF52" s="20"/>
      <c r="AG52" s="20">
        <v>7.5</v>
      </c>
      <c r="AI52" s="3" t="s">
        <v>28</v>
      </c>
      <c r="AJ52" s="25">
        <f>COUNT(C53:AG53)</f>
        <v>18</v>
      </c>
    </row>
    <row r="53" spans="1:36" outlineLevel="1" x14ac:dyDescent="0.45">
      <c r="A53" s="3" t="s">
        <v>23</v>
      </c>
      <c r="C53" s="3"/>
      <c r="D53" s="3"/>
      <c r="E53" s="3"/>
      <c r="F53" s="3"/>
      <c r="G53" s="3"/>
      <c r="H53" s="3">
        <v>7.5</v>
      </c>
      <c r="I53" s="3">
        <v>7.5</v>
      </c>
      <c r="J53" s="3"/>
      <c r="K53" s="3"/>
      <c r="L53" s="3">
        <v>7.5</v>
      </c>
      <c r="M53" s="3">
        <v>7.5</v>
      </c>
      <c r="N53" s="3">
        <v>7.5</v>
      </c>
      <c r="O53" s="3">
        <v>7.5</v>
      </c>
      <c r="P53" s="3">
        <v>7.5</v>
      </c>
      <c r="Q53" s="3"/>
      <c r="R53" s="3"/>
      <c r="S53" s="3">
        <v>7.5</v>
      </c>
      <c r="T53" s="3">
        <v>7.5</v>
      </c>
      <c r="U53" s="3">
        <v>7.5</v>
      </c>
      <c r="V53" s="3">
        <v>7.5</v>
      </c>
      <c r="W53" s="3">
        <v>7.5</v>
      </c>
      <c r="X53" s="3"/>
      <c r="Y53" s="3"/>
      <c r="Z53" s="3">
        <v>7.5</v>
      </c>
      <c r="AA53" s="3">
        <v>7.5</v>
      </c>
      <c r="AB53" s="3">
        <v>7.5</v>
      </c>
      <c r="AC53" s="3">
        <v>7.5</v>
      </c>
      <c r="AD53" s="3">
        <v>7.5</v>
      </c>
      <c r="AE53" s="3"/>
      <c r="AF53" s="3"/>
      <c r="AG53" s="3">
        <v>7.5</v>
      </c>
      <c r="AI53" s="3" t="s">
        <v>29</v>
      </c>
      <c r="AJ53" s="22" t="str">
        <f>_xlfn.LET(_xlpm.v, SUM(C53:AG53),IF(_xlpm.v = INT(_xlpm.v),TEXT(_xlpm.v, "0") &amp; " h",TEXT(_xlpm.v, "0.###") &amp; " h"))</f>
        <v>135 h</v>
      </c>
    </row>
    <row r="54" spans="1:36" outlineLevel="1" x14ac:dyDescent="0.45">
      <c r="A54" s="3" t="s">
        <v>24</v>
      </c>
      <c r="C54" s="3"/>
      <c r="D54" s="3"/>
      <c r="E54" s="3"/>
      <c r="F54" s="3"/>
      <c r="G54" s="3"/>
      <c r="H54" s="3" t="s">
        <v>33</v>
      </c>
      <c r="I54" s="3" t="s">
        <v>33</v>
      </c>
      <c r="J54" s="3"/>
      <c r="K54" s="3"/>
      <c r="L54" s="3" t="s">
        <v>33</v>
      </c>
      <c r="M54" s="3" t="s">
        <v>33</v>
      </c>
      <c r="N54" s="3" t="s">
        <v>33</v>
      </c>
      <c r="O54" s="3" t="s">
        <v>33</v>
      </c>
      <c r="P54" s="3" t="s">
        <v>33</v>
      </c>
      <c r="Q54" s="3"/>
      <c r="R54" s="3"/>
      <c r="S54" s="3" t="s">
        <v>33</v>
      </c>
      <c r="T54" s="3" t="s">
        <v>33</v>
      </c>
      <c r="U54" s="3" t="s">
        <v>33</v>
      </c>
      <c r="V54" s="3" t="s">
        <v>33</v>
      </c>
      <c r="W54" s="3" t="s">
        <v>33</v>
      </c>
      <c r="X54" s="3"/>
      <c r="Y54" s="3"/>
      <c r="Z54" s="3" t="s">
        <v>33</v>
      </c>
      <c r="AA54" s="3" t="s">
        <v>33</v>
      </c>
      <c r="AB54" s="3" t="s">
        <v>33</v>
      </c>
      <c r="AC54" s="3" t="s">
        <v>33</v>
      </c>
      <c r="AD54" s="3" t="s">
        <v>33</v>
      </c>
      <c r="AE54" s="3"/>
      <c r="AF54" s="3"/>
      <c r="AG54" s="3" t="s">
        <v>33</v>
      </c>
      <c r="AI54" s="3" t="s">
        <v>30</v>
      </c>
      <c r="AJ54" s="25">
        <f>COUNTIF(C54:AG54,"出")</f>
        <v>0</v>
      </c>
    </row>
    <row r="55" spans="1:36" outlineLevel="1" x14ac:dyDescent="0.45">
      <c r="A55" s="3" t="s">
        <v>25</v>
      </c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I55" s="3" t="s">
        <v>31</v>
      </c>
      <c r="AJ55" s="25">
        <f>COUNTIF(C54:AG54,"リ")</f>
        <v>18</v>
      </c>
    </row>
    <row r="56" spans="1:36" outlineLevel="1" x14ac:dyDescent="0.45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I56" s="3" t="s">
        <v>32</v>
      </c>
      <c r="AJ56" s="26">
        <f>AJ54/(AJ54+AJ55)</f>
        <v>0</v>
      </c>
    </row>
    <row r="57" spans="1:36" outlineLevel="1" x14ac:dyDescent="0.45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</row>
    <row r="58" spans="1:36" outlineLevel="1" x14ac:dyDescent="0.45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</row>
    <row r="59" spans="1:36" outlineLevel="1" x14ac:dyDescent="0.45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</row>
    <row r="60" spans="1:36" outlineLevel="1" x14ac:dyDescent="0.45"/>
    <row r="61" spans="1:36" x14ac:dyDescent="0.45">
      <c r="C61" s="37">
        <v>46539</v>
      </c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</row>
    <row r="62" spans="1:36" outlineLevel="1" x14ac:dyDescent="0.45">
      <c r="C62" s="3" t="str">
        <f t="shared" ref="C62:AG62" si="10">TEXT(C63,"aaa")</f>
        <v>火</v>
      </c>
      <c r="D62" s="3" t="str">
        <f t="shared" si="10"/>
        <v>水</v>
      </c>
      <c r="E62" s="3" t="str">
        <f t="shared" si="10"/>
        <v>木</v>
      </c>
      <c r="F62" s="3" t="str">
        <f t="shared" si="10"/>
        <v>金</v>
      </c>
      <c r="G62" s="3" t="str">
        <f t="shared" si="10"/>
        <v>土</v>
      </c>
      <c r="H62" s="3" t="str">
        <f t="shared" si="10"/>
        <v>日</v>
      </c>
      <c r="I62" s="3" t="str">
        <f t="shared" si="10"/>
        <v>月</v>
      </c>
      <c r="J62" s="3" t="str">
        <f t="shared" si="10"/>
        <v>火</v>
      </c>
      <c r="K62" s="3" t="str">
        <f t="shared" si="10"/>
        <v>水</v>
      </c>
      <c r="L62" s="3" t="str">
        <f t="shared" si="10"/>
        <v>木</v>
      </c>
      <c r="M62" s="3" t="str">
        <f t="shared" si="10"/>
        <v>金</v>
      </c>
      <c r="N62" s="3" t="str">
        <f t="shared" si="10"/>
        <v>土</v>
      </c>
      <c r="O62" s="3" t="str">
        <f t="shared" si="10"/>
        <v>日</v>
      </c>
      <c r="P62" s="3" t="str">
        <f t="shared" si="10"/>
        <v>月</v>
      </c>
      <c r="Q62" s="3" t="str">
        <f t="shared" si="10"/>
        <v>火</v>
      </c>
      <c r="R62" s="3" t="str">
        <f t="shared" si="10"/>
        <v>水</v>
      </c>
      <c r="S62" s="3" t="str">
        <f t="shared" si="10"/>
        <v>木</v>
      </c>
      <c r="T62" s="3" t="str">
        <f t="shared" si="10"/>
        <v>金</v>
      </c>
      <c r="U62" s="3" t="str">
        <f t="shared" si="10"/>
        <v>土</v>
      </c>
      <c r="V62" s="3" t="str">
        <f t="shared" si="10"/>
        <v>日</v>
      </c>
      <c r="W62" s="3" t="str">
        <f t="shared" si="10"/>
        <v>月</v>
      </c>
      <c r="X62" s="3" t="str">
        <f t="shared" si="10"/>
        <v>火</v>
      </c>
      <c r="Y62" s="3" t="str">
        <f t="shared" si="10"/>
        <v>水</v>
      </c>
      <c r="Z62" s="3" t="str">
        <f t="shared" si="10"/>
        <v>木</v>
      </c>
      <c r="AA62" s="3" t="str">
        <f t="shared" si="10"/>
        <v>金</v>
      </c>
      <c r="AB62" s="3" t="str">
        <f t="shared" si="10"/>
        <v>土</v>
      </c>
      <c r="AC62" s="3" t="str">
        <f t="shared" si="10"/>
        <v>日</v>
      </c>
      <c r="AD62" s="3" t="str">
        <f t="shared" si="10"/>
        <v>月</v>
      </c>
      <c r="AE62" s="3" t="str">
        <f t="shared" si="10"/>
        <v>火</v>
      </c>
      <c r="AF62" s="3" t="str">
        <f t="shared" si="10"/>
        <v>水</v>
      </c>
      <c r="AG62" s="3" t="str">
        <f t="shared" si="10"/>
        <v/>
      </c>
      <c r="AI62" s="20" t="s">
        <v>26</v>
      </c>
      <c r="AJ62" s="24">
        <f>COUNT(C64:AG64)</f>
        <v>22</v>
      </c>
    </row>
    <row r="63" spans="1:36" outlineLevel="1" x14ac:dyDescent="0.45">
      <c r="C63" s="23">
        <f>C61</f>
        <v>46539</v>
      </c>
      <c r="D63" s="23">
        <f t="shared" ref="D63:AG63" si="11">IF(C63="","",IF(C63+1&lt;=EOMONTH($C$61,0),C63+1,""))</f>
        <v>46540</v>
      </c>
      <c r="E63" s="23">
        <f t="shared" si="11"/>
        <v>46541</v>
      </c>
      <c r="F63" s="23">
        <f t="shared" si="11"/>
        <v>46542</v>
      </c>
      <c r="G63" s="23">
        <f t="shared" si="11"/>
        <v>46543</v>
      </c>
      <c r="H63" s="23">
        <f t="shared" si="11"/>
        <v>46544</v>
      </c>
      <c r="I63" s="23">
        <f t="shared" si="11"/>
        <v>46545</v>
      </c>
      <c r="J63" s="23">
        <f t="shared" si="11"/>
        <v>46546</v>
      </c>
      <c r="K63" s="23">
        <f t="shared" si="11"/>
        <v>46547</v>
      </c>
      <c r="L63" s="23">
        <f t="shared" si="11"/>
        <v>46548</v>
      </c>
      <c r="M63" s="23">
        <f t="shared" si="11"/>
        <v>46549</v>
      </c>
      <c r="N63" s="23">
        <f t="shared" si="11"/>
        <v>46550</v>
      </c>
      <c r="O63" s="23">
        <f t="shared" si="11"/>
        <v>46551</v>
      </c>
      <c r="P63" s="23">
        <f t="shared" si="11"/>
        <v>46552</v>
      </c>
      <c r="Q63" s="23">
        <f t="shared" si="11"/>
        <v>46553</v>
      </c>
      <c r="R63" s="23">
        <f t="shared" si="11"/>
        <v>46554</v>
      </c>
      <c r="S63" s="23">
        <f t="shared" si="11"/>
        <v>46555</v>
      </c>
      <c r="T63" s="23">
        <f t="shared" si="11"/>
        <v>46556</v>
      </c>
      <c r="U63" s="23">
        <f t="shared" si="11"/>
        <v>46557</v>
      </c>
      <c r="V63" s="23">
        <f t="shared" si="11"/>
        <v>46558</v>
      </c>
      <c r="W63" s="23">
        <f t="shared" si="11"/>
        <v>46559</v>
      </c>
      <c r="X63" s="23">
        <f t="shared" si="11"/>
        <v>46560</v>
      </c>
      <c r="Y63" s="23">
        <f t="shared" si="11"/>
        <v>46561</v>
      </c>
      <c r="Z63" s="23">
        <f t="shared" si="11"/>
        <v>46562</v>
      </c>
      <c r="AA63" s="23">
        <f t="shared" si="11"/>
        <v>46563</v>
      </c>
      <c r="AB63" s="23">
        <f t="shared" si="11"/>
        <v>46564</v>
      </c>
      <c r="AC63" s="23">
        <f t="shared" si="11"/>
        <v>46565</v>
      </c>
      <c r="AD63" s="23">
        <f t="shared" si="11"/>
        <v>46566</v>
      </c>
      <c r="AE63" s="23">
        <f t="shared" si="11"/>
        <v>46567</v>
      </c>
      <c r="AF63" s="23">
        <f t="shared" si="11"/>
        <v>46568</v>
      </c>
      <c r="AG63" s="23" t="str">
        <f t="shared" si="11"/>
        <v/>
      </c>
      <c r="AI63" s="20" t="s">
        <v>27</v>
      </c>
      <c r="AJ63" s="21" t="str">
        <f>_xlfn.LET(_xlpm.v, SUM(C64:AG64),IF(_xlpm.v = INT(_xlpm.v),TEXT(_xlpm.v, "0") &amp; " h",TEXT(_xlpm.v, "0.###") &amp; " h"))</f>
        <v>165 h</v>
      </c>
    </row>
    <row r="64" spans="1:36" outlineLevel="1" x14ac:dyDescent="0.45">
      <c r="A64" s="20" t="s">
        <v>22</v>
      </c>
      <c r="C64" s="20">
        <v>7.5</v>
      </c>
      <c r="D64" s="20">
        <v>7.5</v>
      </c>
      <c r="E64" s="20">
        <v>7.5</v>
      </c>
      <c r="F64" s="20">
        <v>7.5</v>
      </c>
      <c r="G64" s="20"/>
      <c r="H64" s="20"/>
      <c r="I64" s="20">
        <v>7.5</v>
      </c>
      <c r="J64" s="20">
        <v>7.5</v>
      </c>
      <c r="K64" s="20">
        <v>7.5</v>
      </c>
      <c r="L64" s="20">
        <v>7.5</v>
      </c>
      <c r="M64" s="20">
        <v>7.5</v>
      </c>
      <c r="N64" s="20"/>
      <c r="O64" s="20"/>
      <c r="P64" s="20">
        <v>7.5</v>
      </c>
      <c r="Q64" s="20">
        <v>7.5</v>
      </c>
      <c r="R64" s="20">
        <v>7.5</v>
      </c>
      <c r="S64" s="20">
        <v>7.5</v>
      </c>
      <c r="T64" s="20">
        <v>7.5</v>
      </c>
      <c r="U64" s="20"/>
      <c r="V64" s="20"/>
      <c r="W64" s="20">
        <v>7.5</v>
      </c>
      <c r="X64" s="20">
        <v>7.5</v>
      </c>
      <c r="Y64" s="20">
        <v>7.5</v>
      </c>
      <c r="Z64" s="20">
        <v>7.5</v>
      </c>
      <c r="AA64" s="20">
        <v>7.5</v>
      </c>
      <c r="AB64" s="20"/>
      <c r="AC64" s="20"/>
      <c r="AD64" s="20">
        <v>7.5</v>
      </c>
      <c r="AE64" s="20">
        <v>7.5</v>
      </c>
      <c r="AF64" s="20">
        <v>7.5</v>
      </c>
      <c r="AG64" s="20"/>
      <c r="AI64" s="3" t="s">
        <v>28</v>
      </c>
      <c r="AJ64" s="25">
        <f>COUNT(C65:AG65)</f>
        <v>22</v>
      </c>
    </row>
    <row r="65" spans="1:36" outlineLevel="1" x14ac:dyDescent="0.45">
      <c r="A65" s="3" t="s">
        <v>23</v>
      </c>
      <c r="C65" s="3">
        <v>7.5</v>
      </c>
      <c r="D65" s="3">
        <v>7.5</v>
      </c>
      <c r="E65" s="3">
        <v>7.5</v>
      </c>
      <c r="F65" s="3">
        <v>7.5</v>
      </c>
      <c r="G65" s="3"/>
      <c r="H65" s="3"/>
      <c r="I65" s="3">
        <v>7.5</v>
      </c>
      <c r="J65" s="3">
        <v>7.5</v>
      </c>
      <c r="K65" s="3">
        <v>7.5</v>
      </c>
      <c r="L65" s="3">
        <v>7.5</v>
      </c>
      <c r="M65" s="3">
        <v>7.5</v>
      </c>
      <c r="N65" s="3"/>
      <c r="O65" s="3"/>
      <c r="P65" s="3">
        <v>7.5</v>
      </c>
      <c r="Q65" s="3">
        <v>7.5</v>
      </c>
      <c r="R65" s="3">
        <v>7.5</v>
      </c>
      <c r="S65" s="3">
        <v>7.5</v>
      </c>
      <c r="T65" s="3">
        <v>7.5</v>
      </c>
      <c r="U65" s="3"/>
      <c r="V65" s="3"/>
      <c r="W65" s="3">
        <v>7.5</v>
      </c>
      <c r="X65" s="3">
        <v>7.5</v>
      </c>
      <c r="Y65" s="3">
        <v>7.5</v>
      </c>
      <c r="Z65" s="3">
        <v>7.5</v>
      </c>
      <c r="AA65" s="3">
        <v>7.5</v>
      </c>
      <c r="AB65" s="3"/>
      <c r="AC65" s="3"/>
      <c r="AD65" s="3">
        <v>7.5</v>
      </c>
      <c r="AE65" s="3">
        <v>7.5</v>
      </c>
      <c r="AF65" s="3">
        <v>7.5</v>
      </c>
      <c r="AG65" s="3"/>
      <c r="AI65" s="3" t="s">
        <v>29</v>
      </c>
      <c r="AJ65" s="22" t="str">
        <f>_xlfn.LET(_xlpm.v, SUM(C65:AG65),IF(_xlpm.v = INT(_xlpm.v),TEXT(_xlpm.v, "0") &amp; " h",TEXT(_xlpm.v, "0.###") &amp; " h"))</f>
        <v>165 h</v>
      </c>
    </row>
    <row r="66" spans="1:36" outlineLevel="1" x14ac:dyDescent="0.45">
      <c r="A66" s="3" t="s">
        <v>24</v>
      </c>
      <c r="C66" s="3" t="s">
        <v>33</v>
      </c>
      <c r="D66" s="3" t="s">
        <v>33</v>
      </c>
      <c r="E66" s="3" t="s">
        <v>33</v>
      </c>
      <c r="F66" s="3" t="s">
        <v>33</v>
      </c>
      <c r="G66" s="3"/>
      <c r="H66" s="3"/>
      <c r="I66" s="3" t="s">
        <v>33</v>
      </c>
      <c r="J66" s="3" t="s">
        <v>33</v>
      </c>
      <c r="K66" s="3" t="s">
        <v>33</v>
      </c>
      <c r="L66" s="3" t="s">
        <v>33</v>
      </c>
      <c r="M66" s="3" t="s">
        <v>33</v>
      </c>
      <c r="N66" s="3"/>
      <c r="O66" s="3"/>
      <c r="P66" s="3" t="s">
        <v>33</v>
      </c>
      <c r="Q66" s="3" t="s">
        <v>33</v>
      </c>
      <c r="R66" s="3" t="s">
        <v>33</v>
      </c>
      <c r="S66" s="3" t="s">
        <v>33</v>
      </c>
      <c r="T66" s="3" t="s">
        <v>33</v>
      </c>
      <c r="U66" s="3"/>
      <c r="V66" s="3"/>
      <c r="W66" s="3" t="s">
        <v>33</v>
      </c>
      <c r="X66" s="3" t="s">
        <v>33</v>
      </c>
      <c r="Y66" s="3" t="s">
        <v>33</v>
      </c>
      <c r="Z66" s="3" t="s">
        <v>33</v>
      </c>
      <c r="AA66" s="3" t="s">
        <v>33</v>
      </c>
      <c r="AB66" s="3"/>
      <c r="AC66" s="3"/>
      <c r="AD66" s="3" t="s">
        <v>33</v>
      </c>
      <c r="AE66" s="3" t="s">
        <v>33</v>
      </c>
      <c r="AF66" s="3" t="s">
        <v>33</v>
      </c>
      <c r="AG66" s="3"/>
      <c r="AI66" s="3" t="s">
        <v>30</v>
      </c>
      <c r="AJ66" s="25">
        <f>COUNTIF(C66:AG66,"出")</f>
        <v>0</v>
      </c>
    </row>
    <row r="67" spans="1:36" outlineLevel="1" x14ac:dyDescent="0.45">
      <c r="A67" s="3" t="s">
        <v>25</v>
      </c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I67" s="3" t="s">
        <v>31</v>
      </c>
      <c r="AJ67" s="25">
        <f>COUNTIF(C66:AG66,"リ")</f>
        <v>22</v>
      </c>
    </row>
    <row r="68" spans="1:36" outlineLevel="1" x14ac:dyDescent="0.45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I68" s="3" t="s">
        <v>32</v>
      </c>
      <c r="AJ68" s="26">
        <f>AJ66/(AJ66+AJ67)</f>
        <v>0</v>
      </c>
    </row>
    <row r="69" spans="1:36" outlineLevel="1" x14ac:dyDescent="0.45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</row>
    <row r="70" spans="1:36" outlineLevel="1" x14ac:dyDescent="0.45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</row>
    <row r="71" spans="1:36" outlineLevel="1" x14ac:dyDescent="0.45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</row>
    <row r="72" spans="1:36" outlineLevel="1" x14ac:dyDescent="0.45"/>
    <row r="73" spans="1:36" x14ac:dyDescent="0.45">
      <c r="C73" s="37">
        <v>46569</v>
      </c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</row>
    <row r="74" spans="1:36" outlineLevel="1" x14ac:dyDescent="0.45">
      <c r="C74" s="3" t="str">
        <f t="shared" ref="C74:AG74" si="12">TEXT(C75,"aaa")</f>
        <v>木</v>
      </c>
      <c r="D74" s="3" t="str">
        <f t="shared" si="12"/>
        <v>金</v>
      </c>
      <c r="E74" s="3" t="str">
        <f t="shared" si="12"/>
        <v>土</v>
      </c>
      <c r="F74" s="3" t="str">
        <f t="shared" si="12"/>
        <v>日</v>
      </c>
      <c r="G74" s="3" t="str">
        <f t="shared" si="12"/>
        <v>月</v>
      </c>
      <c r="H74" s="3" t="str">
        <f t="shared" si="12"/>
        <v>火</v>
      </c>
      <c r="I74" s="3" t="str">
        <f t="shared" si="12"/>
        <v>水</v>
      </c>
      <c r="J74" s="3" t="str">
        <f t="shared" si="12"/>
        <v>木</v>
      </c>
      <c r="K74" s="3" t="str">
        <f t="shared" si="12"/>
        <v>金</v>
      </c>
      <c r="L74" s="3" t="str">
        <f t="shared" si="12"/>
        <v>土</v>
      </c>
      <c r="M74" s="3" t="str">
        <f t="shared" si="12"/>
        <v>日</v>
      </c>
      <c r="N74" s="3" t="str">
        <f t="shared" si="12"/>
        <v>月</v>
      </c>
      <c r="O74" s="3" t="str">
        <f t="shared" si="12"/>
        <v>火</v>
      </c>
      <c r="P74" s="3" t="str">
        <f t="shared" si="12"/>
        <v>水</v>
      </c>
      <c r="Q74" s="3" t="str">
        <f t="shared" si="12"/>
        <v>木</v>
      </c>
      <c r="R74" s="3" t="str">
        <f t="shared" si="12"/>
        <v>金</v>
      </c>
      <c r="S74" s="3" t="str">
        <f t="shared" si="12"/>
        <v>土</v>
      </c>
      <c r="T74" s="3" t="str">
        <f t="shared" si="12"/>
        <v>日</v>
      </c>
      <c r="U74" s="3" t="str">
        <f t="shared" si="12"/>
        <v>月</v>
      </c>
      <c r="V74" s="3" t="str">
        <f t="shared" si="12"/>
        <v>火</v>
      </c>
      <c r="W74" s="3" t="str">
        <f t="shared" si="12"/>
        <v>水</v>
      </c>
      <c r="X74" s="3" t="str">
        <f t="shared" si="12"/>
        <v>木</v>
      </c>
      <c r="Y74" s="3" t="str">
        <f t="shared" si="12"/>
        <v>金</v>
      </c>
      <c r="Z74" s="3" t="str">
        <f t="shared" si="12"/>
        <v>土</v>
      </c>
      <c r="AA74" s="3" t="str">
        <f t="shared" si="12"/>
        <v>日</v>
      </c>
      <c r="AB74" s="3" t="str">
        <f t="shared" si="12"/>
        <v>月</v>
      </c>
      <c r="AC74" s="3" t="str">
        <f t="shared" si="12"/>
        <v>火</v>
      </c>
      <c r="AD74" s="3" t="str">
        <f t="shared" si="12"/>
        <v>水</v>
      </c>
      <c r="AE74" s="3" t="str">
        <f t="shared" si="12"/>
        <v>木</v>
      </c>
      <c r="AF74" s="3" t="str">
        <f t="shared" si="12"/>
        <v>金</v>
      </c>
      <c r="AG74" s="3" t="str">
        <f t="shared" si="12"/>
        <v>土</v>
      </c>
      <c r="AI74" s="20" t="s">
        <v>26</v>
      </c>
      <c r="AJ74" s="24">
        <f>COUNT(C76:AG76)</f>
        <v>21</v>
      </c>
    </row>
    <row r="75" spans="1:36" outlineLevel="1" x14ac:dyDescent="0.45">
      <c r="C75" s="23">
        <f>C73</f>
        <v>46569</v>
      </c>
      <c r="D75" s="23">
        <f t="shared" ref="D75:AG75" si="13">IF(C75="","",IF(C75+1&lt;=EOMONTH($C$73,0),C75+1,""))</f>
        <v>46570</v>
      </c>
      <c r="E75" s="23">
        <f t="shared" si="13"/>
        <v>46571</v>
      </c>
      <c r="F75" s="23">
        <f t="shared" si="13"/>
        <v>46572</v>
      </c>
      <c r="G75" s="23">
        <f t="shared" si="13"/>
        <v>46573</v>
      </c>
      <c r="H75" s="23">
        <f t="shared" si="13"/>
        <v>46574</v>
      </c>
      <c r="I75" s="23">
        <f t="shared" si="13"/>
        <v>46575</v>
      </c>
      <c r="J75" s="23">
        <f t="shared" si="13"/>
        <v>46576</v>
      </c>
      <c r="K75" s="23">
        <f t="shared" si="13"/>
        <v>46577</v>
      </c>
      <c r="L75" s="23">
        <f t="shared" si="13"/>
        <v>46578</v>
      </c>
      <c r="M75" s="23">
        <f t="shared" si="13"/>
        <v>46579</v>
      </c>
      <c r="N75" s="23">
        <f t="shared" si="13"/>
        <v>46580</v>
      </c>
      <c r="O75" s="23">
        <f t="shared" si="13"/>
        <v>46581</v>
      </c>
      <c r="P75" s="23">
        <f t="shared" si="13"/>
        <v>46582</v>
      </c>
      <c r="Q75" s="23">
        <f t="shared" si="13"/>
        <v>46583</v>
      </c>
      <c r="R75" s="23">
        <f t="shared" si="13"/>
        <v>46584</v>
      </c>
      <c r="S75" s="23">
        <f t="shared" si="13"/>
        <v>46585</v>
      </c>
      <c r="T75" s="23">
        <f t="shared" si="13"/>
        <v>46586</v>
      </c>
      <c r="U75" s="23">
        <f t="shared" si="13"/>
        <v>46587</v>
      </c>
      <c r="V75" s="23">
        <f t="shared" si="13"/>
        <v>46588</v>
      </c>
      <c r="W75" s="23">
        <f t="shared" si="13"/>
        <v>46589</v>
      </c>
      <c r="X75" s="23">
        <f t="shared" si="13"/>
        <v>46590</v>
      </c>
      <c r="Y75" s="23">
        <f t="shared" si="13"/>
        <v>46591</v>
      </c>
      <c r="Z75" s="23">
        <f t="shared" si="13"/>
        <v>46592</v>
      </c>
      <c r="AA75" s="23">
        <f t="shared" si="13"/>
        <v>46593</v>
      </c>
      <c r="AB75" s="23">
        <f t="shared" si="13"/>
        <v>46594</v>
      </c>
      <c r="AC75" s="23">
        <f t="shared" si="13"/>
        <v>46595</v>
      </c>
      <c r="AD75" s="23">
        <f t="shared" si="13"/>
        <v>46596</v>
      </c>
      <c r="AE75" s="23">
        <f t="shared" si="13"/>
        <v>46597</v>
      </c>
      <c r="AF75" s="23">
        <f t="shared" si="13"/>
        <v>46598</v>
      </c>
      <c r="AG75" s="23">
        <f t="shared" si="13"/>
        <v>46599</v>
      </c>
      <c r="AI75" s="20" t="s">
        <v>27</v>
      </c>
      <c r="AJ75" s="21" t="str">
        <f>_xlfn.LET(_xlpm.v, SUM(C76:AG76),IF(_xlpm.v = INT(_xlpm.v),TEXT(_xlpm.v, "0") &amp; " h",TEXT(_xlpm.v, "0.###") &amp; " h"))</f>
        <v>157.5 h</v>
      </c>
    </row>
    <row r="76" spans="1:36" outlineLevel="1" x14ac:dyDescent="0.45">
      <c r="A76" s="20" t="s">
        <v>22</v>
      </c>
      <c r="C76" s="20">
        <v>7.5</v>
      </c>
      <c r="D76" s="20">
        <v>7.5</v>
      </c>
      <c r="E76" s="20"/>
      <c r="F76" s="20"/>
      <c r="G76" s="20">
        <v>7.5</v>
      </c>
      <c r="H76" s="20">
        <v>7.5</v>
      </c>
      <c r="I76" s="20">
        <v>7.5</v>
      </c>
      <c r="J76" s="20">
        <v>7.5</v>
      </c>
      <c r="K76" s="20">
        <v>7.5</v>
      </c>
      <c r="L76" s="20"/>
      <c r="M76" s="20"/>
      <c r="N76" s="20">
        <v>7.5</v>
      </c>
      <c r="O76" s="20">
        <v>7.5</v>
      </c>
      <c r="P76" s="20">
        <v>7.5</v>
      </c>
      <c r="Q76" s="20">
        <v>7.5</v>
      </c>
      <c r="R76" s="20">
        <v>7.5</v>
      </c>
      <c r="S76" s="20"/>
      <c r="T76" s="20"/>
      <c r="U76" s="20"/>
      <c r="V76" s="20">
        <v>7.5</v>
      </c>
      <c r="W76" s="20">
        <v>7.5</v>
      </c>
      <c r="X76" s="20">
        <v>7.5</v>
      </c>
      <c r="Y76" s="20">
        <v>7.5</v>
      </c>
      <c r="Z76" s="20"/>
      <c r="AA76" s="20"/>
      <c r="AB76" s="20">
        <v>7.5</v>
      </c>
      <c r="AC76" s="20">
        <v>7.5</v>
      </c>
      <c r="AD76" s="20">
        <v>7.5</v>
      </c>
      <c r="AE76" s="20">
        <v>7.5</v>
      </c>
      <c r="AF76" s="20">
        <v>7.5</v>
      </c>
      <c r="AG76" s="20"/>
      <c r="AI76" s="3" t="s">
        <v>28</v>
      </c>
      <c r="AJ76" s="25">
        <f>COUNT(C77:AG77)</f>
        <v>21</v>
      </c>
    </row>
    <row r="77" spans="1:36" outlineLevel="1" x14ac:dyDescent="0.45">
      <c r="A77" s="3" t="s">
        <v>23</v>
      </c>
      <c r="C77" s="3">
        <v>7.5</v>
      </c>
      <c r="D77" s="3">
        <v>7.5</v>
      </c>
      <c r="E77" s="3"/>
      <c r="F77" s="3"/>
      <c r="G77" s="3">
        <v>7.5</v>
      </c>
      <c r="H77" s="3">
        <v>7.5</v>
      </c>
      <c r="I77" s="3">
        <v>7.5</v>
      </c>
      <c r="J77" s="3">
        <v>7.5</v>
      </c>
      <c r="K77" s="3">
        <v>7.5</v>
      </c>
      <c r="L77" s="3"/>
      <c r="M77" s="3"/>
      <c r="N77" s="3">
        <v>7.5</v>
      </c>
      <c r="O77" s="3">
        <v>7.5</v>
      </c>
      <c r="P77" s="3">
        <v>7.5</v>
      </c>
      <c r="Q77" s="3">
        <v>7.5</v>
      </c>
      <c r="R77" s="3">
        <v>7.5</v>
      </c>
      <c r="S77" s="3"/>
      <c r="T77" s="3"/>
      <c r="U77" s="3"/>
      <c r="V77" s="3">
        <v>7.5</v>
      </c>
      <c r="W77" s="3">
        <v>7.5</v>
      </c>
      <c r="X77" s="3">
        <v>7.5</v>
      </c>
      <c r="Y77" s="3">
        <v>7.5</v>
      </c>
      <c r="Z77" s="3"/>
      <c r="AA77" s="3"/>
      <c r="AB77" s="3">
        <v>7.5</v>
      </c>
      <c r="AC77" s="3">
        <v>7.5</v>
      </c>
      <c r="AD77" s="3">
        <v>7.5</v>
      </c>
      <c r="AE77" s="3">
        <v>7.5</v>
      </c>
      <c r="AF77" s="3">
        <v>7.5</v>
      </c>
      <c r="AG77" s="3"/>
      <c r="AI77" s="3" t="s">
        <v>29</v>
      </c>
      <c r="AJ77" s="22" t="str">
        <f>_xlfn.LET(_xlpm.v, SUM(C77:AG77),IF(_xlpm.v = INT(_xlpm.v),TEXT(_xlpm.v, "0") &amp; " h",TEXT(_xlpm.v, "0.###") &amp; " h"))</f>
        <v>157.5 h</v>
      </c>
    </row>
    <row r="78" spans="1:36" outlineLevel="1" x14ac:dyDescent="0.45">
      <c r="A78" s="3" t="s">
        <v>24</v>
      </c>
      <c r="C78" s="3" t="s">
        <v>33</v>
      </c>
      <c r="D78" s="3" t="s">
        <v>33</v>
      </c>
      <c r="E78" s="3"/>
      <c r="F78" s="3"/>
      <c r="G78" s="3" t="s">
        <v>33</v>
      </c>
      <c r="H78" s="3" t="s">
        <v>33</v>
      </c>
      <c r="I78" s="3" t="s">
        <v>33</v>
      </c>
      <c r="J78" s="3" t="s">
        <v>33</v>
      </c>
      <c r="K78" s="3" t="s">
        <v>33</v>
      </c>
      <c r="L78" s="3"/>
      <c r="M78" s="3"/>
      <c r="N78" s="3" t="s">
        <v>33</v>
      </c>
      <c r="O78" s="3" t="s">
        <v>33</v>
      </c>
      <c r="P78" s="3" t="s">
        <v>33</v>
      </c>
      <c r="Q78" s="3" t="s">
        <v>33</v>
      </c>
      <c r="R78" s="3" t="s">
        <v>33</v>
      </c>
      <c r="S78" s="3"/>
      <c r="T78" s="3"/>
      <c r="U78" s="3"/>
      <c r="V78" s="3" t="s">
        <v>33</v>
      </c>
      <c r="W78" s="3" t="s">
        <v>33</v>
      </c>
      <c r="X78" s="3" t="s">
        <v>33</v>
      </c>
      <c r="Y78" s="3" t="s">
        <v>33</v>
      </c>
      <c r="Z78" s="3"/>
      <c r="AA78" s="3"/>
      <c r="AB78" s="3" t="s">
        <v>33</v>
      </c>
      <c r="AC78" s="3" t="s">
        <v>33</v>
      </c>
      <c r="AD78" s="3" t="s">
        <v>33</v>
      </c>
      <c r="AE78" s="3" t="s">
        <v>33</v>
      </c>
      <c r="AF78" s="3" t="s">
        <v>33</v>
      </c>
      <c r="AG78" s="3"/>
      <c r="AI78" s="3" t="s">
        <v>30</v>
      </c>
      <c r="AJ78" s="25">
        <f>COUNTIF(C78:AG78,"出")</f>
        <v>0</v>
      </c>
    </row>
    <row r="79" spans="1:36" outlineLevel="1" x14ac:dyDescent="0.45">
      <c r="A79" s="3" t="s">
        <v>25</v>
      </c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I79" s="3" t="s">
        <v>31</v>
      </c>
      <c r="AJ79" s="25">
        <f>COUNTIF(C78:AG78,"リ")</f>
        <v>21</v>
      </c>
    </row>
    <row r="80" spans="1:36" outlineLevel="1" x14ac:dyDescent="0.45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I80" s="3" t="s">
        <v>32</v>
      </c>
      <c r="AJ80" s="26">
        <f>AJ78/(AJ78+AJ79)</f>
        <v>0</v>
      </c>
    </row>
    <row r="81" spans="1:36" outlineLevel="1" x14ac:dyDescent="0.45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</row>
    <row r="82" spans="1:36" outlineLevel="1" x14ac:dyDescent="0.45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</row>
    <row r="83" spans="1:36" outlineLevel="1" x14ac:dyDescent="0.45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</row>
    <row r="84" spans="1:36" outlineLevel="1" x14ac:dyDescent="0.45"/>
    <row r="85" spans="1:36" x14ac:dyDescent="0.45">
      <c r="C85" s="37">
        <v>46600</v>
      </c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</row>
    <row r="86" spans="1:36" outlineLevel="1" x14ac:dyDescent="0.45">
      <c r="C86" s="3" t="str">
        <f t="shared" ref="C86:AG86" si="14">TEXT(C87,"aaa")</f>
        <v>日</v>
      </c>
      <c r="D86" s="3" t="str">
        <f t="shared" si="14"/>
        <v>月</v>
      </c>
      <c r="E86" s="3" t="str">
        <f t="shared" si="14"/>
        <v>火</v>
      </c>
      <c r="F86" s="3" t="str">
        <f t="shared" si="14"/>
        <v>水</v>
      </c>
      <c r="G86" s="3" t="str">
        <f t="shared" si="14"/>
        <v>木</v>
      </c>
      <c r="H86" s="3" t="str">
        <f t="shared" si="14"/>
        <v>金</v>
      </c>
      <c r="I86" s="3" t="str">
        <f t="shared" si="14"/>
        <v>土</v>
      </c>
      <c r="J86" s="3" t="str">
        <f t="shared" si="14"/>
        <v>日</v>
      </c>
      <c r="K86" s="3" t="str">
        <f t="shared" si="14"/>
        <v>月</v>
      </c>
      <c r="L86" s="3" t="str">
        <f t="shared" si="14"/>
        <v>火</v>
      </c>
      <c r="M86" s="3" t="str">
        <f t="shared" si="14"/>
        <v>水</v>
      </c>
      <c r="N86" s="3" t="str">
        <f t="shared" si="14"/>
        <v>木</v>
      </c>
      <c r="O86" s="3" t="str">
        <f t="shared" si="14"/>
        <v>金</v>
      </c>
      <c r="P86" s="3" t="str">
        <f t="shared" si="14"/>
        <v>土</v>
      </c>
      <c r="Q86" s="3" t="str">
        <f t="shared" si="14"/>
        <v>日</v>
      </c>
      <c r="R86" s="3" t="str">
        <f t="shared" si="14"/>
        <v>月</v>
      </c>
      <c r="S86" s="3" t="str">
        <f t="shared" si="14"/>
        <v>火</v>
      </c>
      <c r="T86" s="3" t="str">
        <f t="shared" si="14"/>
        <v>水</v>
      </c>
      <c r="U86" s="3" t="str">
        <f t="shared" si="14"/>
        <v>木</v>
      </c>
      <c r="V86" s="3" t="str">
        <f t="shared" si="14"/>
        <v>金</v>
      </c>
      <c r="W86" s="3" t="str">
        <f t="shared" si="14"/>
        <v>土</v>
      </c>
      <c r="X86" s="3" t="str">
        <f t="shared" si="14"/>
        <v>日</v>
      </c>
      <c r="Y86" s="3" t="str">
        <f t="shared" si="14"/>
        <v>月</v>
      </c>
      <c r="Z86" s="3" t="str">
        <f t="shared" si="14"/>
        <v>火</v>
      </c>
      <c r="AA86" s="3" t="str">
        <f t="shared" si="14"/>
        <v>水</v>
      </c>
      <c r="AB86" s="3" t="str">
        <f t="shared" si="14"/>
        <v>木</v>
      </c>
      <c r="AC86" s="3" t="str">
        <f t="shared" si="14"/>
        <v>金</v>
      </c>
      <c r="AD86" s="3" t="str">
        <f t="shared" si="14"/>
        <v>土</v>
      </c>
      <c r="AE86" s="3" t="str">
        <f t="shared" si="14"/>
        <v>日</v>
      </c>
      <c r="AF86" s="3" t="str">
        <f t="shared" si="14"/>
        <v>月</v>
      </c>
      <c r="AG86" s="3" t="str">
        <f t="shared" si="14"/>
        <v>火</v>
      </c>
      <c r="AI86" s="20" t="s">
        <v>26</v>
      </c>
      <c r="AJ86" s="24">
        <f>COUNT(C88:AG88)</f>
        <v>21</v>
      </c>
    </row>
    <row r="87" spans="1:36" outlineLevel="1" x14ac:dyDescent="0.45">
      <c r="C87" s="23">
        <f>C85</f>
        <v>46600</v>
      </c>
      <c r="D87" s="23">
        <f t="shared" ref="D87:AG87" si="15">IF(C87="","",IF(C87+1&lt;=EOMONTH($C$85,0),C87+1,""))</f>
        <v>46601</v>
      </c>
      <c r="E87" s="23">
        <f t="shared" si="15"/>
        <v>46602</v>
      </c>
      <c r="F87" s="23">
        <f t="shared" si="15"/>
        <v>46603</v>
      </c>
      <c r="G87" s="23">
        <f t="shared" si="15"/>
        <v>46604</v>
      </c>
      <c r="H87" s="23">
        <f t="shared" si="15"/>
        <v>46605</v>
      </c>
      <c r="I87" s="23">
        <f t="shared" si="15"/>
        <v>46606</v>
      </c>
      <c r="J87" s="23">
        <f t="shared" si="15"/>
        <v>46607</v>
      </c>
      <c r="K87" s="23">
        <f t="shared" si="15"/>
        <v>46608</v>
      </c>
      <c r="L87" s="23">
        <f t="shared" si="15"/>
        <v>46609</v>
      </c>
      <c r="M87" s="23">
        <f t="shared" si="15"/>
        <v>46610</v>
      </c>
      <c r="N87" s="23">
        <f t="shared" si="15"/>
        <v>46611</v>
      </c>
      <c r="O87" s="23">
        <f t="shared" si="15"/>
        <v>46612</v>
      </c>
      <c r="P87" s="23">
        <f t="shared" si="15"/>
        <v>46613</v>
      </c>
      <c r="Q87" s="23">
        <f t="shared" si="15"/>
        <v>46614</v>
      </c>
      <c r="R87" s="23">
        <f t="shared" si="15"/>
        <v>46615</v>
      </c>
      <c r="S87" s="23">
        <f t="shared" si="15"/>
        <v>46616</v>
      </c>
      <c r="T87" s="23">
        <f t="shared" si="15"/>
        <v>46617</v>
      </c>
      <c r="U87" s="23">
        <f t="shared" si="15"/>
        <v>46618</v>
      </c>
      <c r="V87" s="23">
        <f t="shared" si="15"/>
        <v>46619</v>
      </c>
      <c r="W87" s="23">
        <f t="shared" si="15"/>
        <v>46620</v>
      </c>
      <c r="X87" s="23">
        <f t="shared" si="15"/>
        <v>46621</v>
      </c>
      <c r="Y87" s="23">
        <f t="shared" si="15"/>
        <v>46622</v>
      </c>
      <c r="Z87" s="23">
        <f t="shared" si="15"/>
        <v>46623</v>
      </c>
      <c r="AA87" s="23">
        <f t="shared" si="15"/>
        <v>46624</v>
      </c>
      <c r="AB87" s="23">
        <f t="shared" si="15"/>
        <v>46625</v>
      </c>
      <c r="AC87" s="23">
        <f t="shared" si="15"/>
        <v>46626</v>
      </c>
      <c r="AD87" s="23">
        <f t="shared" si="15"/>
        <v>46627</v>
      </c>
      <c r="AE87" s="23">
        <f t="shared" si="15"/>
        <v>46628</v>
      </c>
      <c r="AF87" s="23">
        <f t="shared" si="15"/>
        <v>46629</v>
      </c>
      <c r="AG87" s="23">
        <f t="shared" si="15"/>
        <v>46630</v>
      </c>
      <c r="AI87" s="20" t="s">
        <v>27</v>
      </c>
      <c r="AJ87" s="21" t="str">
        <f>_xlfn.LET(_xlpm.v, SUM(C88:AG88),IF(_xlpm.v = INT(_xlpm.v),TEXT(_xlpm.v, "0") &amp; " h",TEXT(_xlpm.v, "0.###") &amp; " h"))</f>
        <v>157.5 h</v>
      </c>
    </row>
    <row r="88" spans="1:36" outlineLevel="1" x14ac:dyDescent="0.45">
      <c r="A88" s="20" t="s">
        <v>22</v>
      </c>
      <c r="C88" s="20"/>
      <c r="D88" s="20">
        <v>7.5</v>
      </c>
      <c r="E88" s="20">
        <v>7.5</v>
      </c>
      <c r="F88" s="20">
        <v>7.5</v>
      </c>
      <c r="G88" s="20">
        <v>7.5</v>
      </c>
      <c r="H88" s="20">
        <v>7.5</v>
      </c>
      <c r="I88" s="20"/>
      <c r="J88" s="20"/>
      <c r="K88" s="20">
        <v>7.5</v>
      </c>
      <c r="L88" s="20">
        <v>7.5</v>
      </c>
      <c r="M88" s="20"/>
      <c r="N88" s="20">
        <v>7.5</v>
      </c>
      <c r="O88" s="20">
        <v>7.5</v>
      </c>
      <c r="P88" s="20"/>
      <c r="Q88" s="20"/>
      <c r="R88" s="20">
        <v>7.5</v>
      </c>
      <c r="S88" s="20">
        <v>7.5</v>
      </c>
      <c r="T88" s="20">
        <v>7.5</v>
      </c>
      <c r="U88" s="20">
        <v>7.5</v>
      </c>
      <c r="V88" s="20">
        <v>7.5</v>
      </c>
      <c r="W88" s="20"/>
      <c r="X88" s="20"/>
      <c r="Y88" s="20">
        <v>7.5</v>
      </c>
      <c r="Z88" s="20">
        <v>7.5</v>
      </c>
      <c r="AA88" s="20">
        <v>7.5</v>
      </c>
      <c r="AB88" s="20">
        <v>7.5</v>
      </c>
      <c r="AC88" s="20">
        <v>7.5</v>
      </c>
      <c r="AD88" s="20"/>
      <c r="AE88" s="20"/>
      <c r="AF88" s="20">
        <v>7.5</v>
      </c>
      <c r="AG88" s="20">
        <v>7.5</v>
      </c>
      <c r="AI88" s="3" t="s">
        <v>28</v>
      </c>
      <c r="AJ88" s="25">
        <f>COUNT(C89:AG89)</f>
        <v>21</v>
      </c>
    </row>
    <row r="89" spans="1:36" outlineLevel="1" x14ac:dyDescent="0.45">
      <c r="A89" s="3" t="s">
        <v>23</v>
      </c>
      <c r="C89" s="3"/>
      <c r="D89" s="3">
        <v>7.5</v>
      </c>
      <c r="E89" s="3">
        <v>7.5</v>
      </c>
      <c r="F89" s="3">
        <v>7.5</v>
      </c>
      <c r="G89" s="3">
        <v>7.5</v>
      </c>
      <c r="H89" s="3">
        <v>7.5</v>
      </c>
      <c r="I89" s="3"/>
      <c r="J89" s="3"/>
      <c r="K89" s="3">
        <v>7.5</v>
      </c>
      <c r="L89" s="3">
        <v>7.5</v>
      </c>
      <c r="M89" s="3"/>
      <c r="N89" s="3">
        <v>7.5</v>
      </c>
      <c r="O89" s="3">
        <v>7.5</v>
      </c>
      <c r="P89" s="3"/>
      <c r="Q89" s="3"/>
      <c r="R89" s="3">
        <v>7.5</v>
      </c>
      <c r="S89" s="3">
        <v>7.5</v>
      </c>
      <c r="T89" s="3">
        <v>7.5</v>
      </c>
      <c r="U89" s="3">
        <v>7.5</v>
      </c>
      <c r="V89" s="3">
        <v>7.5</v>
      </c>
      <c r="W89" s="3"/>
      <c r="X89" s="3"/>
      <c r="Y89" s="3">
        <v>7.5</v>
      </c>
      <c r="Z89" s="3">
        <v>7.5</v>
      </c>
      <c r="AA89" s="3">
        <v>7.5</v>
      </c>
      <c r="AB89" s="3">
        <v>7.5</v>
      </c>
      <c r="AC89" s="3">
        <v>7.5</v>
      </c>
      <c r="AD89" s="3"/>
      <c r="AE89" s="3"/>
      <c r="AF89" s="3">
        <v>7.5</v>
      </c>
      <c r="AG89" s="3">
        <v>7.5</v>
      </c>
      <c r="AI89" s="3" t="s">
        <v>29</v>
      </c>
      <c r="AJ89" s="22" t="str">
        <f>_xlfn.LET(_xlpm.v, SUM(C89:AG89),IF(_xlpm.v = INT(_xlpm.v),TEXT(_xlpm.v, "0") &amp; " h",TEXT(_xlpm.v, "0.###") &amp; " h"))</f>
        <v>157.5 h</v>
      </c>
    </row>
    <row r="90" spans="1:36" outlineLevel="1" x14ac:dyDescent="0.45">
      <c r="A90" s="3" t="s">
        <v>24</v>
      </c>
      <c r="C90" s="3"/>
      <c r="D90" s="3" t="s">
        <v>33</v>
      </c>
      <c r="E90" s="3" t="s">
        <v>33</v>
      </c>
      <c r="F90" s="3" t="s">
        <v>33</v>
      </c>
      <c r="G90" s="3" t="s">
        <v>33</v>
      </c>
      <c r="H90" s="3" t="s">
        <v>33</v>
      </c>
      <c r="I90" s="3"/>
      <c r="J90" s="3"/>
      <c r="K90" s="3" t="s">
        <v>33</v>
      </c>
      <c r="L90" s="3" t="s">
        <v>33</v>
      </c>
      <c r="M90" s="3"/>
      <c r="N90" s="3" t="s">
        <v>33</v>
      </c>
      <c r="O90" s="3" t="s">
        <v>33</v>
      </c>
      <c r="P90" s="3"/>
      <c r="Q90" s="3"/>
      <c r="R90" s="3" t="s">
        <v>33</v>
      </c>
      <c r="S90" s="3" t="s">
        <v>33</v>
      </c>
      <c r="T90" s="3" t="s">
        <v>33</v>
      </c>
      <c r="U90" s="3" t="s">
        <v>33</v>
      </c>
      <c r="V90" s="3" t="s">
        <v>33</v>
      </c>
      <c r="W90" s="3"/>
      <c r="X90" s="3"/>
      <c r="Y90" s="3" t="s">
        <v>33</v>
      </c>
      <c r="Z90" s="3" t="s">
        <v>33</v>
      </c>
      <c r="AA90" s="3" t="s">
        <v>33</v>
      </c>
      <c r="AB90" s="3" t="s">
        <v>33</v>
      </c>
      <c r="AC90" s="3" t="s">
        <v>33</v>
      </c>
      <c r="AD90" s="3"/>
      <c r="AE90" s="3"/>
      <c r="AF90" s="3" t="s">
        <v>33</v>
      </c>
      <c r="AG90" s="3" t="s">
        <v>33</v>
      </c>
      <c r="AI90" s="3" t="s">
        <v>30</v>
      </c>
      <c r="AJ90" s="25">
        <f>COUNTIF(C90:AG90,"出")</f>
        <v>0</v>
      </c>
    </row>
    <row r="91" spans="1:36" outlineLevel="1" x14ac:dyDescent="0.45">
      <c r="A91" s="3" t="s">
        <v>25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I91" s="3" t="s">
        <v>31</v>
      </c>
      <c r="AJ91" s="25">
        <f>COUNTIF(C90:AG90,"リ")</f>
        <v>21</v>
      </c>
    </row>
    <row r="92" spans="1:36" outlineLevel="1" x14ac:dyDescent="0.45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I92" s="3" t="s">
        <v>32</v>
      </c>
      <c r="AJ92" s="26">
        <f>AJ90/(AJ90+AJ91)</f>
        <v>0</v>
      </c>
    </row>
    <row r="93" spans="1:36" outlineLevel="1" x14ac:dyDescent="0.45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</row>
    <row r="94" spans="1:36" outlineLevel="1" x14ac:dyDescent="0.45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</row>
    <row r="95" spans="1:36" outlineLevel="1" x14ac:dyDescent="0.45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</row>
    <row r="96" spans="1:36" outlineLevel="1" x14ac:dyDescent="0.45"/>
    <row r="97" spans="1:36" x14ac:dyDescent="0.45">
      <c r="C97" s="37">
        <v>46631</v>
      </c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</row>
    <row r="98" spans="1:36" outlineLevel="1" x14ac:dyDescent="0.45">
      <c r="C98" s="3" t="str">
        <f t="shared" ref="C98:AG98" si="16">TEXT(C99,"aaa")</f>
        <v>水</v>
      </c>
      <c r="D98" s="3" t="str">
        <f t="shared" si="16"/>
        <v>木</v>
      </c>
      <c r="E98" s="3" t="str">
        <f t="shared" si="16"/>
        <v>金</v>
      </c>
      <c r="F98" s="3" t="str">
        <f t="shared" si="16"/>
        <v>土</v>
      </c>
      <c r="G98" s="3" t="str">
        <f t="shared" si="16"/>
        <v>日</v>
      </c>
      <c r="H98" s="3" t="str">
        <f t="shared" si="16"/>
        <v>月</v>
      </c>
      <c r="I98" s="3" t="str">
        <f t="shared" si="16"/>
        <v>火</v>
      </c>
      <c r="J98" s="3" t="str">
        <f t="shared" si="16"/>
        <v>水</v>
      </c>
      <c r="K98" s="3" t="str">
        <f t="shared" si="16"/>
        <v>木</v>
      </c>
      <c r="L98" s="3" t="str">
        <f t="shared" si="16"/>
        <v>金</v>
      </c>
      <c r="M98" s="3" t="str">
        <f t="shared" si="16"/>
        <v>土</v>
      </c>
      <c r="N98" s="3" t="str">
        <f t="shared" si="16"/>
        <v>日</v>
      </c>
      <c r="O98" s="3" t="str">
        <f t="shared" si="16"/>
        <v>月</v>
      </c>
      <c r="P98" s="3" t="str">
        <f t="shared" si="16"/>
        <v>火</v>
      </c>
      <c r="Q98" s="3" t="str">
        <f t="shared" si="16"/>
        <v>水</v>
      </c>
      <c r="R98" s="3" t="str">
        <f t="shared" si="16"/>
        <v>木</v>
      </c>
      <c r="S98" s="3" t="str">
        <f t="shared" si="16"/>
        <v>金</v>
      </c>
      <c r="T98" s="3" t="str">
        <f t="shared" si="16"/>
        <v>土</v>
      </c>
      <c r="U98" s="3" t="str">
        <f t="shared" si="16"/>
        <v>日</v>
      </c>
      <c r="V98" s="3" t="str">
        <f t="shared" si="16"/>
        <v>月</v>
      </c>
      <c r="W98" s="3" t="str">
        <f t="shared" si="16"/>
        <v>火</v>
      </c>
      <c r="X98" s="3" t="str">
        <f t="shared" si="16"/>
        <v>水</v>
      </c>
      <c r="Y98" s="3" t="str">
        <f t="shared" si="16"/>
        <v>木</v>
      </c>
      <c r="Z98" s="3" t="str">
        <f t="shared" si="16"/>
        <v>金</v>
      </c>
      <c r="AA98" s="3" t="str">
        <f t="shared" si="16"/>
        <v>土</v>
      </c>
      <c r="AB98" s="3" t="str">
        <f t="shared" si="16"/>
        <v>日</v>
      </c>
      <c r="AC98" s="3" t="str">
        <f t="shared" si="16"/>
        <v>月</v>
      </c>
      <c r="AD98" s="3" t="str">
        <f t="shared" si="16"/>
        <v>火</v>
      </c>
      <c r="AE98" s="3" t="str">
        <f t="shared" si="16"/>
        <v>水</v>
      </c>
      <c r="AF98" s="3" t="str">
        <f t="shared" si="16"/>
        <v>木</v>
      </c>
      <c r="AG98" s="3" t="str">
        <f t="shared" si="16"/>
        <v/>
      </c>
      <c r="AI98" s="20" t="s">
        <v>26</v>
      </c>
      <c r="AJ98" s="24">
        <f>COUNT(C100:AG100)</f>
        <v>20</v>
      </c>
    </row>
    <row r="99" spans="1:36" outlineLevel="1" x14ac:dyDescent="0.45">
      <c r="C99" s="23">
        <f>C97</f>
        <v>46631</v>
      </c>
      <c r="D99" s="23">
        <f t="shared" ref="D99:AG99" si="17">IF(C99="","",IF(C99+1&lt;=EOMONTH($C$97,0),C99+1,""))</f>
        <v>46632</v>
      </c>
      <c r="E99" s="23">
        <f t="shared" si="17"/>
        <v>46633</v>
      </c>
      <c r="F99" s="23">
        <f t="shared" si="17"/>
        <v>46634</v>
      </c>
      <c r="G99" s="23">
        <f t="shared" si="17"/>
        <v>46635</v>
      </c>
      <c r="H99" s="23">
        <f t="shared" si="17"/>
        <v>46636</v>
      </c>
      <c r="I99" s="23">
        <f t="shared" si="17"/>
        <v>46637</v>
      </c>
      <c r="J99" s="23">
        <f t="shared" si="17"/>
        <v>46638</v>
      </c>
      <c r="K99" s="23">
        <f t="shared" si="17"/>
        <v>46639</v>
      </c>
      <c r="L99" s="23">
        <f t="shared" si="17"/>
        <v>46640</v>
      </c>
      <c r="M99" s="23">
        <f t="shared" si="17"/>
        <v>46641</v>
      </c>
      <c r="N99" s="23">
        <f t="shared" si="17"/>
        <v>46642</v>
      </c>
      <c r="O99" s="23">
        <f t="shared" si="17"/>
        <v>46643</v>
      </c>
      <c r="P99" s="23">
        <f t="shared" si="17"/>
        <v>46644</v>
      </c>
      <c r="Q99" s="23">
        <f t="shared" si="17"/>
        <v>46645</v>
      </c>
      <c r="R99" s="23">
        <f t="shared" si="17"/>
        <v>46646</v>
      </c>
      <c r="S99" s="23">
        <f t="shared" si="17"/>
        <v>46647</v>
      </c>
      <c r="T99" s="23">
        <f t="shared" si="17"/>
        <v>46648</v>
      </c>
      <c r="U99" s="23">
        <f t="shared" si="17"/>
        <v>46649</v>
      </c>
      <c r="V99" s="23">
        <f t="shared" si="17"/>
        <v>46650</v>
      </c>
      <c r="W99" s="23">
        <f t="shared" si="17"/>
        <v>46651</v>
      </c>
      <c r="X99" s="23">
        <f t="shared" si="17"/>
        <v>46652</v>
      </c>
      <c r="Y99" s="23">
        <f t="shared" si="17"/>
        <v>46653</v>
      </c>
      <c r="Z99" s="23">
        <f t="shared" si="17"/>
        <v>46654</v>
      </c>
      <c r="AA99" s="23">
        <f t="shared" si="17"/>
        <v>46655</v>
      </c>
      <c r="AB99" s="23">
        <f t="shared" si="17"/>
        <v>46656</v>
      </c>
      <c r="AC99" s="23">
        <f t="shared" si="17"/>
        <v>46657</v>
      </c>
      <c r="AD99" s="23">
        <f t="shared" si="17"/>
        <v>46658</v>
      </c>
      <c r="AE99" s="23">
        <f t="shared" si="17"/>
        <v>46659</v>
      </c>
      <c r="AF99" s="23">
        <f t="shared" si="17"/>
        <v>46660</v>
      </c>
      <c r="AG99" s="23" t="str">
        <f t="shared" si="17"/>
        <v/>
      </c>
      <c r="AI99" s="20" t="s">
        <v>27</v>
      </c>
      <c r="AJ99" s="21" t="str">
        <f>_xlfn.LET(_xlpm.v, SUM(C100:AG100),IF(_xlpm.v = INT(_xlpm.v),TEXT(_xlpm.v, "0") &amp; " h",TEXT(_xlpm.v, "0.###") &amp; " h"))</f>
        <v>150 h</v>
      </c>
    </row>
    <row r="100" spans="1:36" outlineLevel="1" x14ac:dyDescent="0.45">
      <c r="A100" s="20" t="s">
        <v>22</v>
      </c>
      <c r="C100" s="20">
        <v>7.5</v>
      </c>
      <c r="D100" s="20">
        <v>7.5</v>
      </c>
      <c r="E100" s="20">
        <v>7.5</v>
      </c>
      <c r="F100" s="20"/>
      <c r="G100" s="20"/>
      <c r="H100" s="20">
        <v>7.5</v>
      </c>
      <c r="I100" s="20">
        <v>7.5</v>
      </c>
      <c r="J100" s="20">
        <v>7.5</v>
      </c>
      <c r="K100" s="20">
        <v>7.5</v>
      </c>
      <c r="L100" s="20">
        <v>7.5</v>
      </c>
      <c r="M100" s="20"/>
      <c r="N100" s="20"/>
      <c r="O100" s="20">
        <v>7.5</v>
      </c>
      <c r="P100" s="20">
        <v>7.5</v>
      </c>
      <c r="Q100" s="20">
        <v>7.5</v>
      </c>
      <c r="R100" s="20">
        <v>7.5</v>
      </c>
      <c r="S100" s="20">
        <v>7.5</v>
      </c>
      <c r="T100" s="20"/>
      <c r="U100" s="20"/>
      <c r="V100" s="20"/>
      <c r="W100" s="20">
        <v>7.5</v>
      </c>
      <c r="X100" s="20">
        <v>7.5</v>
      </c>
      <c r="Y100" s="20"/>
      <c r="Z100" s="20">
        <v>7.5</v>
      </c>
      <c r="AA100" s="20"/>
      <c r="AB100" s="20"/>
      <c r="AC100" s="20">
        <v>7.5</v>
      </c>
      <c r="AD100" s="20">
        <v>7.5</v>
      </c>
      <c r="AE100" s="20">
        <v>7.5</v>
      </c>
      <c r="AF100" s="20">
        <v>7.5</v>
      </c>
      <c r="AG100" s="20"/>
      <c r="AI100" s="3" t="s">
        <v>28</v>
      </c>
      <c r="AJ100" s="25">
        <f>COUNT(C101:AG101)</f>
        <v>20</v>
      </c>
    </row>
    <row r="101" spans="1:36" outlineLevel="1" x14ac:dyDescent="0.45">
      <c r="A101" s="3" t="s">
        <v>23</v>
      </c>
      <c r="C101" s="3">
        <v>7.5</v>
      </c>
      <c r="D101" s="3">
        <v>7.5</v>
      </c>
      <c r="E101" s="3">
        <v>7.5</v>
      </c>
      <c r="F101" s="3"/>
      <c r="G101" s="3"/>
      <c r="H101" s="3">
        <v>7.5</v>
      </c>
      <c r="I101" s="3">
        <v>7.5</v>
      </c>
      <c r="J101" s="3">
        <v>7.5</v>
      </c>
      <c r="K101" s="3">
        <v>7.5</v>
      </c>
      <c r="L101" s="3">
        <v>7.5</v>
      </c>
      <c r="M101" s="3"/>
      <c r="N101" s="3"/>
      <c r="O101" s="3">
        <v>7.5</v>
      </c>
      <c r="P101" s="3">
        <v>7.5</v>
      </c>
      <c r="Q101" s="3">
        <v>7.5</v>
      </c>
      <c r="R101" s="3">
        <v>7.5</v>
      </c>
      <c r="S101" s="3">
        <v>7.5</v>
      </c>
      <c r="T101" s="3"/>
      <c r="U101" s="3"/>
      <c r="V101" s="3"/>
      <c r="W101" s="3">
        <v>7.5</v>
      </c>
      <c r="X101" s="3">
        <v>7.5</v>
      </c>
      <c r="Y101" s="3"/>
      <c r="Z101" s="3">
        <v>7.5</v>
      </c>
      <c r="AA101" s="3"/>
      <c r="AB101" s="3"/>
      <c r="AC101" s="3">
        <v>7.5</v>
      </c>
      <c r="AD101" s="3">
        <v>7.5</v>
      </c>
      <c r="AE101" s="3">
        <v>7.5</v>
      </c>
      <c r="AF101" s="3">
        <v>7.5</v>
      </c>
      <c r="AG101" s="3"/>
      <c r="AI101" s="3" t="s">
        <v>29</v>
      </c>
      <c r="AJ101" s="22" t="str">
        <f>_xlfn.LET(_xlpm.v, SUM(C101:AG101),IF(_xlpm.v = INT(_xlpm.v),TEXT(_xlpm.v, "0") &amp; " h",TEXT(_xlpm.v, "0.###") &amp; " h"))</f>
        <v>150 h</v>
      </c>
    </row>
    <row r="102" spans="1:36" outlineLevel="1" x14ac:dyDescent="0.45">
      <c r="A102" s="3" t="s">
        <v>24</v>
      </c>
      <c r="C102" s="3" t="s">
        <v>33</v>
      </c>
      <c r="D102" s="3" t="s">
        <v>33</v>
      </c>
      <c r="E102" s="3" t="s">
        <v>33</v>
      </c>
      <c r="F102" s="3"/>
      <c r="G102" s="3"/>
      <c r="H102" s="3" t="s">
        <v>33</v>
      </c>
      <c r="I102" s="3" t="s">
        <v>33</v>
      </c>
      <c r="J102" s="3" t="s">
        <v>33</v>
      </c>
      <c r="K102" s="3" t="s">
        <v>33</v>
      </c>
      <c r="L102" s="3" t="s">
        <v>33</v>
      </c>
      <c r="M102" s="3"/>
      <c r="N102" s="3"/>
      <c r="O102" s="3" t="s">
        <v>33</v>
      </c>
      <c r="P102" s="3" t="s">
        <v>33</v>
      </c>
      <c r="Q102" s="3" t="s">
        <v>33</v>
      </c>
      <c r="R102" s="3" t="s">
        <v>33</v>
      </c>
      <c r="S102" s="3" t="s">
        <v>33</v>
      </c>
      <c r="T102" s="3"/>
      <c r="U102" s="3"/>
      <c r="V102" s="3"/>
      <c r="W102" s="3" t="s">
        <v>33</v>
      </c>
      <c r="X102" s="3" t="s">
        <v>33</v>
      </c>
      <c r="Y102" s="3"/>
      <c r="Z102" s="3" t="s">
        <v>33</v>
      </c>
      <c r="AA102" s="3"/>
      <c r="AB102" s="3"/>
      <c r="AC102" s="3" t="s">
        <v>33</v>
      </c>
      <c r="AD102" s="3" t="s">
        <v>33</v>
      </c>
      <c r="AE102" s="3" t="s">
        <v>33</v>
      </c>
      <c r="AF102" s="3" t="s">
        <v>33</v>
      </c>
      <c r="AG102" s="3"/>
      <c r="AI102" s="3" t="s">
        <v>30</v>
      </c>
      <c r="AJ102" s="25">
        <f>COUNTIF(C102:AG102,"出")</f>
        <v>0</v>
      </c>
    </row>
    <row r="103" spans="1:36" outlineLevel="1" x14ac:dyDescent="0.45">
      <c r="A103" s="3" t="s">
        <v>25</v>
      </c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I103" s="3" t="s">
        <v>31</v>
      </c>
      <c r="AJ103" s="25">
        <f>COUNTIF(C102:AG102,"リ")</f>
        <v>20</v>
      </c>
    </row>
    <row r="104" spans="1:36" outlineLevel="1" x14ac:dyDescent="0.45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I104" s="3" t="s">
        <v>32</v>
      </c>
      <c r="AJ104" s="26">
        <f>AJ102/(AJ102+AJ103)</f>
        <v>0</v>
      </c>
    </row>
    <row r="105" spans="1:36" outlineLevel="1" x14ac:dyDescent="0.45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</row>
    <row r="106" spans="1:36" outlineLevel="1" x14ac:dyDescent="0.45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</row>
    <row r="107" spans="1:36" outlineLevel="1" x14ac:dyDescent="0.45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</row>
    <row r="108" spans="1:36" outlineLevel="1" x14ac:dyDescent="0.45"/>
    <row r="109" spans="1:36" x14ac:dyDescent="0.45">
      <c r="C109" s="37">
        <v>46661</v>
      </c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</row>
    <row r="110" spans="1:36" outlineLevel="1" x14ac:dyDescent="0.45">
      <c r="C110" s="3" t="str">
        <f t="shared" ref="C110:AG110" si="18">TEXT(C111,"aaa")</f>
        <v>金</v>
      </c>
      <c r="D110" s="3" t="str">
        <f t="shared" si="18"/>
        <v>土</v>
      </c>
      <c r="E110" s="3" t="str">
        <f t="shared" si="18"/>
        <v>日</v>
      </c>
      <c r="F110" s="3" t="str">
        <f t="shared" si="18"/>
        <v>月</v>
      </c>
      <c r="G110" s="3" t="str">
        <f t="shared" si="18"/>
        <v>火</v>
      </c>
      <c r="H110" s="3" t="str">
        <f t="shared" si="18"/>
        <v>水</v>
      </c>
      <c r="I110" s="3" t="str">
        <f t="shared" si="18"/>
        <v>木</v>
      </c>
      <c r="J110" s="3" t="str">
        <f t="shared" si="18"/>
        <v>金</v>
      </c>
      <c r="K110" s="3" t="str">
        <f t="shared" si="18"/>
        <v>土</v>
      </c>
      <c r="L110" s="3" t="str">
        <f t="shared" si="18"/>
        <v>日</v>
      </c>
      <c r="M110" s="3" t="str">
        <f t="shared" si="18"/>
        <v>月</v>
      </c>
      <c r="N110" s="3" t="str">
        <f t="shared" si="18"/>
        <v>火</v>
      </c>
      <c r="O110" s="3" t="str">
        <f t="shared" si="18"/>
        <v>水</v>
      </c>
      <c r="P110" s="3" t="str">
        <f t="shared" si="18"/>
        <v>木</v>
      </c>
      <c r="Q110" s="3" t="str">
        <f t="shared" si="18"/>
        <v>金</v>
      </c>
      <c r="R110" s="3" t="str">
        <f t="shared" si="18"/>
        <v>土</v>
      </c>
      <c r="S110" s="3" t="str">
        <f t="shared" si="18"/>
        <v>日</v>
      </c>
      <c r="T110" s="3" t="str">
        <f t="shared" si="18"/>
        <v>月</v>
      </c>
      <c r="U110" s="3" t="str">
        <f t="shared" si="18"/>
        <v>火</v>
      </c>
      <c r="V110" s="3" t="str">
        <f t="shared" si="18"/>
        <v>水</v>
      </c>
      <c r="W110" s="3" t="str">
        <f t="shared" si="18"/>
        <v>木</v>
      </c>
      <c r="X110" s="3" t="str">
        <f t="shared" si="18"/>
        <v>金</v>
      </c>
      <c r="Y110" s="3" t="str">
        <f t="shared" si="18"/>
        <v>土</v>
      </c>
      <c r="Z110" s="3" t="str">
        <f t="shared" si="18"/>
        <v>日</v>
      </c>
      <c r="AA110" s="3" t="str">
        <f t="shared" si="18"/>
        <v>月</v>
      </c>
      <c r="AB110" s="3" t="str">
        <f t="shared" si="18"/>
        <v>火</v>
      </c>
      <c r="AC110" s="3" t="str">
        <f t="shared" si="18"/>
        <v>水</v>
      </c>
      <c r="AD110" s="3" t="str">
        <f t="shared" si="18"/>
        <v>木</v>
      </c>
      <c r="AE110" s="3" t="str">
        <f t="shared" si="18"/>
        <v>金</v>
      </c>
      <c r="AF110" s="3" t="str">
        <f t="shared" si="18"/>
        <v>土</v>
      </c>
      <c r="AG110" s="3" t="str">
        <f t="shared" si="18"/>
        <v>日</v>
      </c>
      <c r="AI110" s="20" t="s">
        <v>26</v>
      </c>
      <c r="AJ110" s="24">
        <f>COUNT(C112:AG112)</f>
        <v>20</v>
      </c>
    </row>
    <row r="111" spans="1:36" outlineLevel="1" x14ac:dyDescent="0.45">
      <c r="C111" s="23">
        <f>C109</f>
        <v>46661</v>
      </c>
      <c r="D111" s="23">
        <f t="shared" ref="D111:AG111" si="19">IF(C111="","",IF(C111+1&lt;=EOMONTH($C$109,0),C111+1,""))</f>
        <v>46662</v>
      </c>
      <c r="E111" s="23">
        <f t="shared" si="19"/>
        <v>46663</v>
      </c>
      <c r="F111" s="23">
        <f t="shared" si="19"/>
        <v>46664</v>
      </c>
      <c r="G111" s="23">
        <f t="shared" si="19"/>
        <v>46665</v>
      </c>
      <c r="H111" s="23">
        <f t="shared" si="19"/>
        <v>46666</v>
      </c>
      <c r="I111" s="23">
        <f t="shared" si="19"/>
        <v>46667</v>
      </c>
      <c r="J111" s="23">
        <f t="shared" si="19"/>
        <v>46668</v>
      </c>
      <c r="K111" s="23">
        <f t="shared" si="19"/>
        <v>46669</v>
      </c>
      <c r="L111" s="23">
        <f t="shared" si="19"/>
        <v>46670</v>
      </c>
      <c r="M111" s="23">
        <f t="shared" si="19"/>
        <v>46671</v>
      </c>
      <c r="N111" s="23">
        <f t="shared" si="19"/>
        <v>46672</v>
      </c>
      <c r="O111" s="23">
        <f t="shared" si="19"/>
        <v>46673</v>
      </c>
      <c r="P111" s="23">
        <f t="shared" si="19"/>
        <v>46674</v>
      </c>
      <c r="Q111" s="23">
        <f t="shared" si="19"/>
        <v>46675</v>
      </c>
      <c r="R111" s="23">
        <f t="shared" si="19"/>
        <v>46676</v>
      </c>
      <c r="S111" s="23">
        <f t="shared" si="19"/>
        <v>46677</v>
      </c>
      <c r="T111" s="23">
        <f t="shared" si="19"/>
        <v>46678</v>
      </c>
      <c r="U111" s="23">
        <f t="shared" si="19"/>
        <v>46679</v>
      </c>
      <c r="V111" s="23">
        <f t="shared" si="19"/>
        <v>46680</v>
      </c>
      <c r="W111" s="23">
        <f t="shared" si="19"/>
        <v>46681</v>
      </c>
      <c r="X111" s="23">
        <f t="shared" si="19"/>
        <v>46682</v>
      </c>
      <c r="Y111" s="23">
        <f t="shared" si="19"/>
        <v>46683</v>
      </c>
      <c r="Z111" s="23">
        <f t="shared" si="19"/>
        <v>46684</v>
      </c>
      <c r="AA111" s="23">
        <f t="shared" si="19"/>
        <v>46685</v>
      </c>
      <c r="AB111" s="23">
        <f t="shared" si="19"/>
        <v>46686</v>
      </c>
      <c r="AC111" s="23">
        <f t="shared" si="19"/>
        <v>46687</v>
      </c>
      <c r="AD111" s="23">
        <f t="shared" si="19"/>
        <v>46688</v>
      </c>
      <c r="AE111" s="23">
        <f t="shared" si="19"/>
        <v>46689</v>
      </c>
      <c r="AF111" s="23">
        <f t="shared" si="19"/>
        <v>46690</v>
      </c>
      <c r="AG111" s="23">
        <f t="shared" si="19"/>
        <v>46691</v>
      </c>
      <c r="AI111" s="20" t="s">
        <v>27</v>
      </c>
      <c r="AJ111" s="21" t="str">
        <f>_xlfn.LET(_xlpm.v, SUM(C112:AG112),IF(_xlpm.v = INT(_xlpm.v),TEXT(_xlpm.v, "0") &amp; " h",TEXT(_xlpm.v, "0.###") &amp; " h"))</f>
        <v>150 h</v>
      </c>
    </row>
    <row r="112" spans="1:36" outlineLevel="1" x14ac:dyDescent="0.45">
      <c r="A112" s="20" t="s">
        <v>22</v>
      </c>
      <c r="C112" s="20">
        <v>7.5</v>
      </c>
      <c r="D112" s="20"/>
      <c r="E112" s="20"/>
      <c r="F112" s="20">
        <v>7.5</v>
      </c>
      <c r="G112" s="20">
        <v>7.5</v>
      </c>
      <c r="H112" s="20">
        <v>7.5</v>
      </c>
      <c r="I112" s="20">
        <v>7.5</v>
      </c>
      <c r="J112" s="20">
        <v>7.5</v>
      </c>
      <c r="K112" s="20"/>
      <c r="L112" s="20"/>
      <c r="M112" s="20"/>
      <c r="N112" s="20">
        <v>7.5</v>
      </c>
      <c r="O112" s="20">
        <v>7.5</v>
      </c>
      <c r="P112" s="20">
        <v>7.5</v>
      </c>
      <c r="Q112" s="20">
        <v>7.5</v>
      </c>
      <c r="R112" s="20"/>
      <c r="S112" s="20"/>
      <c r="T112" s="20">
        <v>7.5</v>
      </c>
      <c r="U112" s="20">
        <v>7.5</v>
      </c>
      <c r="V112" s="20">
        <v>7.5</v>
      </c>
      <c r="W112" s="20">
        <v>7.5</v>
      </c>
      <c r="X112" s="20">
        <v>7.5</v>
      </c>
      <c r="Y112" s="20"/>
      <c r="Z112" s="20"/>
      <c r="AA112" s="20">
        <v>7.5</v>
      </c>
      <c r="AB112" s="20">
        <v>7.5</v>
      </c>
      <c r="AC112" s="20">
        <v>7.5</v>
      </c>
      <c r="AD112" s="20">
        <v>7.5</v>
      </c>
      <c r="AE112" s="20">
        <v>7.5</v>
      </c>
      <c r="AF112" s="20"/>
      <c r="AG112" s="20"/>
      <c r="AI112" s="3" t="s">
        <v>28</v>
      </c>
      <c r="AJ112" s="25">
        <f>COUNT(C113:AG113)</f>
        <v>20</v>
      </c>
    </row>
    <row r="113" spans="1:36" outlineLevel="1" x14ac:dyDescent="0.45">
      <c r="A113" s="3" t="s">
        <v>23</v>
      </c>
      <c r="C113" s="3">
        <v>7.5</v>
      </c>
      <c r="D113" s="3"/>
      <c r="E113" s="3"/>
      <c r="F113" s="3">
        <v>7.5</v>
      </c>
      <c r="G113" s="3">
        <v>7.5</v>
      </c>
      <c r="H113" s="3">
        <v>7.5</v>
      </c>
      <c r="I113" s="3">
        <v>7.5</v>
      </c>
      <c r="J113" s="3">
        <v>7.5</v>
      </c>
      <c r="K113" s="3"/>
      <c r="L113" s="3"/>
      <c r="M113" s="3"/>
      <c r="N113" s="3">
        <v>7.5</v>
      </c>
      <c r="O113" s="3">
        <v>7.5</v>
      </c>
      <c r="P113" s="3">
        <v>7.5</v>
      </c>
      <c r="Q113" s="3">
        <v>7.5</v>
      </c>
      <c r="R113" s="3"/>
      <c r="S113" s="3"/>
      <c r="T113" s="3">
        <v>7.5</v>
      </c>
      <c r="U113" s="3">
        <v>7.5</v>
      </c>
      <c r="V113" s="3">
        <v>7.5</v>
      </c>
      <c r="W113" s="3">
        <v>7.5</v>
      </c>
      <c r="X113" s="3">
        <v>7.5</v>
      </c>
      <c r="Y113" s="3"/>
      <c r="Z113" s="3"/>
      <c r="AA113" s="3">
        <v>7.5</v>
      </c>
      <c r="AB113" s="3">
        <v>7.5</v>
      </c>
      <c r="AC113" s="3">
        <v>7.5</v>
      </c>
      <c r="AD113" s="3">
        <v>7.5</v>
      </c>
      <c r="AE113" s="3">
        <v>7.5</v>
      </c>
      <c r="AF113" s="3"/>
      <c r="AG113" s="3"/>
      <c r="AI113" s="3" t="s">
        <v>29</v>
      </c>
      <c r="AJ113" s="22" t="str">
        <f>_xlfn.LET(_xlpm.v, SUM(C113:AG113),IF(_xlpm.v = INT(_xlpm.v),TEXT(_xlpm.v, "0") &amp; " h",TEXT(_xlpm.v, "0.###") &amp; " h"))</f>
        <v>150 h</v>
      </c>
    </row>
    <row r="114" spans="1:36" outlineLevel="1" x14ac:dyDescent="0.45">
      <c r="A114" s="3" t="s">
        <v>24</v>
      </c>
      <c r="C114" s="3" t="s">
        <v>33</v>
      </c>
      <c r="D114" s="3"/>
      <c r="E114" s="3"/>
      <c r="F114" s="3" t="s">
        <v>33</v>
      </c>
      <c r="G114" s="3" t="s">
        <v>33</v>
      </c>
      <c r="H114" s="3" t="s">
        <v>33</v>
      </c>
      <c r="I114" s="3" t="s">
        <v>33</v>
      </c>
      <c r="J114" s="3" t="s">
        <v>33</v>
      </c>
      <c r="K114" s="3"/>
      <c r="L114" s="3"/>
      <c r="M114" s="3"/>
      <c r="N114" s="3" t="s">
        <v>33</v>
      </c>
      <c r="O114" s="3" t="s">
        <v>33</v>
      </c>
      <c r="P114" s="3" t="s">
        <v>33</v>
      </c>
      <c r="Q114" s="3" t="s">
        <v>33</v>
      </c>
      <c r="R114" s="3"/>
      <c r="S114" s="3"/>
      <c r="T114" s="3" t="s">
        <v>33</v>
      </c>
      <c r="U114" s="3" t="s">
        <v>33</v>
      </c>
      <c r="V114" s="3" t="s">
        <v>33</v>
      </c>
      <c r="W114" s="3" t="s">
        <v>33</v>
      </c>
      <c r="X114" s="3" t="s">
        <v>33</v>
      </c>
      <c r="Y114" s="3"/>
      <c r="Z114" s="3"/>
      <c r="AA114" s="3" t="s">
        <v>33</v>
      </c>
      <c r="AB114" s="3" t="s">
        <v>33</v>
      </c>
      <c r="AC114" s="3" t="s">
        <v>33</v>
      </c>
      <c r="AD114" s="3" t="s">
        <v>33</v>
      </c>
      <c r="AE114" s="3" t="s">
        <v>33</v>
      </c>
      <c r="AF114" s="3"/>
      <c r="AG114" s="3"/>
      <c r="AI114" s="3" t="s">
        <v>30</v>
      </c>
      <c r="AJ114" s="25">
        <f>COUNTIF(C114:AG114,"出")</f>
        <v>0</v>
      </c>
    </row>
    <row r="115" spans="1:36" outlineLevel="1" x14ac:dyDescent="0.45">
      <c r="A115" s="3" t="s">
        <v>25</v>
      </c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I115" s="3" t="s">
        <v>31</v>
      </c>
      <c r="AJ115" s="25">
        <f>COUNTIF(C114:AG114,"リ")</f>
        <v>20</v>
      </c>
    </row>
    <row r="116" spans="1:36" outlineLevel="1" x14ac:dyDescent="0.45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I116" s="3" t="s">
        <v>32</v>
      </c>
      <c r="AJ116" s="26">
        <f>AJ114/(AJ114+AJ115)</f>
        <v>0</v>
      </c>
    </row>
    <row r="117" spans="1:36" outlineLevel="1" x14ac:dyDescent="0.45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</row>
    <row r="118" spans="1:36" outlineLevel="1" x14ac:dyDescent="0.45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</row>
    <row r="119" spans="1:36" outlineLevel="1" x14ac:dyDescent="0.45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</row>
    <row r="120" spans="1:36" outlineLevel="1" x14ac:dyDescent="0.45"/>
    <row r="121" spans="1:36" x14ac:dyDescent="0.45">
      <c r="C121" s="37">
        <v>46692</v>
      </c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</row>
    <row r="122" spans="1:36" outlineLevel="1" x14ac:dyDescent="0.45">
      <c r="C122" s="3" t="str">
        <f t="shared" ref="C122:AG122" si="20">TEXT(C123,"aaa")</f>
        <v>月</v>
      </c>
      <c r="D122" s="3" t="str">
        <f t="shared" si="20"/>
        <v>火</v>
      </c>
      <c r="E122" s="3" t="str">
        <f t="shared" si="20"/>
        <v>水</v>
      </c>
      <c r="F122" s="3" t="str">
        <f t="shared" si="20"/>
        <v>木</v>
      </c>
      <c r="G122" s="3" t="str">
        <f t="shared" si="20"/>
        <v>金</v>
      </c>
      <c r="H122" s="3" t="str">
        <f t="shared" si="20"/>
        <v>土</v>
      </c>
      <c r="I122" s="3" t="str">
        <f t="shared" si="20"/>
        <v>日</v>
      </c>
      <c r="J122" s="3" t="str">
        <f t="shared" si="20"/>
        <v>月</v>
      </c>
      <c r="K122" s="3" t="str">
        <f t="shared" si="20"/>
        <v>火</v>
      </c>
      <c r="L122" s="3" t="str">
        <f t="shared" si="20"/>
        <v>水</v>
      </c>
      <c r="M122" s="3" t="str">
        <f t="shared" si="20"/>
        <v>木</v>
      </c>
      <c r="N122" s="3" t="str">
        <f t="shared" si="20"/>
        <v>金</v>
      </c>
      <c r="O122" s="3" t="str">
        <f t="shared" si="20"/>
        <v>土</v>
      </c>
      <c r="P122" s="3" t="str">
        <f t="shared" si="20"/>
        <v>日</v>
      </c>
      <c r="Q122" s="3" t="str">
        <f t="shared" si="20"/>
        <v>月</v>
      </c>
      <c r="R122" s="3" t="str">
        <f t="shared" si="20"/>
        <v>火</v>
      </c>
      <c r="S122" s="3" t="str">
        <f t="shared" si="20"/>
        <v>水</v>
      </c>
      <c r="T122" s="3" t="str">
        <f t="shared" si="20"/>
        <v>木</v>
      </c>
      <c r="U122" s="3" t="str">
        <f t="shared" si="20"/>
        <v>金</v>
      </c>
      <c r="V122" s="3" t="str">
        <f t="shared" si="20"/>
        <v>土</v>
      </c>
      <c r="W122" s="3" t="str">
        <f t="shared" si="20"/>
        <v>日</v>
      </c>
      <c r="X122" s="3" t="str">
        <f t="shared" si="20"/>
        <v>月</v>
      </c>
      <c r="Y122" s="3" t="str">
        <f t="shared" si="20"/>
        <v>火</v>
      </c>
      <c r="Z122" s="3" t="str">
        <f t="shared" si="20"/>
        <v>水</v>
      </c>
      <c r="AA122" s="3" t="str">
        <f t="shared" si="20"/>
        <v>木</v>
      </c>
      <c r="AB122" s="3" t="str">
        <f t="shared" si="20"/>
        <v>金</v>
      </c>
      <c r="AC122" s="3" t="str">
        <f t="shared" si="20"/>
        <v>土</v>
      </c>
      <c r="AD122" s="3" t="str">
        <f t="shared" si="20"/>
        <v>日</v>
      </c>
      <c r="AE122" s="3" t="str">
        <f t="shared" si="20"/>
        <v>月</v>
      </c>
      <c r="AF122" s="3" t="str">
        <f t="shared" si="20"/>
        <v>火</v>
      </c>
      <c r="AG122" s="3" t="str">
        <f t="shared" si="20"/>
        <v/>
      </c>
      <c r="AI122" s="20" t="s">
        <v>26</v>
      </c>
      <c r="AJ122" s="24">
        <f>COUNT(C124:AG124)</f>
        <v>20</v>
      </c>
    </row>
    <row r="123" spans="1:36" outlineLevel="1" x14ac:dyDescent="0.45">
      <c r="C123" s="23">
        <f>C121</f>
        <v>46692</v>
      </c>
      <c r="D123" s="23">
        <f t="shared" ref="D123:AG123" si="21">IF(C123="","",IF(C123+1&lt;=EOMONTH($C$121,0),C123+1,""))</f>
        <v>46693</v>
      </c>
      <c r="E123" s="23">
        <f t="shared" si="21"/>
        <v>46694</v>
      </c>
      <c r="F123" s="23">
        <f t="shared" si="21"/>
        <v>46695</v>
      </c>
      <c r="G123" s="23">
        <f t="shared" si="21"/>
        <v>46696</v>
      </c>
      <c r="H123" s="23">
        <f t="shared" si="21"/>
        <v>46697</v>
      </c>
      <c r="I123" s="23">
        <f t="shared" si="21"/>
        <v>46698</v>
      </c>
      <c r="J123" s="23">
        <f t="shared" si="21"/>
        <v>46699</v>
      </c>
      <c r="K123" s="23">
        <f t="shared" si="21"/>
        <v>46700</v>
      </c>
      <c r="L123" s="23">
        <f t="shared" si="21"/>
        <v>46701</v>
      </c>
      <c r="M123" s="23">
        <f t="shared" si="21"/>
        <v>46702</v>
      </c>
      <c r="N123" s="23">
        <f t="shared" si="21"/>
        <v>46703</v>
      </c>
      <c r="O123" s="23">
        <f t="shared" si="21"/>
        <v>46704</v>
      </c>
      <c r="P123" s="23">
        <f t="shared" si="21"/>
        <v>46705</v>
      </c>
      <c r="Q123" s="23">
        <f t="shared" si="21"/>
        <v>46706</v>
      </c>
      <c r="R123" s="23">
        <f t="shared" si="21"/>
        <v>46707</v>
      </c>
      <c r="S123" s="23">
        <f t="shared" si="21"/>
        <v>46708</v>
      </c>
      <c r="T123" s="23">
        <f t="shared" si="21"/>
        <v>46709</v>
      </c>
      <c r="U123" s="23">
        <f t="shared" si="21"/>
        <v>46710</v>
      </c>
      <c r="V123" s="23">
        <f t="shared" si="21"/>
        <v>46711</v>
      </c>
      <c r="W123" s="23">
        <f t="shared" si="21"/>
        <v>46712</v>
      </c>
      <c r="X123" s="23">
        <f t="shared" si="21"/>
        <v>46713</v>
      </c>
      <c r="Y123" s="23">
        <f t="shared" si="21"/>
        <v>46714</v>
      </c>
      <c r="Z123" s="23">
        <f t="shared" si="21"/>
        <v>46715</v>
      </c>
      <c r="AA123" s="23">
        <f t="shared" si="21"/>
        <v>46716</v>
      </c>
      <c r="AB123" s="23">
        <f t="shared" si="21"/>
        <v>46717</v>
      </c>
      <c r="AC123" s="23">
        <f t="shared" si="21"/>
        <v>46718</v>
      </c>
      <c r="AD123" s="23">
        <f t="shared" si="21"/>
        <v>46719</v>
      </c>
      <c r="AE123" s="23">
        <f t="shared" si="21"/>
        <v>46720</v>
      </c>
      <c r="AF123" s="23">
        <f t="shared" si="21"/>
        <v>46721</v>
      </c>
      <c r="AG123" s="23" t="str">
        <f t="shared" si="21"/>
        <v/>
      </c>
      <c r="AI123" s="20" t="s">
        <v>27</v>
      </c>
      <c r="AJ123" s="21" t="str">
        <f>_xlfn.LET(_xlpm.v, SUM(C124:AG124),IF(_xlpm.v = INT(_xlpm.v),TEXT(_xlpm.v, "0") &amp; " h",TEXT(_xlpm.v, "0.###") &amp; " h"))</f>
        <v>150 h</v>
      </c>
    </row>
    <row r="124" spans="1:36" outlineLevel="1" x14ac:dyDescent="0.45">
      <c r="A124" s="20" t="s">
        <v>22</v>
      </c>
      <c r="C124" s="20">
        <v>7.5</v>
      </c>
      <c r="D124" s="20">
        <v>7.5</v>
      </c>
      <c r="E124" s="20"/>
      <c r="F124" s="20">
        <v>7.5</v>
      </c>
      <c r="G124" s="20">
        <v>7.5</v>
      </c>
      <c r="H124" s="20"/>
      <c r="I124" s="20"/>
      <c r="J124" s="20">
        <v>7.5</v>
      </c>
      <c r="K124" s="20">
        <v>7.5</v>
      </c>
      <c r="L124" s="20">
        <v>7.5</v>
      </c>
      <c r="M124" s="20">
        <v>7.5</v>
      </c>
      <c r="N124" s="20">
        <v>7.5</v>
      </c>
      <c r="O124" s="20"/>
      <c r="P124" s="20"/>
      <c r="Q124" s="20">
        <v>7.5</v>
      </c>
      <c r="R124" s="20">
        <v>7.5</v>
      </c>
      <c r="S124" s="20">
        <v>7.5</v>
      </c>
      <c r="T124" s="20">
        <v>7.5</v>
      </c>
      <c r="U124" s="20">
        <v>7.5</v>
      </c>
      <c r="V124" s="20"/>
      <c r="W124" s="20"/>
      <c r="X124" s="20">
        <v>7.5</v>
      </c>
      <c r="Y124" s="20"/>
      <c r="Z124" s="20">
        <v>7.5</v>
      </c>
      <c r="AA124" s="20">
        <v>7.5</v>
      </c>
      <c r="AB124" s="20">
        <v>7.5</v>
      </c>
      <c r="AC124" s="20"/>
      <c r="AD124" s="20"/>
      <c r="AE124" s="20">
        <v>7.5</v>
      </c>
      <c r="AF124" s="20">
        <v>7.5</v>
      </c>
      <c r="AG124" s="20"/>
      <c r="AI124" s="3" t="s">
        <v>28</v>
      </c>
      <c r="AJ124" s="25">
        <f>COUNT(C125:AG125)</f>
        <v>20</v>
      </c>
    </row>
    <row r="125" spans="1:36" outlineLevel="1" x14ac:dyDescent="0.45">
      <c r="A125" s="3" t="s">
        <v>23</v>
      </c>
      <c r="C125" s="3">
        <v>7.5</v>
      </c>
      <c r="D125" s="3">
        <v>7.5</v>
      </c>
      <c r="E125" s="3"/>
      <c r="F125" s="3">
        <v>7.5</v>
      </c>
      <c r="G125" s="3">
        <v>7.5</v>
      </c>
      <c r="H125" s="3"/>
      <c r="I125" s="3"/>
      <c r="J125" s="3">
        <v>7.5</v>
      </c>
      <c r="K125" s="3">
        <v>7.5</v>
      </c>
      <c r="L125" s="3">
        <v>7.5</v>
      </c>
      <c r="M125" s="3">
        <v>7.5</v>
      </c>
      <c r="N125" s="3">
        <v>7.5</v>
      </c>
      <c r="O125" s="3"/>
      <c r="P125" s="3"/>
      <c r="Q125" s="3">
        <v>7.5</v>
      </c>
      <c r="R125" s="3">
        <v>7.5</v>
      </c>
      <c r="S125" s="3">
        <v>7.5</v>
      </c>
      <c r="T125" s="3">
        <v>7.5</v>
      </c>
      <c r="U125" s="3">
        <v>7.5</v>
      </c>
      <c r="V125" s="3"/>
      <c r="W125" s="3"/>
      <c r="X125" s="3">
        <v>7.5</v>
      </c>
      <c r="Y125" s="3"/>
      <c r="Z125" s="3">
        <v>7.5</v>
      </c>
      <c r="AA125" s="3">
        <v>7.5</v>
      </c>
      <c r="AB125" s="3">
        <v>7.5</v>
      </c>
      <c r="AC125" s="3"/>
      <c r="AD125" s="3"/>
      <c r="AE125" s="3">
        <v>7.5</v>
      </c>
      <c r="AF125" s="3">
        <v>7.5</v>
      </c>
      <c r="AG125" s="3"/>
      <c r="AI125" s="3" t="s">
        <v>29</v>
      </c>
      <c r="AJ125" s="22" t="str">
        <f>_xlfn.LET(_xlpm.v, SUM(C125:AG125),IF(_xlpm.v = INT(_xlpm.v),TEXT(_xlpm.v, "0") &amp; " h",TEXT(_xlpm.v, "0.###") &amp; " h"))</f>
        <v>150 h</v>
      </c>
    </row>
    <row r="126" spans="1:36" outlineLevel="1" x14ac:dyDescent="0.45">
      <c r="A126" s="3" t="s">
        <v>24</v>
      </c>
      <c r="C126" s="3" t="s">
        <v>33</v>
      </c>
      <c r="D126" s="3" t="s">
        <v>33</v>
      </c>
      <c r="E126" s="3"/>
      <c r="F126" s="3" t="s">
        <v>33</v>
      </c>
      <c r="G126" s="3" t="s">
        <v>33</v>
      </c>
      <c r="H126" s="3"/>
      <c r="I126" s="3"/>
      <c r="J126" s="3" t="s">
        <v>33</v>
      </c>
      <c r="K126" s="3" t="s">
        <v>33</v>
      </c>
      <c r="L126" s="3" t="s">
        <v>33</v>
      </c>
      <c r="M126" s="3" t="s">
        <v>33</v>
      </c>
      <c r="N126" s="3" t="s">
        <v>33</v>
      </c>
      <c r="O126" s="3"/>
      <c r="P126" s="3"/>
      <c r="Q126" s="3" t="s">
        <v>33</v>
      </c>
      <c r="R126" s="3" t="s">
        <v>33</v>
      </c>
      <c r="S126" s="3" t="s">
        <v>33</v>
      </c>
      <c r="T126" s="3" t="s">
        <v>33</v>
      </c>
      <c r="U126" s="3" t="s">
        <v>33</v>
      </c>
      <c r="V126" s="3"/>
      <c r="W126" s="3"/>
      <c r="X126" s="3" t="s">
        <v>33</v>
      </c>
      <c r="Y126" s="3"/>
      <c r="Z126" s="3" t="s">
        <v>33</v>
      </c>
      <c r="AA126" s="3" t="s">
        <v>33</v>
      </c>
      <c r="AB126" s="3" t="s">
        <v>33</v>
      </c>
      <c r="AC126" s="3"/>
      <c r="AD126" s="3"/>
      <c r="AE126" s="3" t="s">
        <v>33</v>
      </c>
      <c r="AF126" s="3" t="s">
        <v>33</v>
      </c>
      <c r="AG126" s="3"/>
      <c r="AI126" s="3" t="s">
        <v>30</v>
      </c>
      <c r="AJ126" s="25">
        <f>COUNTIF(C126:AG126,"出")</f>
        <v>0</v>
      </c>
    </row>
    <row r="127" spans="1:36" outlineLevel="1" x14ac:dyDescent="0.45">
      <c r="A127" s="3" t="s">
        <v>25</v>
      </c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I127" s="3" t="s">
        <v>31</v>
      </c>
      <c r="AJ127" s="25">
        <f>COUNTIF(C126:AG126,"リ")</f>
        <v>20</v>
      </c>
    </row>
    <row r="128" spans="1:36" outlineLevel="1" x14ac:dyDescent="0.45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I128" s="3" t="s">
        <v>32</v>
      </c>
      <c r="AJ128" s="26">
        <f>AJ126/(AJ126+AJ127)</f>
        <v>0</v>
      </c>
    </row>
    <row r="129" spans="1:36" outlineLevel="1" x14ac:dyDescent="0.45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</row>
    <row r="130" spans="1:36" outlineLevel="1" x14ac:dyDescent="0.45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</row>
    <row r="131" spans="1:36" outlineLevel="1" x14ac:dyDescent="0.45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</row>
    <row r="132" spans="1:36" outlineLevel="1" x14ac:dyDescent="0.45"/>
    <row r="133" spans="1:36" x14ac:dyDescent="0.45">
      <c r="C133" s="37">
        <v>46722</v>
      </c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</row>
    <row r="134" spans="1:36" outlineLevel="1" x14ac:dyDescent="0.45">
      <c r="C134" s="3" t="str">
        <f t="shared" ref="C134:AG134" si="22">TEXT(C135,"aaa")</f>
        <v>水</v>
      </c>
      <c r="D134" s="3" t="str">
        <f t="shared" si="22"/>
        <v>木</v>
      </c>
      <c r="E134" s="3" t="str">
        <f t="shared" si="22"/>
        <v>金</v>
      </c>
      <c r="F134" s="3" t="str">
        <f t="shared" si="22"/>
        <v>土</v>
      </c>
      <c r="G134" s="3" t="str">
        <f t="shared" si="22"/>
        <v>日</v>
      </c>
      <c r="H134" s="3" t="str">
        <f t="shared" si="22"/>
        <v>月</v>
      </c>
      <c r="I134" s="3" t="str">
        <f t="shared" si="22"/>
        <v>火</v>
      </c>
      <c r="J134" s="3" t="str">
        <f t="shared" si="22"/>
        <v>水</v>
      </c>
      <c r="K134" s="3" t="str">
        <f t="shared" si="22"/>
        <v>木</v>
      </c>
      <c r="L134" s="3" t="str">
        <f t="shared" si="22"/>
        <v>金</v>
      </c>
      <c r="M134" s="3" t="str">
        <f t="shared" si="22"/>
        <v>土</v>
      </c>
      <c r="N134" s="3" t="str">
        <f t="shared" si="22"/>
        <v>日</v>
      </c>
      <c r="O134" s="3" t="str">
        <f t="shared" si="22"/>
        <v>月</v>
      </c>
      <c r="P134" s="3" t="str">
        <f t="shared" si="22"/>
        <v>火</v>
      </c>
      <c r="Q134" s="3" t="str">
        <f t="shared" si="22"/>
        <v>水</v>
      </c>
      <c r="R134" s="3" t="str">
        <f t="shared" si="22"/>
        <v>木</v>
      </c>
      <c r="S134" s="3" t="str">
        <f t="shared" si="22"/>
        <v>金</v>
      </c>
      <c r="T134" s="3" t="str">
        <f t="shared" si="22"/>
        <v>土</v>
      </c>
      <c r="U134" s="3" t="str">
        <f t="shared" si="22"/>
        <v>日</v>
      </c>
      <c r="V134" s="3" t="str">
        <f t="shared" si="22"/>
        <v>月</v>
      </c>
      <c r="W134" s="3" t="str">
        <f t="shared" si="22"/>
        <v>火</v>
      </c>
      <c r="X134" s="3" t="str">
        <f t="shared" si="22"/>
        <v>水</v>
      </c>
      <c r="Y134" s="3" t="str">
        <f t="shared" si="22"/>
        <v>木</v>
      </c>
      <c r="Z134" s="3" t="str">
        <f t="shared" si="22"/>
        <v>金</v>
      </c>
      <c r="AA134" s="3" t="str">
        <f t="shared" si="22"/>
        <v>土</v>
      </c>
      <c r="AB134" s="3" t="str">
        <f t="shared" si="22"/>
        <v>日</v>
      </c>
      <c r="AC134" s="3" t="str">
        <f t="shared" si="22"/>
        <v>月</v>
      </c>
      <c r="AD134" s="3" t="str">
        <f t="shared" si="22"/>
        <v>火</v>
      </c>
      <c r="AE134" s="3" t="str">
        <f t="shared" si="22"/>
        <v>水</v>
      </c>
      <c r="AF134" s="3" t="str">
        <f t="shared" si="22"/>
        <v>木</v>
      </c>
      <c r="AG134" s="3" t="str">
        <f t="shared" si="22"/>
        <v>金</v>
      </c>
      <c r="AI134" s="20" t="s">
        <v>26</v>
      </c>
      <c r="AJ134" s="24">
        <f>COUNT(C136:AG136)</f>
        <v>23</v>
      </c>
    </row>
    <row r="135" spans="1:36" outlineLevel="1" x14ac:dyDescent="0.45">
      <c r="C135" s="23">
        <f>C133</f>
        <v>46722</v>
      </c>
      <c r="D135" s="23">
        <f t="shared" ref="D135:AG135" si="23">IF(C135="","",IF(C135+1&lt;=EOMONTH($C$133,0),C135+1,""))</f>
        <v>46723</v>
      </c>
      <c r="E135" s="23">
        <f t="shared" si="23"/>
        <v>46724</v>
      </c>
      <c r="F135" s="23">
        <f t="shared" si="23"/>
        <v>46725</v>
      </c>
      <c r="G135" s="23">
        <f t="shared" si="23"/>
        <v>46726</v>
      </c>
      <c r="H135" s="23">
        <f t="shared" si="23"/>
        <v>46727</v>
      </c>
      <c r="I135" s="23">
        <f t="shared" si="23"/>
        <v>46728</v>
      </c>
      <c r="J135" s="23">
        <f t="shared" si="23"/>
        <v>46729</v>
      </c>
      <c r="K135" s="23">
        <f t="shared" si="23"/>
        <v>46730</v>
      </c>
      <c r="L135" s="23">
        <f t="shared" si="23"/>
        <v>46731</v>
      </c>
      <c r="M135" s="23">
        <f t="shared" si="23"/>
        <v>46732</v>
      </c>
      <c r="N135" s="23">
        <f t="shared" si="23"/>
        <v>46733</v>
      </c>
      <c r="O135" s="23">
        <f t="shared" si="23"/>
        <v>46734</v>
      </c>
      <c r="P135" s="23">
        <f t="shared" si="23"/>
        <v>46735</v>
      </c>
      <c r="Q135" s="23">
        <f t="shared" si="23"/>
        <v>46736</v>
      </c>
      <c r="R135" s="23">
        <f t="shared" si="23"/>
        <v>46737</v>
      </c>
      <c r="S135" s="23">
        <f t="shared" si="23"/>
        <v>46738</v>
      </c>
      <c r="T135" s="23">
        <f t="shared" si="23"/>
        <v>46739</v>
      </c>
      <c r="U135" s="23">
        <f t="shared" si="23"/>
        <v>46740</v>
      </c>
      <c r="V135" s="23">
        <f t="shared" si="23"/>
        <v>46741</v>
      </c>
      <c r="W135" s="23">
        <f t="shared" si="23"/>
        <v>46742</v>
      </c>
      <c r="X135" s="23">
        <f t="shared" si="23"/>
        <v>46743</v>
      </c>
      <c r="Y135" s="23">
        <f t="shared" si="23"/>
        <v>46744</v>
      </c>
      <c r="Z135" s="23">
        <f t="shared" si="23"/>
        <v>46745</v>
      </c>
      <c r="AA135" s="23">
        <f t="shared" si="23"/>
        <v>46746</v>
      </c>
      <c r="AB135" s="23">
        <f t="shared" si="23"/>
        <v>46747</v>
      </c>
      <c r="AC135" s="23">
        <f t="shared" si="23"/>
        <v>46748</v>
      </c>
      <c r="AD135" s="23">
        <f t="shared" si="23"/>
        <v>46749</v>
      </c>
      <c r="AE135" s="23">
        <f t="shared" si="23"/>
        <v>46750</v>
      </c>
      <c r="AF135" s="23">
        <f t="shared" si="23"/>
        <v>46751</v>
      </c>
      <c r="AG135" s="23">
        <f t="shared" si="23"/>
        <v>46752</v>
      </c>
      <c r="AI135" s="20" t="s">
        <v>27</v>
      </c>
      <c r="AJ135" s="21" t="str">
        <f>_xlfn.LET(_xlpm.v, SUM(C136:AG136),IF(_xlpm.v = INT(_xlpm.v),TEXT(_xlpm.v, "0") &amp; " h",TEXT(_xlpm.v, "0.###") &amp; " h"))</f>
        <v>172.5 h</v>
      </c>
    </row>
    <row r="136" spans="1:36" outlineLevel="1" x14ac:dyDescent="0.45">
      <c r="A136" s="20" t="s">
        <v>22</v>
      </c>
      <c r="C136" s="20">
        <v>7.5</v>
      </c>
      <c r="D136" s="20">
        <v>7.5</v>
      </c>
      <c r="E136" s="20">
        <v>7.5</v>
      </c>
      <c r="F136" s="20"/>
      <c r="G136" s="20"/>
      <c r="H136" s="20">
        <v>7.5</v>
      </c>
      <c r="I136" s="20">
        <v>7.5</v>
      </c>
      <c r="J136" s="20">
        <v>7.5</v>
      </c>
      <c r="K136" s="20">
        <v>7.5</v>
      </c>
      <c r="L136" s="20">
        <v>7.5</v>
      </c>
      <c r="M136" s="20"/>
      <c r="N136" s="20"/>
      <c r="O136" s="20">
        <v>7.5</v>
      </c>
      <c r="P136" s="20">
        <v>7.5</v>
      </c>
      <c r="Q136" s="20">
        <v>7.5</v>
      </c>
      <c r="R136" s="20">
        <v>7.5</v>
      </c>
      <c r="S136" s="20">
        <v>7.5</v>
      </c>
      <c r="T136" s="20"/>
      <c r="U136" s="20"/>
      <c r="V136" s="20">
        <v>7.5</v>
      </c>
      <c r="W136" s="20">
        <v>7.5</v>
      </c>
      <c r="X136" s="20">
        <v>7.5</v>
      </c>
      <c r="Y136" s="20">
        <v>7.5</v>
      </c>
      <c r="Z136" s="20">
        <v>7.5</v>
      </c>
      <c r="AA136" s="20"/>
      <c r="AB136" s="20"/>
      <c r="AC136" s="20">
        <v>7.5</v>
      </c>
      <c r="AD136" s="20">
        <v>7.5</v>
      </c>
      <c r="AE136" s="20">
        <v>7.5</v>
      </c>
      <c r="AF136" s="20">
        <v>7.5</v>
      </c>
      <c r="AG136" s="20">
        <v>7.5</v>
      </c>
      <c r="AI136" s="3" t="s">
        <v>28</v>
      </c>
      <c r="AJ136" s="25">
        <f>COUNT(C137:AG137)</f>
        <v>23</v>
      </c>
    </row>
    <row r="137" spans="1:36" outlineLevel="1" x14ac:dyDescent="0.45">
      <c r="A137" s="3" t="s">
        <v>23</v>
      </c>
      <c r="C137" s="3">
        <v>7.5</v>
      </c>
      <c r="D137" s="3">
        <v>7.5</v>
      </c>
      <c r="E137" s="3">
        <v>7.5</v>
      </c>
      <c r="F137" s="3"/>
      <c r="G137" s="3"/>
      <c r="H137" s="3">
        <v>7.5</v>
      </c>
      <c r="I137" s="3">
        <v>7.5</v>
      </c>
      <c r="J137" s="3">
        <v>7.5</v>
      </c>
      <c r="K137" s="3">
        <v>7.5</v>
      </c>
      <c r="L137" s="3">
        <v>7.5</v>
      </c>
      <c r="M137" s="3"/>
      <c r="N137" s="3"/>
      <c r="O137" s="3">
        <v>7.5</v>
      </c>
      <c r="P137" s="3">
        <v>7.5</v>
      </c>
      <c r="Q137" s="3">
        <v>7.5</v>
      </c>
      <c r="R137" s="3">
        <v>7.5</v>
      </c>
      <c r="S137" s="3">
        <v>7.5</v>
      </c>
      <c r="T137" s="3"/>
      <c r="U137" s="3"/>
      <c r="V137" s="3">
        <v>7.5</v>
      </c>
      <c r="W137" s="3">
        <v>7.5</v>
      </c>
      <c r="X137" s="3">
        <v>7.5</v>
      </c>
      <c r="Y137" s="3">
        <v>7.5</v>
      </c>
      <c r="Z137" s="3">
        <v>7.5</v>
      </c>
      <c r="AA137" s="3"/>
      <c r="AB137" s="3"/>
      <c r="AC137" s="3">
        <v>7.5</v>
      </c>
      <c r="AD137" s="3">
        <v>7.5</v>
      </c>
      <c r="AE137" s="3">
        <v>7.5</v>
      </c>
      <c r="AF137" s="3">
        <v>7.5</v>
      </c>
      <c r="AG137" s="3">
        <v>7.5</v>
      </c>
      <c r="AI137" s="3" t="s">
        <v>29</v>
      </c>
      <c r="AJ137" s="22" t="str">
        <f>_xlfn.LET(_xlpm.v, SUM(C137:AG137),IF(_xlpm.v = INT(_xlpm.v),TEXT(_xlpm.v, "0") &amp; " h",TEXT(_xlpm.v, "0.###") &amp; " h"))</f>
        <v>172.5 h</v>
      </c>
    </row>
    <row r="138" spans="1:36" outlineLevel="1" x14ac:dyDescent="0.45">
      <c r="A138" s="3" t="s">
        <v>24</v>
      </c>
      <c r="C138" s="3" t="s">
        <v>33</v>
      </c>
      <c r="D138" s="3" t="s">
        <v>33</v>
      </c>
      <c r="E138" s="3" t="s">
        <v>33</v>
      </c>
      <c r="F138" s="3"/>
      <c r="G138" s="3"/>
      <c r="H138" s="3" t="s">
        <v>33</v>
      </c>
      <c r="I138" s="3" t="s">
        <v>33</v>
      </c>
      <c r="J138" s="3" t="s">
        <v>33</v>
      </c>
      <c r="K138" s="3" t="s">
        <v>33</v>
      </c>
      <c r="L138" s="3" t="s">
        <v>33</v>
      </c>
      <c r="M138" s="3"/>
      <c r="N138" s="3"/>
      <c r="O138" s="3" t="s">
        <v>33</v>
      </c>
      <c r="P138" s="3" t="s">
        <v>33</v>
      </c>
      <c r="Q138" s="3" t="s">
        <v>33</v>
      </c>
      <c r="R138" s="3" t="s">
        <v>33</v>
      </c>
      <c r="S138" s="3" t="s">
        <v>33</v>
      </c>
      <c r="T138" s="3"/>
      <c r="U138" s="3"/>
      <c r="V138" s="3" t="s">
        <v>33</v>
      </c>
      <c r="W138" s="3" t="s">
        <v>33</v>
      </c>
      <c r="X138" s="3" t="s">
        <v>33</v>
      </c>
      <c r="Y138" s="3" t="s">
        <v>33</v>
      </c>
      <c r="Z138" s="3" t="s">
        <v>33</v>
      </c>
      <c r="AA138" s="3"/>
      <c r="AB138" s="3"/>
      <c r="AC138" s="3" t="s">
        <v>33</v>
      </c>
      <c r="AD138" s="3" t="s">
        <v>33</v>
      </c>
      <c r="AE138" s="3" t="s">
        <v>33</v>
      </c>
      <c r="AF138" s="3" t="s">
        <v>33</v>
      </c>
      <c r="AG138" s="3" t="s">
        <v>33</v>
      </c>
      <c r="AI138" s="3" t="s">
        <v>30</v>
      </c>
      <c r="AJ138" s="25">
        <f>COUNTIF(C138:AG138,"出")</f>
        <v>0</v>
      </c>
    </row>
    <row r="139" spans="1:36" outlineLevel="1" x14ac:dyDescent="0.45">
      <c r="A139" s="3" t="s">
        <v>25</v>
      </c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I139" s="3" t="s">
        <v>31</v>
      </c>
      <c r="AJ139" s="25">
        <f>COUNTIF(C138:AG138,"リ")</f>
        <v>23</v>
      </c>
    </row>
    <row r="140" spans="1:36" outlineLevel="1" x14ac:dyDescent="0.45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I140" s="3" t="s">
        <v>32</v>
      </c>
      <c r="AJ140" s="26">
        <f>AJ138/(AJ138+AJ139)</f>
        <v>0</v>
      </c>
    </row>
    <row r="141" spans="1:36" outlineLevel="1" x14ac:dyDescent="0.45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</row>
    <row r="142" spans="1:36" outlineLevel="1" x14ac:dyDescent="0.45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</row>
    <row r="143" spans="1:36" outlineLevel="1" x14ac:dyDescent="0.45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</row>
    <row r="144" spans="1:36" outlineLevel="1" x14ac:dyDescent="0.45"/>
  </sheetData>
  <mergeCells count="36">
    <mergeCell ref="C13:AG13"/>
    <mergeCell ref="C19:Q23"/>
    <mergeCell ref="S19:AG23"/>
    <mergeCell ref="C67:Q71"/>
    <mergeCell ref="S67:AG71"/>
    <mergeCell ref="C25:AG25"/>
    <mergeCell ref="C31:Q35"/>
    <mergeCell ref="S31:AG35"/>
    <mergeCell ref="C37:AG37"/>
    <mergeCell ref="C43:Q47"/>
    <mergeCell ref="S43:AG47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S7:AG11"/>
    <mergeCell ref="C7:Q11"/>
    <mergeCell ref="C1:AG1"/>
    <mergeCell ref="C121:AG121"/>
    <mergeCell ref="C127:Q131"/>
    <mergeCell ref="S127:AG131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</mergeCells>
  <phoneticPr fontId="1"/>
  <conditionalFormatting sqref="C2:AG6">
    <cfRule type="expression" dxfId="96" priority="1" stopIfTrue="1">
      <formula>C$3=""</formula>
    </cfRule>
  </conditionalFormatting>
  <conditionalFormatting sqref="C2:AG2">
    <cfRule type="expression" dxfId="95" priority="3" stopIfTrue="1">
      <formula>WEEKDAY(C3,2)=7</formula>
    </cfRule>
    <cfRule type="expression" dxfId="94" priority="4" stopIfTrue="1">
      <formula>WEEKDAY(C3,2)=6</formula>
    </cfRule>
  </conditionalFormatting>
  <conditionalFormatting sqref="C14:AG18">
    <cfRule type="expression" dxfId="93" priority="5" stopIfTrue="1">
      <formula>C$15=""</formula>
    </cfRule>
  </conditionalFormatting>
  <conditionalFormatting sqref="C14:AG14">
    <cfRule type="expression" dxfId="92" priority="7" stopIfTrue="1">
      <formula>WEEKDAY(C15,2)=7</formula>
    </cfRule>
    <cfRule type="expression" dxfId="91" priority="8" stopIfTrue="1">
      <formula>WEEKDAY(C15,2)=6</formula>
    </cfRule>
  </conditionalFormatting>
  <conditionalFormatting sqref="C26:AG30">
    <cfRule type="expression" dxfId="90" priority="9" stopIfTrue="1">
      <formula>C$27=""</formula>
    </cfRule>
  </conditionalFormatting>
  <conditionalFormatting sqref="C26:AG26">
    <cfRule type="expression" dxfId="89" priority="11" stopIfTrue="1">
      <formula>WEEKDAY(C27,2)=7</formula>
    </cfRule>
    <cfRule type="expression" dxfId="88" priority="12" stopIfTrue="1">
      <formula>WEEKDAY(C27,2)=6</formula>
    </cfRule>
  </conditionalFormatting>
  <conditionalFormatting sqref="C38:AG42">
    <cfRule type="expression" dxfId="87" priority="13" stopIfTrue="1">
      <formula>C$39=""</formula>
    </cfRule>
  </conditionalFormatting>
  <conditionalFormatting sqref="C38:AG38">
    <cfRule type="expression" dxfId="86" priority="15" stopIfTrue="1">
      <formula>WEEKDAY(C39,2)=7</formula>
    </cfRule>
    <cfRule type="expression" dxfId="85" priority="16" stopIfTrue="1">
      <formula>WEEKDAY(C39,2)=6</formula>
    </cfRule>
  </conditionalFormatting>
  <conditionalFormatting sqref="C50:AG54">
    <cfRule type="expression" dxfId="84" priority="17" stopIfTrue="1">
      <formula>C$51=""</formula>
    </cfRule>
  </conditionalFormatting>
  <conditionalFormatting sqref="C50:AG50">
    <cfRule type="expression" dxfId="83" priority="19" stopIfTrue="1">
      <formula>WEEKDAY(C51,2)=7</formula>
    </cfRule>
    <cfRule type="expression" dxfId="82" priority="20" stopIfTrue="1">
      <formula>WEEKDAY(C51,2)=6</formula>
    </cfRule>
  </conditionalFormatting>
  <conditionalFormatting sqref="C62:AG66">
    <cfRule type="expression" dxfId="81" priority="21" stopIfTrue="1">
      <formula>C$63=""</formula>
    </cfRule>
  </conditionalFormatting>
  <conditionalFormatting sqref="C62:AG62">
    <cfRule type="expression" dxfId="80" priority="23" stopIfTrue="1">
      <formula>WEEKDAY(C63,2)=7</formula>
    </cfRule>
    <cfRule type="expression" dxfId="79" priority="24" stopIfTrue="1">
      <formula>WEEKDAY(C63,2)=6</formula>
    </cfRule>
  </conditionalFormatting>
  <conditionalFormatting sqref="C74:AG78">
    <cfRule type="expression" dxfId="78" priority="25" stopIfTrue="1">
      <formula>C$75=""</formula>
    </cfRule>
  </conditionalFormatting>
  <conditionalFormatting sqref="C74:AG74">
    <cfRule type="expression" dxfId="77" priority="27" stopIfTrue="1">
      <formula>WEEKDAY(C75,2)=7</formula>
    </cfRule>
    <cfRule type="expression" dxfId="76" priority="28" stopIfTrue="1">
      <formula>WEEKDAY(C75,2)=6</formula>
    </cfRule>
  </conditionalFormatting>
  <conditionalFormatting sqref="C86:AG90">
    <cfRule type="expression" dxfId="75" priority="29" stopIfTrue="1">
      <formula>C$87=""</formula>
    </cfRule>
  </conditionalFormatting>
  <conditionalFormatting sqref="C86:AG86">
    <cfRule type="expression" dxfId="74" priority="31" stopIfTrue="1">
      <formula>WEEKDAY(C87,2)=7</formula>
    </cfRule>
    <cfRule type="expression" dxfId="73" priority="32" stopIfTrue="1">
      <formula>WEEKDAY(C87,2)=6</formula>
    </cfRule>
  </conditionalFormatting>
  <conditionalFormatting sqref="C98:AG102">
    <cfRule type="expression" dxfId="72" priority="33" stopIfTrue="1">
      <formula>C$99=""</formula>
    </cfRule>
  </conditionalFormatting>
  <conditionalFormatting sqref="C98:AG98">
    <cfRule type="expression" dxfId="71" priority="35" stopIfTrue="1">
      <formula>WEEKDAY(C99,2)=7</formula>
    </cfRule>
    <cfRule type="expression" dxfId="70" priority="36" stopIfTrue="1">
      <formula>WEEKDAY(C99,2)=6</formula>
    </cfRule>
  </conditionalFormatting>
  <conditionalFormatting sqref="C110:AG114">
    <cfRule type="expression" dxfId="69" priority="37" stopIfTrue="1">
      <formula>C$111=""</formula>
    </cfRule>
  </conditionalFormatting>
  <conditionalFormatting sqref="C110:AG110">
    <cfRule type="expression" dxfId="68" priority="39" stopIfTrue="1">
      <formula>WEEKDAY(C111,2)=7</formula>
    </cfRule>
    <cfRule type="expression" dxfId="67" priority="40" stopIfTrue="1">
      <formula>WEEKDAY(C111,2)=6</formula>
    </cfRule>
  </conditionalFormatting>
  <conditionalFormatting sqref="C122:AG126">
    <cfRule type="expression" dxfId="66" priority="41" stopIfTrue="1">
      <formula>C$123=""</formula>
    </cfRule>
  </conditionalFormatting>
  <conditionalFormatting sqref="C122:AG122">
    <cfRule type="expression" dxfId="65" priority="43" stopIfTrue="1">
      <formula>WEEKDAY(C123,2)=7</formula>
    </cfRule>
  </conditionalFormatting>
  <conditionalFormatting sqref="C122:AG122">
    <cfRule type="expression" dxfId="64" priority="44" stopIfTrue="1">
      <formula>WEEKDAY(C123,2)=6</formula>
    </cfRule>
  </conditionalFormatting>
  <conditionalFormatting sqref="C134:AG138">
    <cfRule type="expression" dxfId="63" priority="45" stopIfTrue="1">
      <formula>C$135=""</formula>
    </cfRule>
  </conditionalFormatting>
  <conditionalFormatting sqref="C134:AG134">
    <cfRule type="expression" dxfId="62" priority="47" stopIfTrue="1">
      <formula>WEEKDAY(C135,2)=7</formula>
    </cfRule>
  </conditionalFormatting>
  <conditionalFormatting sqref="C134:AG134">
    <cfRule type="expression" dxfId="61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5EB0F04-4EF5-4961-8BD9-331FCB93AAE0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2646376A-DD40-4542-A944-FE3F85CDBD99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7A2C21C3-DAD9-4EC2-BD97-083352385F04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46BBA4E1-1AD8-40EA-B886-B1BB64C0E2D3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C004529D-C351-4B9F-BFCE-A72E7344E425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4E1D5DC2-7B98-46DC-8466-03B093BE4E4E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576183D8-AC82-4E41-922E-DCC8C2B46FD2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7FA8DB09-D4ED-463E-9184-BAE1B33617E9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6F03BFB4-A955-470D-9AFF-4052BDE420A2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7569196C-178C-4A0F-BAB5-8C490874E869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B85BFB0B-D74D-4E37-A9E0-1E019BB7FCD3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71A25C01-9C87-43C0-B32C-A94530D8CD33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8B913-ADE7-44DD-8828-8A6D6D4BE3DB}">
  <sheetPr codeName="Sheet2"/>
  <dimension ref="A1:AJ144"/>
  <sheetViews>
    <sheetView showGridLines="0" workbookViewId="0"/>
  </sheetViews>
  <sheetFormatPr defaultRowHeight="18" outlineLevelRow="1" x14ac:dyDescent="0.45"/>
  <cols>
    <col min="1" max="1" width="3.69921875" style="1" customWidth="1"/>
    <col min="2" max="2" width="0.8984375" style="1" customWidth="1"/>
    <col min="3" max="33" width="3.69921875" style="1" customWidth="1"/>
    <col min="34" max="34" width="0.8984375" style="1" customWidth="1"/>
    <col min="35" max="36" width="8.69921875" style="1" customWidth="1"/>
    <col min="37" max="16384" width="8.796875" style="1"/>
  </cols>
  <sheetData>
    <row r="1" spans="1:36" x14ac:dyDescent="0.45">
      <c r="C1" s="36">
        <v>46023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</row>
    <row r="2" spans="1:36" outlineLevel="1" x14ac:dyDescent="0.45">
      <c r="C2" s="3" t="str">
        <f t="shared" ref="C2:AG2" si="0">TEXT(C3,"aaa")</f>
        <v>木</v>
      </c>
      <c r="D2" s="3" t="str">
        <f t="shared" si="0"/>
        <v>金</v>
      </c>
      <c r="E2" s="3" t="str">
        <f t="shared" si="0"/>
        <v>土</v>
      </c>
      <c r="F2" s="3" t="str">
        <f t="shared" si="0"/>
        <v>日</v>
      </c>
      <c r="G2" s="3" t="str">
        <f t="shared" si="0"/>
        <v>月</v>
      </c>
      <c r="H2" s="3" t="str">
        <f t="shared" si="0"/>
        <v>火</v>
      </c>
      <c r="I2" s="3" t="str">
        <f t="shared" si="0"/>
        <v>水</v>
      </c>
      <c r="J2" s="3" t="str">
        <f t="shared" si="0"/>
        <v>木</v>
      </c>
      <c r="K2" s="3" t="str">
        <f t="shared" si="0"/>
        <v>金</v>
      </c>
      <c r="L2" s="3" t="str">
        <f t="shared" si="0"/>
        <v>土</v>
      </c>
      <c r="M2" s="3" t="str">
        <f t="shared" si="0"/>
        <v>日</v>
      </c>
      <c r="N2" s="3" t="str">
        <f t="shared" si="0"/>
        <v>月</v>
      </c>
      <c r="O2" s="3" t="str">
        <f t="shared" si="0"/>
        <v>火</v>
      </c>
      <c r="P2" s="3" t="str">
        <f t="shared" si="0"/>
        <v>水</v>
      </c>
      <c r="Q2" s="3" t="str">
        <f t="shared" si="0"/>
        <v>木</v>
      </c>
      <c r="R2" s="3" t="str">
        <f t="shared" si="0"/>
        <v>金</v>
      </c>
      <c r="S2" s="3" t="str">
        <f t="shared" si="0"/>
        <v>土</v>
      </c>
      <c r="T2" s="3" t="str">
        <f t="shared" si="0"/>
        <v>日</v>
      </c>
      <c r="U2" s="3" t="str">
        <f t="shared" si="0"/>
        <v>月</v>
      </c>
      <c r="V2" s="3" t="str">
        <f t="shared" si="0"/>
        <v>火</v>
      </c>
      <c r="W2" s="3" t="str">
        <f t="shared" si="0"/>
        <v>水</v>
      </c>
      <c r="X2" s="3" t="str">
        <f t="shared" si="0"/>
        <v>木</v>
      </c>
      <c r="Y2" s="3" t="str">
        <f t="shared" si="0"/>
        <v>金</v>
      </c>
      <c r="Z2" s="3" t="str">
        <f t="shared" si="0"/>
        <v>土</v>
      </c>
      <c r="AA2" s="3" t="str">
        <f t="shared" si="0"/>
        <v>日</v>
      </c>
      <c r="AB2" s="3" t="str">
        <f t="shared" si="0"/>
        <v>月</v>
      </c>
      <c r="AC2" s="3" t="str">
        <f t="shared" si="0"/>
        <v>火</v>
      </c>
      <c r="AD2" s="3" t="str">
        <f t="shared" si="0"/>
        <v>水</v>
      </c>
      <c r="AE2" s="3" t="str">
        <f t="shared" si="0"/>
        <v>木</v>
      </c>
      <c r="AF2" s="3" t="str">
        <f t="shared" si="0"/>
        <v>金</v>
      </c>
      <c r="AG2" s="3" t="str">
        <f t="shared" si="0"/>
        <v>土</v>
      </c>
      <c r="AI2" s="20" t="s">
        <v>26</v>
      </c>
      <c r="AJ2" s="24">
        <f>COUNT(C4:AG4)</f>
        <v>20</v>
      </c>
    </row>
    <row r="3" spans="1:36" outlineLevel="1" x14ac:dyDescent="0.45">
      <c r="C3" s="23">
        <f>C1</f>
        <v>46023</v>
      </c>
      <c r="D3" s="23">
        <f t="shared" ref="D3:AG3" si="1">IF(C3="","",IF(C3+1&lt;=EOMONTH($C$1,0),C3+1,""))</f>
        <v>46024</v>
      </c>
      <c r="E3" s="23">
        <f t="shared" si="1"/>
        <v>46025</v>
      </c>
      <c r="F3" s="23">
        <f t="shared" si="1"/>
        <v>46026</v>
      </c>
      <c r="G3" s="23">
        <f t="shared" si="1"/>
        <v>46027</v>
      </c>
      <c r="H3" s="23">
        <f t="shared" si="1"/>
        <v>46028</v>
      </c>
      <c r="I3" s="23">
        <f t="shared" si="1"/>
        <v>46029</v>
      </c>
      <c r="J3" s="23">
        <f t="shared" si="1"/>
        <v>46030</v>
      </c>
      <c r="K3" s="23">
        <f t="shared" si="1"/>
        <v>46031</v>
      </c>
      <c r="L3" s="23">
        <f t="shared" si="1"/>
        <v>46032</v>
      </c>
      <c r="M3" s="23">
        <f t="shared" si="1"/>
        <v>46033</v>
      </c>
      <c r="N3" s="23">
        <f t="shared" si="1"/>
        <v>46034</v>
      </c>
      <c r="O3" s="23">
        <f t="shared" si="1"/>
        <v>46035</v>
      </c>
      <c r="P3" s="23">
        <f t="shared" si="1"/>
        <v>46036</v>
      </c>
      <c r="Q3" s="23">
        <f t="shared" si="1"/>
        <v>46037</v>
      </c>
      <c r="R3" s="23">
        <f t="shared" si="1"/>
        <v>46038</v>
      </c>
      <c r="S3" s="23">
        <f t="shared" si="1"/>
        <v>46039</v>
      </c>
      <c r="T3" s="23">
        <f t="shared" si="1"/>
        <v>46040</v>
      </c>
      <c r="U3" s="23">
        <f t="shared" si="1"/>
        <v>46041</v>
      </c>
      <c r="V3" s="23">
        <f t="shared" si="1"/>
        <v>46042</v>
      </c>
      <c r="W3" s="23">
        <f t="shared" si="1"/>
        <v>46043</v>
      </c>
      <c r="X3" s="23">
        <f t="shared" si="1"/>
        <v>46044</v>
      </c>
      <c r="Y3" s="23">
        <f t="shared" si="1"/>
        <v>46045</v>
      </c>
      <c r="Z3" s="23">
        <f t="shared" si="1"/>
        <v>46046</v>
      </c>
      <c r="AA3" s="23">
        <f t="shared" si="1"/>
        <v>46047</v>
      </c>
      <c r="AB3" s="23">
        <f t="shared" si="1"/>
        <v>46048</v>
      </c>
      <c r="AC3" s="23">
        <f t="shared" si="1"/>
        <v>46049</v>
      </c>
      <c r="AD3" s="23">
        <f t="shared" si="1"/>
        <v>46050</v>
      </c>
      <c r="AE3" s="23">
        <f t="shared" si="1"/>
        <v>46051</v>
      </c>
      <c r="AF3" s="23">
        <f t="shared" si="1"/>
        <v>46052</v>
      </c>
      <c r="AG3" s="23">
        <f t="shared" si="1"/>
        <v>46053</v>
      </c>
      <c r="AI3" s="20" t="s">
        <v>27</v>
      </c>
      <c r="AJ3" s="21" t="str">
        <f>_xlfn.LET(_xlpm.v, SUM(C4:AG4),IF(_xlpm.v = INT(_xlpm.v),TEXT(_xlpm.v, "0") &amp; " h",TEXT(_xlpm.v, "0.###") &amp; " h"))</f>
        <v>160 h</v>
      </c>
    </row>
    <row r="4" spans="1:36" outlineLevel="1" x14ac:dyDescent="0.45">
      <c r="A4" s="20" t="s">
        <v>22</v>
      </c>
      <c r="C4" s="20"/>
      <c r="D4" s="20">
        <v>8</v>
      </c>
      <c r="E4" s="20"/>
      <c r="F4" s="20"/>
      <c r="G4" s="20">
        <v>8</v>
      </c>
      <c r="H4" s="20">
        <v>8</v>
      </c>
      <c r="I4" s="20">
        <v>8</v>
      </c>
      <c r="J4" s="20">
        <v>8</v>
      </c>
      <c r="K4" s="20">
        <v>8</v>
      </c>
      <c r="L4" s="20"/>
      <c r="M4" s="20"/>
      <c r="N4" s="20"/>
      <c r="O4" s="20">
        <v>8</v>
      </c>
      <c r="P4" s="20">
        <v>8</v>
      </c>
      <c r="Q4" s="20">
        <v>8</v>
      </c>
      <c r="R4" s="20">
        <v>8</v>
      </c>
      <c r="S4" s="20"/>
      <c r="T4" s="20"/>
      <c r="U4" s="20">
        <v>8</v>
      </c>
      <c r="V4" s="20">
        <v>8</v>
      </c>
      <c r="W4" s="20">
        <v>8</v>
      </c>
      <c r="X4" s="20">
        <v>8</v>
      </c>
      <c r="Y4" s="20">
        <v>8</v>
      </c>
      <c r="Z4" s="20"/>
      <c r="AA4" s="20"/>
      <c r="AB4" s="20">
        <v>8</v>
      </c>
      <c r="AC4" s="20">
        <v>8</v>
      </c>
      <c r="AD4" s="20">
        <v>8</v>
      </c>
      <c r="AE4" s="20">
        <v>8</v>
      </c>
      <c r="AF4" s="20">
        <v>8</v>
      </c>
      <c r="AG4" s="20"/>
      <c r="AI4" s="3" t="s">
        <v>28</v>
      </c>
      <c r="AJ4" s="25">
        <f>COUNT(C5:AG5)</f>
        <v>20</v>
      </c>
    </row>
    <row r="5" spans="1:36" outlineLevel="1" x14ac:dyDescent="0.45">
      <c r="A5" s="3" t="s">
        <v>23</v>
      </c>
      <c r="C5" s="3"/>
      <c r="D5" s="3">
        <v>8</v>
      </c>
      <c r="E5" s="3"/>
      <c r="F5" s="3"/>
      <c r="G5" s="3">
        <v>8</v>
      </c>
      <c r="H5" s="3">
        <v>8</v>
      </c>
      <c r="I5" s="3">
        <v>8</v>
      </c>
      <c r="J5" s="3">
        <v>8</v>
      </c>
      <c r="K5" s="3">
        <v>8</v>
      </c>
      <c r="L5" s="3"/>
      <c r="M5" s="3"/>
      <c r="N5" s="3"/>
      <c r="O5" s="3">
        <v>8</v>
      </c>
      <c r="P5" s="3">
        <v>8</v>
      </c>
      <c r="Q5" s="3">
        <v>8</v>
      </c>
      <c r="R5" s="3">
        <v>8</v>
      </c>
      <c r="S5" s="3"/>
      <c r="T5" s="3"/>
      <c r="U5" s="3">
        <v>8</v>
      </c>
      <c r="V5" s="3">
        <v>8</v>
      </c>
      <c r="W5" s="3">
        <v>8</v>
      </c>
      <c r="X5" s="3">
        <v>8</v>
      </c>
      <c r="Y5" s="3">
        <v>8</v>
      </c>
      <c r="Z5" s="3"/>
      <c r="AA5" s="3"/>
      <c r="AB5" s="3">
        <v>8</v>
      </c>
      <c r="AC5" s="3">
        <v>8</v>
      </c>
      <c r="AD5" s="3">
        <v>8</v>
      </c>
      <c r="AE5" s="3">
        <v>8</v>
      </c>
      <c r="AF5" s="3">
        <v>8</v>
      </c>
      <c r="AG5" s="3"/>
      <c r="AI5" s="3" t="s">
        <v>29</v>
      </c>
      <c r="AJ5" s="22" t="str">
        <f>_xlfn.LET(_xlpm.v, SUM(C5:AG5),IF(_xlpm.v = INT(_xlpm.v),TEXT(_xlpm.v, "0") &amp; " h",TEXT(_xlpm.v, "0.###") &amp; " h"))</f>
        <v>160 h</v>
      </c>
    </row>
    <row r="6" spans="1:36" outlineLevel="1" x14ac:dyDescent="0.45">
      <c r="A6" s="3" t="s">
        <v>24</v>
      </c>
      <c r="C6" s="3"/>
      <c r="D6" s="3" t="s">
        <v>33</v>
      </c>
      <c r="E6" s="3"/>
      <c r="F6" s="3"/>
      <c r="G6" s="3" t="s">
        <v>33</v>
      </c>
      <c r="H6" s="3" t="s">
        <v>33</v>
      </c>
      <c r="I6" s="3" t="s">
        <v>33</v>
      </c>
      <c r="J6" s="3" t="s">
        <v>33</v>
      </c>
      <c r="K6" s="3" t="s">
        <v>33</v>
      </c>
      <c r="L6" s="3"/>
      <c r="M6" s="3"/>
      <c r="N6" s="3"/>
      <c r="O6" s="3" t="s">
        <v>33</v>
      </c>
      <c r="P6" s="3" t="s">
        <v>33</v>
      </c>
      <c r="Q6" s="3" t="s">
        <v>33</v>
      </c>
      <c r="R6" s="3" t="s">
        <v>33</v>
      </c>
      <c r="S6" s="3"/>
      <c r="T6" s="3"/>
      <c r="U6" s="3" t="s">
        <v>33</v>
      </c>
      <c r="V6" s="3" t="s">
        <v>33</v>
      </c>
      <c r="W6" s="3" t="s">
        <v>33</v>
      </c>
      <c r="X6" s="3" t="s">
        <v>33</v>
      </c>
      <c r="Y6" s="3" t="s">
        <v>33</v>
      </c>
      <c r="Z6" s="3"/>
      <c r="AA6" s="3"/>
      <c r="AB6" s="3" t="s">
        <v>33</v>
      </c>
      <c r="AC6" s="3" t="s">
        <v>33</v>
      </c>
      <c r="AD6" s="3" t="s">
        <v>33</v>
      </c>
      <c r="AE6" s="3" t="s">
        <v>33</v>
      </c>
      <c r="AF6" s="3" t="s">
        <v>33</v>
      </c>
      <c r="AG6" s="3"/>
      <c r="AI6" s="3" t="s">
        <v>30</v>
      </c>
      <c r="AJ6" s="25">
        <f>COUNTIF(C6:AG6,"出")</f>
        <v>0</v>
      </c>
    </row>
    <row r="7" spans="1:36" outlineLevel="1" x14ac:dyDescent="0.45">
      <c r="A7" s="3" t="s">
        <v>25</v>
      </c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I7" s="3" t="s">
        <v>31</v>
      </c>
      <c r="AJ7" s="25">
        <f>COUNTIF(C6:AG6,"リ")</f>
        <v>20</v>
      </c>
    </row>
    <row r="8" spans="1:36" outlineLevel="1" x14ac:dyDescent="0.45"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I8" s="3" t="s">
        <v>32</v>
      </c>
      <c r="AJ8" s="26">
        <f>AJ6/(AJ6+AJ7)</f>
        <v>0</v>
      </c>
    </row>
    <row r="9" spans="1:36" outlineLevel="1" x14ac:dyDescent="0.45"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</row>
    <row r="10" spans="1:36" outlineLevel="1" x14ac:dyDescent="0.45"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</row>
    <row r="11" spans="1:36" outlineLevel="1" x14ac:dyDescent="0.45"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</row>
    <row r="12" spans="1:36" outlineLevel="1" x14ac:dyDescent="0.45"/>
    <row r="13" spans="1:36" x14ac:dyDescent="0.45">
      <c r="C13" s="37">
        <v>46054</v>
      </c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</row>
    <row r="14" spans="1:36" outlineLevel="1" x14ac:dyDescent="0.45">
      <c r="C14" s="3" t="str">
        <f t="shared" ref="C14:AG14" si="2">TEXT(C15,"aaa")</f>
        <v>日</v>
      </c>
      <c r="D14" s="3" t="str">
        <f t="shared" si="2"/>
        <v>月</v>
      </c>
      <c r="E14" s="3" t="str">
        <f t="shared" si="2"/>
        <v>火</v>
      </c>
      <c r="F14" s="3" t="str">
        <f t="shared" si="2"/>
        <v>水</v>
      </c>
      <c r="G14" s="3" t="str">
        <f t="shared" si="2"/>
        <v>木</v>
      </c>
      <c r="H14" s="3" t="str">
        <f t="shared" si="2"/>
        <v>金</v>
      </c>
      <c r="I14" s="3" t="str">
        <f t="shared" si="2"/>
        <v>土</v>
      </c>
      <c r="J14" s="3" t="str">
        <f t="shared" si="2"/>
        <v>日</v>
      </c>
      <c r="K14" s="3" t="str">
        <f t="shared" si="2"/>
        <v>月</v>
      </c>
      <c r="L14" s="3" t="str">
        <f t="shared" si="2"/>
        <v>火</v>
      </c>
      <c r="M14" s="3" t="str">
        <f t="shared" si="2"/>
        <v>水</v>
      </c>
      <c r="N14" s="3" t="str">
        <f t="shared" si="2"/>
        <v>木</v>
      </c>
      <c r="O14" s="3" t="str">
        <f t="shared" si="2"/>
        <v>金</v>
      </c>
      <c r="P14" s="3" t="str">
        <f t="shared" si="2"/>
        <v>土</v>
      </c>
      <c r="Q14" s="3" t="str">
        <f t="shared" si="2"/>
        <v>日</v>
      </c>
      <c r="R14" s="3" t="str">
        <f t="shared" si="2"/>
        <v>月</v>
      </c>
      <c r="S14" s="3" t="str">
        <f t="shared" si="2"/>
        <v>火</v>
      </c>
      <c r="T14" s="3" t="str">
        <f t="shared" si="2"/>
        <v>水</v>
      </c>
      <c r="U14" s="3" t="str">
        <f t="shared" si="2"/>
        <v>木</v>
      </c>
      <c r="V14" s="3" t="str">
        <f t="shared" si="2"/>
        <v>金</v>
      </c>
      <c r="W14" s="3" t="str">
        <f t="shared" si="2"/>
        <v>土</v>
      </c>
      <c r="X14" s="3" t="str">
        <f t="shared" si="2"/>
        <v>日</v>
      </c>
      <c r="Y14" s="3" t="str">
        <f t="shared" si="2"/>
        <v>月</v>
      </c>
      <c r="Z14" s="3" t="str">
        <f t="shared" si="2"/>
        <v>火</v>
      </c>
      <c r="AA14" s="3" t="str">
        <f t="shared" si="2"/>
        <v>水</v>
      </c>
      <c r="AB14" s="3" t="str">
        <f t="shared" si="2"/>
        <v>木</v>
      </c>
      <c r="AC14" s="3" t="str">
        <f t="shared" si="2"/>
        <v>金</v>
      </c>
      <c r="AD14" s="3" t="str">
        <f t="shared" si="2"/>
        <v>土</v>
      </c>
      <c r="AE14" s="3" t="str">
        <f t="shared" si="2"/>
        <v/>
      </c>
      <c r="AF14" s="3" t="str">
        <f t="shared" si="2"/>
        <v/>
      </c>
      <c r="AG14" s="3" t="str">
        <f t="shared" si="2"/>
        <v/>
      </c>
      <c r="AI14" s="20" t="s">
        <v>26</v>
      </c>
      <c r="AJ14" s="24">
        <f>COUNT(C16:AG16)</f>
        <v>18</v>
      </c>
    </row>
    <row r="15" spans="1:36" outlineLevel="1" x14ac:dyDescent="0.45">
      <c r="C15" s="23">
        <f>C13</f>
        <v>46054</v>
      </c>
      <c r="D15" s="23">
        <f t="shared" ref="D15:AG15" si="3">IF(C15="","",IF(C15+1&lt;=EOMONTH($C$13,0),C15+1,""))</f>
        <v>46055</v>
      </c>
      <c r="E15" s="23">
        <f t="shared" si="3"/>
        <v>46056</v>
      </c>
      <c r="F15" s="23">
        <f t="shared" si="3"/>
        <v>46057</v>
      </c>
      <c r="G15" s="23">
        <f t="shared" si="3"/>
        <v>46058</v>
      </c>
      <c r="H15" s="23">
        <f t="shared" si="3"/>
        <v>46059</v>
      </c>
      <c r="I15" s="23">
        <f t="shared" si="3"/>
        <v>46060</v>
      </c>
      <c r="J15" s="23">
        <f t="shared" si="3"/>
        <v>46061</v>
      </c>
      <c r="K15" s="23">
        <f t="shared" si="3"/>
        <v>46062</v>
      </c>
      <c r="L15" s="23">
        <f t="shared" si="3"/>
        <v>46063</v>
      </c>
      <c r="M15" s="23">
        <f t="shared" si="3"/>
        <v>46064</v>
      </c>
      <c r="N15" s="23">
        <f t="shared" si="3"/>
        <v>46065</v>
      </c>
      <c r="O15" s="23">
        <f t="shared" si="3"/>
        <v>46066</v>
      </c>
      <c r="P15" s="23">
        <f t="shared" si="3"/>
        <v>46067</v>
      </c>
      <c r="Q15" s="23">
        <f t="shared" si="3"/>
        <v>46068</v>
      </c>
      <c r="R15" s="23">
        <f t="shared" si="3"/>
        <v>46069</v>
      </c>
      <c r="S15" s="23">
        <f t="shared" si="3"/>
        <v>46070</v>
      </c>
      <c r="T15" s="23">
        <f t="shared" si="3"/>
        <v>46071</v>
      </c>
      <c r="U15" s="23">
        <f t="shared" si="3"/>
        <v>46072</v>
      </c>
      <c r="V15" s="23">
        <f t="shared" si="3"/>
        <v>46073</v>
      </c>
      <c r="W15" s="23">
        <f t="shared" si="3"/>
        <v>46074</v>
      </c>
      <c r="X15" s="23">
        <f t="shared" si="3"/>
        <v>46075</v>
      </c>
      <c r="Y15" s="23">
        <f t="shared" si="3"/>
        <v>46076</v>
      </c>
      <c r="Z15" s="23">
        <f t="shared" si="3"/>
        <v>46077</v>
      </c>
      <c r="AA15" s="23">
        <f t="shared" si="3"/>
        <v>46078</v>
      </c>
      <c r="AB15" s="23">
        <f t="shared" si="3"/>
        <v>46079</v>
      </c>
      <c r="AC15" s="23">
        <f t="shared" si="3"/>
        <v>46080</v>
      </c>
      <c r="AD15" s="23">
        <f t="shared" si="3"/>
        <v>46081</v>
      </c>
      <c r="AE15" s="23" t="str">
        <f t="shared" si="3"/>
        <v/>
      </c>
      <c r="AF15" s="23" t="str">
        <f t="shared" si="3"/>
        <v/>
      </c>
      <c r="AG15" s="23" t="str">
        <f t="shared" si="3"/>
        <v/>
      </c>
      <c r="AI15" s="20" t="s">
        <v>27</v>
      </c>
      <c r="AJ15" s="21" t="str">
        <f>_xlfn.LET(_xlpm.v, SUM(C16:AG16),IF(_xlpm.v = INT(_xlpm.v),TEXT(_xlpm.v, "0") &amp; " h",TEXT(_xlpm.v, "0.###") &amp; " h"))</f>
        <v>144 h</v>
      </c>
    </row>
    <row r="16" spans="1:36" outlineLevel="1" x14ac:dyDescent="0.45">
      <c r="A16" s="20" t="s">
        <v>22</v>
      </c>
      <c r="C16" s="20"/>
      <c r="D16" s="20">
        <v>8</v>
      </c>
      <c r="E16" s="20">
        <v>8</v>
      </c>
      <c r="F16" s="20">
        <v>8</v>
      </c>
      <c r="G16" s="20">
        <v>8</v>
      </c>
      <c r="H16" s="20">
        <v>8</v>
      </c>
      <c r="I16" s="20"/>
      <c r="J16" s="20"/>
      <c r="K16" s="20">
        <v>8</v>
      </c>
      <c r="L16" s="20">
        <v>8</v>
      </c>
      <c r="M16" s="20"/>
      <c r="N16" s="20">
        <v>8</v>
      </c>
      <c r="O16" s="20">
        <v>8</v>
      </c>
      <c r="P16" s="20"/>
      <c r="Q16" s="20"/>
      <c r="R16" s="20">
        <v>8</v>
      </c>
      <c r="S16" s="20">
        <v>8</v>
      </c>
      <c r="T16" s="20">
        <v>8</v>
      </c>
      <c r="U16" s="20">
        <v>8</v>
      </c>
      <c r="V16" s="20">
        <v>8</v>
      </c>
      <c r="W16" s="20"/>
      <c r="X16" s="20"/>
      <c r="Y16" s="20"/>
      <c r="Z16" s="20">
        <v>8</v>
      </c>
      <c r="AA16" s="20">
        <v>8</v>
      </c>
      <c r="AB16" s="20">
        <v>8</v>
      </c>
      <c r="AC16" s="20">
        <v>8</v>
      </c>
      <c r="AD16" s="20"/>
      <c r="AE16" s="20"/>
      <c r="AF16" s="20"/>
      <c r="AG16" s="20"/>
      <c r="AI16" s="3" t="s">
        <v>28</v>
      </c>
      <c r="AJ16" s="25">
        <f>COUNT(C17:AG17)</f>
        <v>18</v>
      </c>
    </row>
    <row r="17" spans="1:36" outlineLevel="1" x14ac:dyDescent="0.45">
      <c r="A17" s="3" t="s">
        <v>23</v>
      </c>
      <c r="C17" s="3"/>
      <c r="D17" s="3">
        <v>8</v>
      </c>
      <c r="E17" s="3">
        <v>8</v>
      </c>
      <c r="F17" s="3">
        <v>8</v>
      </c>
      <c r="G17" s="3">
        <v>8</v>
      </c>
      <c r="H17" s="3">
        <v>8</v>
      </c>
      <c r="I17" s="3"/>
      <c r="J17" s="3"/>
      <c r="K17" s="3">
        <v>8</v>
      </c>
      <c r="L17" s="3">
        <v>8</v>
      </c>
      <c r="M17" s="3"/>
      <c r="N17" s="3">
        <v>8</v>
      </c>
      <c r="O17" s="3">
        <v>8</v>
      </c>
      <c r="P17" s="3"/>
      <c r="Q17" s="3"/>
      <c r="R17" s="3">
        <v>8</v>
      </c>
      <c r="S17" s="3">
        <v>8</v>
      </c>
      <c r="T17" s="3">
        <v>8</v>
      </c>
      <c r="U17" s="3">
        <v>8</v>
      </c>
      <c r="V17" s="3">
        <v>8</v>
      </c>
      <c r="W17" s="3"/>
      <c r="X17" s="3"/>
      <c r="Y17" s="3"/>
      <c r="Z17" s="3">
        <v>8</v>
      </c>
      <c r="AA17" s="3">
        <v>8</v>
      </c>
      <c r="AB17" s="3">
        <v>8</v>
      </c>
      <c r="AC17" s="3">
        <v>8</v>
      </c>
      <c r="AD17" s="3"/>
      <c r="AE17" s="3"/>
      <c r="AF17" s="3"/>
      <c r="AG17" s="3"/>
      <c r="AI17" s="3" t="s">
        <v>29</v>
      </c>
      <c r="AJ17" s="22" t="str">
        <f>_xlfn.LET(_xlpm.v, SUM(C17:AG17),IF(_xlpm.v = INT(_xlpm.v),TEXT(_xlpm.v, "0") &amp; " h",TEXT(_xlpm.v, "0.###") &amp; " h"))</f>
        <v>144 h</v>
      </c>
    </row>
    <row r="18" spans="1:36" outlineLevel="1" x14ac:dyDescent="0.45">
      <c r="A18" s="3" t="s">
        <v>24</v>
      </c>
      <c r="C18" s="3"/>
      <c r="D18" s="3" t="s">
        <v>33</v>
      </c>
      <c r="E18" s="3" t="s">
        <v>33</v>
      </c>
      <c r="F18" s="3" t="s">
        <v>33</v>
      </c>
      <c r="G18" s="3" t="s">
        <v>33</v>
      </c>
      <c r="H18" s="3" t="s">
        <v>33</v>
      </c>
      <c r="I18" s="3"/>
      <c r="J18" s="3"/>
      <c r="K18" s="3" t="s">
        <v>33</v>
      </c>
      <c r="L18" s="3" t="s">
        <v>33</v>
      </c>
      <c r="M18" s="3"/>
      <c r="N18" s="3" t="s">
        <v>33</v>
      </c>
      <c r="O18" s="3" t="s">
        <v>33</v>
      </c>
      <c r="P18" s="3"/>
      <c r="Q18" s="3"/>
      <c r="R18" s="3" t="s">
        <v>33</v>
      </c>
      <c r="S18" s="3" t="s">
        <v>33</v>
      </c>
      <c r="T18" s="3" t="s">
        <v>33</v>
      </c>
      <c r="U18" s="3" t="s">
        <v>33</v>
      </c>
      <c r="V18" s="3" t="s">
        <v>33</v>
      </c>
      <c r="W18" s="3"/>
      <c r="X18" s="3"/>
      <c r="Y18" s="3"/>
      <c r="Z18" s="3" t="s">
        <v>33</v>
      </c>
      <c r="AA18" s="3" t="s">
        <v>33</v>
      </c>
      <c r="AB18" s="3" t="s">
        <v>33</v>
      </c>
      <c r="AC18" s="3" t="s">
        <v>33</v>
      </c>
      <c r="AD18" s="3"/>
      <c r="AE18" s="3"/>
      <c r="AF18" s="3"/>
      <c r="AG18" s="3"/>
      <c r="AI18" s="3" t="s">
        <v>30</v>
      </c>
      <c r="AJ18" s="25">
        <f>COUNTIF(C18:AG18,"出")</f>
        <v>0</v>
      </c>
    </row>
    <row r="19" spans="1:36" outlineLevel="1" x14ac:dyDescent="0.45">
      <c r="A19" s="3" t="s">
        <v>25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I19" s="3" t="s">
        <v>31</v>
      </c>
      <c r="AJ19" s="25">
        <f>COUNTIF(C18:AG18,"リ")</f>
        <v>18</v>
      </c>
    </row>
    <row r="20" spans="1:36" outlineLevel="1" x14ac:dyDescent="0.45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I20" s="3" t="s">
        <v>32</v>
      </c>
      <c r="AJ20" s="26">
        <f>AJ18/(AJ18+AJ19)</f>
        <v>0</v>
      </c>
    </row>
    <row r="21" spans="1:36" outlineLevel="1" x14ac:dyDescent="0.45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</row>
    <row r="22" spans="1:36" outlineLevel="1" x14ac:dyDescent="0.45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</row>
    <row r="23" spans="1:36" outlineLevel="1" x14ac:dyDescent="0.45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</row>
    <row r="24" spans="1:36" outlineLevel="1" x14ac:dyDescent="0.45"/>
    <row r="25" spans="1:36" x14ac:dyDescent="0.45">
      <c r="C25" s="37">
        <v>46082</v>
      </c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</row>
    <row r="26" spans="1:36" outlineLevel="1" x14ac:dyDescent="0.45">
      <c r="C26" s="3" t="str">
        <f t="shared" ref="C26:AG26" si="4">TEXT(C27,"aaa")</f>
        <v>日</v>
      </c>
      <c r="D26" s="3" t="str">
        <f t="shared" si="4"/>
        <v>月</v>
      </c>
      <c r="E26" s="3" t="str">
        <f t="shared" si="4"/>
        <v>火</v>
      </c>
      <c r="F26" s="3" t="str">
        <f t="shared" si="4"/>
        <v>水</v>
      </c>
      <c r="G26" s="3" t="str">
        <f t="shared" si="4"/>
        <v>木</v>
      </c>
      <c r="H26" s="3" t="str">
        <f t="shared" si="4"/>
        <v>金</v>
      </c>
      <c r="I26" s="3" t="str">
        <f t="shared" si="4"/>
        <v>土</v>
      </c>
      <c r="J26" s="3" t="str">
        <f t="shared" si="4"/>
        <v>日</v>
      </c>
      <c r="K26" s="3" t="str">
        <f t="shared" si="4"/>
        <v>月</v>
      </c>
      <c r="L26" s="3" t="str">
        <f t="shared" si="4"/>
        <v>火</v>
      </c>
      <c r="M26" s="3" t="str">
        <f t="shared" si="4"/>
        <v>水</v>
      </c>
      <c r="N26" s="3" t="str">
        <f t="shared" si="4"/>
        <v>木</v>
      </c>
      <c r="O26" s="3" t="str">
        <f t="shared" si="4"/>
        <v>金</v>
      </c>
      <c r="P26" s="3" t="str">
        <f t="shared" si="4"/>
        <v>土</v>
      </c>
      <c r="Q26" s="3" t="str">
        <f t="shared" si="4"/>
        <v>日</v>
      </c>
      <c r="R26" s="3" t="str">
        <f t="shared" si="4"/>
        <v>月</v>
      </c>
      <c r="S26" s="3" t="str">
        <f t="shared" si="4"/>
        <v>火</v>
      </c>
      <c r="T26" s="3" t="str">
        <f t="shared" si="4"/>
        <v>水</v>
      </c>
      <c r="U26" s="3" t="str">
        <f t="shared" si="4"/>
        <v>木</v>
      </c>
      <c r="V26" s="3" t="str">
        <f t="shared" si="4"/>
        <v>金</v>
      </c>
      <c r="W26" s="3" t="str">
        <f t="shared" si="4"/>
        <v>土</v>
      </c>
      <c r="X26" s="3" t="str">
        <f t="shared" si="4"/>
        <v>日</v>
      </c>
      <c r="Y26" s="3" t="str">
        <f t="shared" si="4"/>
        <v>月</v>
      </c>
      <c r="Z26" s="3" t="str">
        <f t="shared" si="4"/>
        <v>火</v>
      </c>
      <c r="AA26" s="3" t="str">
        <f t="shared" si="4"/>
        <v>水</v>
      </c>
      <c r="AB26" s="3" t="str">
        <f t="shared" si="4"/>
        <v>木</v>
      </c>
      <c r="AC26" s="3" t="str">
        <f t="shared" si="4"/>
        <v>金</v>
      </c>
      <c r="AD26" s="3" t="str">
        <f t="shared" si="4"/>
        <v>土</v>
      </c>
      <c r="AE26" s="3" t="str">
        <f t="shared" si="4"/>
        <v>日</v>
      </c>
      <c r="AF26" s="3" t="str">
        <f t="shared" si="4"/>
        <v>月</v>
      </c>
      <c r="AG26" s="3" t="str">
        <f t="shared" si="4"/>
        <v>火</v>
      </c>
      <c r="AI26" s="20" t="s">
        <v>26</v>
      </c>
      <c r="AJ26" s="24">
        <f>COUNT(C28:AG28)</f>
        <v>21</v>
      </c>
    </row>
    <row r="27" spans="1:36" outlineLevel="1" x14ac:dyDescent="0.45">
      <c r="C27" s="23">
        <f>C25</f>
        <v>46082</v>
      </c>
      <c r="D27" s="23">
        <f t="shared" ref="D27:AG27" si="5">IF(C27="","",IF(C27+1&lt;=EOMONTH($C$25,0),C27+1,""))</f>
        <v>46083</v>
      </c>
      <c r="E27" s="23">
        <f t="shared" si="5"/>
        <v>46084</v>
      </c>
      <c r="F27" s="23">
        <f t="shared" si="5"/>
        <v>46085</v>
      </c>
      <c r="G27" s="23">
        <f t="shared" si="5"/>
        <v>46086</v>
      </c>
      <c r="H27" s="23">
        <f t="shared" si="5"/>
        <v>46087</v>
      </c>
      <c r="I27" s="23">
        <f t="shared" si="5"/>
        <v>46088</v>
      </c>
      <c r="J27" s="23">
        <f t="shared" si="5"/>
        <v>46089</v>
      </c>
      <c r="K27" s="23">
        <f t="shared" si="5"/>
        <v>46090</v>
      </c>
      <c r="L27" s="23">
        <f t="shared" si="5"/>
        <v>46091</v>
      </c>
      <c r="M27" s="23">
        <f t="shared" si="5"/>
        <v>46092</v>
      </c>
      <c r="N27" s="23">
        <f t="shared" si="5"/>
        <v>46093</v>
      </c>
      <c r="O27" s="23">
        <f t="shared" si="5"/>
        <v>46094</v>
      </c>
      <c r="P27" s="23">
        <f t="shared" si="5"/>
        <v>46095</v>
      </c>
      <c r="Q27" s="23">
        <f t="shared" si="5"/>
        <v>46096</v>
      </c>
      <c r="R27" s="23">
        <f t="shared" si="5"/>
        <v>46097</v>
      </c>
      <c r="S27" s="23">
        <f t="shared" si="5"/>
        <v>46098</v>
      </c>
      <c r="T27" s="23">
        <f t="shared" si="5"/>
        <v>46099</v>
      </c>
      <c r="U27" s="23">
        <f t="shared" si="5"/>
        <v>46100</v>
      </c>
      <c r="V27" s="23">
        <f t="shared" si="5"/>
        <v>46101</v>
      </c>
      <c r="W27" s="23">
        <f t="shared" si="5"/>
        <v>46102</v>
      </c>
      <c r="X27" s="23">
        <f t="shared" si="5"/>
        <v>46103</v>
      </c>
      <c r="Y27" s="23">
        <f t="shared" si="5"/>
        <v>46104</v>
      </c>
      <c r="Z27" s="23">
        <f t="shared" si="5"/>
        <v>46105</v>
      </c>
      <c r="AA27" s="23">
        <f t="shared" si="5"/>
        <v>46106</v>
      </c>
      <c r="AB27" s="23">
        <f t="shared" si="5"/>
        <v>46107</v>
      </c>
      <c r="AC27" s="23">
        <f t="shared" si="5"/>
        <v>46108</v>
      </c>
      <c r="AD27" s="23">
        <f t="shared" si="5"/>
        <v>46109</v>
      </c>
      <c r="AE27" s="23">
        <f t="shared" si="5"/>
        <v>46110</v>
      </c>
      <c r="AF27" s="23">
        <f t="shared" si="5"/>
        <v>46111</v>
      </c>
      <c r="AG27" s="23">
        <f t="shared" si="5"/>
        <v>46112</v>
      </c>
      <c r="AI27" s="20" t="s">
        <v>27</v>
      </c>
      <c r="AJ27" s="21" t="str">
        <f>_xlfn.LET(_xlpm.v, SUM(C28:AG28),IF(_xlpm.v = INT(_xlpm.v),TEXT(_xlpm.v, "0") &amp; " h",TEXT(_xlpm.v, "0.###") &amp; " h"))</f>
        <v>168 h</v>
      </c>
    </row>
    <row r="28" spans="1:36" outlineLevel="1" x14ac:dyDescent="0.45">
      <c r="A28" s="20" t="s">
        <v>22</v>
      </c>
      <c r="C28" s="20"/>
      <c r="D28" s="20">
        <v>8</v>
      </c>
      <c r="E28" s="20">
        <v>8</v>
      </c>
      <c r="F28" s="20">
        <v>8</v>
      </c>
      <c r="G28" s="20">
        <v>8</v>
      </c>
      <c r="H28" s="20">
        <v>8</v>
      </c>
      <c r="I28" s="20"/>
      <c r="J28" s="20"/>
      <c r="K28" s="20">
        <v>8</v>
      </c>
      <c r="L28" s="20">
        <v>8</v>
      </c>
      <c r="M28" s="20">
        <v>8</v>
      </c>
      <c r="N28" s="20">
        <v>8</v>
      </c>
      <c r="O28" s="20">
        <v>8</v>
      </c>
      <c r="P28" s="20"/>
      <c r="Q28" s="20"/>
      <c r="R28" s="20">
        <v>8</v>
      </c>
      <c r="S28" s="20">
        <v>8</v>
      </c>
      <c r="T28" s="20">
        <v>8</v>
      </c>
      <c r="U28" s="20">
        <v>8</v>
      </c>
      <c r="V28" s="20"/>
      <c r="W28" s="20"/>
      <c r="X28" s="20"/>
      <c r="Y28" s="20">
        <v>8</v>
      </c>
      <c r="Z28" s="20">
        <v>8</v>
      </c>
      <c r="AA28" s="20">
        <v>8</v>
      </c>
      <c r="AB28" s="20">
        <v>8</v>
      </c>
      <c r="AC28" s="20">
        <v>8</v>
      </c>
      <c r="AD28" s="20"/>
      <c r="AE28" s="20"/>
      <c r="AF28" s="20">
        <v>8</v>
      </c>
      <c r="AG28" s="20">
        <v>8</v>
      </c>
      <c r="AI28" s="3" t="s">
        <v>28</v>
      </c>
      <c r="AJ28" s="25">
        <f>COUNT(C29:AG29)</f>
        <v>21</v>
      </c>
    </row>
    <row r="29" spans="1:36" outlineLevel="1" x14ac:dyDescent="0.45">
      <c r="A29" s="3" t="s">
        <v>23</v>
      </c>
      <c r="C29" s="3"/>
      <c r="D29" s="3">
        <v>8</v>
      </c>
      <c r="E29" s="3">
        <v>8</v>
      </c>
      <c r="F29" s="3">
        <v>8</v>
      </c>
      <c r="G29" s="3">
        <v>8</v>
      </c>
      <c r="H29" s="3">
        <v>8</v>
      </c>
      <c r="I29" s="3"/>
      <c r="J29" s="3"/>
      <c r="K29" s="3">
        <v>8</v>
      </c>
      <c r="L29" s="3">
        <v>8</v>
      </c>
      <c r="M29" s="3">
        <v>8</v>
      </c>
      <c r="N29" s="3">
        <v>8</v>
      </c>
      <c r="O29" s="3">
        <v>8</v>
      </c>
      <c r="P29" s="3"/>
      <c r="Q29" s="3"/>
      <c r="R29" s="3">
        <v>8</v>
      </c>
      <c r="S29" s="3">
        <v>8</v>
      </c>
      <c r="T29" s="3">
        <v>8</v>
      </c>
      <c r="U29" s="3">
        <v>8</v>
      </c>
      <c r="V29" s="3"/>
      <c r="W29" s="3"/>
      <c r="X29" s="3"/>
      <c r="Y29" s="3">
        <v>8</v>
      </c>
      <c r="Z29" s="3">
        <v>8</v>
      </c>
      <c r="AA29" s="3">
        <v>8</v>
      </c>
      <c r="AB29" s="3">
        <v>8</v>
      </c>
      <c r="AC29" s="3">
        <v>8</v>
      </c>
      <c r="AD29" s="3"/>
      <c r="AE29" s="3"/>
      <c r="AF29" s="3">
        <v>8</v>
      </c>
      <c r="AG29" s="3">
        <v>8</v>
      </c>
      <c r="AI29" s="3" t="s">
        <v>29</v>
      </c>
      <c r="AJ29" s="22" t="str">
        <f>_xlfn.LET(_xlpm.v, SUM(C29:AG29),IF(_xlpm.v = INT(_xlpm.v),TEXT(_xlpm.v, "0") &amp; " h",TEXT(_xlpm.v, "0.###") &amp; " h"))</f>
        <v>168 h</v>
      </c>
    </row>
    <row r="30" spans="1:36" outlineLevel="1" x14ac:dyDescent="0.45">
      <c r="A30" s="3" t="s">
        <v>24</v>
      </c>
      <c r="C30" s="3"/>
      <c r="D30" s="3" t="s">
        <v>33</v>
      </c>
      <c r="E30" s="3" t="s">
        <v>33</v>
      </c>
      <c r="F30" s="3" t="s">
        <v>33</v>
      </c>
      <c r="G30" s="3" t="s">
        <v>33</v>
      </c>
      <c r="H30" s="3" t="s">
        <v>33</v>
      </c>
      <c r="I30" s="3"/>
      <c r="J30" s="3"/>
      <c r="K30" s="3" t="s">
        <v>33</v>
      </c>
      <c r="L30" s="3" t="s">
        <v>33</v>
      </c>
      <c r="M30" s="3" t="s">
        <v>33</v>
      </c>
      <c r="N30" s="3" t="s">
        <v>33</v>
      </c>
      <c r="O30" s="3" t="s">
        <v>33</v>
      </c>
      <c r="P30" s="3"/>
      <c r="Q30" s="3"/>
      <c r="R30" s="3" t="s">
        <v>33</v>
      </c>
      <c r="S30" s="3" t="s">
        <v>33</v>
      </c>
      <c r="T30" s="3" t="s">
        <v>33</v>
      </c>
      <c r="U30" s="3" t="s">
        <v>33</v>
      </c>
      <c r="V30" s="3"/>
      <c r="W30" s="3"/>
      <c r="X30" s="3"/>
      <c r="Y30" s="3" t="s">
        <v>33</v>
      </c>
      <c r="Z30" s="3" t="s">
        <v>33</v>
      </c>
      <c r="AA30" s="3" t="s">
        <v>33</v>
      </c>
      <c r="AB30" s="3" t="s">
        <v>33</v>
      </c>
      <c r="AC30" s="3" t="s">
        <v>33</v>
      </c>
      <c r="AD30" s="3"/>
      <c r="AE30" s="3"/>
      <c r="AF30" s="3" t="s">
        <v>33</v>
      </c>
      <c r="AG30" s="3" t="s">
        <v>33</v>
      </c>
      <c r="AI30" s="3" t="s">
        <v>30</v>
      </c>
      <c r="AJ30" s="25">
        <f>COUNTIF(C30:AG30,"出")</f>
        <v>0</v>
      </c>
    </row>
    <row r="31" spans="1:36" outlineLevel="1" x14ac:dyDescent="0.45">
      <c r="A31" s="3" t="s">
        <v>25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I31" s="3" t="s">
        <v>31</v>
      </c>
      <c r="AJ31" s="25">
        <f>COUNTIF(C30:AG30,"リ")</f>
        <v>21</v>
      </c>
    </row>
    <row r="32" spans="1:36" outlineLevel="1" x14ac:dyDescent="0.45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I32" s="3" t="s">
        <v>32</v>
      </c>
      <c r="AJ32" s="26">
        <f>AJ30/(AJ30+AJ31)</f>
        <v>0</v>
      </c>
    </row>
    <row r="33" spans="1:36" outlineLevel="1" x14ac:dyDescent="0.45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</row>
    <row r="34" spans="1:36" outlineLevel="1" x14ac:dyDescent="0.45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</row>
    <row r="35" spans="1:36" outlineLevel="1" x14ac:dyDescent="0.45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</row>
    <row r="36" spans="1:36" outlineLevel="1" x14ac:dyDescent="0.45"/>
    <row r="37" spans="1:36" x14ac:dyDescent="0.45">
      <c r="C37" s="37">
        <v>46113</v>
      </c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</row>
    <row r="38" spans="1:36" outlineLevel="1" x14ac:dyDescent="0.45">
      <c r="C38" s="3" t="str">
        <f t="shared" ref="C38:AG38" si="6">TEXT(C39,"aaa")</f>
        <v>水</v>
      </c>
      <c r="D38" s="3" t="str">
        <f t="shared" si="6"/>
        <v>木</v>
      </c>
      <c r="E38" s="3" t="str">
        <f t="shared" si="6"/>
        <v>金</v>
      </c>
      <c r="F38" s="3" t="str">
        <f t="shared" si="6"/>
        <v>土</v>
      </c>
      <c r="G38" s="3" t="str">
        <f t="shared" si="6"/>
        <v>日</v>
      </c>
      <c r="H38" s="3" t="str">
        <f t="shared" si="6"/>
        <v>月</v>
      </c>
      <c r="I38" s="3" t="str">
        <f t="shared" si="6"/>
        <v>火</v>
      </c>
      <c r="J38" s="3" t="str">
        <f t="shared" si="6"/>
        <v>水</v>
      </c>
      <c r="K38" s="3" t="str">
        <f t="shared" si="6"/>
        <v>木</v>
      </c>
      <c r="L38" s="3" t="str">
        <f t="shared" si="6"/>
        <v>金</v>
      </c>
      <c r="M38" s="3" t="str">
        <f t="shared" si="6"/>
        <v>土</v>
      </c>
      <c r="N38" s="3" t="str">
        <f t="shared" si="6"/>
        <v>日</v>
      </c>
      <c r="O38" s="3" t="str">
        <f t="shared" si="6"/>
        <v>月</v>
      </c>
      <c r="P38" s="3" t="str">
        <f t="shared" si="6"/>
        <v>火</v>
      </c>
      <c r="Q38" s="3" t="str">
        <f t="shared" si="6"/>
        <v>水</v>
      </c>
      <c r="R38" s="3" t="str">
        <f t="shared" si="6"/>
        <v>木</v>
      </c>
      <c r="S38" s="3" t="str">
        <f t="shared" si="6"/>
        <v>金</v>
      </c>
      <c r="T38" s="3" t="str">
        <f t="shared" si="6"/>
        <v>土</v>
      </c>
      <c r="U38" s="3" t="str">
        <f t="shared" si="6"/>
        <v>日</v>
      </c>
      <c r="V38" s="3" t="str">
        <f t="shared" si="6"/>
        <v>月</v>
      </c>
      <c r="W38" s="3" t="str">
        <f t="shared" si="6"/>
        <v>火</v>
      </c>
      <c r="X38" s="3" t="str">
        <f t="shared" si="6"/>
        <v>水</v>
      </c>
      <c r="Y38" s="3" t="str">
        <f t="shared" si="6"/>
        <v>木</v>
      </c>
      <c r="Z38" s="3" t="str">
        <f t="shared" si="6"/>
        <v>金</v>
      </c>
      <c r="AA38" s="3" t="str">
        <f t="shared" si="6"/>
        <v>土</v>
      </c>
      <c r="AB38" s="3" t="str">
        <f t="shared" si="6"/>
        <v>日</v>
      </c>
      <c r="AC38" s="3" t="str">
        <f t="shared" si="6"/>
        <v>月</v>
      </c>
      <c r="AD38" s="3" t="str">
        <f t="shared" si="6"/>
        <v>火</v>
      </c>
      <c r="AE38" s="3" t="str">
        <f t="shared" si="6"/>
        <v>水</v>
      </c>
      <c r="AF38" s="3" t="str">
        <f t="shared" si="6"/>
        <v>木</v>
      </c>
      <c r="AG38" s="3" t="str">
        <f t="shared" si="6"/>
        <v/>
      </c>
      <c r="AI38" s="20" t="s">
        <v>26</v>
      </c>
      <c r="AJ38" s="24">
        <f>COUNT(C40:AG40)</f>
        <v>21</v>
      </c>
    </row>
    <row r="39" spans="1:36" outlineLevel="1" x14ac:dyDescent="0.45">
      <c r="C39" s="23">
        <f>C37</f>
        <v>46113</v>
      </c>
      <c r="D39" s="23">
        <f t="shared" ref="D39:AG39" si="7">IF(C39="","",IF(C39+1&lt;=EOMONTH($C$37,0),C39+1,""))</f>
        <v>46114</v>
      </c>
      <c r="E39" s="23">
        <f t="shared" si="7"/>
        <v>46115</v>
      </c>
      <c r="F39" s="23">
        <f t="shared" si="7"/>
        <v>46116</v>
      </c>
      <c r="G39" s="23">
        <f t="shared" si="7"/>
        <v>46117</v>
      </c>
      <c r="H39" s="23">
        <f t="shared" si="7"/>
        <v>46118</v>
      </c>
      <c r="I39" s="23">
        <f t="shared" si="7"/>
        <v>46119</v>
      </c>
      <c r="J39" s="23">
        <f t="shared" si="7"/>
        <v>46120</v>
      </c>
      <c r="K39" s="23">
        <f t="shared" si="7"/>
        <v>46121</v>
      </c>
      <c r="L39" s="23">
        <f t="shared" si="7"/>
        <v>46122</v>
      </c>
      <c r="M39" s="23">
        <f t="shared" si="7"/>
        <v>46123</v>
      </c>
      <c r="N39" s="23">
        <f t="shared" si="7"/>
        <v>46124</v>
      </c>
      <c r="O39" s="23">
        <f t="shared" si="7"/>
        <v>46125</v>
      </c>
      <c r="P39" s="23">
        <f t="shared" si="7"/>
        <v>46126</v>
      </c>
      <c r="Q39" s="23">
        <f t="shared" si="7"/>
        <v>46127</v>
      </c>
      <c r="R39" s="23">
        <f t="shared" si="7"/>
        <v>46128</v>
      </c>
      <c r="S39" s="23">
        <f t="shared" si="7"/>
        <v>46129</v>
      </c>
      <c r="T39" s="23">
        <f t="shared" si="7"/>
        <v>46130</v>
      </c>
      <c r="U39" s="23">
        <f t="shared" si="7"/>
        <v>46131</v>
      </c>
      <c r="V39" s="23">
        <f t="shared" si="7"/>
        <v>46132</v>
      </c>
      <c r="W39" s="23">
        <f t="shared" si="7"/>
        <v>46133</v>
      </c>
      <c r="X39" s="23">
        <f t="shared" si="7"/>
        <v>46134</v>
      </c>
      <c r="Y39" s="23">
        <f t="shared" si="7"/>
        <v>46135</v>
      </c>
      <c r="Z39" s="23">
        <f t="shared" si="7"/>
        <v>46136</v>
      </c>
      <c r="AA39" s="23">
        <f t="shared" si="7"/>
        <v>46137</v>
      </c>
      <c r="AB39" s="23">
        <f t="shared" si="7"/>
        <v>46138</v>
      </c>
      <c r="AC39" s="23">
        <f t="shared" si="7"/>
        <v>46139</v>
      </c>
      <c r="AD39" s="23">
        <f t="shared" si="7"/>
        <v>46140</v>
      </c>
      <c r="AE39" s="23">
        <f t="shared" si="7"/>
        <v>46141</v>
      </c>
      <c r="AF39" s="23">
        <f t="shared" si="7"/>
        <v>46142</v>
      </c>
      <c r="AG39" s="23" t="str">
        <f t="shared" si="7"/>
        <v/>
      </c>
      <c r="AI39" s="20" t="s">
        <v>27</v>
      </c>
      <c r="AJ39" s="21" t="str">
        <f>_xlfn.LET(_xlpm.v, SUM(C40:AG40),IF(_xlpm.v = INT(_xlpm.v),TEXT(_xlpm.v, "0") &amp; " h",TEXT(_xlpm.v, "0.###") &amp; " h"))</f>
        <v>168 h</v>
      </c>
    </row>
    <row r="40" spans="1:36" outlineLevel="1" x14ac:dyDescent="0.45">
      <c r="A40" s="20" t="s">
        <v>22</v>
      </c>
      <c r="C40" s="20">
        <v>8</v>
      </c>
      <c r="D40" s="20">
        <v>8</v>
      </c>
      <c r="E40" s="20">
        <v>8</v>
      </c>
      <c r="F40" s="20"/>
      <c r="G40" s="20"/>
      <c r="H40" s="20">
        <v>8</v>
      </c>
      <c r="I40" s="20">
        <v>8</v>
      </c>
      <c r="J40" s="20">
        <v>8</v>
      </c>
      <c r="K40" s="20">
        <v>8</v>
      </c>
      <c r="L40" s="20">
        <v>8</v>
      </c>
      <c r="M40" s="20"/>
      <c r="N40" s="20"/>
      <c r="O40" s="20">
        <v>8</v>
      </c>
      <c r="P40" s="20">
        <v>8</v>
      </c>
      <c r="Q40" s="20">
        <v>8</v>
      </c>
      <c r="R40" s="20">
        <v>8</v>
      </c>
      <c r="S40" s="20">
        <v>8</v>
      </c>
      <c r="T40" s="20"/>
      <c r="U40" s="20"/>
      <c r="V40" s="20">
        <v>8</v>
      </c>
      <c r="W40" s="20">
        <v>8</v>
      </c>
      <c r="X40" s="20">
        <v>8</v>
      </c>
      <c r="Y40" s="20">
        <v>8</v>
      </c>
      <c r="Z40" s="20">
        <v>8</v>
      </c>
      <c r="AA40" s="20"/>
      <c r="AB40" s="20"/>
      <c r="AC40" s="20">
        <v>8</v>
      </c>
      <c r="AD40" s="20">
        <v>8</v>
      </c>
      <c r="AE40" s="20"/>
      <c r="AF40" s="20">
        <v>8</v>
      </c>
      <c r="AG40" s="20"/>
      <c r="AI40" s="3" t="s">
        <v>28</v>
      </c>
      <c r="AJ40" s="25">
        <f>COUNT(C41:AG41)</f>
        <v>21</v>
      </c>
    </row>
    <row r="41" spans="1:36" outlineLevel="1" x14ac:dyDescent="0.45">
      <c r="A41" s="3" t="s">
        <v>23</v>
      </c>
      <c r="C41" s="3">
        <v>8</v>
      </c>
      <c r="D41" s="3">
        <v>8</v>
      </c>
      <c r="E41" s="3">
        <v>8</v>
      </c>
      <c r="F41" s="3"/>
      <c r="G41" s="3"/>
      <c r="H41" s="3">
        <v>8</v>
      </c>
      <c r="I41" s="3">
        <v>8</v>
      </c>
      <c r="J41" s="3">
        <v>8</v>
      </c>
      <c r="K41" s="3">
        <v>8</v>
      </c>
      <c r="L41" s="3">
        <v>8</v>
      </c>
      <c r="M41" s="3"/>
      <c r="N41" s="3"/>
      <c r="O41" s="3">
        <v>8</v>
      </c>
      <c r="P41" s="3">
        <v>8</v>
      </c>
      <c r="Q41" s="3">
        <v>8</v>
      </c>
      <c r="R41" s="3">
        <v>8</v>
      </c>
      <c r="S41" s="3">
        <v>8</v>
      </c>
      <c r="T41" s="3"/>
      <c r="U41" s="3"/>
      <c r="V41" s="3">
        <v>8</v>
      </c>
      <c r="W41" s="3">
        <v>8</v>
      </c>
      <c r="X41" s="3">
        <v>8</v>
      </c>
      <c r="Y41" s="3">
        <v>8</v>
      </c>
      <c r="Z41" s="3">
        <v>8</v>
      </c>
      <c r="AA41" s="3"/>
      <c r="AB41" s="3"/>
      <c r="AC41" s="3">
        <v>8</v>
      </c>
      <c r="AD41" s="3">
        <v>8</v>
      </c>
      <c r="AE41" s="3"/>
      <c r="AF41" s="3">
        <v>8</v>
      </c>
      <c r="AG41" s="3"/>
      <c r="AI41" s="3" t="s">
        <v>29</v>
      </c>
      <c r="AJ41" s="22" t="str">
        <f>_xlfn.LET(_xlpm.v, SUM(C41:AG41),IF(_xlpm.v = INT(_xlpm.v),TEXT(_xlpm.v, "0") &amp; " h",TEXT(_xlpm.v, "0.###") &amp; " h"))</f>
        <v>168 h</v>
      </c>
    </row>
    <row r="42" spans="1:36" outlineLevel="1" x14ac:dyDescent="0.45">
      <c r="A42" s="3" t="s">
        <v>24</v>
      </c>
      <c r="C42" s="3" t="s">
        <v>33</v>
      </c>
      <c r="D42" s="3" t="s">
        <v>33</v>
      </c>
      <c r="E42" s="3" t="s">
        <v>33</v>
      </c>
      <c r="F42" s="3"/>
      <c r="G42" s="3"/>
      <c r="H42" s="3" t="s">
        <v>33</v>
      </c>
      <c r="I42" s="3" t="s">
        <v>33</v>
      </c>
      <c r="J42" s="3" t="s">
        <v>33</v>
      </c>
      <c r="K42" s="3" t="s">
        <v>33</v>
      </c>
      <c r="L42" s="3" t="s">
        <v>33</v>
      </c>
      <c r="M42" s="3"/>
      <c r="N42" s="3"/>
      <c r="O42" s="3" t="s">
        <v>33</v>
      </c>
      <c r="P42" s="3" t="s">
        <v>33</v>
      </c>
      <c r="Q42" s="3" t="s">
        <v>33</v>
      </c>
      <c r="R42" s="3" t="s">
        <v>33</v>
      </c>
      <c r="S42" s="3" t="s">
        <v>33</v>
      </c>
      <c r="T42" s="3"/>
      <c r="U42" s="3"/>
      <c r="V42" s="3" t="s">
        <v>33</v>
      </c>
      <c r="W42" s="3" t="s">
        <v>33</v>
      </c>
      <c r="X42" s="3" t="s">
        <v>33</v>
      </c>
      <c r="Y42" s="3" t="s">
        <v>33</v>
      </c>
      <c r="Z42" s="3" t="s">
        <v>33</v>
      </c>
      <c r="AA42" s="3"/>
      <c r="AB42" s="3"/>
      <c r="AC42" s="3" t="s">
        <v>33</v>
      </c>
      <c r="AD42" s="3" t="s">
        <v>33</v>
      </c>
      <c r="AE42" s="3"/>
      <c r="AF42" s="3" t="s">
        <v>33</v>
      </c>
      <c r="AG42" s="3"/>
      <c r="AI42" s="3" t="s">
        <v>30</v>
      </c>
      <c r="AJ42" s="25">
        <f>COUNTIF(C42:AG42,"出")</f>
        <v>0</v>
      </c>
    </row>
    <row r="43" spans="1:36" outlineLevel="1" x14ac:dyDescent="0.45">
      <c r="A43" s="3" t="s">
        <v>25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I43" s="3" t="s">
        <v>31</v>
      </c>
      <c r="AJ43" s="25">
        <f>COUNTIF(C42:AG42,"リ")</f>
        <v>21</v>
      </c>
    </row>
    <row r="44" spans="1:36" outlineLevel="1" x14ac:dyDescent="0.45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I44" s="3" t="s">
        <v>32</v>
      </c>
      <c r="AJ44" s="26">
        <f>AJ42/(AJ42+AJ43)</f>
        <v>0</v>
      </c>
    </row>
    <row r="45" spans="1:36" outlineLevel="1" x14ac:dyDescent="0.45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</row>
    <row r="46" spans="1:36" outlineLevel="1" x14ac:dyDescent="0.45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</row>
    <row r="47" spans="1:36" outlineLevel="1" x14ac:dyDescent="0.45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</row>
    <row r="48" spans="1:36" outlineLevel="1" x14ac:dyDescent="0.45"/>
    <row r="49" spans="1:36" x14ac:dyDescent="0.45">
      <c r="C49" s="37">
        <v>46143</v>
      </c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</row>
    <row r="50" spans="1:36" outlineLevel="1" x14ac:dyDescent="0.45">
      <c r="C50" s="3" t="str">
        <f t="shared" ref="C50:AG50" si="8">TEXT(C51,"aaa")</f>
        <v>金</v>
      </c>
      <c r="D50" s="3" t="str">
        <f t="shared" si="8"/>
        <v>土</v>
      </c>
      <c r="E50" s="3" t="str">
        <f t="shared" si="8"/>
        <v>日</v>
      </c>
      <c r="F50" s="3" t="str">
        <f t="shared" si="8"/>
        <v>月</v>
      </c>
      <c r="G50" s="3" t="str">
        <f t="shared" si="8"/>
        <v>火</v>
      </c>
      <c r="H50" s="3" t="str">
        <f t="shared" si="8"/>
        <v>水</v>
      </c>
      <c r="I50" s="3" t="str">
        <f t="shared" si="8"/>
        <v>木</v>
      </c>
      <c r="J50" s="3" t="str">
        <f t="shared" si="8"/>
        <v>金</v>
      </c>
      <c r="K50" s="3" t="str">
        <f t="shared" si="8"/>
        <v>土</v>
      </c>
      <c r="L50" s="3" t="str">
        <f t="shared" si="8"/>
        <v>日</v>
      </c>
      <c r="M50" s="3" t="str">
        <f t="shared" si="8"/>
        <v>月</v>
      </c>
      <c r="N50" s="3" t="str">
        <f t="shared" si="8"/>
        <v>火</v>
      </c>
      <c r="O50" s="3" t="str">
        <f t="shared" si="8"/>
        <v>水</v>
      </c>
      <c r="P50" s="3" t="str">
        <f t="shared" si="8"/>
        <v>木</v>
      </c>
      <c r="Q50" s="3" t="str">
        <f t="shared" si="8"/>
        <v>金</v>
      </c>
      <c r="R50" s="3" t="str">
        <f t="shared" si="8"/>
        <v>土</v>
      </c>
      <c r="S50" s="3" t="str">
        <f t="shared" si="8"/>
        <v>日</v>
      </c>
      <c r="T50" s="3" t="str">
        <f t="shared" si="8"/>
        <v>月</v>
      </c>
      <c r="U50" s="3" t="str">
        <f t="shared" si="8"/>
        <v>火</v>
      </c>
      <c r="V50" s="3" t="str">
        <f t="shared" si="8"/>
        <v>水</v>
      </c>
      <c r="W50" s="3" t="str">
        <f t="shared" si="8"/>
        <v>木</v>
      </c>
      <c r="X50" s="3" t="str">
        <f t="shared" si="8"/>
        <v>金</v>
      </c>
      <c r="Y50" s="3" t="str">
        <f t="shared" si="8"/>
        <v>土</v>
      </c>
      <c r="Z50" s="3" t="str">
        <f t="shared" si="8"/>
        <v>日</v>
      </c>
      <c r="AA50" s="3" t="str">
        <f t="shared" si="8"/>
        <v>月</v>
      </c>
      <c r="AB50" s="3" t="str">
        <f t="shared" si="8"/>
        <v>火</v>
      </c>
      <c r="AC50" s="3" t="str">
        <f t="shared" si="8"/>
        <v>水</v>
      </c>
      <c r="AD50" s="3" t="str">
        <f t="shared" si="8"/>
        <v>木</v>
      </c>
      <c r="AE50" s="3" t="str">
        <f t="shared" si="8"/>
        <v>金</v>
      </c>
      <c r="AF50" s="3" t="str">
        <f t="shared" si="8"/>
        <v>土</v>
      </c>
      <c r="AG50" s="3" t="str">
        <f t="shared" si="8"/>
        <v>日</v>
      </c>
      <c r="AI50" s="20" t="s">
        <v>26</v>
      </c>
      <c r="AJ50" s="24">
        <f>COUNT(C52:AG52)</f>
        <v>18</v>
      </c>
    </row>
    <row r="51" spans="1:36" outlineLevel="1" x14ac:dyDescent="0.45">
      <c r="C51" s="23">
        <f>C49</f>
        <v>46143</v>
      </c>
      <c r="D51" s="23">
        <f t="shared" ref="D51:AG51" si="9">IF(C51="","",IF(C51+1&lt;=EOMONTH($C$49,0),C51+1,""))</f>
        <v>46144</v>
      </c>
      <c r="E51" s="23">
        <f t="shared" si="9"/>
        <v>46145</v>
      </c>
      <c r="F51" s="23">
        <f t="shared" si="9"/>
        <v>46146</v>
      </c>
      <c r="G51" s="23">
        <f t="shared" si="9"/>
        <v>46147</v>
      </c>
      <c r="H51" s="23">
        <f t="shared" si="9"/>
        <v>46148</v>
      </c>
      <c r="I51" s="23">
        <f t="shared" si="9"/>
        <v>46149</v>
      </c>
      <c r="J51" s="23">
        <f t="shared" si="9"/>
        <v>46150</v>
      </c>
      <c r="K51" s="23">
        <f t="shared" si="9"/>
        <v>46151</v>
      </c>
      <c r="L51" s="23">
        <f t="shared" si="9"/>
        <v>46152</v>
      </c>
      <c r="M51" s="23">
        <f t="shared" si="9"/>
        <v>46153</v>
      </c>
      <c r="N51" s="23">
        <f t="shared" si="9"/>
        <v>46154</v>
      </c>
      <c r="O51" s="23">
        <f t="shared" si="9"/>
        <v>46155</v>
      </c>
      <c r="P51" s="23">
        <f t="shared" si="9"/>
        <v>46156</v>
      </c>
      <c r="Q51" s="23">
        <f t="shared" si="9"/>
        <v>46157</v>
      </c>
      <c r="R51" s="23">
        <f t="shared" si="9"/>
        <v>46158</v>
      </c>
      <c r="S51" s="23">
        <f t="shared" si="9"/>
        <v>46159</v>
      </c>
      <c r="T51" s="23">
        <f t="shared" si="9"/>
        <v>46160</v>
      </c>
      <c r="U51" s="23">
        <f t="shared" si="9"/>
        <v>46161</v>
      </c>
      <c r="V51" s="23">
        <f t="shared" si="9"/>
        <v>46162</v>
      </c>
      <c r="W51" s="23">
        <f t="shared" si="9"/>
        <v>46163</v>
      </c>
      <c r="X51" s="23">
        <f t="shared" si="9"/>
        <v>46164</v>
      </c>
      <c r="Y51" s="23">
        <f t="shared" si="9"/>
        <v>46165</v>
      </c>
      <c r="Z51" s="23">
        <f t="shared" si="9"/>
        <v>46166</v>
      </c>
      <c r="AA51" s="23">
        <f t="shared" si="9"/>
        <v>46167</v>
      </c>
      <c r="AB51" s="23">
        <f t="shared" si="9"/>
        <v>46168</v>
      </c>
      <c r="AC51" s="23">
        <f t="shared" si="9"/>
        <v>46169</v>
      </c>
      <c r="AD51" s="23">
        <f t="shared" si="9"/>
        <v>46170</v>
      </c>
      <c r="AE51" s="23">
        <f t="shared" si="9"/>
        <v>46171</v>
      </c>
      <c r="AF51" s="23">
        <f t="shared" si="9"/>
        <v>46172</v>
      </c>
      <c r="AG51" s="23">
        <f t="shared" si="9"/>
        <v>46173</v>
      </c>
      <c r="AI51" s="20" t="s">
        <v>27</v>
      </c>
      <c r="AJ51" s="21" t="str">
        <f>_xlfn.LET(_xlpm.v, SUM(C52:AG52),IF(_xlpm.v = INT(_xlpm.v),TEXT(_xlpm.v, "0") &amp; " h",TEXT(_xlpm.v, "0.###") &amp; " h"))</f>
        <v>144 h</v>
      </c>
    </row>
    <row r="52" spans="1:36" outlineLevel="1" x14ac:dyDescent="0.45">
      <c r="A52" s="20" t="s">
        <v>22</v>
      </c>
      <c r="C52" s="20">
        <v>8</v>
      </c>
      <c r="D52" s="20"/>
      <c r="E52" s="20"/>
      <c r="F52" s="20"/>
      <c r="G52" s="20"/>
      <c r="H52" s="20"/>
      <c r="I52" s="20">
        <v>8</v>
      </c>
      <c r="J52" s="20">
        <v>8</v>
      </c>
      <c r="K52" s="20"/>
      <c r="L52" s="20"/>
      <c r="M52" s="20">
        <v>8</v>
      </c>
      <c r="N52" s="20">
        <v>8</v>
      </c>
      <c r="O52" s="20">
        <v>8</v>
      </c>
      <c r="P52" s="20">
        <v>8</v>
      </c>
      <c r="Q52" s="20">
        <v>8</v>
      </c>
      <c r="R52" s="20"/>
      <c r="S52" s="20"/>
      <c r="T52" s="20">
        <v>8</v>
      </c>
      <c r="U52" s="20">
        <v>8</v>
      </c>
      <c r="V52" s="20">
        <v>8</v>
      </c>
      <c r="W52" s="20">
        <v>8</v>
      </c>
      <c r="X52" s="20">
        <v>8</v>
      </c>
      <c r="Y52" s="20"/>
      <c r="Z52" s="20"/>
      <c r="AA52" s="20">
        <v>8</v>
      </c>
      <c r="AB52" s="20">
        <v>8</v>
      </c>
      <c r="AC52" s="20">
        <v>8</v>
      </c>
      <c r="AD52" s="20">
        <v>8</v>
      </c>
      <c r="AE52" s="20">
        <v>8</v>
      </c>
      <c r="AF52" s="20"/>
      <c r="AG52" s="20"/>
      <c r="AI52" s="3" t="s">
        <v>28</v>
      </c>
      <c r="AJ52" s="25">
        <f>COUNT(C53:AG53)</f>
        <v>18</v>
      </c>
    </row>
    <row r="53" spans="1:36" outlineLevel="1" x14ac:dyDescent="0.45">
      <c r="A53" s="3" t="s">
        <v>23</v>
      </c>
      <c r="C53" s="3">
        <v>8</v>
      </c>
      <c r="D53" s="3"/>
      <c r="E53" s="3"/>
      <c r="F53" s="3"/>
      <c r="G53" s="3"/>
      <c r="H53" s="3"/>
      <c r="I53" s="3">
        <v>8</v>
      </c>
      <c r="J53" s="3">
        <v>8</v>
      </c>
      <c r="K53" s="3"/>
      <c r="L53" s="3"/>
      <c r="M53" s="3">
        <v>8</v>
      </c>
      <c r="N53" s="3">
        <v>8</v>
      </c>
      <c r="O53" s="3">
        <v>8</v>
      </c>
      <c r="P53" s="3">
        <v>8</v>
      </c>
      <c r="Q53" s="3">
        <v>8</v>
      </c>
      <c r="R53" s="3"/>
      <c r="S53" s="3"/>
      <c r="T53" s="3">
        <v>8</v>
      </c>
      <c r="U53" s="3">
        <v>8</v>
      </c>
      <c r="V53" s="3">
        <v>8</v>
      </c>
      <c r="W53" s="3">
        <v>8</v>
      </c>
      <c r="X53" s="3">
        <v>8</v>
      </c>
      <c r="Y53" s="3"/>
      <c r="Z53" s="3"/>
      <c r="AA53" s="3">
        <v>8</v>
      </c>
      <c r="AB53" s="3">
        <v>8</v>
      </c>
      <c r="AC53" s="3">
        <v>8</v>
      </c>
      <c r="AD53" s="3">
        <v>8</v>
      </c>
      <c r="AE53" s="3">
        <v>8</v>
      </c>
      <c r="AF53" s="3"/>
      <c r="AG53" s="3"/>
      <c r="AI53" s="3" t="s">
        <v>29</v>
      </c>
      <c r="AJ53" s="22" t="str">
        <f>_xlfn.LET(_xlpm.v, SUM(C53:AG53),IF(_xlpm.v = INT(_xlpm.v),TEXT(_xlpm.v, "0") &amp; " h",TEXT(_xlpm.v, "0.###") &amp; " h"))</f>
        <v>144 h</v>
      </c>
    </row>
    <row r="54" spans="1:36" outlineLevel="1" x14ac:dyDescent="0.45">
      <c r="A54" s="3" t="s">
        <v>24</v>
      </c>
      <c r="C54" s="3" t="s">
        <v>33</v>
      </c>
      <c r="D54" s="3"/>
      <c r="E54" s="3"/>
      <c r="F54" s="3"/>
      <c r="G54" s="3"/>
      <c r="H54" s="3"/>
      <c r="I54" s="3" t="s">
        <v>33</v>
      </c>
      <c r="J54" s="3" t="s">
        <v>33</v>
      </c>
      <c r="K54" s="3"/>
      <c r="L54" s="3"/>
      <c r="M54" s="3" t="s">
        <v>33</v>
      </c>
      <c r="N54" s="3" t="s">
        <v>33</v>
      </c>
      <c r="O54" s="3" t="s">
        <v>33</v>
      </c>
      <c r="P54" s="3" t="s">
        <v>33</v>
      </c>
      <c r="Q54" s="3" t="s">
        <v>33</v>
      </c>
      <c r="R54" s="3"/>
      <c r="S54" s="3"/>
      <c r="T54" s="3" t="s">
        <v>33</v>
      </c>
      <c r="U54" s="3" t="s">
        <v>33</v>
      </c>
      <c r="V54" s="3" t="s">
        <v>33</v>
      </c>
      <c r="W54" s="3" t="s">
        <v>33</v>
      </c>
      <c r="X54" s="3" t="s">
        <v>33</v>
      </c>
      <c r="Y54" s="3"/>
      <c r="Z54" s="3"/>
      <c r="AA54" s="3" t="s">
        <v>33</v>
      </c>
      <c r="AB54" s="3" t="s">
        <v>33</v>
      </c>
      <c r="AC54" s="3" t="s">
        <v>33</v>
      </c>
      <c r="AD54" s="3" t="s">
        <v>33</v>
      </c>
      <c r="AE54" s="3" t="s">
        <v>33</v>
      </c>
      <c r="AF54" s="3"/>
      <c r="AG54" s="3"/>
      <c r="AI54" s="3" t="s">
        <v>30</v>
      </c>
      <c r="AJ54" s="25">
        <f>COUNTIF(C54:AG54,"出")</f>
        <v>0</v>
      </c>
    </row>
    <row r="55" spans="1:36" outlineLevel="1" x14ac:dyDescent="0.45">
      <c r="A55" s="3" t="s">
        <v>25</v>
      </c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I55" s="3" t="s">
        <v>31</v>
      </c>
      <c r="AJ55" s="25">
        <f>COUNTIF(C54:AG54,"リ")</f>
        <v>18</v>
      </c>
    </row>
    <row r="56" spans="1:36" outlineLevel="1" x14ac:dyDescent="0.45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I56" s="3" t="s">
        <v>32</v>
      </c>
      <c r="AJ56" s="26">
        <f>AJ54/(AJ54+AJ55)</f>
        <v>0</v>
      </c>
    </row>
    <row r="57" spans="1:36" outlineLevel="1" x14ac:dyDescent="0.45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</row>
    <row r="58" spans="1:36" outlineLevel="1" x14ac:dyDescent="0.45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</row>
    <row r="59" spans="1:36" outlineLevel="1" x14ac:dyDescent="0.45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</row>
    <row r="60" spans="1:36" outlineLevel="1" x14ac:dyDescent="0.45"/>
    <row r="61" spans="1:36" x14ac:dyDescent="0.45">
      <c r="C61" s="37">
        <v>46174</v>
      </c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</row>
    <row r="62" spans="1:36" outlineLevel="1" x14ac:dyDescent="0.45">
      <c r="C62" s="3" t="str">
        <f t="shared" ref="C62:AG62" si="10">TEXT(C63,"aaa")</f>
        <v>月</v>
      </c>
      <c r="D62" s="3" t="str">
        <f t="shared" si="10"/>
        <v>火</v>
      </c>
      <c r="E62" s="3" t="str">
        <f t="shared" si="10"/>
        <v>水</v>
      </c>
      <c r="F62" s="3" t="str">
        <f t="shared" si="10"/>
        <v>木</v>
      </c>
      <c r="G62" s="3" t="str">
        <f t="shared" si="10"/>
        <v>金</v>
      </c>
      <c r="H62" s="3" t="str">
        <f t="shared" si="10"/>
        <v>土</v>
      </c>
      <c r="I62" s="3" t="str">
        <f t="shared" si="10"/>
        <v>日</v>
      </c>
      <c r="J62" s="3" t="str">
        <f t="shared" si="10"/>
        <v>月</v>
      </c>
      <c r="K62" s="3" t="str">
        <f t="shared" si="10"/>
        <v>火</v>
      </c>
      <c r="L62" s="3" t="str">
        <f t="shared" si="10"/>
        <v>水</v>
      </c>
      <c r="M62" s="3" t="str">
        <f t="shared" si="10"/>
        <v>木</v>
      </c>
      <c r="N62" s="3" t="str">
        <f t="shared" si="10"/>
        <v>金</v>
      </c>
      <c r="O62" s="3" t="str">
        <f t="shared" si="10"/>
        <v>土</v>
      </c>
      <c r="P62" s="3" t="str">
        <f t="shared" si="10"/>
        <v>日</v>
      </c>
      <c r="Q62" s="3" t="str">
        <f t="shared" si="10"/>
        <v>月</v>
      </c>
      <c r="R62" s="3" t="str">
        <f t="shared" si="10"/>
        <v>火</v>
      </c>
      <c r="S62" s="3" t="str">
        <f t="shared" si="10"/>
        <v>水</v>
      </c>
      <c r="T62" s="3" t="str">
        <f t="shared" si="10"/>
        <v>木</v>
      </c>
      <c r="U62" s="3" t="str">
        <f t="shared" si="10"/>
        <v>金</v>
      </c>
      <c r="V62" s="3" t="str">
        <f t="shared" si="10"/>
        <v>土</v>
      </c>
      <c r="W62" s="3" t="str">
        <f t="shared" si="10"/>
        <v>日</v>
      </c>
      <c r="X62" s="3" t="str">
        <f t="shared" si="10"/>
        <v>月</v>
      </c>
      <c r="Y62" s="3" t="str">
        <f t="shared" si="10"/>
        <v>火</v>
      </c>
      <c r="Z62" s="3" t="str">
        <f t="shared" si="10"/>
        <v>水</v>
      </c>
      <c r="AA62" s="3" t="str">
        <f t="shared" si="10"/>
        <v>木</v>
      </c>
      <c r="AB62" s="3" t="str">
        <f t="shared" si="10"/>
        <v>金</v>
      </c>
      <c r="AC62" s="3" t="str">
        <f t="shared" si="10"/>
        <v>土</v>
      </c>
      <c r="AD62" s="3" t="str">
        <f t="shared" si="10"/>
        <v>日</v>
      </c>
      <c r="AE62" s="3" t="str">
        <f t="shared" si="10"/>
        <v>月</v>
      </c>
      <c r="AF62" s="3" t="str">
        <f t="shared" si="10"/>
        <v>火</v>
      </c>
      <c r="AG62" s="3" t="str">
        <f t="shared" si="10"/>
        <v/>
      </c>
      <c r="AI62" s="20" t="s">
        <v>26</v>
      </c>
      <c r="AJ62" s="24">
        <f>COUNT(C64:AG64)</f>
        <v>22</v>
      </c>
    </row>
    <row r="63" spans="1:36" outlineLevel="1" x14ac:dyDescent="0.45">
      <c r="C63" s="23">
        <f>C61</f>
        <v>46174</v>
      </c>
      <c r="D63" s="23">
        <f t="shared" ref="D63:AG63" si="11">IF(C63="","",IF(C63+1&lt;=EOMONTH($C$61,0),C63+1,""))</f>
        <v>46175</v>
      </c>
      <c r="E63" s="23">
        <f t="shared" si="11"/>
        <v>46176</v>
      </c>
      <c r="F63" s="23">
        <f t="shared" si="11"/>
        <v>46177</v>
      </c>
      <c r="G63" s="23">
        <f t="shared" si="11"/>
        <v>46178</v>
      </c>
      <c r="H63" s="23">
        <f t="shared" si="11"/>
        <v>46179</v>
      </c>
      <c r="I63" s="23">
        <f t="shared" si="11"/>
        <v>46180</v>
      </c>
      <c r="J63" s="23">
        <f t="shared" si="11"/>
        <v>46181</v>
      </c>
      <c r="K63" s="23">
        <f t="shared" si="11"/>
        <v>46182</v>
      </c>
      <c r="L63" s="23">
        <f t="shared" si="11"/>
        <v>46183</v>
      </c>
      <c r="M63" s="23">
        <f t="shared" si="11"/>
        <v>46184</v>
      </c>
      <c r="N63" s="23">
        <f t="shared" si="11"/>
        <v>46185</v>
      </c>
      <c r="O63" s="23">
        <f t="shared" si="11"/>
        <v>46186</v>
      </c>
      <c r="P63" s="23">
        <f t="shared" si="11"/>
        <v>46187</v>
      </c>
      <c r="Q63" s="23">
        <f t="shared" si="11"/>
        <v>46188</v>
      </c>
      <c r="R63" s="23">
        <f t="shared" si="11"/>
        <v>46189</v>
      </c>
      <c r="S63" s="23">
        <f t="shared" si="11"/>
        <v>46190</v>
      </c>
      <c r="T63" s="23">
        <f t="shared" si="11"/>
        <v>46191</v>
      </c>
      <c r="U63" s="23">
        <f t="shared" si="11"/>
        <v>46192</v>
      </c>
      <c r="V63" s="23">
        <f t="shared" si="11"/>
        <v>46193</v>
      </c>
      <c r="W63" s="23">
        <f t="shared" si="11"/>
        <v>46194</v>
      </c>
      <c r="X63" s="23">
        <f t="shared" si="11"/>
        <v>46195</v>
      </c>
      <c r="Y63" s="23">
        <f t="shared" si="11"/>
        <v>46196</v>
      </c>
      <c r="Z63" s="23">
        <f t="shared" si="11"/>
        <v>46197</v>
      </c>
      <c r="AA63" s="23">
        <f t="shared" si="11"/>
        <v>46198</v>
      </c>
      <c r="AB63" s="23">
        <f t="shared" si="11"/>
        <v>46199</v>
      </c>
      <c r="AC63" s="23">
        <f t="shared" si="11"/>
        <v>46200</v>
      </c>
      <c r="AD63" s="23">
        <f t="shared" si="11"/>
        <v>46201</v>
      </c>
      <c r="AE63" s="23">
        <f t="shared" si="11"/>
        <v>46202</v>
      </c>
      <c r="AF63" s="23">
        <f t="shared" si="11"/>
        <v>46203</v>
      </c>
      <c r="AG63" s="23" t="str">
        <f t="shared" si="11"/>
        <v/>
      </c>
      <c r="AI63" s="20" t="s">
        <v>27</v>
      </c>
      <c r="AJ63" s="21" t="str">
        <f>_xlfn.LET(_xlpm.v, SUM(C64:AG64),IF(_xlpm.v = INT(_xlpm.v),TEXT(_xlpm.v, "0") &amp; " h",TEXT(_xlpm.v, "0.###") &amp; " h"))</f>
        <v>176 h</v>
      </c>
    </row>
    <row r="64" spans="1:36" outlineLevel="1" x14ac:dyDescent="0.45">
      <c r="A64" s="20" t="s">
        <v>22</v>
      </c>
      <c r="C64" s="20">
        <v>8</v>
      </c>
      <c r="D64" s="20">
        <v>8</v>
      </c>
      <c r="E64" s="20">
        <v>8</v>
      </c>
      <c r="F64" s="20">
        <v>8</v>
      </c>
      <c r="G64" s="20">
        <v>8</v>
      </c>
      <c r="H64" s="20"/>
      <c r="I64" s="20"/>
      <c r="J64" s="20">
        <v>8</v>
      </c>
      <c r="K64" s="20">
        <v>8</v>
      </c>
      <c r="L64" s="20">
        <v>8</v>
      </c>
      <c r="M64" s="20">
        <v>8</v>
      </c>
      <c r="N64" s="20">
        <v>8</v>
      </c>
      <c r="O64" s="20"/>
      <c r="P64" s="20"/>
      <c r="Q64" s="20">
        <v>8</v>
      </c>
      <c r="R64" s="20">
        <v>8</v>
      </c>
      <c r="S64" s="20">
        <v>8</v>
      </c>
      <c r="T64" s="20">
        <v>8</v>
      </c>
      <c r="U64" s="20">
        <v>8</v>
      </c>
      <c r="V64" s="20"/>
      <c r="W64" s="20"/>
      <c r="X64" s="20">
        <v>8</v>
      </c>
      <c r="Y64" s="20">
        <v>8</v>
      </c>
      <c r="Z64" s="20">
        <v>8</v>
      </c>
      <c r="AA64" s="20">
        <v>8</v>
      </c>
      <c r="AB64" s="20">
        <v>8</v>
      </c>
      <c r="AC64" s="20"/>
      <c r="AD64" s="20"/>
      <c r="AE64" s="20">
        <v>8</v>
      </c>
      <c r="AF64" s="20">
        <v>8</v>
      </c>
      <c r="AG64" s="20"/>
      <c r="AI64" s="3" t="s">
        <v>28</v>
      </c>
      <c r="AJ64" s="25">
        <f>COUNT(C65:AG65)</f>
        <v>22</v>
      </c>
    </row>
    <row r="65" spans="1:36" outlineLevel="1" x14ac:dyDescent="0.45">
      <c r="A65" s="3" t="s">
        <v>23</v>
      </c>
      <c r="C65" s="3">
        <v>8</v>
      </c>
      <c r="D65" s="3">
        <v>8</v>
      </c>
      <c r="E65" s="3">
        <v>8</v>
      </c>
      <c r="F65" s="3">
        <v>8</v>
      </c>
      <c r="G65" s="3">
        <v>8</v>
      </c>
      <c r="H65" s="3"/>
      <c r="I65" s="3"/>
      <c r="J65" s="3">
        <v>8</v>
      </c>
      <c r="K65" s="3">
        <v>8</v>
      </c>
      <c r="L65" s="3">
        <v>8</v>
      </c>
      <c r="M65" s="3">
        <v>8</v>
      </c>
      <c r="N65" s="3">
        <v>8</v>
      </c>
      <c r="O65" s="3"/>
      <c r="P65" s="3"/>
      <c r="Q65" s="3">
        <v>8</v>
      </c>
      <c r="R65" s="3">
        <v>8</v>
      </c>
      <c r="S65" s="3">
        <v>8</v>
      </c>
      <c r="T65" s="3">
        <v>8</v>
      </c>
      <c r="U65" s="3">
        <v>8</v>
      </c>
      <c r="V65" s="3"/>
      <c r="W65" s="3"/>
      <c r="X65" s="3">
        <v>8</v>
      </c>
      <c r="Y65" s="3">
        <v>8</v>
      </c>
      <c r="Z65" s="3">
        <v>8</v>
      </c>
      <c r="AA65" s="3">
        <v>8</v>
      </c>
      <c r="AB65" s="3">
        <v>8</v>
      </c>
      <c r="AC65" s="3"/>
      <c r="AD65" s="3"/>
      <c r="AE65" s="3">
        <v>8</v>
      </c>
      <c r="AF65" s="3">
        <v>8</v>
      </c>
      <c r="AG65" s="3"/>
      <c r="AI65" s="3" t="s">
        <v>29</v>
      </c>
      <c r="AJ65" s="22" t="str">
        <f>_xlfn.LET(_xlpm.v, SUM(C65:AG65),IF(_xlpm.v = INT(_xlpm.v),TEXT(_xlpm.v, "0") &amp; " h",TEXT(_xlpm.v, "0.###") &amp; " h"))</f>
        <v>176 h</v>
      </c>
    </row>
    <row r="66" spans="1:36" outlineLevel="1" x14ac:dyDescent="0.45">
      <c r="A66" s="3" t="s">
        <v>24</v>
      </c>
      <c r="C66" s="3" t="s">
        <v>33</v>
      </c>
      <c r="D66" s="3" t="s">
        <v>33</v>
      </c>
      <c r="E66" s="3" t="s">
        <v>33</v>
      </c>
      <c r="F66" s="3" t="s">
        <v>33</v>
      </c>
      <c r="G66" s="3" t="s">
        <v>33</v>
      </c>
      <c r="H66" s="3"/>
      <c r="I66" s="3"/>
      <c r="J66" s="3" t="s">
        <v>33</v>
      </c>
      <c r="K66" s="3" t="s">
        <v>33</v>
      </c>
      <c r="L66" s="3" t="s">
        <v>33</v>
      </c>
      <c r="M66" s="3" t="s">
        <v>33</v>
      </c>
      <c r="N66" s="3" t="s">
        <v>33</v>
      </c>
      <c r="O66" s="3"/>
      <c r="P66" s="3"/>
      <c r="Q66" s="3" t="s">
        <v>33</v>
      </c>
      <c r="R66" s="3" t="s">
        <v>33</v>
      </c>
      <c r="S66" s="3" t="s">
        <v>33</v>
      </c>
      <c r="T66" s="3" t="s">
        <v>33</v>
      </c>
      <c r="U66" s="3" t="s">
        <v>33</v>
      </c>
      <c r="V66" s="3"/>
      <c r="W66" s="3"/>
      <c r="X66" s="3" t="s">
        <v>33</v>
      </c>
      <c r="Y66" s="3" t="s">
        <v>33</v>
      </c>
      <c r="Z66" s="3" t="s">
        <v>33</v>
      </c>
      <c r="AA66" s="3" t="s">
        <v>33</v>
      </c>
      <c r="AB66" s="3" t="s">
        <v>33</v>
      </c>
      <c r="AC66" s="3"/>
      <c r="AD66" s="3"/>
      <c r="AE66" s="3" t="s">
        <v>33</v>
      </c>
      <c r="AF66" s="3" t="s">
        <v>33</v>
      </c>
      <c r="AG66" s="3"/>
      <c r="AI66" s="3" t="s">
        <v>30</v>
      </c>
      <c r="AJ66" s="25">
        <f>COUNTIF(C66:AG66,"出")</f>
        <v>0</v>
      </c>
    </row>
    <row r="67" spans="1:36" outlineLevel="1" x14ac:dyDescent="0.45">
      <c r="A67" s="3" t="s">
        <v>25</v>
      </c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I67" s="3" t="s">
        <v>31</v>
      </c>
      <c r="AJ67" s="25">
        <f>COUNTIF(C66:AG66,"リ")</f>
        <v>22</v>
      </c>
    </row>
    <row r="68" spans="1:36" outlineLevel="1" x14ac:dyDescent="0.45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I68" s="3" t="s">
        <v>32</v>
      </c>
      <c r="AJ68" s="26">
        <f>AJ66/(AJ66+AJ67)</f>
        <v>0</v>
      </c>
    </row>
    <row r="69" spans="1:36" outlineLevel="1" x14ac:dyDescent="0.45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</row>
    <row r="70" spans="1:36" outlineLevel="1" x14ac:dyDescent="0.45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</row>
    <row r="71" spans="1:36" outlineLevel="1" x14ac:dyDescent="0.45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</row>
    <row r="72" spans="1:36" outlineLevel="1" x14ac:dyDescent="0.45"/>
    <row r="73" spans="1:36" x14ac:dyDescent="0.45">
      <c r="C73" s="37">
        <v>46204</v>
      </c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</row>
    <row r="74" spans="1:36" outlineLevel="1" x14ac:dyDescent="0.45">
      <c r="C74" s="3" t="str">
        <f t="shared" ref="C74:AG74" si="12">TEXT(C75,"aaa")</f>
        <v>水</v>
      </c>
      <c r="D74" s="3" t="str">
        <f t="shared" si="12"/>
        <v>木</v>
      </c>
      <c r="E74" s="3" t="str">
        <f t="shared" si="12"/>
        <v>金</v>
      </c>
      <c r="F74" s="3" t="str">
        <f t="shared" si="12"/>
        <v>土</v>
      </c>
      <c r="G74" s="3" t="str">
        <f t="shared" si="12"/>
        <v>日</v>
      </c>
      <c r="H74" s="3" t="str">
        <f t="shared" si="12"/>
        <v>月</v>
      </c>
      <c r="I74" s="3" t="str">
        <f t="shared" si="12"/>
        <v>火</v>
      </c>
      <c r="J74" s="3" t="str">
        <f t="shared" si="12"/>
        <v>水</v>
      </c>
      <c r="K74" s="3" t="str">
        <f t="shared" si="12"/>
        <v>木</v>
      </c>
      <c r="L74" s="3" t="str">
        <f t="shared" si="12"/>
        <v>金</v>
      </c>
      <c r="M74" s="3" t="str">
        <f t="shared" si="12"/>
        <v>土</v>
      </c>
      <c r="N74" s="3" t="str">
        <f t="shared" si="12"/>
        <v>日</v>
      </c>
      <c r="O74" s="3" t="str">
        <f t="shared" si="12"/>
        <v>月</v>
      </c>
      <c r="P74" s="3" t="str">
        <f t="shared" si="12"/>
        <v>火</v>
      </c>
      <c r="Q74" s="3" t="str">
        <f t="shared" si="12"/>
        <v>水</v>
      </c>
      <c r="R74" s="3" t="str">
        <f t="shared" si="12"/>
        <v>木</v>
      </c>
      <c r="S74" s="3" t="str">
        <f t="shared" si="12"/>
        <v>金</v>
      </c>
      <c r="T74" s="3" t="str">
        <f t="shared" si="12"/>
        <v>土</v>
      </c>
      <c r="U74" s="3" t="str">
        <f t="shared" si="12"/>
        <v>日</v>
      </c>
      <c r="V74" s="3" t="str">
        <f t="shared" si="12"/>
        <v>月</v>
      </c>
      <c r="W74" s="3" t="str">
        <f t="shared" si="12"/>
        <v>火</v>
      </c>
      <c r="X74" s="3" t="str">
        <f t="shared" si="12"/>
        <v>水</v>
      </c>
      <c r="Y74" s="3" t="str">
        <f t="shared" si="12"/>
        <v>木</v>
      </c>
      <c r="Z74" s="3" t="str">
        <f t="shared" si="12"/>
        <v>金</v>
      </c>
      <c r="AA74" s="3" t="str">
        <f t="shared" si="12"/>
        <v>土</v>
      </c>
      <c r="AB74" s="3" t="str">
        <f t="shared" si="12"/>
        <v>日</v>
      </c>
      <c r="AC74" s="3" t="str">
        <f t="shared" si="12"/>
        <v>月</v>
      </c>
      <c r="AD74" s="3" t="str">
        <f t="shared" si="12"/>
        <v>火</v>
      </c>
      <c r="AE74" s="3" t="str">
        <f t="shared" si="12"/>
        <v>水</v>
      </c>
      <c r="AF74" s="3" t="str">
        <f t="shared" si="12"/>
        <v>木</v>
      </c>
      <c r="AG74" s="3" t="str">
        <f t="shared" si="12"/>
        <v>金</v>
      </c>
      <c r="AI74" s="20" t="s">
        <v>26</v>
      </c>
      <c r="AJ74" s="24">
        <f>COUNT(C76:AG76)</f>
        <v>22</v>
      </c>
    </row>
    <row r="75" spans="1:36" outlineLevel="1" x14ac:dyDescent="0.45">
      <c r="C75" s="23">
        <f>C73</f>
        <v>46204</v>
      </c>
      <c r="D75" s="23">
        <f t="shared" ref="D75:AG75" si="13">IF(C75="","",IF(C75+1&lt;=EOMONTH($C$73,0),C75+1,""))</f>
        <v>46205</v>
      </c>
      <c r="E75" s="23">
        <f t="shared" si="13"/>
        <v>46206</v>
      </c>
      <c r="F75" s="23">
        <f t="shared" si="13"/>
        <v>46207</v>
      </c>
      <c r="G75" s="23">
        <f t="shared" si="13"/>
        <v>46208</v>
      </c>
      <c r="H75" s="23">
        <f t="shared" si="13"/>
        <v>46209</v>
      </c>
      <c r="I75" s="23">
        <f t="shared" si="13"/>
        <v>46210</v>
      </c>
      <c r="J75" s="23">
        <f t="shared" si="13"/>
        <v>46211</v>
      </c>
      <c r="K75" s="23">
        <f t="shared" si="13"/>
        <v>46212</v>
      </c>
      <c r="L75" s="23">
        <f t="shared" si="13"/>
        <v>46213</v>
      </c>
      <c r="M75" s="23">
        <f t="shared" si="13"/>
        <v>46214</v>
      </c>
      <c r="N75" s="23">
        <f t="shared" si="13"/>
        <v>46215</v>
      </c>
      <c r="O75" s="23">
        <f t="shared" si="13"/>
        <v>46216</v>
      </c>
      <c r="P75" s="23">
        <f t="shared" si="13"/>
        <v>46217</v>
      </c>
      <c r="Q75" s="23">
        <f t="shared" si="13"/>
        <v>46218</v>
      </c>
      <c r="R75" s="23">
        <f t="shared" si="13"/>
        <v>46219</v>
      </c>
      <c r="S75" s="23">
        <f t="shared" si="13"/>
        <v>46220</v>
      </c>
      <c r="T75" s="23">
        <f t="shared" si="13"/>
        <v>46221</v>
      </c>
      <c r="U75" s="23">
        <f t="shared" si="13"/>
        <v>46222</v>
      </c>
      <c r="V75" s="23">
        <f t="shared" si="13"/>
        <v>46223</v>
      </c>
      <c r="W75" s="23">
        <f t="shared" si="13"/>
        <v>46224</v>
      </c>
      <c r="X75" s="23">
        <f t="shared" si="13"/>
        <v>46225</v>
      </c>
      <c r="Y75" s="23">
        <f t="shared" si="13"/>
        <v>46226</v>
      </c>
      <c r="Z75" s="23">
        <f t="shared" si="13"/>
        <v>46227</v>
      </c>
      <c r="AA75" s="23">
        <f t="shared" si="13"/>
        <v>46228</v>
      </c>
      <c r="AB75" s="23">
        <f t="shared" si="13"/>
        <v>46229</v>
      </c>
      <c r="AC75" s="23">
        <f t="shared" si="13"/>
        <v>46230</v>
      </c>
      <c r="AD75" s="23">
        <f t="shared" si="13"/>
        <v>46231</v>
      </c>
      <c r="AE75" s="23">
        <f t="shared" si="13"/>
        <v>46232</v>
      </c>
      <c r="AF75" s="23">
        <f t="shared" si="13"/>
        <v>46233</v>
      </c>
      <c r="AG75" s="23">
        <f t="shared" si="13"/>
        <v>46234</v>
      </c>
      <c r="AI75" s="20" t="s">
        <v>27</v>
      </c>
      <c r="AJ75" s="21" t="str">
        <f>_xlfn.LET(_xlpm.v, SUM(C76:AG76),IF(_xlpm.v = INT(_xlpm.v),TEXT(_xlpm.v, "0") &amp; " h",TEXT(_xlpm.v, "0.###") &amp; " h"))</f>
        <v>176 h</v>
      </c>
    </row>
    <row r="76" spans="1:36" outlineLevel="1" x14ac:dyDescent="0.45">
      <c r="A76" s="20" t="s">
        <v>22</v>
      </c>
      <c r="C76" s="20">
        <v>8</v>
      </c>
      <c r="D76" s="20">
        <v>8</v>
      </c>
      <c r="E76" s="20">
        <v>8</v>
      </c>
      <c r="F76" s="20"/>
      <c r="G76" s="20"/>
      <c r="H76" s="20">
        <v>8</v>
      </c>
      <c r="I76" s="20">
        <v>8</v>
      </c>
      <c r="J76" s="20">
        <v>8</v>
      </c>
      <c r="K76" s="20">
        <v>8</v>
      </c>
      <c r="L76" s="20">
        <v>8</v>
      </c>
      <c r="M76" s="20"/>
      <c r="N76" s="20"/>
      <c r="O76" s="20">
        <v>8</v>
      </c>
      <c r="P76" s="20">
        <v>8</v>
      </c>
      <c r="Q76" s="20">
        <v>8</v>
      </c>
      <c r="R76" s="20">
        <v>8</v>
      </c>
      <c r="S76" s="20">
        <v>8</v>
      </c>
      <c r="T76" s="20"/>
      <c r="U76" s="20"/>
      <c r="V76" s="20"/>
      <c r="W76" s="20">
        <v>8</v>
      </c>
      <c r="X76" s="20">
        <v>8</v>
      </c>
      <c r="Y76" s="20">
        <v>8</v>
      </c>
      <c r="Z76" s="20">
        <v>8</v>
      </c>
      <c r="AA76" s="20"/>
      <c r="AB76" s="20"/>
      <c r="AC76" s="20">
        <v>8</v>
      </c>
      <c r="AD76" s="20">
        <v>8</v>
      </c>
      <c r="AE76" s="20">
        <v>8</v>
      </c>
      <c r="AF76" s="20">
        <v>8</v>
      </c>
      <c r="AG76" s="20">
        <v>8</v>
      </c>
      <c r="AI76" s="3" t="s">
        <v>28</v>
      </c>
      <c r="AJ76" s="25">
        <f>COUNT(C77:AG77)</f>
        <v>22</v>
      </c>
    </row>
    <row r="77" spans="1:36" outlineLevel="1" x14ac:dyDescent="0.45">
      <c r="A77" s="3" t="s">
        <v>23</v>
      </c>
      <c r="C77" s="3">
        <v>8</v>
      </c>
      <c r="D77" s="3">
        <v>8</v>
      </c>
      <c r="E77" s="3">
        <v>8</v>
      </c>
      <c r="F77" s="3"/>
      <c r="G77" s="3"/>
      <c r="H77" s="3">
        <v>8</v>
      </c>
      <c r="I77" s="3">
        <v>8</v>
      </c>
      <c r="J77" s="3">
        <v>8</v>
      </c>
      <c r="K77" s="3">
        <v>8</v>
      </c>
      <c r="L77" s="3">
        <v>8</v>
      </c>
      <c r="M77" s="3"/>
      <c r="N77" s="3"/>
      <c r="O77" s="3">
        <v>8</v>
      </c>
      <c r="P77" s="3">
        <v>8</v>
      </c>
      <c r="Q77" s="3">
        <v>8</v>
      </c>
      <c r="R77" s="3">
        <v>8</v>
      </c>
      <c r="S77" s="3">
        <v>8</v>
      </c>
      <c r="T77" s="3"/>
      <c r="U77" s="3"/>
      <c r="V77" s="3"/>
      <c r="W77" s="3">
        <v>8</v>
      </c>
      <c r="X77" s="3">
        <v>8</v>
      </c>
      <c r="Y77" s="3">
        <v>8</v>
      </c>
      <c r="Z77" s="3">
        <v>8</v>
      </c>
      <c r="AA77" s="3"/>
      <c r="AB77" s="3"/>
      <c r="AC77" s="3">
        <v>8</v>
      </c>
      <c r="AD77" s="3">
        <v>8</v>
      </c>
      <c r="AE77" s="3">
        <v>8</v>
      </c>
      <c r="AF77" s="3">
        <v>8</v>
      </c>
      <c r="AG77" s="3">
        <v>8</v>
      </c>
      <c r="AI77" s="3" t="s">
        <v>29</v>
      </c>
      <c r="AJ77" s="22" t="str">
        <f>_xlfn.LET(_xlpm.v, SUM(C77:AG77),IF(_xlpm.v = INT(_xlpm.v),TEXT(_xlpm.v, "0") &amp; " h",TEXT(_xlpm.v, "0.###") &amp; " h"))</f>
        <v>176 h</v>
      </c>
    </row>
    <row r="78" spans="1:36" outlineLevel="1" x14ac:dyDescent="0.45">
      <c r="A78" s="3" t="s">
        <v>24</v>
      </c>
      <c r="C78" s="3" t="s">
        <v>33</v>
      </c>
      <c r="D78" s="3" t="s">
        <v>33</v>
      </c>
      <c r="E78" s="3" t="s">
        <v>33</v>
      </c>
      <c r="F78" s="3"/>
      <c r="G78" s="3"/>
      <c r="H78" s="3" t="s">
        <v>33</v>
      </c>
      <c r="I78" s="3" t="s">
        <v>33</v>
      </c>
      <c r="J78" s="3" t="s">
        <v>33</v>
      </c>
      <c r="K78" s="3" t="s">
        <v>33</v>
      </c>
      <c r="L78" s="3" t="s">
        <v>33</v>
      </c>
      <c r="M78" s="3"/>
      <c r="N78" s="3"/>
      <c r="O78" s="3" t="s">
        <v>33</v>
      </c>
      <c r="P78" s="3" t="s">
        <v>33</v>
      </c>
      <c r="Q78" s="3" t="s">
        <v>33</v>
      </c>
      <c r="R78" s="3" t="s">
        <v>33</v>
      </c>
      <c r="S78" s="3" t="s">
        <v>33</v>
      </c>
      <c r="T78" s="3"/>
      <c r="U78" s="3"/>
      <c r="V78" s="3"/>
      <c r="W78" s="3" t="s">
        <v>33</v>
      </c>
      <c r="X78" s="3" t="s">
        <v>33</v>
      </c>
      <c r="Y78" s="3" t="s">
        <v>33</v>
      </c>
      <c r="Z78" s="3" t="s">
        <v>33</v>
      </c>
      <c r="AA78" s="3"/>
      <c r="AB78" s="3"/>
      <c r="AC78" s="3" t="s">
        <v>33</v>
      </c>
      <c r="AD78" s="3" t="s">
        <v>33</v>
      </c>
      <c r="AE78" s="3" t="s">
        <v>33</v>
      </c>
      <c r="AF78" s="3" t="s">
        <v>33</v>
      </c>
      <c r="AG78" s="3" t="s">
        <v>33</v>
      </c>
      <c r="AI78" s="3" t="s">
        <v>30</v>
      </c>
      <c r="AJ78" s="25">
        <f>COUNTIF(C78:AG78,"出")</f>
        <v>0</v>
      </c>
    </row>
    <row r="79" spans="1:36" outlineLevel="1" x14ac:dyDescent="0.45">
      <c r="A79" s="3" t="s">
        <v>25</v>
      </c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I79" s="3" t="s">
        <v>31</v>
      </c>
      <c r="AJ79" s="25">
        <f>COUNTIF(C78:AG78,"リ")</f>
        <v>22</v>
      </c>
    </row>
    <row r="80" spans="1:36" outlineLevel="1" x14ac:dyDescent="0.45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I80" s="3" t="s">
        <v>32</v>
      </c>
      <c r="AJ80" s="26">
        <f>AJ78/(AJ78+AJ79)</f>
        <v>0</v>
      </c>
    </row>
    <row r="81" spans="1:36" outlineLevel="1" x14ac:dyDescent="0.45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</row>
    <row r="82" spans="1:36" outlineLevel="1" x14ac:dyDescent="0.45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</row>
    <row r="83" spans="1:36" outlineLevel="1" x14ac:dyDescent="0.45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</row>
    <row r="84" spans="1:36" outlineLevel="1" x14ac:dyDescent="0.45"/>
    <row r="85" spans="1:36" x14ac:dyDescent="0.45">
      <c r="C85" s="37">
        <v>46235</v>
      </c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</row>
    <row r="86" spans="1:36" outlineLevel="1" x14ac:dyDescent="0.45">
      <c r="C86" s="3" t="str">
        <f t="shared" ref="C86:AG86" si="14">TEXT(C87,"aaa")</f>
        <v>土</v>
      </c>
      <c r="D86" s="3" t="str">
        <f t="shared" si="14"/>
        <v>日</v>
      </c>
      <c r="E86" s="3" t="str">
        <f t="shared" si="14"/>
        <v>月</v>
      </c>
      <c r="F86" s="3" t="str">
        <f t="shared" si="14"/>
        <v>火</v>
      </c>
      <c r="G86" s="3" t="str">
        <f t="shared" si="14"/>
        <v>水</v>
      </c>
      <c r="H86" s="3" t="str">
        <f t="shared" si="14"/>
        <v>木</v>
      </c>
      <c r="I86" s="3" t="str">
        <f t="shared" si="14"/>
        <v>金</v>
      </c>
      <c r="J86" s="3" t="str">
        <f t="shared" si="14"/>
        <v>土</v>
      </c>
      <c r="K86" s="3" t="str">
        <f t="shared" si="14"/>
        <v>日</v>
      </c>
      <c r="L86" s="3" t="str">
        <f t="shared" si="14"/>
        <v>月</v>
      </c>
      <c r="M86" s="3" t="str">
        <f t="shared" si="14"/>
        <v>火</v>
      </c>
      <c r="N86" s="3" t="str">
        <f t="shared" si="14"/>
        <v>水</v>
      </c>
      <c r="O86" s="3" t="str">
        <f t="shared" si="14"/>
        <v>木</v>
      </c>
      <c r="P86" s="3" t="str">
        <f t="shared" si="14"/>
        <v>金</v>
      </c>
      <c r="Q86" s="3" t="str">
        <f t="shared" si="14"/>
        <v>土</v>
      </c>
      <c r="R86" s="3" t="str">
        <f t="shared" si="14"/>
        <v>日</v>
      </c>
      <c r="S86" s="3" t="str">
        <f t="shared" si="14"/>
        <v>月</v>
      </c>
      <c r="T86" s="3" t="str">
        <f t="shared" si="14"/>
        <v>火</v>
      </c>
      <c r="U86" s="3" t="str">
        <f t="shared" si="14"/>
        <v>水</v>
      </c>
      <c r="V86" s="3" t="str">
        <f t="shared" si="14"/>
        <v>木</v>
      </c>
      <c r="W86" s="3" t="str">
        <f t="shared" si="14"/>
        <v>金</v>
      </c>
      <c r="X86" s="3" t="str">
        <f t="shared" si="14"/>
        <v>土</v>
      </c>
      <c r="Y86" s="3" t="str">
        <f t="shared" si="14"/>
        <v>日</v>
      </c>
      <c r="Z86" s="3" t="str">
        <f t="shared" si="14"/>
        <v>月</v>
      </c>
      <c r="AA86" s="3" t="str">
        <f t="shared" si="14"/>
        <v>火</v>
      </c>
      <c r="AB86" s="3" t="str">
        <f t="shared" si="14"/>
        <v>水</v>
      </c>
      <c r="AC86" s="3" t="str">
        <f t="shared" si="14"/>
        <v>木</v>
      </c>
      <c r="AD86" s="3" t="str">
        <f t="shared" si="14"/>
        <v>金</v>
      </c>
      <c r="AE86" s="3" t="str">
        <f t="shared" si="14"/>
        <v>土</v>
      </c>
      <c r="AF86" s="3" t="str">
        <f t="shared" si="14"/>
        <v>日</v>
      </c>
      <c r="AG86" s="3" t="str">
        <f t="shared" si="14"/>
        <v>月</v>
      </c>
      <c r="AI86" s="20" t="s">
        <v>26</v>
      </c>
      <c r="AJ86" s="24">
        <f>COUNT(C88:AG88)</f>
        <v>20</v>
      </c>
    </row>
    <row r="87" spans="1:36" outlineLevel="1" x14ac:dyDescent="0.45">
      <c r="C87" s="23">
        <f>C85</f>
        <v>46235</v>
      </c>
      <c r="D87" s="23">
        <f t="shared" ref="D87:AG87" si="15">IF(C87="","",IF(C87+1&lt;=EOMONTH($C$85,0),C87+1,""))</f>
        <v>46236</v>
      </c>
      <c r="E87" s="23">
        <f t="shared" si="15"/>
        <v>46237</v>
      </c>
      <c r="F87" s="23">
        <f t="shared" si="15"/>
        <v>46238</v>
      </c>
      <c r="G87" s="23">
        <f t="shared" si="15"/>
        <v>46239</v>
      </c>
      <c r="H87" s="23">
        <f t="shared" si="15"/>
        <v>46240</v>
      </c>
      <c r="I87" s="23">
        <f t="shared" si="15"/>
        <v>46241</v>
      </c>
      <c r="J87" s="23">
        <f t="shared" si="15"/>
        <v>46242</v>
      </c>
      <c r="K87" s="23">
        <f t="shared" si="15"/>
        <v>46243</v>
      </c>
      <c r="L87" s="23">
        <f t="shared" si="15"/>
        <v>46244</v>
      </c>
      <c r="M87" s="23">
        <f t="shared" si="15"/>
        <v>46245</v>
      </c>
      <c r="N87" s="23">
        <f t="shared" si="15"/>
        <v>46246</v>
      </c>
      <c r="O87" s="23">
        <f t="shared" si="15"/>
        <v>46247</v>
      </c>
      <c r="P87" s="23">
        <f t="shared" si="15"/>
        <v>46248</v>
      </c>
      <c r="Q87" s="23">
        <f t="shared" si="15"/>
        <v>46249</v>
      </c>
      <c r="R87" s="23">
        <f t="shared" si="15"/>
        <v>46250</v>
      </c>
      <c r="S87" s="23">
        <f t="shared" si="15"/>
        <v>46251</v>
      </c>
      <c r="T87" s="23">
        <f t="shared" si="15"/>
        <v>46252</v>
      </c>
      <c r="U87" s="23">
        <f t="shared" si="15"/>
        <v>46253</v>
      </c>
      <c r="V87" s="23">
        <f t="shared" si="15"/>
        <v>46254</v>
      </c>
      <c r="W87" s="23">
        <f t="shared" si="15"/>
        <v>46255</v>
      </c>
      <c r="X87" s="23">
        <f t="shared" si="15"/>
        <v>46256</v>
      </c>
      <c r="Y87" s="23">
        <f t="shared" si="15"/>
        <v>46257</v>
      </c>
      <c r="Z87" s="23">
        <f t="shared" si="15"/>
        <v>46258</v>
      </c>
      <c r="AA87" s="23">
        <f t="shared" si="15"/>
        <v>46259</v>
      </c>
      <c r="AB87" s="23">
        <f t="shared" si="15"/>
        <v>46260</v>
      </c>
      <c r="AC87" s="23">
        <f t="shared" si="15"/>
        <v>46261</v>
      </c>
      <c r="AD87" s="23">
        <f t="shared" si="15"/>
        <v>46262</v>
      </c>
      <c r="AE87" s="23">
        <f t="shared" si="15"/>
        <v>46263</v>
      </c>
      <c r="AF87" s="23">
        <f t="shared" si="15"/>
        <v>46264</v>
      </c>
      <c r="AG87" s="23">
        <f t="shared" si="15"/>
        <v>46265</v>
      </c>
      <c r="AI87" s="20" t="s">
        <v>27</v>
      </c>
      <c r="AJ87" s="21" t="str">
        <f>_xlfn.LET(_xlpm.v, SUM(C88:AG88),IF(_xlpm.v = INT(_xlpm.v),TEXT(_xlpm.v, "0") &amp; " h",TEXT(_xlpm.v, "0.###") &amp; " h"))</f>
        <v>160 h</v>
      </c>
    </row>
    <row r="88" spans="1:36" outlineLevel="1" x14ac:dyDescent="0.45">
      <c r="A88" s="20" t="s">
        <v>22</v>
      </c>
      <c r="C88" s="20"/>
      <c r="D88" s="20"/>
      <c r="E88" s="20">
        <v>8</v>
      </c>
      <c r="F88" s="20">
        <v>8</v>
      </c>
      <c r="G88" s="20">
        <v>8</v>
      </c>
      <c r="H88" s="20">
        <v>8</v>
      </c>
      <c r="I88" s="20">
        <v>8</v>
      </c>
      <c r="J88" s="20"/>
      <c r="K88" s="20"/>
      <c r="L88" s="20">
        <v>8</v>
      </c>
      <c r="M88" s="20"/>
      <c r="N88" s="20">
        <v>8</v>
      </c>
      <c r="O88" s="20">
        <v>8</v>
      </c>
      <c r="P88" s="20">
        <v>8</v>
      </c>
      <c r="Q88" s="20"/>
      <c r="R88" s="20"/>
      <c r="S88" s="20">
        <v>8</v>
      </c>
      <c r="T88" s="20">
        <v>8</v>
      </c>
      <c r="U88" s="20">
        <v>8</v>
      </c>
      <c r="V88" s="20">
        <v>8</v>
      </c>
      <c r="W88" s="20">
        <v>8</v>
      </c>
      <c r="X88" s="20"/>
      <c r="Y88" s="20"/>
      <c r="Z88" s="20">
        <v>8</v>
      </c>
      <c r="AA88" s="20">
        <v>8</v>
      </c>
      <c r="AB88" s="20">
        <v>8</v>
      </c>
      <c r="AC88" s="20">
        <v>8</v>
      </c>
      <c r="AD88" s="20">
        <v>8</v>
      </c>
      <c r="AE88" s="20"/>
      <c r="AF88" s="20"/>
      <c r="AG88" s="20">
        <v>8</v>
      </c>
      <c r="AI88" s="3" t="s">
        <v>28</v>
      </c>
      <c r="AJ88" s="25">
        <f>COUNT(C89:AG89)</f>
        <v>20</v>
      </c>
    </row>
    <row r="89" spans="1:36" outlineLevel="1" x14ac:dyDescent="0.45">
      <c r="A89" s="3" t="s">
        <v>23</v>
      </c>
      <c r="C89" s="3"/>
      <c r="D89" s="3"/>
      <c r="E89" s="3">
        <v>8</v>
      </c>
      <c r="F89" s="3">
        <v>8</v>
      </c>
      <c r="G89" s="3">
        <v>8</v>
      </c>
      <c r="H89" s="3">
        <v>8</v>
      </c>
      <c r="I89" s="3">
        <v>8</v>
      </c>
      <c r="J89" s="3"/>
      <c r="K89" s="3"/>
      <c r="L89" s="3">
        <v>8</v>
      </c>
      <c r="M89" s="3"/>
      <c r="N89" s="3">
        <v>8</v>
      </c>
      <c r="O89" s="3">
        <v>8</v>
      </c>
      <c r="P89" s="3">
        <v>8</v>
      </c>
      <c r="Q89" s="3"/>
      <c r="R89" s="3"/>
      <c r="S89" s="3">
        <v>8</v>
      </c>
      <c r="T89" s="3">
        <v>8</v>
      </c>
      <c r="U89" s="3">
        <v>8</v>
      </c>
      <c r="V89" s="3">
        <v>8</v>
      </c>
      <c r="W89" s="3">
        <v>8</v>
      </c>
      <c r="X89" s="3"/>
      <c r="Y89" s="3"/>
      <c r="Z89" s="3">
        <v>8</v>
      </c>
      <c r="AA89" s="3">
        <v>8</v>
      </c>
      <c r="AB89" s="3">
        <v>8</v>
      </c>
      <c r="AC89" s="3">
        <v>8</v>
      </c>
      <c r="AD89" s="3">
        <v>8</v>
      </c>
      <c r="AE89" s="3"/>
      <c r="AF89" s="3"/>
      <c r="AG89" s="3">
        <v>8</v>
      </c>
      <c r="AI89" s="3" t="s">
        <v>29</v>
      </c>
      <c r="AJ89" s="22" t="str">
        <f>_xlfn.LET(_xlpm.v, SUM(C89:AG89),IF(_xlpm.v = INT(_xlpm.v),TEXT(_xlpm.v, "0") &amp; " h",TEXT(_xlpm.v, "0.###") &amp; " h"))</f>
        <v>160 h</v>
      </c>
    </row>
    <row r="90" spans="1:36" outlineLevel="1" x14ac:dyDescent="0.45">
      <c r="A90" s="3" t="s">
        <v>24</v>
      </c>
      <c r="C90" s="3"/>
      <c r="D90" s="3"/>
      <c r="E90" s="3" t="s">
        <v>33</v>
      </c>
      <c r="F90" s="3" t="s">
        <v>33</v>
      </c>
      <c r="G90" s="3" t="s">
        <v>33</v>
      </c>
      <c r="H90" s="3" t="s">
        <v>33</v>
      </c>
      <c r="I90" s="3" t="s">
        <v>33</v>
      </c>
      <c r="J90" s="3"/>
      <c r="K90" s="3"/>
      <c r="L90" s="3" t="s">
        <v>33</v>
      </c>
      <c r="M90" s="3"/>
      <c r="N90" s="3" t="s">
        <v>33</v>
      </c>
      <c r="O90" s="3" t="s">
        <v>33</v>
      </c>
      <c r="P90" s="3" t="s">
        <v>33</v>
      </c>
      <c r="Q90" s="3"/>
      <c r="R90" s="3"/>
      <c r="S90" s="3" t="s">
        <v>33</v>
      </c>
      <c r="T90" s="3" t="s">
        <v>33</v>
      </c>
      <c r="U90" s="3" t="s">
        <v>33</v>
      </c>
      <c r="V90" s="3" t="s">
        <v>33</v>
      </c>
      <c r="W90" s="3" t="s">
        <v>33</v>
      </c>
      <c r="X90" s="3"/>
      <c r="Y90" s="3"/>
      <c r="Z90" s="3" t="s">
        <v>33</v>
      </c>
      <c r="AA90" s="3" t="s">
        <v>33</v>
      </c>
      <c r="AB90" s="3" t="s">
        <v>33</v>
      </c>
      <c r="AC90" s="3" t="s">
        <v>33</v>
      </c>
      <c r="AD90" s="3" t="s">
        <v>33</v>
      </c>
      <c r="AE90" s="3"/>
      <c r="AF90" s="3"/>
      <c r="AG90" s="3" t="s">
        <v>33</v>
      </c>
      <c r="AI90" s="3" t="s">
        <v>30</v>
      </c>
      <c r="AJ90" s="25">
        <f>COUNTIF(C90:AG90,"出")</f>
        <v>0</v>
      </c>
    </row>
    <row r="91" spans="1:36" outlineLevel="1" x14ac:dyDescent="0.45">
      <c r="A91" s="3" t="s">
        <v>25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I91" s="3" t="s">
        <v>31</v>
      </c>
      <c r="AJ91" s="25">
        <f>COUNTIF(C90:AG90,"リ")</f>
        <v>20</v>
      </c>
    </row>
    <row r="92" spans="1:36" outlineLevel="1" x14ac:dyDescent="0.45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I92" s="3" t="s">
        <v>32</v>
      </c>
      <c r="AJ92" s="26">
        <f>AJ90/(AJ90+AJ91)</f>
        <v>0</v>
      </c>
    </row>
    <row r="93" spans="1:36" outlineLevel="1" x14ac:dyDescent="0.45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</row>
    <row r="94" spans="1:36" outlineLevel="1" x14ac:dyDescent="0.45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</row>
    <row r="95" spans="1:36" outlineLevel="1" x14ac:dyDescent="0.45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</row>
    <row r="96" spans="1:36" outlineLevel="1" x14ac:dyDescent="0.45"/>
    <row r="97" spans="1:36" x14ac:dyDescent="0.45">
      <c r="C97" s="37">
        <v>46266</v>
      </c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</row>
    <row r="98" spans="1:36" outlineLevel="1" x14ac:dyDescent="0.45">
      <c r="C98" s="3" t="str">
        <f t="shared" ref="C98:AG98" si="16">TEXT(C99,"aaa")</f>
        <v>火</v>
      </c>
      <c r="D98" s="3" t="str">
        <f t="shared" si="16"/>
        <v>水</v>
      </c>
      <c r="E98" s="3" t="str">
        <f t="shared" si="16"/>
        <v>木</v>
      </c>
      <c r="F98" s="3" t="str">
        <f t="shared" si="16"/>
        <v>金</v>
      </c>
      <c r="G98" s="3" t="str">
        <f t="shared" si="16"/>
        <v>土</v>
      </c>
      <c r="H98" s="3" t="str">
        <f t="shared" si="16"/>
        <v>日</v>
      </c>
      <c r="I98" s="3" t="str">
        <f t="shared" si="16"/>
        <v>月</v>
      </c>
      <c r="J98" s="3" t="str">
        <f t="shared" si="16"/>
        <v>火</v>
      </c>
      <c r="K98" s="3" t="str">
        <f t="shared" si="16"/>
        <v>水</v>
      </c>
      <c r="L98" s="3" t="str">
        <f t="shared" si="16"/>
        <v>木</v>
      </c>
      <c r="M98" s="3" t="str">
        <f t="shared" si="16"/>
        <v>金</v>
      </c>
      <c r="N98" s="3" t="str">
        <f t="shared" si="16"/>
        <v>土</v>
      </c>
      <c r="O98" s="3" t="str">
        <f t="shared" si="16"/>
        <v>日</v>
      </c>
      <c r="P98" s="3" t="str">
        <f t="shared" si="16"/>
        <v>月</v>
      </c>
      <c r="Q98" s="3" t="str">
        <f t="shared" si="16"/>
        <v>火</v>
      </c>
      <c r="R98" s="3" t="str">
        <f t="shared" si="16"/>
        <v>水</v>
      </c>
      <c r="S98" s="3" t="str">
        <f t="shared" si="16"/>
        <v>木</v>
      </c>
      <c r="T98" s="3" t="str">
        <f t="shared" si="16"/>
        <v>金</v>
      </c>
      <c r="U98" s="3" t="str">
        <f t="shared" si="16"/>
        <v>土</v>
      </c>
      <c r="V98" s="3" t="str">
        <f t="shared" si="16"/>
        <v>日</v>
      </c>
      <c r="W98" s="3" t="str">
        <f t="shared" si="16"/>
        <v>月</v>
      </c>
      <c r="X98" s="3" t="str">
        <f t="shared" si="16"/>
        <v>火</v>
      </c>
      <c r="Y98" s="3" t="str">
        <f t="shared" si="16"/>
        <v>水</v>
      </c>
      <c r="Z98" s="3" t="str">
        <f t="shared" si="16"/>
        <v>木</v>
      </c>
      <c r="AA98" s="3" t="str">
        <f t="shared" si="16"/>
        <v>金</v>
      </c>
      <c r="AB98" s="3" t="str">
        <f t="shared" si="16"/>
        <v>土</v>
      </c>
      <c r="AC98" s="3" t="str">
        <f t="shared" si="16"/>
        <v>日</v>
      </c>
      <c r="AD98" s="3" t="str">
        <f t="shared" si="16"/>
        <v>月</v>
      </c>
      <c r="AE98" s="3" t="str">
        <f t="shared" si="16"/>
        <v>火</v>
      </c>
      <c r="AF98" s="3" t="str">
        <f t="shared" si="16"/>
        <v>水</v>
      </c>
      <c r="AG98" s="3" t="str">
        <f t="shared" si="16"/>
        <v/>
      </c>
      <c r="AI98" s="20" t="s">
        <v>26</v>
      </c>
      <c r="AJ98" s="24">
        <f>COUNT(C100:AG100)</f>
        <v>19</v>
      </c>
    </row>
    <row r="99" spans="1:36" outlineLevel="1" x14ac:dyDescent="0.45">
      <c r="C99" s="23">
        <f>C97</f>
        <v>46266</v>
      </c>
      <c r="D99" s="23">
        <f t="shared" ref="D99:AG99" si="17">IF(C99="","",IF(C99+1&lt;=EOMONTH($C$97,0),C99+1,""))</f>
        <v>46267</v>
      </c>
      <c r="E99" s="23">
        <f t="shared" si="17"/>
        <v>46268</v>
      </c>
      <c r="F99" s="23">
        <f t="shared" si="17"/>
        <v>46269</v>
      </c>
      <c r="G99" s="23">
        <f t="shared" si="17"/>
        <v>46270</v>
      </c>
      <c r="H99" s="23">
        <f t="shared" si="17"/>
        <v>46271</v>
      </c>
      <c r="I99" s="23">
        <f t="shared" si="17"/>
        <v>46272</v>
      </c>
      <c r="J99" s="23">
        <f t="shared" si="17"/>
        <v>46273</v>
      </c>
      <c r="K99" s="23">
        <f t="shared" si="17"/>
        <v>46274</v>
      </c>
      <c r="L99" s="23">
        <f t="shared" si="17"/>
        <v>46275</v>
      </c>
      <c r="M99" s="23">
        <f t="shared" si="17"/>
        <v>46276</v>
      </c>
      <c r="N99" s="23">
        <f t="shared" si="17"/>
        <v>46277</v>
      </c>
      <c r="O99" s="23">
        <f t="shared" si="17"/>
        <v>46278</v>
      </c>
      <c r="P99" s="23">
        <f t="shared" si="17"/>
        <v>46279</v>
      </c>
      <c r="Q99" s="23">
        <f t="shared" si="17"/>
        <v>46280</v>
      </c>
      <c r="R99" s="23">
        <f t="shared" si="17"/>
        <v>46281</v>
      </c>
      <c r="S99" s="23">
        <f t="shared" si="17"/>
        <v>46282</v>
      </c>
      <c r="T99" s="23">
        <f t="shared" si="17"/>
        <v>46283</v>
      </c>
      <c r="U99" s="23">
        <f t="shared" si="17"/>
        <v>46284</v>
      </c>
      <c r="V99" s="23">
        <f t="shared" si="17"/>
        <v>46285</v>
      </c>
      <c r="W99" s="23">
        <f t="shared" si="17"/>
        <v>46286</v>
      </c>
      <c r="X99" s="23">
        <f t="shared" si="17"/>
        <v>46287</v>
      </c>
      <c r="Y99" s="23">
        <f t="shared" si="17"/>
        <v>46288</v>
      </c>
      <c r="Z99" s="23">
        <f t="shared" si="17"/>
        <v>46289</v>
      </c>
      <c r="AA99" s="23">
        <f t="shared" si="17"/>
        <v>46290</v>
      </c>
      <c r="AB99" s="23">
        <f t="shared" si="17"/>
        <v>46291</v>
      </c>
      <c r="AC99" s="23">
        <f t="shared" si="17"/>
        <v>46292</v>
      </c>
      <c r="AD99" s="23">
        <f t="shared" si="17"/>
        <v>46293</v>
      </c>
      <c r="AE99" s="23">
        <f t="shared" si="17"/>
        <v>46294</v>
      </c>
      <c r="AF99" s="23">
        <f t="shared" si="17"/>
        <v>46295</v>
      </c>
      <c r="AG99" s="23" t="str">
        <f t="shared" si="17"/>
        <v/>
      </c>
      <c r="AI99" s="20" t="s">
        <v>27</v>
      </c>
      <c r="AJ99" s="21" t="str">
        <f>_xlfn.LET(_xlpm.v, SUM(C100:AG100),IF(_xlpm.v = INT(_xlpm.v),TEXT(_xlpm.v, "0") &amp; " h",TEXT(_xlpm.v, "0.###") &amp; " h"))</f>
        <v>152 h</v>
      </c>
    </row>
    <row r="100" spans="1:36" outlineLevel="1" x14ac:dyDescent="0.45">
      <c r="A100" s="20" t="s">
        <v>22</v>
      </c>
      <c r="C100" s="20">
        <v>8</v>
      </c>
      <c r="D100" s="20">
        <v>8</v>
      </c>
      <c r="E100" s="20">
        <v>8</v>
      </c>
      <c r="F100" s="20">
        <v>8</v>
      </c>
      <c r="G100" s="20"/>
      <c r="H100" s="20"/>
      <c r="I100" s="20">
        <v>8</v>
      </c>
      <c r="J100" s="20">
        <v>8</v>
      </c>
      <c r="K100" s="20">
        <v>8</v>
      </c>
      <c r="L100" s="20">
        <v>8</v>
      </c>
      <c r="M100" s="20">
        <v>8</v>
      </c>
      <c r="N100" s="20"/>
      <c r="O100" s="20"/>
      <c r="P100" s="20">
        <v>8</v>
      </c>
      <c r="Q100" s="20">
        <v>8</v>
      </c>
      <c r="R100" s="20">
        <v>8</v>
      </c>
      <c r="S100" s="20">
        <v>8</v>
      </c>
      <c r="T100" s="20">
        <v>8</v>
      </c>
      <c r="U100" s="20"/>
      <c r="V100" s="20"/>
      <c r="W100" s="20"/>
      <c r="X100" s="20"/>
      <c r="Y100" s="20"/>
      <c r="Z100" s="20">
        <v>8</v>
      </c>
      <c r="AA100" s="20">
        <v>8</v>
      </c>
      <c r="AB100" s="20"/>
      <c r="AC100" s="20"/>
      <c r="AD100" s="20">
        <v>8</v>
      </c>
      <c r="AE100" s="20">
        <v>8</v>
      </c>
      <c r="AF100" s="20">
        <v>8</v>
      </c>
      <c r="AG100" s="20"/>
      <c r="AI100" s="3" t="s">
        <v>28</v>
      </c>
      <c r="AJ100" s="25">
        <f>COUNT(C101:AG101)</f>
        <v>19</v>
      </c>
    </row>
    <row r="101" spans="1:36" outlineLevel="1" x14ac:dyDescent="0.45">
      <c r="A101" s="3" t="s">
        <v>23</v>
      </c>
      <c r="C101" s="3">
        <v>8</v>
      </c>
      <c r="D101" s="3">
        <v>8</v>
      </c>
      <c r="E101" s="3">
        <v>8</v>
      </c>
      <c r="F101" s="3">
        <v>8</v>
      </c>
      <c r="G101" s="3"/>
      <c r="H101" s="3"/>
      <c r="I101" s="3">
        <v>8</v>
      </c>
      <c r="J101" s="3">
        <v>8</v>
      </c>
      <c r="K101" s="3">
        <v>8</v>
      </c>
      <c r="L101" s="3">
        <v>8</v>
      </c>
      <c r="M101" s="3">
        <v>8</v>
      </c>
      <c r="N101" s="3"/>
      <c r="O101" s="3"/>
      <c r="P101" s="3">
        <v>8</v>
      </c>
      <c r="Q101" s="3">
        <v>8</v>
      </c>
      <c r="R101" s="3">
        <v>8</v>
      </c>
      <c r="S101" s="3">
        <v>8</v>
      </c>
      <c r="T101" s="3">
        <v>8</v>
      </c>
      <c r="U101" s="3"/>
      <c r="V101" s="3"/>
      <c r="W101" s="3"/>
      <c r="X101" s="3"/>
      <c r="Y101" s="3"/>
      <c r="Z101" s="3">
        <v>8</v>
      </c>
      <c r="AA101" s="3">
        <v>8</v>
      </c>
      <c r="AB101" s="3"/>
      <c r="AC101" s="3"/>
      <c r="AD101" s="3">
        <v>8</v>
      </c>
      <c r="AE101" s="3">
        <v>8</v>
      </c>
      <c r="AF101" s="3">
        <v>8</v>
      </c>
      <c r="AG101" s="3"/>
      <c r="AI101" s="3" t="s">
        <v>29</v>
      </c>
      <c r="AJ101" s="22" t="str">
        <f>_xlfn.LET(_xlpm.v, SUM(C101:AG101),IF(_xlpm.v = INT(_xlpm.v),TEXT(_xlpm.v, "0") &amp; " h",TEXT(_xlpm.v, "0.###") &amp; " h"))</f>
        <v>152 h</v>
      </c>
    </row>
    <row r="102" spans="1:36" outlineLevel="1" x14ac:dyDescent="0.45">
      <c r="A102" s="3" t="s">
        <v>24</v>
      </c>
      <c r="C102" s="3" t="s">
        <v>33</v>
      </c>
      <c r="D102" s="3" t="s">
        <v>33</v>
      </c>
      <c r="E102" s="3" t="s">
        <v>33</v>
      </c>
      <c r="F102" s="3" t="s">
        <v>33</v>
      </c>
      <c r="G102" s="3"/>
      <c r="H102" s="3"/>
      <c r="I102" s="3" t="s">
        <v>33</v>
      </c>
      <c r="J102" s="3" t="s">
        <v>33</v>
      </c>
      <c r="K102" s="3" t="s">
        <v>33</v>
      </c>
      <c r="L102" s="3" t="s">
        <v>33</v>
      </c>
      <c r="M102" s="3" t="s">
        <v>33</v>
      </c>
      <c r="N102" s="3"/>
      <c r="O102" s="3"/>
      <c r="P102" s="3" t="s">
        <v>33</v>
      </c>
      <c r="Q102" s="3" t="s">
        <v>33</v>
      </c>
      <c r="R102" s="3" t="s">
        <v>33</v>
      </c>
      <c r="S102" s="3" t="s">
        <v>33</v>
      </c>
      <c r="T102" s="3" t="s">
        <v>33</v>
      </c>
      <c r="U102" s="3"/>
      <c r="V102" s="3"/>
      <c r="W102" s="3"/>
      <c r="X102" s="3"/>
      <c r="Y102" s="3"/>
      <c r="Z102" s="3" t="s">
        <v>33</v>
      </c>
      <c r="AA102" s="3" t="s">
        <v>33</v>
      </c>
      <c r="AB102" s="3"/>
      <c r="AC102" s="3"/>
      <c r="AD102" s="3" t="s">
        <v>33</v>
      </c>
      <c r="AE102" s="3" t="s">
        <v>33</v>
      </c>
      <c r="AF102" s="3" t="s">
        <v>33</v>
      </c>
      <c r="AG102" s="3"/>
      <c r="AI102" s="3" t="s">
        <v>30</v>
      </c>
      <c r="AJ102" s="25">
        <f>COUNTIF(C102:AG102,"出")</f>
        <v>0</v>
      </c>
    </row>
    <row r="103" spans="1:36" outlineLevel="1" x14ac:dyDescent="0.45">
      <c r="A103" s="3" t="s">
        <v>25</v>
      </c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I103" s="3" t="s">
        <v>31</v>
      </c>
      <c r="AJ103" s="25">
        <f>COUNTIF(C102:AG102,"リ")</f>
        <v>19</v>
      </c>
    </row>
    <row r="104" spans="1:36" outlineLevel="1" x14ac:dyDescent="0.45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I104" s="3" t="s">
        <v>32</v>
      </c>
      <c r="AJ104" s="26">
        <f>AJ102/(AJ102+AJ103)</f>
        <v>0</v>
      </c>
    </row>
    <row r="105" spans="1:36" outlineLevel="1" x14ac:dyDescent="0.45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</row>
    <row r="106" spans="1:36" outlineLevel="1" x14ac:dyDescent="0.45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</row>
    <row r="107" spans="1:36" outlineLevel="1" x14ac:dyDescent="0.45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</row>
    <row r="108" spans="1:36" outlineLevel="1" x14ac:dyDescent="0.45"/>
    <row r="109" spans="1:36" x14ac:dyDescent="0.45">
      <c r="C109" s="37">
        <v>46296</v>
      </c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</row>
    <row r="110" spans="1:36" outlineLevel="1" x14ac:dyDescent="0.45">
      <c r="C110" s="3" t="str">
        <f t="shared" ref="C110:AG110" si="18">TEXT(C111,"aaa")</f>
        <v>木</v>
      </c>
      <c r="D110" s="3" t="str">
        <f t="shared" si="18"/>
        <v>金</v>
      </c>
      <c r="E110" s="3" t="str">
        <f t="shared" si="18"/>
        <v>土</v>
      </c>
      <c r="F110" s="3" t="str">
        <f t="shared" si="18"/>
        <v>日</v>
      </c>
      <c r="G110" s="3" t="str">
        <f t="shared" si="18"/>
        <v>月</v>
      </c>
      <c r="H110" s="3" t="str">
        <f t="shared" si="18"/>
        <v>火</v>
      </c>
      <c r="I110" s="3" t="str">
        <f t="shared" si="18"/>
        <v>水</v>
      </c>
      <c r="J110" s="3" t="str">
        <f t="shared" si="18"/>
        <v>木</v>
      </c>
      <c r="K110" s="3" t="str">
        <f t="shared" si="18"/>
        <v>金</v>
      </c>
      <c r="L110" s="3" t="str">
        <f t="shared" si="18"/>
        <v>土</v>
      </c>
      <c r="M110" s="3" t="str">
        <f t="shared" si="18"/>
        <v>日</v>
      </c>
      <c r="N110" s="3" t="str">
        <f t="shared" si="18"/>
        <v>月</v>
      </c>
      <c r="O110" s="3" t="str">
        <f t="shared" si="18"/>
        <v>火</v>
      </c>
      <c r="P110" s="3" t="str">
        <f t="shared" si="18"/>
        <v>水</v>
      </c>
      <c r="Q110" s="3" t="str">
        <f t="shared" si="18"/>
        <v>木</v>
      </c>
      <c r="R110" s="3" t="str">
        <f t="shared" si="18"/>
        <v>金</v>
      </c>
      <c r="S110" s="3" t="str">
        <f t="shared" si="18"/>
        <v>土</v>
      </c>
      <c r="T110" s="3" t="str">
        <f t="shared" si="18"/>
        <v>日</v>
      </c>
      <c r="U110" s="3" t="str">
        <f t="shared" si="18"/>
        <v>月</v>
      </c>
      <c r="V110" s="3" t="str">
        <f t="shared" si="18"/>
        <v>火</v>
      </c>
      <c r="W110" s="3" t="str">
        <f t="shared" si="18"/>
        <v>水</v>
      </c>
      <c r="X110" s="3" t="str">
        <f t="shared" si="18"/>
        <v>木</v>
      </c>
      <c r="Y110" s="3" t="str">
        <f t="shared" si="18"/>
        <v>金</v>
      </c>
      <c r="Z110" s="3" t="str">
        <f t="shared" si="18"/>
        <v>土</v>
      </c>
      <c r="AA110" s="3" t="str">
        <f t="shared" si="18"/>
        <v>日</v>
      </c>
      <c r="AB110" s="3" t="str">
        <f t="shared" si="18"/>
        <v>月</v>
      </c>
      <c r="AC110" s="3" t="str">
        <f t="shared" si="18"/>
        <v>火</v>
      </c>
      <c r="AD110" s="3" t="str">
        <f t="shared" si="18"/>
        <v>水</v>
      </c>
      <c r="AE110" s="3" t="str">
        <f t="shared" si="18"/>
        <v>木</v>
      </c>
      <c r="AF110" s="3" t="str">
        <f t="shared" si="18"/>
        <v>金</v>
      </c>
      <c r="AG110" s="3" t="str">
        <f t="shared" si="18"/>
        <v>土</v>
      </c>
      <c r="AI110" s="20" t="s">
        <v>26</v>
      </c>
      <c r="AJ110" s="24">
        <f>COUNT(C112:AG112)</f>
        <v>21</v>
      </c>
    </row>
    <row r="111" spans="1:36" outlineLevel="1" x14ac:dyDescent="0.45">
      <c r="C111" s="23">
        <f>C109</f>
        <v>46296</v>
      </c>
      <c r="D111" s="23">
        <f t="shared" ref="D111:AG111" si="19">IF(C111="","",IF(C111+1&lt;=EOMONTH($C$109,0),C111+1,""))</f>
        <v>46297</v>
      </c>
      <c r="E111" s="23">
        <f t="shared" si="19"/>
        <v>46298</v>
      </c>
      <c r="F111" s="23">
        <f t="shared" si="19"/>
        <v>46299</v>
      </c>
      <c r="G111" s="23">
        <f t="shared" si="19"/>
        <v>46300</v>
      </c>
      <c r="H111" s="23">
        <f t="shared" si="19"/>
        <v>46301</v>
      </c>
      <c r="I111" s="23">
        <f t="shared" si="19"/>
        <v>46302</v>
      </c>
      <c r="J111" s="23">
        <f t="shared" si="19"/>
        <v>46303</v>
      </c>
      <c r="K111" s="23">
        <f t="shared" si="19"/>
        <v>46304</v>
      </c>
      <c r="L111" s="23">
        <f t="shared" si="19"/>
        <v>46305</v>
      </c>
      <c r="M111" s="23">
        <f t="shared" si="19"/>
        <v>46306</v>
      </c>
      <c r="N111" s="23">
        <f t="shared" si="19"/>
        <v>46307</v>
      </c>
      <c r="O111" s="23">
        <f t="shared" si="19"/>
        <v>46308</v>
      </c>
      <c r="P111" s="23">
        <f t="shared" si="19"/>
        <v>46309</v>
      </c>
      <c r="Q111" s="23">
        <f t="shared" si="19"/>
        <v>46310</v>
      </c>
      <c r="R111" s="23">
        <f t="shared" si="19"/>
        <v>46311</v>
      </c>
      <c r="S111" s="23">
        <f t="shared" si="19"/>
        <v>46312</v>
      </c>
      <c r="T111" s="23">
        <f t="shared" si="19"/>
        <v>46313</v>
      </c>
      <c r="U111" s="23">
        <f t="shared" si="19"/>
        <v>46314</v>
      </c>
      <c r="V111" s="23">
        <f t="shared" si="19"/>
        <v>46315</v>
      </c>
      <c r="W111" s="23">
        <f t="shared" si="19"/>
        <v>46316</v>
      </c>
      <c r="X111" s="23">
        <f t="shared" si="19"/>
        <v>46317</v>
      </c>
      <c r="Y111" s="23">
        <f t="shared" si="19"/>
        <v>46318</v>
      </c>
      <c r="Z111" s="23">
        <f t="shared" si="19"/>
        <v>46319</v>
      </c>
      <c r="AA111" s="23">
        <f t="shared" si="19"/>
        <v>46320</v>
      </c>
      <c r="AB111" s="23">
        <f t="shared" si="19"/>
        <v>46321</v>
      </c>
      <c r="AC111" s="23">
        <f t="shared" si="19"/>
        <v>46322</v>
      </c>
      <c r="AD111" s="23">
        <f t="shared" si="19"/>
        <v>46323</v>
      </c>
      <c r="AE111" s="23">
        <f t="shared" si="19"/>
        <v>46324</v>
      </c>
      <c r="AF111" s="23">
        <f t="shared" si="19"/>
        <v>46325</v>
      </c>
      <c r="AG111" s="23">
        <f t="shared" si="19"/>
        <v>46326</v>
      </c>
      <c r="AI111" s="20" t="s">
        <v>27</v>
      </c>
      <c r="AJ111" s="21" t="str">
        <f>_xlfn.LET(_xlpm.v, SUM(C112:AG112),IF(_xlpm.v = INT(_xlpm.v),TEXT(_xlpm.v, "0") &amp; " h",TEXT(_xlpm.v, "0.###") &amp; " h"))</f>
        <v>168 h</v>
      </c>
    </row>
    <row r="112" spans="1:36" outlineLevel="1" x14ac:dyDescent="0.45">
      <c r="A112" s="20" t="s">
        <v>22</v>
      </c>
      <c r="C112" s="20">
        <v>8</v>
      </c>
      <c r="D112" s="20">
        <v>8</v>
      </c>
      <c r="E112" s="20"/>
      <c r="F112" s="20"/>
      <c r="G112" s="20">
        <v>8</v>
      </c>
      <c r="H112" s="20">
        <v>8</v>
      </c>
      <c r="I112" s="20">
        <v>8</v>
      </c>
      <c r="J112" s="20">
        <v>8</v>
      </c>
      <c r="K112" s="20">
        <v>8</v>
      </c>
      <c r="L112" s="20"/>
      <c r="M112" s="20"/>
      <c r="N112" s="20"/>
      <c r="O112" s="20">
        <v>8</v>
      </c>
      <c r="P112" s="20">
        <v>8</v>
      </c>
      <c r="Q112" s="20">
        <v>8</v>
      </c>
      <c r="R112" s="20">
        <v>8</v>
      </c>
      <c r="S112" s="20"/>
      <c r="T112" s="20"/>
      <c r="U112" s="20">
        <v>8</v>
      </c>
      <c r="V112" s="20">
        <v>8</v>
      </c>
      <c r="W112" s="20">
        <v>8</v>
      </c>
      <c r="X112" s="20">
        <v>8</v>
      </c>
      <c r="Y112" s="20">
        <v>8</v>
      </c>
      <c r="Z112" s="20"/>
      <c r="AA112" s="20"/>
      <c r="AB112" s="20">
        <v>8</v>
      </c>
      <c r="AC112" s="20">
        <v>8</v>
      </c>
      <c r="AD112" s="20">
        <v>8</v>
      </c>
      <c r="AE112" s="20">
        <v>8</v>
      </c>
      <c r="AF112" s="20">
        <v>8</v>
      </c>
      <c r="AG112" s="20"/>
      <c r="AI112" s="3" t="s">
        <v>28</v>
      </c>
      <c r="AJ112" s="25">
        <f>COUNT(C113:AG113)</f>
        <v>21</v>
      </c>
    </row>
    <row r="113" spans="1:36" outlineLevel="1" x14ac:dyDescent="0.45">
      <c r="A113" s="3" t="s">
        <v>23</v>
      </c>
      <c r="C113" s="3">
        <v>8</v>
      </c>
      <c r="D113" s="3">
        <v>8</v>
      </c>
      <c r="E113" s="3"/>
      <c r="F113" s="3"/>
      <c r="G113" s="3">
        <v>8</v>
      </c>
      <c r="H113" s="3">
        <v>8</v>
      </c>
      <c r="I113" s="3">
        <v>8</v>
      </c>
      <c r="J113" s="3">
        <v>8</v>
      </c>
      <c r="K113" s="3">
        <v>8</v>
      </c>
      <c r="L113" s="3"/>
      <c r="M113" s="3"/>
      <c r="N113" s="3"/>
      <c r="O113" s="3">
        <v>8</v>
      </c>
      <c r="P113" s="3">
        <v>8</v>
      </c>
      <c r="Q113" s="3">
        <v>8</v>
      </c>
      <c r="R113" s="3">
        <v>8</v>
      </c>
      <c r="S113" s="3"/>
      <c r="T113" s="3"/>
      <c r="U113" s="3">
        <v>8</v>
      </c>
      <c r="V113" s="3">
        <v>8</v>
      </c>
      <c r="W113" s="3">
        <v>8</v>
      </c>
      <c r="X113" s="3">
        <v>8</v>
      </c>
      <c r="Y113" s="3">
        <v>8</v>
      </c>
      <c r="Z113" s="3"/>
      <c r="AA113" s="3"/>
      <c r="AB113" s="3">
        <v>8</v>
      </c>
      <c r="AC113" s="3">
        <v>8</v>
      </c>
      <c r="AD113" s="3">
        <v>8</v>
      </c>
      <c r="AE113" s="3">
        <v>8</v>
      </c>
      <c r="AF113" s="3">
        <v>8</v>
      </c>
      <c r="AG113" s="3"/>
      <c r="AI113" s="3" t="s">
        <v>29</v>
      </c>
      <c r="AJ113" s="22" t="str">
        <f>_xlfn.LET(_xlpm.v, SUM(C113:AG113),IF(_xlpm.v = INT(_xlpm.v),TEXT(_xlpm.v, "0") &amp; " h",TEXT(_xlpm.v, "0.###") &amp; " h"))</f>
        <v>168 h</v>
      </c>
    </row>
    <row r="114" spans="1:36" outlineLevel="1" x14ac:dyDescent="0.45">
      <c r="A114" s="3" t="s">
        <v>24</v>
      </c>
      <c r="C114" s="3" t="s">
        <v>33</v>
      </c>
      <c r="D114" s="3" t="s">
        <v>33</v>
      </c>
      <c r="E114" s="3"/>
      <c r="F114" s="3"/>
      <c r="G114" s="3" t="s">
        <v>33</v>
      </c>
      <c r="H114" s="3" t="s">
        <v>33</v>
      </c>
      <c r="I114" s="3" t="s">
        <v>33</v>
      </c>
      <c r="J114" s="3" t="s">
        <v>33</v>
      </c>
      <c r="K114" s="3" t="s">
        <v>33</v>
      </c>
      <c r="L114" s="3"/>
      <c r="M114" s="3"/>
      <c r="N114" s="3"/>
      <c r="O114" s="3" t="s">
        <v>33</v>
      </c>
      <c r="P114" s="3" t="s">
        <v>33</v>
      </c>
      <c r="Q114" s="3" t="s">
        <v>33</v>
      </c>
      <c r="R114" s="3" t="s">
        <v>33</v>
      </c>
      <c r="S114" s="3"/>
      <c r="T114" s="3"/>
      <c r="U114" s="3" t="s">
        <v>33</v>
      </c>
      <c r="V114" s="3" t="s">
        <v>33</v>
      </c>
      <c r="W114" s="3" t="s">
        <v>33</v>
      </c>
      <c r="X114" s="3" t="s">
        <v>33</v>
      </c>
      <c r="Y114" s="3" t="s">
        <v>33</v>
      </c>
      <c r="Z114" s="3"/>
      <c r="AA114" s="3"/>
      <c r="AB114" s="3" t="s">
        <v>33</v>
      </c>
      <c r="AC114" s="3" t="s">
        <v>33</v>
      </c>
      <c r="AD114" s="3" t="s">
        <v>33</v>
      </c>
      <c r="AE114" s="3" t="s">
        <v>33</v>
      </c>
      <c r="AF114" s="3" t="s">
        <v>33</v>
      </c>
      <c r="AG114" s="3"/>
      <c r="AI114" s="3" t="s">
        <v>30</v>
      </c>
      <c r="AJ114" s="25">
        <f>COUNTIF(C114:AG114,"出")</f>
        <v>0</v>
      </c>
    </row>
    <row r="115" spans="1:36" outlineLevel="1" x14ac:dyDescent="0.45">
      <c r="A115" s="3" t="s">
        <v>25</v>
      </c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I115" s="3" t="s">
        <v>31</v>
      </c>
      <c r="AJ115" s="25">
        <f>COUNTIF(C114:AG114,"リ")</f>
        <v>21</v>
      </c>
    </row>
    <row r="116" spans="1:36" outlineLevel="1" x14ac:dyDescent="0.45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I116" s="3" t="s">
        <v>32</v>
      </c>
      <c r="AJ116" s="26">
        <f>AJ114/(AJ114+AJ115)</f>
        <v>0</v>
      </c>
    </row>
    <row r="117" spans="1:36" outlineLevel="1" x14ac:dyDescent="0.45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</row>
    <row r="118" spans="1:36" outlineLevel="1" x14ac:dyDescent="0.45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</row>
    <row r="119" spans="1:36" outlineLevel="1" x14ac:dyDescent="0.45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</row>
    <row r="120" spans="1:36" outlineLevel="1" x14ac:dyDescent="0.45"/>
    <row r="121" spans="1:36" x14ac:dyDescent="0.45">
      <c r="C121" s="37">
        <v>46327</v>
      </c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</row>
    <row r="122" spans="1:36" outlineLevel="1" x14ac:dyDescent="0.45">
      <c r="C122" s="3" t="str">
        <f t="shared" ref="C122:AG122" si="20">TEXT(C123,"aaa")</f>
        <v>日</v>
      </c>
      <c r="D122" s="3" t="str">
        <f t="shared" si="20"/>
        <v>月</v>
      </c>
      <c r="E122" s="3" t="str">
        <f t="shared" si="20"/>
        <v>火</v>
      </c>
      <c r="F122" s="3" t="str">
        <f t="shared" si="20"/>
        <v>水</v>
      </c>
      <c r="G122" s="3" t="str">
        <f t="shared" si="20"/>
        <v>木</v>
      </c>
      <c r="H122" s="3" t="str">
        <f t="shared" si="20"/>
        <v>金</v>
      </c>
      <c r="I122" s="3" t="str">
        <f t="shared" si="20"/>
        <v>土</v>
      </c>
      <c r="J122" s="3" t="str">
        <f t="shared" si="20"/>
        <v>日</v>
      </c>
      <c r="K122" s="3" t="str">
        <f t="shared" si="20"/>
        <v>月</v>
      </c>
      <c r="L122" s="3" t="str">
        <f t="shared" si="20"/>
        <v>火</v>
      </c>
      <c r="M122" s="3" t="str">
        <f t="shared" si="20"/>
        <v>水</v>
      </c>
      <c r="N122" s="3" t="str">
        <f t="shared" si="20"/>
        <v>木</v>
      </c>
      <c r="O122" s="3" t="str">
        <f t="shared" si="20"/>
        <v>金</v>
      </c>
      <c r="P122" s="3" t="str">
        <f t="shared" si="20"/>
        <v>土</v>
      </c>
      <c r="Q122" s="3" t="str">
        <f t="shared" si="20"/>
        <v>日</v>
      </c>
      <c r="R122" s="3" t="str">
        <f t="shared" si="20"/>
        <v>月</v>
      </c>
      <c r="S122" s="3" t="str">
        <f t="shared" si="20"/>
        <v>火</v>
      </c>
      <c r="T122" s="3" t="str">
        <f t="shared" si="20"/>
        <v>水</v>
      </c>
      <c r="U122" s="3" t="str">
        <f t="shared" si="20"/>
        <v>木</v>
      </c>
      <c r="V122" s="3" t="str">
        <f t="shared" si="20"/>
        <v>金</v>
      </c>
      <c r="W122" s="3" t="str">
        <f t="shared" si="20"/>
        <v>土</v>
      </c>
      <c r="X122" s="3" t="str">
        <f t="shared" si="20"/>
        <v>日</v>
      </c>
      <c r="Y122" s="3" t="str">
        <f t="shared" si="20"/>
        <v>月</v>
      </c>
      <c r="Z122" s="3" t="str">
        <f t="shared" si="20"/>
        <v>火</v>
      </c>
      <c r="AA122" s="3" t="str">
        <f t="shared" si="20"/>
        <v>水</v>
      </c>
      <c r="AB122" s="3" t="str">
        <f t="shared" si="20"/>
        <v>木</v>
      </c>
      <c r="AC122" s="3" t="str">
        <f t="shared" si="20"/>
        <v>金</v>
      </c>
      <c r="AD122" s="3" t="str">
        <f t="shared" si="20"/>
        <v>土</v>
      </c>
      <c r="AE122" s="3" t="str">
        <f t="shared" si="20"/>
        <v>日</v>
      </c>
      <c r="AF122" s="3" t="str">
        <f t="shared" si="20"/>
        <v>月</v>
      </c>
      <c r="AG122" s="3" t="str">
        <f t="shared" si="20"/>
        <v/>
      </c>
      <c r="AI122" s="20" t="s">
        <v>26</v>
      </c>
      <c r="AJ122" s="24">
        <f>COUNT(C124:AG124)</f>
        <v>19</v>
      </c>
    </row>
    <row r="123" spans="1:36" outlineLevel="1" x14ac:dyDescent="0.45">
      <c r="C123" s="23">
        <f>C121</f>
        <v>46327</v>
      </c>
      <c r="D123" s="23">
        <f t="shared" ref="D123:AG123" si="21">IF(C123="","",IF(C123+1&lt;=EOMONTH($C$121,0),C123+1,""))</f>
        <v>46328</v>
      </c>
      <c r="E123" s="23">
        <f t="shared" si="21"/>
        <v>46329</v>
      </c>
      <c r="F123" s="23">
        <f t="shared" si="21"/>
        <v>46330</v>
      </c>
      <c r="G123" s="23">
        <f t="shared" si="21"/>
        <v>46331</v>
      </c>
      <c r="H123" s="23">
        <f t="shared" si="21"/>
        <v>46332</v>
      </c>
      <c r="I123" s="23">
        <f t="shared" si="21"/>
        <v>46333</v>
      </c>
      <c r="J123" s="23">
        <f t="shared" si="21"/>
        <v>46334</v>
      </c>
      <c r="K123" s="23">
        <f t="shared" si="21"/>
        <v>46335</v>
      </c>
      <c r="L123" s="23">
        <f t="shared" si="21"/>
        <v>46336</v>
      </c>
      <c r="M123" s="23">
        <f t="shared" si="21"/>
        <v>46337</v>
      </c>
      <c r="N123" s="23">
        <f t="shared" si="21"/>
        <v>46338</v>
      </c>
      <c r="O123" s="23">
        <f t="shared" si="21"/>
        <v>46339</v>
      </c>
      <c r="P123" s="23">
        <f t="shared" si="21"/>
        <v>46340</v>
      </c>
      <c r="Q123" s="23">
        <f t="shared" si="21"/>
        <v>46341</v>
      </c>
      <c r="R123" s="23">
        <f t="shared" si="21"/>
        <v>46342</v>
      </c>
      <c r="S123" s="23">
        <f t="shared" si="21"/>
        <v>46343</v>
      </c>
      <c r="T123" s="23">
        <f t="shared" si="21"/>
        <v>46344</v>
      </c>
      <c r="U123" s="23">
        <f t="shared" si="21"/>
        <v>46345</v>
      </c>
      <c r="V123" s="23">
        <f t="shared" si="21"/>
        <v>46346</v>
      </c>
      <c r="W123" s="23">
        <f t="shared" si="21"/>
        <v>46347</v>
      </c>
      <c r="X123" s="23">
        <f t="shared" si="21"/>
        <v>46348</v>
      </c>
      <c r="Y123" s="23">
        <f t="shared" si="21"/>
        <v>46349</v>
      </c>
      <c r="Z123" s="23">
        <f t="shared" si="21"/>
        <v>46350</v>
      </c>
      <c r="AA123" s="23">
        <f t="shared" si="21"/>
        <v>46351</v>
      </c>
      <c r="AB123" s="23">
        <f t="shared" si="21"/>
        <v>46352</v>
      </c>
      <c r="AC123" s="23">
        <f t="shared" si="21"/>
        <v>46353</v>
      </c>
      <c r="AD123" s="23">
        <f t="shared" si="21"/>
        <v>46354</v>
      </c>
      <c r="AE123" s="23">
        <f t="shared" si="21"/>
        <v>46355</v>
      </c>
      <c r="AF123" s="23">
        <f t="shared" si="21"/>
        <v>46356</v>
      </c>
      <c r="AG123" s="23" t="str">
        <f t="shared" si="21"/>
        <v/>
      </c>
      <c r="AI123" s="20" t="s">
        <v>27</v>
      </c>
      <c r="AJ123" s="21" t="str">
        <f>_xlfn.LET(_xlpm.v, SUM(C124:AG124),IF(_xlpm.v = INT(_xlpm.v),TEXT(_xlpm.v, "0") &amp; " h",TEXT(_xlpm.v, "0.###") &amp; " h"))</f>
        <v>152 h</v>
      </c>
    </row>
    <row r="124" spans="1:36" outlineLevel="1" x14ac:dyDescent="0.45">
      <c r="A124" s="20" t="s">
        <v>22</v>
      </c>
      <c r="C124" s="20"/>
      <c r="D124" s="20">
        <v>8</v>
      </c>
      <c r="E124" s="20"/>
      <c r="F124" s="20">
        <v>8</v>
      </c>
      <c r="G124" s="20">
        <v>8</v>
      </c>
      <c r="H124" s="20">
        <v>8</v>
      </c>
      <c r="I124" s="20"/>
      <c r="J124" s="20"/>
      <c r="K124" s="20">
        <v>8</v>
      </c>
      <c r="L124" s="20">
        <v>8</v>
      </c>
      <c r="M124" s="20">
        <v>8</v>
      </c>
      <c r="N124" s="20">
        <v>8</v>
      </c>
      <c r="O124" s="20">
        <v>8</v>
      </c>
      <c r="P124" s="20"/>
      <c r="Q124" s="20"/>
      <c r="R124" s="20">
        <v>8</v>
      </c>
      <c r="S124" s="20">
        <v>8</v>
      </c>
      <c r="T124" s="20">
        <v>8</v>
      </c>
      <c r="U124" s="20">
        <v>8</v>
      </c>
      <c r="V124" s="20">
        <v>8</v>
      </c>
      <c r="W124" s="20"/>
      <c r="X124" s="20"/>
      <c r="Y124" s="20"/>
      <c r="Z124" s="20">
        <v>8</v>
      </c>
      <c r="AA124" s="20">
        <v>8</v>
      </c>
      <c r="AB124" s="20">
        <v>8</v>
      </c>
      <c r="AC124" s="20">
        <v>8</v>
      </c>
      <c r="AD124" s="20"/>
      <c r="AE124" s="20"/>
      <c r="AF124" s="20">
        <v>8</v>
      </c>
      <c r="AG124" s="20"/>
      <c r="AI124" s="3" t="s">
        <v>28</v>
      </c>
      <c r="AJ124" s="25">
        <f>COUNT(C125:AG125)</f>
        <v>19</v>
      </c>
    </row>
    <row r="125" spans="1:36" outlineLevel="1" x14ac:dyDescent="0.45">
      <c r="A125" s="3" t="s">
        <v>23</v>
      </c>
      <c r="C125" s="3"/>
      <c r="D125" s="3">
        <v>8</v>
      </c>
      <c r="E125" s="3"/>
      <c r="F125" s="3">
        <v>8</v>
      </c>
      <c r="G125" s="3">
        <v>8</v>
      </c>
      <c r="H125" s="3">
        <v>8</v>
      </c>
      <c r="I125" s="3"/>
      <c r="J125" s="3"/>
      <c r="K125" s="3">
        <v>8</v>
      </c>
      <c r="L125" s="3">
        <v>8</v>
      </c>
      <c r="M125" s="3">
        <v>8</v>
      </c>
      <c r="N125" s="3">
        <v>8</v>
      </c>
      <c r="O125" s="3">
        <v>8</v>
      </c>
      <c r="P125" s="3"/>
      <c r="Q125" s="3"/>
      <c r="R125" s="3">
        <v>8</v>
      </c>
      <c r="S125" s="3">
        <v>8</v>
      </c>
      <c r="T125" s="3">
        <v>8</v>
      </c>
      <c r="U125" s="3">
        <v>8</v>
      </c>
      <c r="V125" s="3">
        <v>8</v>
      </c>
      <c r="W125" s="3"/>
      <c r="X125" s="3"/>
      <c r="Y125" s="3"/>
      <c r="Z125" s="3">
        <v>8</v>
      </c>
      <c r="AA125" s="3">
        <v>8</v>
      </c>
      <c r="AB125" s="3">
        <v>8</v>
      </c>
      <c r="AC125" s="3">
        <v>8</v>
      </c>
      <c r="AD125" s="3"/>
      <c r="AE125" s="3"/>
      <c r="AF125" s="3">
        <v>8</v>
      </c>
      <c r="AG125" s="3"/>
      <c r="AI125" s="3" t="s">
        <v>29</v>
      </c>
      <c r="AJ125" s="22" t="str">
        <f>_xlfn.LET(_xlpm.v, SUM(C125:AG125),IF(_xlpm.v = INT(_xlpm.v),TEXT(_xlpm.v, "0") &amp; " h",TEXT(_xlpm.v, "0.###") &amp; " h"))</f>
        <v>152 h</v>
      </c>
    </row>
    <row r="126" spans="1:36" outlineLevel="1" x14ac:dyDescent="0.45">
      <c r="A126" s="3" t="s">
        <v>24</v>
      </c>
      <c r="C126" s="3"/>
      <c r="D126" s="3" t="s">
        <v>33</v>
      </c>
      <c r="E126" s="3"/>
      <c r="F126" s="3" t="s">
        <v>33</v>
      </c>
      <c r="G126" s="3" t="s">
        <v>33</v>
      </c>
      <c r="H126" s="3" t="s">
        <v>33</v>
      </c>
      <c r="I126" s="3"/>
      <c r="J126" s="3"/>
      <c r="K126" s="3" t="s">
        <v>33</v>
      </c>
      <c r="L126" s="3" t="s">
        <v>33</v>
      </c>
      <c r="M126" s="3" t="s">
        <v>33</v>
      </c>
      <c r="N126" s="3" t="s">
        <v>33</v>
      </c>
      <c r="O126" s="3" t="s">
        <v>33</v>
      </c>
      <c r="P126" s="3"/>
      <c r="Q126" s="3"/>
      <c r="R126" s="3" t="s">
        <v>33</v>
      </c>
      <c r="S126" s="3" t="s">
        <v>33</v>
      </c>
      <c r="T126" s="3" t="s">
        <v>33</v>
      </c>
      <c r="U126" s="3" t="s">
        <v>33</v>
      </c>
      <c r="V126" s="3" t="s">
        <v>33</v>
      </c>
      <c r="W126" s="3"/>
      <c r="X126" s="3"/>
      <c r="Y126" s="3"/>
      <c r="Z126" s="3" t="s">
        <v>33</v>
      </c>
      <c r="AA126" s="3" t="s">
        <v>33</v>
      </c>
      <c r="AB126" s="3" t="s">
        <v>33</v>
      </c>
      <c r="AC126" s="3" t="s">
        <v>33</v>
      </c>
      <c r="AD126" s="3"/>
      <c r="AE126" s="3"/>
      <c r="AF126" s="3" t="s">
        <v>33</v>
      </c>
      <c r="AG126" s="3"/>
      <c r="AI126" s="3" t="s">
        <v>30</v>
      </c>
      <c r="AJ126" s="25">
        <f>COUNTIF(C126:AG126,"出")</f>
        <v>0</v>
      </c>
    </row>
    <row r="127" spans="1:36" outlineLevel="1" x14ac:dyDescent="0.45">
      <c r="A127" s="3" t="s">
        <v>25</v>
      </c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I127" s="3" t="s">
        <v>31</v>
      </c>
      <c r="AJ127" s="25">
        <f>COUNTIF(C126:AG126,"リ")</f>
        <v>19</v>
      </c>
    </row>
    <row r="128" spans="1:36" outlineLevel="1" x14ac:dyDescent="0.45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I128" s="3" t="s">
        <v>32</v>
      </c>
      <c r="AJ128" s="26">
        <f>AJ126/(AJ126+AJ127)</f>
        <v>0</v>
      </c>
    </row>
    <row r="129" spans="1:36" outlineLevel="1" x14ac:dyDescent="0.45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</row>
    <row r="130" spans="1:36" outlineLevel="1" x14ac:dyDescent="0.45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</row>
    <row r="131" spans="1:36" outlineLevel="1" x14ac:dyDescent="0.45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</row>
    <row r="132" spans="1:36" outlineLevel="1" x14ac:dyDescent="0.45"/>
    <row r="133" spans="1:36" x14ac:dyDescent="0.45">
      <c r="C133" s="37">
        <v>46357</v>
      </c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</row>
    <row r="134" spans="1:36" outlineLevel="1" x14ac:dyDescent="0.45">
      <c r="C134" s="3" t="str">
        <f t="shared" ref="C134:AG134" si="22">TEXT(C135,"aaa")</f>
        <v>火</v>
      </c>
      <c r="D134" s="3" t="str">
        <f t="shared" si="22"/>
        <v>水</v>
      </c>
      <c r="E134" s="3" t="str">
        <f t="shared" si="22"/>
        <v>木</v>
      </c>
      <c r="F134" s="3" t="str">
        <f t="shared" si="22"/>
        <v>金</v>
      </c>
      <c r="G134" s="3" t="str">
        <f t="shared" si="22"/>
        <v>土</v>
      </c>
      <c r="H134" s="3" t="str">
        <f t="shared" si="22"/>
        <v>日</v>
      </c>
      <c r="I134" s="3" t="str">
        <f t="shared" si="22"/>
        <v>月</v>
      </c>
      <c r="J134" s="3" t="str">
        <f t="shared" si="22"/>
        <v>火</v>
      </c>
      <c r="K134" s="3" t="str">
        <f t="shared" si="22"/>
        <v>水</v>
      </c>
      <c r="L134" s="3" t="str">
        <f t="shared" si="22"/>
        <v>木</v>
      </c>
      <c r="M134" s="3" t="str">
        <f t="shared" si="22"/>
        <v>金</v>
      </c>
      <c r="N134" s="3" t="str">
        <f t="shared" si="22"/>
        <v>土</v>
      </c>
      <c r="O134" s="3" t="str">
        <f t="shared" si="22"/>
        <v>日</v>
      </c>
      <c r="P134" s="3" t="str">
        <f t="shared" si="22"/>
        <v>月</v>
      </c>
      <c r="Q134" s="3" t="str">
        <f t="shared" si="22"/>
        <v>火</v>
      </c>
      <c r="R134" s="3" t="str">
        <f t="shared" si="22"/>
        <v>水</v>
      </c>
      <c r="S134" s="3" t="str">
        <f t="shared" si="22"/>
        <v>木</v>
      </c>
      <c r="T134" s="3" t="str">
        <f t="shared" si="22"/>
        <v>金</v>
      </c>
      <c r="U134" s="3" t="str">
        <f t="shared" si="22"/>
        <v>土</v>
      </c>
      <c r="V134" s="3" t="str">
        <f t="shared" si="22"/>
        <v>日</v>
      </c>
      <c r="W134" s="3" t="str">
        <f t="shared" si="22"/>
        <v>月</v>
      </c>
      <c r="X134" s="3" t="str">
        <f t="shared" si="22"/>
        <v>火</v>
      </c>
      <c r="Y134" s="3" t="str">
        <f t="shared" si="22"/>
        <v>水</v>
      </c>
      <c r="Z134" s="3" t="str">
        <f t="shared" si="22"/>
        <v>木</v>
      </c>
      <c r="AA134" s="3" t="str">
        <f t="shared" si="22"/>
        <v>金</v>
      </c>
      <c r="AB134" s="3" t="str">
        <f t="shared" si="22"/>
        <v>土</v>
      </c>
      <c r="AC134" s="3" t="str">
        <f t="shared" si="22"/>
        <v>日</v>
      </c>
      <c r="AD134" s="3" t="str">
        <f t="shared" si="22"/>
        <v>月</v>
      </c>
      <c r="AE134" s="3" t="str">
        <f t="shared" si="22"/>
        <v>火</v>
      </c>
      <c r="AF134" s="3" t="str">
        <f t="shared" si="22"/>
        <v>水</v>
      </c>
      <c r="AG134" s="3" t="str">
        <f t="shared" si="22"/>
        <v>木</v>
      </c>
      <c r="AI134" s="20" t="s">
        <v>26</v>
      </c>
      <c r="AJ134" s="24">
        <f>COUNT(C136:AG136)</f>
        <v>23</v>
      </c>
    </row>
    <row r="135" spans="1:36" outlineLevel="1" x14ac:dyDescent="0.45">
      <c r="C135" s="23">
        <f>C133</f>
        <v>46357</v>
      </c>
      <c r="D135" s="23">
        <f t="shared" ref="D135:AG135" si="23">IF(C135="","",IF(C135+1&lt;=EOMONTH($C$133,0),C135+1,""))</f>
        <v>46358</v>
      </c>
      <c r="E135" s="23">
        <f t="shared" si="23"/>
        <v>46359</v>
      </c>
      <c r="F135" s="23">
        <f t="shared" si="23"/>
        <v>46360</v>
      </c>
      <c r="G135" s="23">
        <f t="shared" si="23"/>
        <v>46361</v>
      </c>
      <c r="H135" s="23">
        <f t="shared" si="23"/>
        <v>46362</v>
      </c>
      <c r="I135" s="23">
        <f t="shared" si="23"/>
        <v>46363</v>
      </c>
      <c r="J135" s="23">
        <f t="shared" si="23"/>
        <v>46364</v>
      </c>
      <c r="K135" s="23">
        <f t="shared" si="23"/>
        <v>46365</v>
      </c>
      <c r="L135" s="23">
        <f t="shared" si="23"/>
        <v>46366</v>
      </c>
      <c r="M135" s="23">
        <f t="shared" si="23"/>
        <v>46367</v>
      </c>
      <c r="N135" s="23">
        <f t="shared" si="23"/>
        <v>46368</v>
      </c>
      <c r="O135" s="23">
        <f t="shared" si="23"/>
        <v>46369</v>
      </c>
      <c r="P135" s="23">
        <f t="shared" si="23"/>
        <v>46370</v>
      </c>
      <c r="Q135" s="23">
        <f t="shared" si="23"/>
        <v>46371</v>
      </c>
      <c r="R135" s="23">
        <f t="shared" si="23"/>
        <v>46372</v>
      </c>
      <c r="S135" s="23">
        <f t="shared" si="23"/>
        <v>46373</v>
      </c>
      <c r="T135" s="23">
        <f t="shared" si="23"/>
        <v>46374</v>
      </c>
      <c r="U135" s="23">
        <f t="shared" si="23"/>
        <v>46375</v>
      </c>
      <c r="V135" s="23">
        <f t="shared" si="23"/>
        <v>46376</v>
      </c>
      <c r="W135" s="23">
        <f t="shared" si="23"/>
        <v>46377</v>
      </c>
      <c r="X135" s="23">
        <f t="shared" si="23"/>
        <v>46378</v>
      </c>
      <c r="Y135" s="23">
        <f t="shared" si="23"/>
        <v>46379</v>
      </c>
      <c r="Z135" s="23">
        <f t="shared" si="23"/>
        <v>46380</v>
      </c>
      <c r="AA135" s="23">
        <f t="shared" si="23"/>
        <v>46381</v>
      </c>
      <c r="AB135" s="23">
        <f t="shared" si="23"/>
        <v>46382</v>
      </c>
      <c r="AC135" s="23">
        <f t="shared" si="23"/>
        <v>46383</v>
      </c>
      <c r="AD135" s="23">
        <f t="shared" si="23"/>
        <v>46384</v>
      </c>
      <c r="AE135" s="23">
        <f t="shared" si="23"/>
        <v>46385</v>
      </c>
      <c r="AF135" s="23">
        <f t="shared" si="23"/>
        <v>46386</v>
      </c>
      <c r="AG135" s="23">
        <f t="shared" si="23"/>
        <v>46387</v>
      </c>
      <c r="AI135" s="20" t="s">
        <v>27</v>
      </c>
      <c r="AJ135" s="21" t="str">
        <f>_xlfn.LET(_xlpm.v, SUM(C136:AG136),IF(_xlpm.v = INT(_xlpm.v),TEXT(_xlpm.v, "0") &amp; " h",TEXT(_xlpm.v, "0.###") &amp; " h"))</f>
        <v>184 h</v>
      </c>
    </row>
    <row r="136" spans="1:36" outlineLevel="1" x14ac:dyDescent="0.45">
      <c r="A136" s="20" t="s">
        <v>22</v>
      </c>
      <c r="C136" s="20">
        <v>8</v>
      </c>
      <c r="D136" s="20">
        <v>8</v>
      </c>
      <c r="E136" s="20">
        <v>8</v>
      </c>
      <c r="F136" s="20">
        <v>8</v>
      </c>
      <c r="G136" s="20"/>
      <c r="H136" s="20"/>
      <c r="I136" s="20">
        <v>8</v>
      </c>
      <c r="J136" s="20">
        <v>8</v>
      </c>
      <c r="K136" s="20">
        <v>8</v>
      </c>
      <c r="L136" s="20">
        <v>8</v>
      </c>
      <c r="M136" s="20">
        <v>8</v>
      </c>
      <c r="N136" s="20"/>
      <c r="O136" s="20"/>
      <c r="P136" s="20">
        <v>8</v>
      </c>
      <c r="Q136" s="20">
        <v>8</v>
      </c>
      <c r="R136" s="20">
        <v>8</v>
      </c>
      <c r="S136" s="20">
        <v>8</v>
      </c>
      <c r="T136" s="20">
        <v>8</v>
      </c>
      <c r="U136" s="20"/>
      <c r="V136" s="20"/>
      <c r="W136" s="20">
        <v>8</v>
      </c>
      <c r="X136" s="20">
        <v>8</v>
      </c>
      <c r="Y136" s="20">
        <v>8</v>
      </c>
      <c r="Z136" s="20">
        <v>8</v>
      </c>
      <c r="AA136" s="20">
        <v>8</v>
      </c>
      <c r="AB136" s="20"/>
      <c r="AC136" s="20"/>
      <c r="AD136" s="20">
        <v>8</v>
      </c>
      <c r="AE136" s="20">
        <v>8</v>
      </c>
      <c r="AF136" s="20">
        <v>8</v>
      </c>
      <c r="AG136" s="20">
        <v>8</v>
      </c>
      <c r="AI136" s="3" t="s">
        <v>28</v>
      </c>
      <c r="AJ136" s="25">
        <f>COUNT(C137:AG137)</f>
        <v>23</v>
      </c>
    </row>
    <row r="137" spans="1:36" outlineLevel="1" x14ac:dyDescent="0.45">
      <c r="A137" s="3" t="s">
        <v>23</v>
      </c>
      <c r="C137" s="3">
        <v>8</v>
      </c>
      <c r="D137" s="3">
        <v>8</v>
      </c>
      <c r="E137" s="3">
        <v>8</v>
      </c>
      <c r="F137" s="3">
        <v>8</v>
      </c>
      <c r="G137" s="3"/>
      <c r="H137" s="3"/>
      <c r="I137" s="3">
        <v>8</v>
      </c>
      <c r="J137" s="3">
        <v>8</v>
      </c>
      <c r="K137" s="3">
        <v>8</v>
      </c>
      <c r="L137" s="3">
        <v>8</v>
      </c>
      <c r="M137" s="3">
        <v>8</v>
      </c>
      <c r="N137" s="3"/>
      <c r="O137" s="3"/>
      <c r="P137" s="3">
        <v>8</v>
      </c>
      <c r="Q137" s="3">
        <v>8</v>
      </c>
      <c r="R137" s="3">
        <v>8</v>
      </c>
      <c r="S137" s="3">
        <v>8</v>
      </c>
      <c r="T137" s="3">
        <v>8</v>
      </c>
      <c r="U137" s="3"/>
      <c r="V137" s="3"/>
      <c r="W137" s="3">
        <v>8</v>
      </c>
      <c r="X137" s="3">
        <v>8</v>
      </c>
      <c r="Y137" s="3">
        <v>8</v>
      </c>
      <c r="Z137" s="3">
        <v>8</v>
      </c>
      <c r="AA137" s="3">
        <v>8</v>
      </c>
      <c r="AB137" s="3"/>
      <c r="AC137" s="3"/>
      <c r="AD137" s="3">
        <v>8</v>
      </c>
      <c r="AE137" s="3">
        <v>8</v>
      </c>
      <c r="AF137" s="3">
        <v>8</v>
      </c>
      <c r="AG137" s="3">
        <v>8</v>
      </c>
      <c r="AI137" s="3" t="s">
        <v>29</v>
      </c>
      <c r="AJ137" s="22" t="str">
        <f>_xlfn.LET(_xlpm.v, SUM(C137:AG137),IF(_xlpm.v = INT(_xlpm.v),TEXT(_xlpm.v, "0") &amp; " h",TEXT(_xlpm.v, "0.###") &amp; " h"))</f>
        <v>184 h</v>
      </c>
    </row>
    <row r="138" spans="1:36" outlineLevel="1" x14ac:dyDescent="0.45">
      <c r="A138" s="3" t="s">
        <v>24</v>
      </c>
      <c r="C138" s="3" t="s">
        <v>33</v>
      </c>
      <c r="D138" s="3" t="s">
        <v>33</v>
      </c>
      <c r="E138" s="3" t="s">
        <v>33</v>
      </c>
      <c r="F138" s="3" t="s">
        <v>33</v>
      </c>
      <c r="G138" s="3"/>
      <c r="H138" s="3"/>
      <c r="I138" s="3" t="s">
        <v>33</v>
      </c>
      <c r="J138" s="3" t="s">
        <v>33</v>
      </c>
      <c r="K138" s="3" t="s">
        <v>33</v>
      </c>
      <c r="L138" s="3" t="s">
        <v>33</v>
      </c>
      <c r="M138" s="3" t="s">
        <v>33</v>
      </c>
      <c r="N138" s="3"/>
      <c r="O138" s="3"/>
      <c r="P138" s="3" t="s">
        <v>33</v>
      </c>
      <c r="Q138" s="3" t="s">
        <v>33</v>
      </c>
      <c r="R138" s="3" t="s">
        <v>33</v>
      </c>
      <c r="S138" s="3" t="s">
        <v>33</v>
      </c>
      <c r="T138" s="3" t="s">
        <v>33</v>
      </c>
      <c r="U138" s="3"/>
      <c r="V138" s="3"/>
      <c r="W138" s="3" t="s">
        <v>33</v>
      </c>
      <c r="X138" s="3" t="s">
        <v>33</v>
      </c>
      <c r="Y138" s="3" t="s">
        <v>33</v>
      </c>
      <c r="Z138" s="3" t="s">
        <v>33</v>
      </c>
      <c r="AA138" s="3" t="s">
        <v>33</v>
      </c>
      <c r="AB138" s="3"/>
      <c r="AC138" s="3"/>
      <c r="AD138" s="3" t="s">
        <v>33</v>
      </c>
      <c r="AE138" s="3" t="s">
        <v>33</v>
      </c>
      <c r="AF138" s="3" t="s">
        <v>33</v>
      </c>
      <c r="AG138" s="3" t="s">
        <v>33</v>
      </c>
      <c r="AI138" s="3" t="s">
        <v>30</v>
      </c>
      <c r="AJ138" s="25">
        <f>COUNTIF(C138:AG138,"出")</f>
        <v>0</v>
      </c>
    </row>
    <row r="139" spans="1:36" outlineLevel="1" x14ac:dyDescent="0.45">
      <c r="A139" s="3" t="s">
        <v>25</v>
      </c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I139" s="3" t="s">
        <v>31</v>
      </c>
      <c r="AJ139" s="25">
        <f>COUNTIF(C138:AG138,"リ")</f>
        <v>23</v>
      </c>
    </row>
    <row r="140" spans="1:36" outlineLevel="1" x14ac:dyDescent="0.45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I140" s="3" t="s">
        <v>32</v>
      </c>
      <c r="AJ140" s="26">
        <f>AJ138/(AJ138+AJ139)</f>
        <v>0</v>
      </c>
    </row>
    <row r="141" spans="1:36" outlineLevel="1" x14ac:dyDescent="0.45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</row>
    <row r="142" spans="1:36" outlineLevel="1" x14ac:dyDescent="0.45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</row>
    <row r="143" spans="1:36" outlineLevel="1" x14ac:dyDescent="0.45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</row>
    <row r="144" spans="1:36" outlineLevel="1" x14ac:dyDescent="0.45"/>
  </sheetData>
  <mergeCells count="36">
    <mergeCell ref="C1:AG1"/>
    <mergeCell ref="C7:Q11"/>
    <mergeCell ref="S7:AG11"/>
    <mergeCell ref="C13:AG13"/>
    <mergeCell ref="C19:Q23"/>
    <mergeCell ref="S19:AG23"/>
    <mergeCell ref="C25:AG25"/>
    <mergeCell ref="C31:Q35"/>
    <mergeCell ref="S31:AG35"/>
    <mergeCell ref="C37:AG37"/>
    <mergeCell ref="C43:Q47"/>
    <mergeCell ref="S43:AG47"/>
    <mergeCell ref="C49:AG49"/>
    <mergeCell ref="C55:Q59"/>
    <mergeCell ref="S55:AG59"/>
    <mergeCell ref="C61:AG61"/>
    <mergeCell ref="C67:Q71"/>
    <mergeCell ref="S67:AG71"/>
    <mergeCell ref="C73:AG73"/>
    <mergeCell ref="C79:Q83"/>
    <mergeCell ref="S79:AG83"/>
    <mergeCell ref="C85:AG85"/>
    <mergeCell ref="C91:Q95"/>
    <mergeCell ref="S91:AG95"/>
    <mergeCell ref="C97:AG97"/>
    <mergeCell ref="C103:Q107"/>
    <mergeCell ref="S103:AG107"/>
    <mergeCell ref="C109:AG109"/>
    <mergeCell ref="C115:Q119"/>
    <mergeCell ref="S115:AG119"/>
    <mergeCell ref="C121:AG121"/>
    <mergeCell ref="C127:Q131"/>
    <mergeCell ref="S127:AG131"/>
    <mergeCell ref="C133:AG133"/>
    <mergeCell ref="C139:Q143"/>
    <mergeCell ref="S139:AG143"/>
  </mergeCells>
  <phoneticPr fontId="1"/>
  <conditionalFormatting sqref="C2:AG6">
    <cfRule type="expression" dxfId="48" priority="1" stopIfTrue="1">
      <formula>C$3=""</formula>
    </cfRule>
  </conditionalFormatting>
  <conditionalFormatting sqref="C2:AG2">
    <cfRule type="expression" dxfId="47" priority="3" stopIfTrue="1">
      <formula>WEEKDAY(C3,2)=7</formula>
    </cfRule>
    <cfRule type="expression" dxfId="46" priority="4" stopIfTrue="1">
      <formula>WEEKDAY(C3,2)=6</formula>
    </cfRule>
  </conditionalFormatting>
  <conditionalFormatting sqref="C14:AG18">
    <cfRule type="expression" dxfId="45" priority="5" stopIfTrue="1">
      <formula>C$15=""</formula>
    </cfRule>
  </conditionalFormatting>
  <conditionalFormatting sqref="C14:AG14">
    <cfRule type="expression" dxfId="44" priority="7" stopIfTrue="1">
      <formula>WEEKDAY(C15,2)=7</formula>
    </cfRule>
    <cfRule type="expression" dxfId="43" priority="8" stopIfTrue="1">
      <formula>WEEKDAY(C15,2)=6</formula>
    </cfRule>
  </conditionalFormatting>
  <conditionalFormatting sqref="C26:AG30">
    <cfRule type="expression" dxfId="42" priority="9" stopIfTrue="1">
      <formula>C$27=""</formula>
    </cfRule>
  </conditionalFormatting>
  <conditionalFormatting sqref="C26:AG26">
    <cfRule type="expression" dxfId="41" priority="11" stopIfTrue="1">
      <formula>WEEKDAY(C27,2)=7</formula>
    </cfRule>
    <cfRule type="expression" dxfId="40" priority="12" stopIfTrue="1">
      <formula>WEEKDAY(C27,2)=6</formula>
    </cfRule>
  </conditionalFormatting>
  <conditionalFormatting sqref="C38:AG42">
    <cfRule type="expression" dxfId="39" priority="13" stopIfTrue="1">
      <formula>C$39=""</formula>
    </cfRule>
  </conditionalFormatting>
  <conditionalFormatting sqref="C38:AG38">
    <cfRule type="expression" dxfId="38" priority="15" stopIfTrue="1">
      <formula>WEEKDAY(C39,2)=7</formula>
    </cfRule>
    <cfRule type="expression" dxfId="37" priority="16" stopIfTrue="1">
      <formula>WEEKDAY(C39,2)=6</formula>
    </cfRule>
  </conditionalFormatting>
  <conditionalFormatting sqref="C50:AG54">
    <cfRule type="expression" dxfId="36" priority="17" stopIfTrue="1">
      <formula>C$51=""</formula>
    </cfRule>
  </conditionalFormatting>
  <conditionalFormatting sqref="C50:AG50">
    <cfRule type="expression" dxfId="35" priority="19" stopIfTrue="1">
      <formula>WEEKDAY(C51,2)=7</formula>
    </cfRule>
    <cfRule type="expression" dxfId="34" priority="20" stopIfTrue="1">
      <formula>WEEKDAY(C51,2)=6</formula>
    </cfRule>
  </conditionalFormatting>
  <conditionalFormatting sqref="C62:AG66">
    <cfRule type="expression" dxfId="33" priority="21" stopIfTrue="1">
      <formula>C$63=""</formula>
    </cfRule>
  </conditionalFormatting>
  <conditionalFormatting sqref="C62:AG62">
    <cfRule type="expression" dxfId="32" priority="23" stopIfTrue="1">
      <formula>WEEKDAY(C63,2)=7</formula>
    </cfRule>
    <cfRule type="expression" dxfId="31" priority="24" stopIfTrue="1">
      <formula>WEEKDAY(C63,2)=6</formula>
    </cfRule>
  </conditionalFormatting>
  <conditionalFormatting sqref="C74:AG78">
    <cfRule type="expression" dxfId="30" priority="25" stopIfTrue="1">
      <formula>C$75=""</formula>
    </cfRule>
  </conditionalFormatting>
  <conditionalFormatting sqref="C74:AG74">
    <cfRule type="expression" dxfId="29" priority="27" stopIfTrue="1">
      <formula>WEEKDAY(C75,2)=7</formula>
    </cfRule>
    <cfRule type="expression" dxfId="28" priority="28" stopIfTrue="1">
      <formula>WEEKDAY(C75,2)=6</formula>
    </cfRule>
  </conditionalFormatting>
  <conditionalFormatting sqref="C86:AG90">
    <cfRule type="expression" dxfId="27" priority="29" stopIfTrue="1">
      <formula>C$87=""</formula>
    </cfRule>
  </conditionalFormatting>
  <conditionalFormatting sqref="C86:AG86">
    <cfRule type="expression" dxfId="26" priority="31" stopIfTrue="1">
      <formula>WEEKDAY(C87,2)=7</formula>
    </cfRule>
    <cfRule type="expression" dxfId="25" priority="32" stopIfTrue="1">
      <formula>WEEKDAY(C87,2)=6</formula>
    </cfRule>
  </conditionalFormatting>
  <conditionalFormatting sqref="C98:AG102">
    <cfRule type="expression" dxfId="24" priority="33" stopIfTrue="1">
      <formula>C$99=""</formula>
    </cfRule>
  </conditionalFormatting>
  <conditionalFormatting sqref="C98:AG98">
    <cfRule type="expression" dxfId="23" priority="35" stopIfTrue="1">
      <formula>WEEKDAY(C99,2)=7</formula>
    </cfRule>
    <cfRule type="expression" dxfId="22" priority="36" stopIfTrue="1">
      <formula>WEEKDAY(C99,2)=6</formula>
    </cfRule>
  </conditionalFormatting>
  <conditionalFormatting sqref="C110:AG114">
    <cfRule type="expression" dxfId="21" priority="37" stopIfTrue="1">
      <formula>C$111=""</formula>
    </cfRule>
  </conditionalFormatting>
  <conditionalFormatting sqref="C110:AG110">
    <cfRule type="expression" dxfId="20" priority="39" stopIfTrue="1">
      <formula>WEEKDAY(C111,2)=7</formula>
    </cfRule>
    <cfRule type="expression" dxfId="19" priority="40" stopIfTrue="1">
      <formula>WEEKDAY(C111,2)=6</formula>
    </cfRule>
  </conditionalFormatting>
  <conditionalFormatting sqref="C122:AG126">
    <cfRule type="expression" dxfId="18" priority="41" stopIfTrue="1">
      <formula>C$123=""</formula>
    </cfRule>
  </conditionalFormatting>
  <conditionalFormatting sqref="C122:AG122">
    <cfRule type="expression" dxfId="17" priority="43" stopIfTrue="1">
      <formula>WEEKDAY(C123,2)=7</formula>
    </cfRule>
  </conditionalFormatting>
  <conditionalFormatting sqref="C122:AG122">
    <cfRule type="expression" dxfId="16" priority="44" stopIfTrue="1">
      <formula>WEEKDAY(C123,2)=6</formula>
    </cfRule>
  </conditionalFormatting>
  <conditionalFormatting sqref="C134:AG138">
    <cfRule type="expression" dxfId="15" priority="45" stopIfTrue="1">
      <formula>C$135=""</formula>
    </cfRule>
  </conditionalFormatting>
  <conditionalFormatting sqref="C134:AG134">
    <cfRule type="expression" dxfId="14" priority="47" stopIfTrue="1">
      <formula>WEEKDAY(C135,2)=7</formula>
    </cfRule>
  </conditionalFormatting>
  <conditionalFormatting sqref="C134:AG134">
    <cfRule type="expression" dxfId="13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BCA9305-A202-4109-A395-308637ECD491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A02BED29-4443-494E-A8B4-3896261F4C94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F2EAD4B-823C-48B8-B412-90D6072CA2CA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1AD08FC4-8E91-4B9D-8D53-5F634773F002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4A880221-F5B3-4174-AD9B-68087349CCB0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6E844CA2-0E3E-4646-AA58-FBDFB9FF37AA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C274A0B1-0CD0-4EE6-B2EC-D7D5C7CCED70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55F876E0-F453-47D6-B56C-BAC6E8EEE3B8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92CCDE1-C8C7-48BC-904D-29572FB7A86F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3B55799E-722A-4F02-B7CA-5328137B07F1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E4C82A8A-8825-46D8-A73F-95FAC09E4EF8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423B5D71-355D-4FCD-B913-CBC6738E190F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DF8BD-A72C-4B58-BD49-2425DE8F9136}">
  <sheetPr codeName="Sheet3">
    <tabColor rgb="FFF09090"/>
  </sheetPr>
  <dimension ref="A1:D216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3" customWidth="1"/>
    <col min="3" max="3" width="12.69921875" style="1" customWidth="1"/>
    <col min="4" max="4" width="8.69921875" style="3" customWidth="1"/>
    <col min="5" max="16384" width="8.796875" style="1"/>
  </cols>
  <sheetData>
    <row r="1" spans="1:4" x14ac:dyDescent="0.4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45">
      <c r="A2" s="4">
        <f t="shared" ref="A2:A65" si="0">B2</f>
        <v>45658</v>
      </c>
      <c r="B2" s="5">
        <v>45658</v>
      </c>
      <c r="C2" s="6" t="s">
        <v>4</v>
      </c>
      <c r="D2" s="7">
        <v>1</v>
      </c>
    </row>
    <row r="3" spans="1:4" x14ac:dyDescent="0.45">
      <c r="A3" s="8">
        <f t="shared" si="0"/>
        <v>45670</v>
      </c>
      <c r="B3" s="9">
        <v>45670</v>
      </c>
      <c r="C3" s="10" t="s">
        <v>5</v>
      </c>
      <c r="D3" s="11">
        <v>2</v>
      </c>
    </row>
    <row r="4" spans="1:4" x14ac:dyDescent="0.45">
      <c r="A4" s="8">
        <f t="shared" si="0"/>
        <v>45699</v>
      </c>
      <c r="B4" s="9">
        <v>45699</v>
      </c>
      <c r="C4" s="10" t="s">
        <v>6</v>
      </c>
      <c r="D4" s="11">
        <v>3</v>
      </c>
    </row>
    <row r="5" spans="1:4" x14ac:dyDescent="0.45">
      <c r="A5" s="8">
        <f t="shared" si="0"/>
        <v>45711</v>
      </c>
      <c r="B5" s="9">
        <v>45711</v>
      </c>
      <c r="C5" s="10" t="s">
        <v>7</v>
      </c>
      <c r="D5" s="11">
        <v>4</v>
      </c>
    </row>
    <row r="6" spans="1:4" x14ac:dyDescent="0.45">
      <c r="A6" s="8">
        <f t="shared" si="0"/>
        <v>45712</v>
      </c>
      <c r="B6" s="9">
        <v>45712</v>
      </c>
      <c r="C6" s="10" t="s">
        <v>8</v>
      </c>
      <c r="D6" s="11">
        <v>5</v>
      </c>
    </row>
    <row r="7" spans="1:4" x14ac:dyDescent="0.45">
      <c r="A7" s="8">
        <f t="shared" si="0"/>
        <v>45736</v>
      </c>
      <c r="B7" s="9">
        <v>45736</v>
      </c>
      <c r="C7" s="10" t="s">
        <v>9</v>
      </c>
      <c r="D7" s="11">
        <v>6</v>
      </c>
    </row>
    <row r="8" spans="1:4" x14ac:dyDescent="0.45">
      <c r="A8" s="8">
        <f t="shared" si="0"/>
        <v>45776</v>
      </c>
      <c r="B8" s="9">
        <v>45776</v>
      </c>
      <c r="C8" s="10" t="s">
        <v>10</v>
      </c>
      <c r="D8" s="11">
        <v>7</v>
      </c>
    </row>
    <row r="9" spans="1:4" x14ac:dyDescent="0.45">
      <c r="A9" s="8">
        <f t="shared" si="0"/>
        <v>45780</v>
      </c>
      <c r="B9" s="9">
        <v>45780</v>
      </c>
      <c r="C9" s="10" t="s">
        <v>11</v>
      </c>
      <c r="D9" s="11">
        <v>8</v>
      </c>
    </row>
    <row r="10" spans="1:4" x14ac:dyDescent="0.45">
      <c r="A10" s="8">
        <f t="shared" si="0"/>
        <v>45781</v>
      </c>
      <c r="B10" s="9">
        <v>45781</v>
      </c>
      <c r="C10" s="10" t="s">
        <v>12</v>
      </c>
      <c r="D10" s="11">
        <v>9</v>
      </c>
    </row>
    <row r="11" spans="1:4" x14ac:dyDescent="0.45">
      <c r="A11" s="8">
        <f t="shared" si="0"/>
        <v>45782</v>
      </c>
      <c r="B11" s="9">
        <v>45782</v>
      </c>
      <c r="C11" s="10" t="s">
        <v>13</v>
      </c>
      <c r="D11" s="11">
        <v>10</v>
      </c>
    </row>
    <row r="12" spans="1:4" x14ac:dyDescent="0.45">
      <c r="A12" s="8">
        <f t="shared" si="0"/>
        <v>45783</v>
      </c>
      <c r="B12" s="9">
        <v>45783</v>
      </c>
      <c r="C12" s="10" t="s">
        <v>8</v>
      </c>
      <c r="D12" s="11">
        <v>11</v>
      </c>
    </row>
    <row r="13" spans="1:4" x14ac:dyDescent="0.45">
      <c r="A13" s="8">
        <f t="shared" si="0"/>
        <v>45859</v>
      </c>
      <c r="B13" s="9">
        <v>45859</v>
      </c>
      <c r="C13" s="10" t="s">
        <v>14</v>
      </c>
      <c r="D13" s="11">
        <v>12</v>
      </c>
    </row>
    <row r="14" spans="1:4" x14ac:dyDescent="0.45">
      <c r="A14" s="8">
        <f t="shared" si="0"/>
        <v>45880</v>
      </c>
      <c r="B14" s="9">
        <v>45880</v>
      </c>
      <c r="C14" s="10" t="s">
        <v>15</v>
      </c>
      <c r="D14" s="11">
        <v>13</v>
      </c>
    </row>
    <row r="15" spans="1:4" x14ac:dyDescent="0.45">
      <c r="A15" s="8">
        <f t="shared" si="0"/>
        <v>45915</v>
      </c>
      <c r="B15" s="9">
        <v>45915</v>
      </c>
      <c r="C15" s="10" t="s">
        <v>16</v>
      </c>
      <c r="D15" s="11">
        <v>14</v>
      </c>
    </row>
    <row r="16" spans="1:4" x14ac:dyDescent="0.45">
      <c r="A16" s="8">
        <f t="shared" si="0"/>
        <v>45923</v>
      </c>
      <c r="B16" s="9">
        <v>45923</v>
      </c>
      <c r="C16" s="10" t="s">
        <v>17</v>
      </c>
      <c r="D16" s="11">
        <v>15</v>
      </c>
    </row>
    <row r="17" spans="1:4" x14ac:dyDescent="0.45">
      <c r="A17" s="8">
        <f t="shared" si="0"/>
        <v>45943</v>
      </c>
      <c r="B17" s="9">
        <v>45943</v>
      </c>
      <c r="C17" s="10" t="s">
        <v>18</v>
      </c>
      <c r="D17" s="11">
        <v>16</v>
      </c>
    </row>
    <row r="18" spans="1:4" x14ac:dyDescent="0.45">
      <c r="A18" s="8">
        <f t="shared" si="0"/>
        <v>45964</v>
      </c>
      <c r="B18" s="9">
        <v>45964</v>
      </c>
      <c r="C18" s="10" t="s">
        <v>19</v>
      </c>
      <c r="D18" s="11">
        <v>17</v>
      </c>
    </row>
    <row r="19" spans="1:4" x14ac:dyDescent="0.45">
      <c r="A19" s="8">
        <f t="shared" si="0"/>
        <v>45984</v>
      </c>
      <c r="B19" s="9">
        <v>45984</v>
      </c>
      <c r="C19" s="10" t="s">
        <v>20</v>
      </c>
      <c r="D19" s="11">
        <v>18</v>
      </c>
    </row>
    <row r="20" spans="1:4" ht="18.600000000000001" thickBot="1" x14ac:dyDescent="0.5">
      <c r="A20" s="12">
        <f t="shared" si="0"/>
        <v>45985</v>
      </c>
      <c r="B20" s="13">
        <v>45985</v>
      </c>
      <c r="C20" s="14" t="s">
        <v>8</v>
      </c>
      <c r="D20" s="15">
        <v>19</v>
      </c>
    </row>
    <row r="21" spans="1:4" ht="18.600000000000001" thickTop="1" x14ac:dyDescent="0.45">
      <c r="A21" s="16">
        <f t="shared" si="0"/>
        <v>46023</v>
      </c>
      <c r="B21" s="17">
        <v>46023</v>
      </c>
      <c r="C21" s="18" t="s">
        <v>4</v>
      </c>
      <c r="D21" s="19">
        <v>1</v>
      </c>
    </row>
    <row r="22" spans="1:4" x14ac:dyDescent="0.45">
      <c r="A22" s="8">
        <f t="shared" si="0"/>
        <v>46034</v>
      </c>
      <c r="B22" s="9">
        <v>46034</v>
      </c>
      <c r="C22" s="10" t="s">
        <v>5</v>
      </c>
      <c r="D22" s="11">
        <v>2</v>
      </c>
    </row>
    <row r="23" spans="1:4" x14ac:dyDescent="0.45">
      <c r="A23" s="8">
        <f t="shared" si="0"/>
        <v>46064</v>
      </c>
      <c r="B23" s="9">
        <v>46064</v>
      </c>
      <c r="C23" s="10" t="s">
        <v>6</v>
      </c>
      <c r="D23" s="11">
        <v>3</v>
      </c>
    </row>
    <row r="24" spans="1:4" x14ac:dyDescent="0.45">
      <c r="A24" s="8">
        <f t="shared" si="0"/>
        <v>46076</v>
      </c>
      <c r="B24" s="9">
        <v>46076</v>
      </c>
      <c r="C24" s="10" t="s">
        <v>7</v>
      </c>
      <c r="D24" s="11">
        <v>4</v>
      </c>
    </row>
    <row r="25" spans="1:4" x14ac:dyDescent="0.45">
      <c r="A25" s="8">
        <f t="shared" si="0"/>
        <v>46101</v>
      </c>
      <c r="B25" s="9">
        <v>46101</v>
      </c>
      <c r="C25" s="10" t="s">
        <v>9</v>
      </c>
      <c r="D25" s="11">
        <v>5</v>
      </c>
    </row>
    <row r="26" spans="1:4" x14ac:dyDescent="0.45">
      <c r="A26" s="8">
        <f t="shared" si="0"/>
        <v>46141</v>
      </c>
      <c r="B26" s="9">
        <v>46141</v>
      </c>
      <c r="C26" s="10" t="s">
        <v>10</v>
      </c>
      <c r="D26" s="11">
        <v>6</v>
      </c>
    </row>
    <row r="27" spans="1:4" x14ac:dyDescent="0.45">
      <c r="A27" s="8">
        <f t="shared" si="0"/>
        <v>46145</v>
      </c>
      <c r="B27" s="9">
        <v>46145</v>
      </c>
      <c r="C27" s="10" t="s">
        <v>11</v>
      </c>
      <c r="D27" s="11">
        <v>7</v>
      </c>
    </row>
    <row r="28" spans="1:4" x14ac:dyDescent="0.45">
      <c r="A28" s="8">
        <f t="shared" si="0"/>
        <v>46146</v>
      </c>
      <c r="B28" s="9">
        <v>46146</v>
      </c>
      <c r="C28" s="10" t="s">
        <v>12</v>
      </c>
      <c r="D28" s="11">
        <v>8</v>
      </c>
    </row>
    <row r="29" spans="1:4" x14ac:dyDescent="0.45">
      <c r="A29" s="8">
        <f t="shared" si="0"/>
        <v>46147</v>
      </c>
      <c r="B29" s="9">
        <v>46147</v>
      </c>
      <c r="C29" s="10" t="s">
        <v>13</v>
      </c>
      <c r="D29" s="11">
        <v>9</v>
      </c>
    </row>
    <row r="30" spans="1:4" x14ac:dyDescent="0.45">
      <c r="A30" s="8">
        <f t="shared" si="0"/>
        <v>46148</v>
      </c>
      <c r="B30" s="9">
        <v>46148</v>
      </c>
      <c r="C30" s="10" t="s">
        <v>8</v>
      </c>
      <c r="D30" s="11">
        <v>10</v>
      </c>
    </row>
    <row r="31" spans="1:4" x14ac:dyDescent="0.45">
      <c r="A31" s="8">
        <f t="shared" si="0"/>
        <v>46223</v>
      </c>
      <c r="B31" s="9">
        <v>46223</v>
      </c>
      <c r="C31" s="10" t="s">
        <v>14</v>
      </c>
      <c r="D31" s="11">
        <v>11</v>
      </c>
    </row>
    <row r="32" spans="1:4" x14ac:dyDescent="0.45">
      <c r="A32" s="8">
        <f t="shared" si="0"/>
        <v>46245</v>
      </c>
      <c r="B32" s="9">
        <v>46245</v>
      </c>
      <c r="C32" s="10" t="s">
        <v>15</v>
      </c>
      <c r="D32" s="11">
        <v>12</v>
      </c>
    </row>
    <row r="33" spans="1:4" x14ac:dyDescent="0.45">
      <c r="A33" s="8">
        <f t="shared" si="0"/>
        <v>46286</v>
      </c>
      <c r="B33" s="9">
        <v>46286</v>
      </c>
      <c r="C33" s="10" t="s">
        <v>16</v>
      </c>
      <c r="D33" s="11">
        <v>13</v>
      </c>
    </row>
    <row r="34" spans="1:4" x14ac:dyDescent="0.45">
      <c r="A34" s="8">
        <f t="shared" si="0"/>
        <v>46287</v>
      </c>
      <c r="B34" s="9">
        <v>46287</v>
      </c>
      <c r="C34" s="10" t="s">
        <v>21</v>
      </c>
      <c r="D34" s="11">
        <v>14</v>
      </c>
    </row>
    <row r="35" spans="1:4" x14ac:dyDescent="0.45">
      <c r="A35" s="8">
        <f t="shared" si="0"/>
        <v>46288</v>
      </c>
      <c r="B35" s="9">
        <v>46288</v>
      </c>
      <c r="C35" s="10" t="s">
        <v>17</v>
      </c>
      <c r="D35" s="11">
        <v>15</v>
      </c>
    </row>
    <row r="36" spans="1:4" x14ac:dyDescent="0.45">
      <c r="A36" s="8">
        <f t="shared" si="0"/>
        <v>46307</v>
      </c>
      <c r="B36" s="9">
        <v>46307</v>
      </c>
      <c r="C36" s="10" t="s">
        <v>18</v>
      </c>
      <c r="D36" s="11">
        <v>16</v>
      </c>
    </row>
    <row r="37" spans="1:4" x14ac:dyDescent="0.45">
      <c r="A37" s="8">
        <f t="shared" si="0"/>
        <v>46329</v>
      </c>
      <c r="B37" s="9">
        <v>46329</v>
      </c>
      <c r="C37" s="10" t="s">
        <v>19</v>
      </c>
      <c r="D37" s="11">
        <v>17</v>
      </c>
    </row>
    <row r="38" spans="1:4" ht="18.600000000000001" thickBot="1" x14ac:dyDescent="0.5">
      <c r="A38" s="12">
        <f t="shared" si="0"/>
        <v>46349</v>
      </c>
      <c r="B38" s="13">
        <v>46349</v>
      </c>
      <c r="C38" s="14" t="s">
        <v>20</v>
      </c>
      <c r="D38" s="15">
        <v>18</v>
      </c>
    </row>
    <row r="39" spans="1:4" ht="18.600000000000001" thickTop="1" x14ac:dyDescent="0.45">
      <c r="A39" s="16">
        <f t="shared" si="0"/>
        <v>46388</v>
      </c>
      <c r="B39" s="17">
        <v>46388</v>
      </c>
      <c r="C39" s="18" t="s">
        <v>4</v>
      </c>
      <c r="D39" s="19">
        <v>1</v>
      </c>
    </row>
    <row r="40" spans="1:4" x14ac:dyDescent="0.45">
      <c r="A40" s="8">
        <f t="shared" si="0"/>
        <v>46398</v>
      </c>
      <c r="B40" s="9">
        <v>46398</v>
      </c>
      <c r="C40" s="10" t="s">
        <v>5</v>
      </c>
      <c r="D40" s="11">
        <v>2</v>
      </c>
    </row>
    <row r="41" spans="1:4" x14ac:dyDescent="0.45">
      <c r="A41" s="8">
        <f t="shared" si="0"/>
        <v>46429</v>
      </c>
      <c r="B41" s="9">
        <v>46429</v>
      </c>
      <c r="C41" s="10" t="s">
        <v>6</v>
      </c>
      <c r="D41" s="11">
        <v>3</v>
      </c>
    </row>
    <row r="42" spans="1:4" x14ac:dyDescent="0.45">
      <c r="A42" s="8">
        <f t="shared" si="0"/>
        <v>46441</v>
      </c>
      <c r="B42" s="9">
        <v>46441</v>
      </c>
      <c r="C42" s="10" t="s">
        <v>7</v>
      </c>
      <c r="D42" s="11">
        <v>4</v>
      </c>
    </row>
    <row r="43" spans="1:4" x14ac:dyDescent="0.45">
      <c r="A43" s="8">
        <f t="shared" si="0"/>
        <v>46467</v>
      </c>
      <c r="B43" s="9">
        <v>46467</v>
      </c>
      <c r="C43" s="10" t="s">
        <v>9</v>
      </c>
      <c r="D43" s="11">
        <v>5</v>
      </c>
    </row>
    <row r="44" spans="1:4" x14ac:dyDescent="0.45">
      <c r="A44" s="8">
        <f t="shared" si="0"/>
        <v>46468</v>
      </c>
      <c r="B44" s="9">
        <v>46468</v>
      </c>
      <c r="C44" s="10" t="s">
        <v>8</v>
      </c>
      <c r="D44" s="11">
        <v>6</v>
      </c>
    </row>
    <row r="45" spans="1:4" x14ac:dyDescent="0.45">
      <c r="A45" s="8">
        <f t="shared" si="0"/>
        <v>46506</v>
      </c>
      <c r="B45" s="9">
        <v>46506</v>
      </c>
      <c r="C45" s="10" t="s">
        <v>10</v>
      </c>
      <c r="D45" s="11">
        <v>7</v>
      </c>
    </row>
    <row r="46" spans="1:4" x14ac:dyDescent="0.45">
      <c r="A46" s="8">
        <f t="shared" si="0"/>
        <v>46510</v>
      </c>
      <c r="B46" s="9">
        <v>46510</v>
      </c>
      <c r="C46" s="10" t="s">
        <v>11</v>
      </c>
      <c r="D46" s="11">
        <v>8</v>
      </c>
    </row>
    <row r="47" spans="1:4" x14ac:dyDescent="0.45">
      <c r="A47" s="8">
        <f t="shared" si="0"/>
        <v>46511</v>
      </c>
      <c r="B47" s="9">
        <v>46511</v>
      </c>
      <c r="C47" s="10" t="s">
        <v>12</v>
      </c>
      <c r="D47" s="11">
        <v>9</v>
      </c>
    </row>
    <row r="48" spans="1:4" x14ac:dyDescent="0.45">
      <c r="A48" s="8">
        <f t="shared" si="0"/>
        <v>46512</v>
      </c>
      <c r="B48" s="9">
        <v>46512</v>
      </c>
      <c r="C48" s="10" t="s">
        <v>13</v>
      </c>
      <c r="D48" s="11">
        <v>10</v>
      </c>
    </row>
    <row r="49" spans="1:4" x14ac:dyDescent="0.45">
      <c r="A49" s="8">
        <f t="shared" si="0"/>
        <v>46587</v>
      </c>
      <c r="B49" s="9">
        <v>46587</v>
      </c>
      <c r="C49" s="10" t="s">
        <v>14</v>
      </c>
      <c r="D49" s="11">
        <v>11</v>
      </c>
    </row>
    <row r="50" spans="1:4" x14ac:dyDescent="0.45">
      <c r="A50" s="8">
        <f t="shared" si="0"/>
        <v>46610</v>
      </c>
      <c r="B50" s="9">
        <v>46610</v>
      </c>
      <c r="C50" s="10" t="s">
        <v>15</v>
      </c>
      <c r="D50" s="11">
        <v>12</v>
      </c>
    </row>
    <row r="51" spans="1:4" x14ac:dyDescent="0.45">
      <c r="A51" s="8">
        <f t="shared" si="0"/>
        <v>46650</v>
      </c>
      <c r="B51" s="9">
        <v>46650</v>
      </c>
      <c r="C51" s="10" t="s">
        <v>16</v>
      </c>
      <c r="D51" s="11">
        <v>13</v>
      </c>
    </row>
    <row r="52" spans="1:4" x14ac:dyDescent="0.45">
      <c r="A52" s="8">
        <f t="shared" si="0"/>
        <v>46653</v>
      </c>
      <c r="B52" s="9">
        <v>46653</v>
      </c>
      <c r="C52" s="10" t="s">
        <v>17</v>
      </c>
      <c r="D52" s="11">
        <v>14</v>
      </c>
    </row>
    <row r="53" spans="1:4" x14ac:dyDescent="0.45">
      <c r="A53" s="8">
        <f t="shared" si="0"/>
        <v>46671</v>
      </c>
      <c r="B53" s="9">
        <v>46671</v>
      </c>
      <c r="C53" s="10" t="s">
        <v>18</v>
      </c>
      <c r="D53" s="11">
        <v>15</v>
      </c>
    </row>
    <row r="54" spans="1:4" x14ac:dyDescent="0.45">
      <c r="A54" s="8">
        <f t="shared" si="0"/>
        <v>46694</v>
      </c>
      <c r="B54" s="9">
        <v>46694</v>
      </c>
      <c r="C54" s="10" t="s">
        <v>19</v>
      </c>
      <c r="D54" s="11">
        <v>16</v>
      </c>
    </row>
    <row r="55" spans="1:4" ht="18.600000000000001" thickBot="1" x14ac:dyDescent="0.5">
      <c r="A55" s="12">
        <f t="shared" si="0"/>
        <v>46714</v>
      </c>
      <c r="B55" s="13">
        <v>46714</v>
      </c>
      <c r="C55" s="14" t="s">
        <v>20</v>
      </c>
      <c r="D55" s="15">
        <v>17</v>
      </c>
    </row>
    <row r="56" spans="1:4" ht="18.600000000000001" thickTop="1" x14ac:dyDescent="0.45">
      <c r="A56" s="16">
        <f t="shared" si="0"/>
        <v>46753</v>
      </c>
      <c r="B56" s="17">
        <v>46753</v>
      </c>
      <c r="C56" s="18" t="s">
        <v>4</v>
      </c>
      <c r="D56" s="19">
        <v>1</v>
      </c>
    </row>
    <row r="57" spans="1:4" x14ac:dyDescent="0.45">
      <c r="A57" s="8">
        <f t="shared" si="0"/>
        <v>46762</v>
      </c>
      <c r="B57" s="9">
        <v>46762</v>
      </c>
      <c r="C57" s="10" t="s">
        <v>5</v>
      </c>
      <c r="D57" s="11">
        <v>2</v>
      </c>
    </row>
    <row r="58" spans="1:4" x14ac:dyDescent="0.45">
      <c r="A58" s="8">
        <f t="shared" si="0"/>
        <v>46794</v>
      </c>
      <c r="B58" s="9">
        <v>46794</v>
      </c>
      <c r="C58" s="10" t="s">
        <v>6</v>
      </c>
      <c r="D58" s="11">
        <v>3</v>
      </c>
    </row>
    <row r="59" spans="1:4" x14ac:dyDescent="0.45">
      <c r="A59" s="8">
        <f t="shared" si="0"/>
        <v>46806</v>
      </c>
      <c r="B59" s="9">
        <v>46806</v>
      </c>
      <c r="C59" s="10" t="s">
        <v>7</v>
      </c>
      <c r="D59" s="11">
        <v>4</v>
      </c>
    </row>
    <row r="60" spans="1:4" x14ac:dyDescent="0.45">
      <c r="A60" s="8">
        <f t="shared" si="0"/>
        <v>46832</v>
      </c>
      <c r="B60" s="9">
        <v>46832</v>
      </c>
      <c r="C60" s="10" t="s">
        <v>9</v>
      </c>
      <c r="D60" s="11">
        <v>5</v>
      </c>
    </row>
    <row r="61" spans="1:4" x14ac:dyDescent="0.45">
      <c r="A61" s="8">
        <f t="shared" si="0"/>
        <v>46872</v>
      </c>
      <c r="B61" s="9">
        <v>46872</v>
      </c>
      <c r="C61" s="10" t="s">
        <v>10</v>
      </c>
      <c r="D61" s="11">
        <v>6</v>
      </c>
    </row>
    <row r="62" spans="1:4" x14ac:dyDescent="0.45">
      <c r="A62" s="8">
        <f t="shared" si="0"/>
        <v>46876</v>
      </c>
      <c r="B62" s="9">
        <v>46876</v>
      </c>
      <c r="C62" s="10" t="s">
        <v>11</v>
      </c>
      <c r="D62" s="11">
        <v>7</v>
      </c>
    </row>
    <row r="63" spans="1:4" x14ac:dyDescent="0.45">
      <c r="A63" s="8">
        <f t="shared" si="0"/>
        <v>46877</v>
      </c>
      <c r="B63" s="9">
        <v>46877</v>
      </c>
      <c r="C63" s="10" t="s">
        <v>12</v>
      </c>
      <c r="D63" s="11">
        <v>8</v>
      </c>
    </row>
    <row r="64" spans="1:4" x14ac:dyDescent="0.45">
      <c r="A64" s="8">
        <f t="shared" si="0"/>
        <v>46878</v>
      </c>
      <c r="B64" s="9">
        <v>46878</v>
      </c>
      <c r="C64" s="10" t="s">
        <v>13</v>
      </c>
      <c r="D64" s="11">
        <v>9</v>
      </c>
    </row>
    <row r="65" spans="1:4" x14ac:dyDescent="0.45">
      <c r="A65" s="8">
        <f t="shared" si="0"/>
        <v>46951</v>
      </c>
      <c r="B65" s="9">
        <v>46951</v>
      </c>
      <c r="C65" s="10" t="s">
        <v>14</v>
      </c>
      <c r="D65" s="11">
        <v>10</v>
      </c>
    </row>
    <row r="66" spans="1:4" x14ac:dyDescent="0.45">
      <c r="A66" s="8">
        <f t="shared" ref="A66:A129" si="1">B66</f>
        <v>46976</v>
      </c>
      <c r="B66" s="9">
        <v>46976</v>
      </c>
      <c r="C66" s="10" t="s">
        <v>15</v>
      </c>
      <c r="D66" s="11">
        <v>11</v>
      </c>
    </row>
    <row r="67" spans="1:4" x14ac:dyDescent="0.45">
      <c r="A67" s="8">
        <f t="shared" si="1"/>
        <v>47014</v>
      </c>
      <c r="B67" s="9">
        <v>47014</v>
      </c>
      <c r="C67" s="10" t="s">
        <v>16</v>
      </c>
      <c r="D67" s="11">
        <v>12</v>
      </c>
    </row>
    <row r="68" spans="1:4" x14ac:dyDescent="0.45">
      <c r="A68" s="8">
        <f t="shared" si="1"/>
        <v>47018</v>
      </c>
      <c r="B68" s="9">
        <v>47018</v>
      </c>
      <c r="C68" s="10" t="s">
        <v>17</v>
      </c>
      <c r="D68" s="11">
        <v>13</v>
      </c>
    </row>
    <row r="69" spans="1:4" x14ac:dyDescent="0.45">
      <c r="A69" s="8">
        <f t="shared" si="1"/>
        <v>47035</v>
      </c>
      <c r="B69" s="9">
        <v>47035</v>
      </c>
      <c r="C69" s="10" t="s">
        <v>18</v>
      </c>
      <c r="D69" s="11">
        <v>14</v>
      </c>
    </row>
    <row r="70" spans="1:4" x14ac:dyDescent="0.45">
      <c r="A70" s="8">
        <f t="shared" si="1"/>
        <v>47060</v>
      </c>
      <c r="B70" s="9">
        <v>47060</v>
      </c>
      <c r="C70" s="10" t="s">
        <v>19</v>
      </c>
      <c r="D70" s="11">
        <v>15</v>
      </c>
    </row>
    <row r="71" spans="1:4" ht="18.600000000000001" thickBot="1" x14ac:dyDescent="0.5">
      <c r="A71" s="12">
        <f t="shared" si="1"/>
        <v>47080</v>
      </c>
      <c r="B71" s="13">
        <v>47080</v>
      </c>
      <c r="C71" s="14" t="s">
        <v>20</v>
      </c>
      <c r="D71" s="15">
        <v>16</v>
      </c>
    </row>
    <row r="72" spans="1:4" ht="18.600000000000001" thickTop="1" x14ac:dyDescent="0.45">
      <c r="A72" s="16">
        <f t="shared" si="1"/>
        <v>47119</v>
      </c>
      <c r="B72" s="17">
        <v>47119</v>
      </c>
      <c r="C72" s="18" t="s">
        <v>4</v>
      </c>
      <c r="D72" s="19">
        <v>1</v>
      </c>
    </row>
    <row r="73" spans="1:4" x14ac:dyDescent="0.45">
      <c r="A73" s="8">
        <f t="shared" si="1"/>
        <v>47126</v>
      </c>
      <c r="B73" s="9">
        <v>47126</v>
      </c>
      <c r="C73" s="10" t="s">
        <v>5</v>
      </c>
      <c r="D73" s="11">
        <v>2</v>
      </c>
    </row>
    <row r="74" spans="1:4" x14ac:dyDescent="0.45">
      <c r="A74" s="8">
        <f t="shared" si="1"/>
        <v>47160</v>
      </c>
      <c r="B74" s="9">
        <v>47160</v>
      </c>
      <c r="C74" s="10" t="s">
        <v>6</v>
      </c>
      <c r="D74" s="11">
        <v>3</v>
      </c>
    </row>
    <row r="75" spans="1:4" x14ac:dyDescent="0.45">
      <c r="A75" s="8">
        <f t="shared" si="1"/>
        <v>47161</v>
      </c>
      <c r="B75" s="9">
        <v>47161</v>
      </c>
      <c r="C75" s="10" t="s">
        <v>8</v>
      </c>
      <c r="D75" s="11">
        <v>4</v>
      </c>
    </row>
    <row r="76" spans="1:4" x14ac:dyDescent="0.45">
      <c r="A76" s="8">
        <f t="shared" si="1"/>
        <v>47172</v>
      </c>
      <c r="B76" s="9">
        <v>47172</v>
      </c>
      <c r="C76" s="10" t="s">
        <v>7</v>
      </c>
      <c r="D76" s="11">
        <v>5</v>
      </c>
    </row>
    <row r="77" spans="1:4" x14ac:dyDescent="0.45">
      <c r="A77" s="8">
        <f t="shared" si="1"/>
        <v>47197</v>
      </c>
      <c r="B77" s="9">
        <v>47197</v>
      </c>
      <c r="C77" s="10" t="s">
        <v>9</v>
      </c>
      <c r="D77" s="11">
        <v>6</v>
      </c>
    </row>
    <row r="78" spans="1:4" x14ac:dyDescent="0.45">
      <c r="A78" s="8">
        <f t="shared" si="1"/>
        <v>47237</v>
      </c>
      <c r="B78" s="9">
        <v>47237</v>
      </c>
      <c r="C78" s="10" t="s">
        <v>10</v>
      </c>
      <c r="D78" s="11">
        <v>7</v>
      </c>
    </row>
    <row r="79" spans="1:4" x14ac:dyDescent="0.45">
      <c r="A79" s="8">
        <f t="shared" si="1"/>
        <v>47238</v>
      </c>
      <c r="B79" s="9">
        <v>47238</v>
      </c>
      <c r="C79" s="10" t="s">
        <v>8</v>
      </c>
      <c r="D79" s="11">
        <v>8</v>
      </c>
    </row>
    <row r="80" spans="1:4" x14ac:dyDescent="0.45">
      <c r="A80" s="8">
        <f t="shared" si="1"/>
        <v>47241</v>
      </c>
      <c r="B80" s="9">
        <v>47241</v>
      </c>
      <c r="C80" s="10" t="s">
        <v>11</v>
      </c>
      <c r="D80" s="11">
        <v>9</v>
      </c>
    </row>
    <row r="81" spans="1:4" x14ac:dyDescent="0.45">
      <c r="A81" s="8">
        <f t="shared" si="1"/>
        <v>47242</v>
      </c>
      <c r="B81" s="9">
        <v>47242</v>
      </c>
      <c r="C81" s="10" t="s">
        <v>12</v>
      </c>
      <c r="D81" s="11">
        <v>10</v>
      </c>
    </row>
    <row r="82" spans="1:4" x14ac:dyDescent="0.45">
      <c r="A82" s="8">
        <f t="shared" si="1"/>
        <v>47243</v>
      </c>
      <c r="B82" s="9">
        <v>47243</v>
      </c>
      <c r="C82" s="10" t="s">
        <v>13</v>
      </c>
      <c r="D82" s="11">
        <v>11</v>
      </c>
    </row>
    <row r="83" spans="1:4" x14ac:dyDescent="0.45">
      <c r="A83" s="8">
        <f t="shared" si="1"/>
        <v>47315</v>
      </c>
      <c r="B83" s="9">
        <v>47315</v>
      </c>
      <c r="C83" s="10" t="s">
        <v>14</v>
      </c>
      <c r="D83" s="11">
        <v>12</v>
      </c>
    </row>
    <row r="84" spans="1:4" x14ac:dyDescent="0.45">
      <c r="A84" s="8">
        <f t="shared" si="1"/>
        <v>47341</v>
      </c>
      <c r="B84" s="9">
        <v>47341</v>
      </c>
      <c r="C84" s="10" t="s">
        <v>15</v>
      </c>
      <c r="D84" s="11">
        <v>13</v>
      </c>
    </row>
    <row r="85" spans="1:4" x14ac:dyDescent="0.45">
      <c r="A85" s="8">
        <f t="shared" si="1"/>
        <v>47378</v>
      </c>
      <c r="B85" s="9">
        <v>47378</v>
      </c>
      <c r="C85" s="10" t="s">
        <v>16</v>
      </c>
      <c r="D85" s="11">
        <v>14</v>
      </c>
    </row>
    <row r="86" spans="1:4" x14ac:dyDescent="0.45">
      <c r="A86" s="8">
        <f t="shared" si="1"/>
        <v>47384</v>
      </c>
      <c r="B86" s="9">
        <v>47384</v>
      </c>
      <c r="C86" s="10" t="s">
        <v>17</v>
      </c>
      <c r="D86" s="11">
        <v>15</v>
      </c>
    </row>
    <row r="87" spans="1:4" x14ac:dyDescent="0.45">
      <c r="A87" s="8">
        <f t="shared" si="1"/>
        <v>47385</v>
      </c>
      <c r="B87" s="9">
        <v>47385</v>
      </c>
      <c r="C87" s="10" t="s">
        <v>8</v>
      </c>
      <c r="D87" s="11">
        <v>16</v>
      </c>
    </row>
    <row r="88" spans="1:4" x14ac:dyDescent="0.45">
      <c r="A88" s="8">
        <f t="shared" si="1"/>
        <v>47399</v>
      </c>
      <c r="B88" s="9">
        <v>47399</v>
      </c>
      <c r="C88" s="10" t="s">
        <v>18</v>
      </c>
      <c r="D88" s="11">
        <v>17</v>
      </c>
    </row>
    <row r="89" spans="1:4" x14ac:dyDescent="0.45">
      <c r="A89" s="8">
        <f t="shared" si="1"/>
        <v>47425</v>
      </c>
      <c r="B89" s="9">
        <v>47425</v>
      </c>
      <c r="C89" s="10" t="s">
        <v>19</v>
      </c>
      <c r="D89" s="11">
        <v>18</v>
      </c>
    </row>
    <row r="90" spans="1:4" ht="18.600000000000001" thickBot="1" x14ac:dyDescent="0.5">
      <c r="A90" s="12">
        <f t="shared" si="1"/>
        <v>47445</v>
      </c>
      <c r="B90" s="13">
        <v>47445</v>
      </c>
      <c r="C90" s="14" t="s">
        <v>20</v>
      </c>
      <c r="D90" s="15">
        <v>19</v>
      </c>
    </row>
    <row r="91" spans="1:4" ht="18.600000000000001" thickTop="1" x14ac:dyDescent="0.45">
      <c r="A91" s="16">
        <f t="shared" si="1"/>
        <v>47484</v>
      </c>
      <c r="B91" s="17">
        <v>47484</v>
      </c>
      <c r="C91" s="18" t="s">
        <v>4</v>
      </c>
      <c r="D91" s="19">
        <v>1</v>
      </c>
    </row>
    <row r="92" spans="1:4" x14ac:dyDescent="0.45">
      <c r="A92" s="8">
        <f t="shared" si="1"/>
        <v>47497</v>
      </c>
      <c r="B92" s="9">
        <v>47497</v>
      </c>
      <c r="C92" s="10" t="s">
        <v>5</v>
      </c>
      <c r="D92" s="11">
        <v>2</v>
      </c>
    </row>
    <row r="93" spans="1:4" x14ac:dyDescent="0.45">
      <c r="A93" s="8">
        <f t="shared" si="1"/>
        <v>47525</v>
      </c>
      <c r="B93" s="9">
        <v>47525</v>
      </c>
      <c r="C93" s="10" t="s">
        <v>6</v>
      </c>
      <c r="D93" s="11">
        <v>3</v>
      </c>
    </row>
    <row r="94" spans="1:4" x14ac:dyDescent="0.45">
      <c r="A94" s="8">
        <f t="shared" si="1"/>
        <v>47537</v>
      </c>
      <c r="B94" s="9">
        <v>47537</v>
      </c>
      <c r="C94" s="10" t="s">
        <v>7</v>
      </c>
      <c r="D94" s="11">
        <v>4</v>
      </c>
    </row>
    <row r="95" spans="1:4" x14ac:dyDescent="0.45">
      <c r="A95" s="8">
        <f t="shared" si="1"/>
        <v>47562</v>
      </c>
      <c r="B95" s="9">
        <v>47562</v>
      </c>
      <c r="C95" s="10" t="s">
        <v>9</v>
      </c>
      <c r="D95" s="11">
        <v>5</v>
      </c>
    </row>
    <row r="96" spans="1:4" x14ac:dyDescent="0.45">
      <c r="A96" s="8">
        <f t="shared" si="1"/>
        <v>47602</v>
      </c>
      <c r="B96" s="9">
        <v>47602</v>
      </c>
      <c r="C96" s="10" t="s">
        <v>10</v>
      </c>
      <c r="D96" s="11">
        <v>6</v>
      </c>
    </row>
    <row r="97" spans="1:4" x14ac:dyDescent="0.45">
      <c r="A97" s="8">
        <f t="shared" si="1"/>
        <v>47606</v>
      </c>
      <c r="B97" s="9">
        <v>47606</v>
      </c>
      <c r="C97" s="10" t="s">
        <v>11</v>
      </c>
      <c r="D97" s="11">
        <v>7</v>
      </c>
    </row>
    <row r="98" spans="1:4" x14ac:dyDescent="0.45">
      <c r="A98" s="8">
        <f t="shared" si="1"/>
        <v>47607</v>
      </c>
      <c r="B98" s="9">
        <v>47607</v>
      </c>
      <c r="C98" s="10" t="s">
        <v>12</v>
      </c>
      <c r="D98" s="11">
        <v>8</v>
      </c>
    </row>
    <row r="99" spans="1:4" x14ac:dyDescent="0.45">
      <c r="A99" s="8">
        <f t="shared" si="1"/>
        <v>47608</v>
      </c>
      <c r="B99" s="9">
        <v>47608</v>
      </c>
      <c r="C99" s="10" t="s">
        <v>13</v>
      </c>
      <c r="D99" s="11">
        <v>9</v>
      </c>
    </row>
    <row r="100" spans="1:4" x14ac:dyDescent="0.45">
      <c r="A100" s="8">
        <f t="shared" si="1"/>
        <v>47609</v>
      </c>
      <c r="B100" s="9">
        <v>47609</v>
      </c>
      <c r="C100" s="10" t="s">
        <v>8</v>
      </c>
      <c r="D100" s="11">
        <v>10</v>
      </c>
    </row>
    <row r="101" spans="1:4" x14ac:dyDescent="0.45">
      <c r="A101" s="8">
        <f t="shared" si="1"/>
        <v>47679</v>
      </c>
      <c r="B101" s="9">
        <v>47679</v>
      </c>
      <c r="C101" s="10" t="s">
        <v>14</v>
      </c>
      <c r="D101" s="11">
        <v>11</v>
      </c>
    </row>
    <row r="102" spans="1:4" x14ac:dyDescent="0.45">
      <c r="A102" s="8">
        <f t="shared" si="1"/>
        <v>47706</v>
      </c>
      <c r="B102" s="9">
        <v>47706</v>
      </c>
      <c r="C102" s="10" t="s">
        <v>15</v>
      </c>
      <c r="D102" s="11">
        <v>12</v>
      </c>
    </row>
    <row r="103" spans="1:4" x14ac:dyDescent="0.45">
      <c r="A103" s="8">
        <f t="shared" si="1"/>
        <v>47707</v>
      </c>
      <c r="B103" s="9">
        <v>47707</v>
      </c>
      <c r="C103" s="10" t="s">
        <v>8</v>
      </c>
      <c r="D103" s="11">
        <v>13</v>
      </c>
    </row>
    <row r="104" spans="1:4" x14ac:dyDescent="0.45">
      <c r="A104" s="8">
        <f t="shared" si="1"/>
        <v>47742</v>
      </c>
      <c r="B104" s="9">
        <v>47742</v>
      </c>
      <c r="C104" s="10" t="s">
        <v>16</v>
      </c>
      <c r="D104" s="11">
        <v>14</v>
      </c>
    </row>
    <row r="105" spans="1:4" x14ac:dyDescent="0.45">
      <c r="A105" s="8">
        <f t="shared" si="1"/>
        <v>47749</v>
      </c>
      <c r="B105" s="9">
        <v>47749</v>
      </c>
      <c r="C105" s="10" t="s">
        <v>17</v>
      </c>
      <c r="D105" s="11">
        <v>15</v>
      </c>
    </row>
    <row r="106" spans="1:4" x14ac:dyDescent="0.45">
      <c r="A106" s="8">
        <f t="shared" si="1"/>
        <v>47770</v>
      </c>
      <c r="B106" s="9">
        <v>47770</v>
      </c>
      <c r="C106" s="10" t="s">
        <v>18</v>
      </c>
      <c r="D106" s="11">
        <v>16</v>
      </c>
    </row>
    <row r="107" spans="1:4" x14ac:dyDescent="0.45">
      <c r="A107" s="8">
        <f t="shared" si="1"/>
        <v>47790</v>
      </c>
      <c r="B107" s="9">
        <v>47790</v>
      </c>
      <c r="C107" s="10" t="s">
        <v>19</v>
      </c>
      <c r="D107" s="11">
        <v>17</v>
      </c>
    </row>
    <row r="108" spans="1:4" x14ac:dyDescent="0.45">
      <c r="A108" s="8">
        <f t="shared" si="1"/>
        <v>47791</v>
      </c>
      <c r="B108" s="9">
        <v>47791</v>
      </c>
      <c r="C108" s="10" t="s">
        <v>8</v>
      </c>
      <c r="D108" s="11">
        <v>18</v>
      </c>
    </row>
    <row r="109" spans="1:4" ht="18.600000000000001" thickBot="1" x14ac:dyDescent="0.5">
      <c r="A109" s="12">
        <f t="shared" si="1"/>
        <v>47810</v>
      </c>
      <c r="B109" s="13">
        <v>47810</v>
      </c>
      <c r="C109" s="14" t="s">
        <v>20</v>
      </c>
      <c r="D109" s="15">
        <v>19</v>
      </c>
    </row>
    <row r="110" spans="1:4" ht="18.600000000000001" thickTop="1" x14ac:dyDescent="0.45">
      <c r="A110" s="16">
        <f t="shared" si="1"/>
        <v>47849</v>
      </c>
      <c r="B110" s="17">
        <v>47849</v>
      </c>
      <c r="C110" s="18" t="s">
        <v>4</v>
      </c>
      <c r="D110" s="19">
        <v>1</v>
      </c>
    </row>
    <row r="111" spans="1:4" x14ac:dyDescent="0.45">
      <c r="A111" s="8">
        <f t="shared" si="1"/>
        <v>47861</v>
      </c>
      <c r="B111" s="9">
        <v>47861</v>
      </c>
      <c r="C111" s="10" t="s">
        <v>5</v>
      </c>
      <c r="D111" s="11">
        <v>2</v>
      </c>
    </row>
    <row r="112" spans="1:4" x14ac:dyDescent="0.45">
      <c r="A112" s="8">
        <f t="shared" si="1"/>
        <v>47890</v>
      </c>
      <c r="B112" s="9">
        <v>47890</v>
      </c>
      <c r="C112" s="10" t="s">
        <v>6</v>
      </c>
      <c r="D112" s="11">
        <v>3</v>
      </c>
    </row>
    <row r="113" spans="1:4" x14ac:dyDescent="0.45">
      <c r="A113" s="8">
        <f t="shared" si="1"/>
        <v>47902</v>
      </c>
      <c r="B113" s="9">
        <v>47902</v>
      </c>
      <c r="C113" s="10" t="s">
        <v>7</v>
      </c>
      <c r="D113" s="11">
        <v>4</v>
      </c>
    </row>
    <row r="114" spans="1:4" x14ac:dyDescent="0.45">
      <c r="A114" s="8">
        <f t="shared" si="1"/>
        <v>47903</v>
      </c>
      <c r="B114" s="9">
        <v>47903</v>
      </c>
      <c r="C114" s="10" t="s">
        <v>8</v>
      </c>
      <c r="D114" s="11">
        <v>5</v>
      </c>
    </row>
    <row r="115" spans="1:4" x14ac:dyDescent="0.45">
      <c r="A115" s="8">
        <f t="shared" si="1"/>
        <v>47928</v>
      </c>
      <c r="B115" s="9">
        <v>47928</v>
      </c>
      <c r="C115" s="10" t="s">
        <v>9</v>
      </c>
      <c r="D115" s="11">
        <v>6</v>
      </c>
    </row>
    <row r="116" spans="1:4" x14ac:dyDescent="0.45">
      <c r="A116" s="8">
        <f t="shared" si="1"/>
        <v>47967</v>
      </c>
      <c r="B116" s="9">
        <v>47967</v>
      </c>
      <c r="C116" s="10" t="s">
        <v>10</v>
      </c>
      <c r="D116" s="11">
        <v>7</v>
      </c>
    </row>
    <row r="117" spans="1:4" x14ac:dyDescent="0.45">
      <c r="A117" s="8">
        <f t="shared" si="1"/>
        <v>47971</v>
      </c>
      <c r="B117" s="9">
        <v>47971</v>
      </c>
      <c r="C117" s="10" t="s">
        <v>11</v>
      </c>
      <c r="D117" s="11">
        <v>8</v>
      </c>
    </row>
    <row r="118" spans="1:4" x14ac:dyDescent="0.45">
      <c r="A118" s="8">
        <f t="shared" si="1"/>
        <v>47972</v>
      </c>
      <c r="B118" s="9">
        <v>47972</v>
      </c>
      <c r="C118" s="10" t="s">
        <v>12</v>
      </c>
      <c r="D118" s="11">
        <v>9</v>
      </c>
    </row>
    <row r="119" spans="1:4" x14ac:dyDescent="0.45">
      <c r="A119" s="8">
        <f t="shared" si="1"/>
        <v>47973</v>
      </c>
      <c r="B119" s="9">
        <v>47973</v>
      </c>
      <c r="C119" s="10" t="s">
        <v>13</v>
      </c>
      <c r="D119" s="11">
        <v>10</v>
      </c>
    </row>
    <row r="120" spans="1:4" x14ac:dyDescent="0.45">
      <c r="A120" s="8">
        <f t="shared" si="1"/>
        <v>47974</v>
      </c>
      <c r="B120" s="9">
        <v>47974</v>
      </c>
      <c r="C120" s="10" t="s">
        <v>8</v>
      </c>
      <c r="D120" s="11">
        <v>11</v>
      </c>
    </row>
    <row r="121" spans="1:4" x14ac:dyDescent="0.45">
      <c r="A121" s="8">
        <f t="shared" si="1"/>
        <v>48050</v>
      </c>
      <c r="B121" s="9">
        <v>48050</v>
      </c>
      <c r="C121" s="10" t="s">
        <v>14</v>
      </c>
      <c r="D121" s="11">
        <v>12</v>
      </c>
    </row>
    <row r="122" spans="1:4" x14ac:dyDescent="0.45">
      <c r="A122" s="8">
        <f t="shared" si="1"/>
        <v>48071</v>
      </c>
      <c r="B122" s="9">
        <v>48071</v>
      </c>
      <c r="C122" s="10" t="s">
        <v>15</v>
      </c>
      <c r="D122" s="11">
        <v>13</v>
      </c>
    </row>
    <row r="123" spans="1:4" x14ac:dyDescent="0.45">
      <c r="A123" s="8">
        <f t="shared" si="1"/>
        <v>48106</v>
      </c>
      <c r="B123" s="9">
        <v>48106</v>
      </c>
      <c r="C123" s="10" t="s">
        <v>16</v>
      </c>
      <c r="D123" s="11">
        <v>14</v>
      </c>
    </row>
    <row r="124" spans="1:4" x14ac:dyDescent="0.45">
      <c r="A124" s="8">
        <f t="shared" si="1"/>
        <v>48114</v>
      </c>
      <c r="B124" s="9">
        <v>48114</v>
      </c>
      <c r="C124" s="10" t="s">
        <v>17</v>
      </c>
      <c r="D124" s="11">
        <v>15</v>
      </c>
    </row>
    <row r="125" spans="1:4" x14ac:dyDescent="0.45">
      <c r="A125" s="8">
        <f t="shared" si="1"/>
        <v>48134</v>
      </c>
      <c r="B125" s="9">
        <v>48134</v>
      </c>
      <c r="C125" s="10" t="s">
        <v>18</v>
      </c>
      <c r="D125" s="11">
        <v>16</v>
      </c>
    </row>
    <row r="126" spans="1:4" x14ac:dyDescent="0.45">
      <c r="A126" s="8">
        <f t="shared" si="1"/>
        <v>48155</v>
      </c>
      <c r="B126" s="9">
        <v>48155</v>
      </c>
      <c r="C126" s="10" t="s">
        <v>19</v>
      </c>
      <c r="D126" s="11">
        <v>17</v>
      </c>
    </row>
    <row r="127" spans="1:4" x14ac:dyDescent="0.45">
      <c r="A127" s="8">
        <f t="shared" si="1"/>
        <v>48175</v>
      </c>
      <c r="B127" s="9">
        <v>48175</v>
      </c>
      <c r="C127" s="10" t="s">
        <v>20</v>
      </c>
      <c r="D127" s="11">
        <v>18</v>
      </c>
    </row>
    <row r="128" spans="1:4" ht="18.600000000000001" thickBot="1" x14ac:dyDescent="0.5">
      <c r="A128" s="12">
        <f t="shared" si="1"/>
        <v>48176</v>
      </c>
      <c r="B128" s="13">
        <v>48176</v>
      </c>
      <c r="C128" s="14" t="s">
        <v>8</v>
      </c>
      <c r="D128" s="15">
        <v>19</v>
      </c>
    </row>
    <row r="129" spans="1:4" ht="18.600000000000001" thickTop="1" x14ac:dyDescent="0.45">
      <c r="A129" s="16">
        <f t="shared" si="1"/>
        <v>48214</v>
      </c>
      <c r="B129" s="17">
        <v>48214</v>
      </c>
      <c r="C129" s="18" t="s">
        <v>4</v>
      </c>
      <c r="D129" s="19">
        <v>1</v>
      </c>
    </row>
    <row r="130" spans="1:4" x14ac:dyDescent="0.45">
      <c r="A130" s="8">
        <f t="shared" ref="A130:A193" si="2">B130</f>
        <v>48225</v>
      </c>
      <c r="B130" s="9">
        <v>48225</v>
      </c>
      <c r="C130" s="10" t="s">
        <v>5</v>
      </c>
      <c r="D130" s="11">
        <v>2</v>
      </c>
    </row>
    <row r="131" spans="1:4" x14ac:dyDescent="0.45">
      <c r="A131" s="8">
        <f t="shared" si="2"/>
        <v>48255</v>
      </c>
      <c r="B131" s="9">
        <v>48255</v>
      </c>
      <c r="C131" s="10" t="s">
        <v>6</v>
      </c>
      <c r="D131" s="11">
        <v>3</v>
      </c>
    </row>
    <row r="132" spans="1:4" x14ac:dyDescent="0.45">
      <c r="A132" s="8">
        <f t="shared" si="2"/>
        <v>48267</v>
      </c>
      <c r="B132" s="9">
        <v>48267</v>
      </c>
      <c r="C132" s="10" t="s">
        <v>7</v>
      </c>
      <c r="D132" s="11">
        <v>4</v>
      </c>
    </row>
    <row r="133" spans="1:4" x14ac:dyDescent="0.45">
      <c r="A133" s="8">
        <f t="shared" si="2"/>
        <v>48293</v>
      </c>
      <c r="B133" s="9">
        <v>48293</v>
      </c>
      <c r="C133" s="10" t="s">
        <v>9</v>
      </c>
      <c r="D133" s="11">
        <v>5</v>
      </c>
    </row>
    <row r="134" spans="1:4" x14ac:dyDescent="0.45">
      <c r="A134" s="8">
        <f t="shared" si="2"/>
        <v>48333</v>
      </c>
      <c r="B134" s="9">
        <v>48333</v>
      </c>
      <c r="C134" s="10" t="s">
        <v>10</v>
      </c>
      <c r="D134" s="11">
        <v>6</v>
      </c>
    </row>
    <row r="135" spans="1:4" x14ac:dyDescent="0.45">
      <c r="A135" s="8">
        <f t="shared" si="2"/>
        <v>48337</v>
      </c>
      <c r="B135" s="9">
        <v>48337</v>
      </c>
      <c r="C135" s="10" t="s">
        <v>11</v>
      </c>
      <c r="D135" s="11">
        <v>7</v>
      </c>
    </row>
    <row r="136" spans="1:4" x14ac:dyDescent="0.45">
      <c r="A136" s="8">
        <f t="shared" si="2"/>
        <v>48338</v>
      </c>
      <c r="B136" s="9">
        <v>48338</v>
      </c>
      <c r="C136" s="10" t="s">
        <v>12</v>
      </c>
      <c r="D136" s="11">
        <v>8</v>
      </c>
    </row>
    <row r="137" spans="1:4" x14ac:dyDescent="0.45">
      <c r="A137" s="8">
        <f t="shared" si="2"/>
        <v>48339</v>
      </c>
      <c r="B137" s="9">
        <v>48339</v>
      </c>
      <c r="C137" s="10" t="s">
        <v>13</v>
      </c>
      <c r="D137" s="11">
        <v>9</v>
      </c>
    </row>
    <row r="138" spans="1:4" x14ac:dyDescent="0.45">
      <c r="A138" s="8">
        <f t="shared" si="2"/>
        <v>48414</v>
      </c>
      <c r="B138" s="9">
        <v>48414</v>
      </c>
      <c r="C138" s="10" t="s">
        <v>14</v>
      </c>
      <c r="D138" s="11">
        <v>10</v>
      </c>
    </row>
    <row r="139" spans="1:4" x14ac:dyDescent="0.45">
      <c r="A139" s="8">
        <f t="shared" si="2"/>
        <v>48437</v>
      </c>
      <c r="B139" s="9">
        <v>48437</v>
      </c>
      <c r="C139" s="10" t="s">
        <v>15</v>
      </c>
      <c r="D139" s="11">
        <v>11</v>
      </c>
    </row>
    <row r="140" spans="1:4" x14ac:dyDescent="0.45">
      <c r="A140" s="8">
        <f t="shared" si="2"/>
        <v>48477</v>
      </c>
      <c r="B140" s="9">
        <v>48477</v>
      </c>
      <c r="C140" s="10" t="s">
        <v>16</v>
      </c>
      <c r="D140" s="11">
        <v>12</v>
      </c>
    </row>
    <row r="141" spans="1:4" x14ac:dyDescent="0.45">
      <c r="A141" s="8">
        <f t="shared" si="2"/>
        <v>48478</v>
      </c>
      <c r="B141" s="9">
        <v>48478</v>
      </c>
      <c r="C141" s="10" t="s">
        <v>21</v>
      </c>
      <c r="D141" s="11">
        <v>13</v>
      </c>
    </row>
    <row r="142" spans="1:4" x14ac:dyDescent="0.45">
      <c r="A142" s="8">
        <f t="shared" si="2"/>
        <v>48479</v>
      </c>
      <c r="B142" s="9">
        <v>48479</v>
      </c>
      <c r="C142" s="10" t="s">
        <v>17</v>
      </c>
      <c r="D142" s="11">
        <v>14</v>
      </c>
    </row>
    <row r="143" spans="1:4" x14ac:dyDescent="0.45">
      <c r="A143" s="8">
        <f t="shared" si="2"/>
        <v>48498</v>
      </c>
      <c r="B143" s="9">
        <v>48498</v>
      </c>
      <c r="C143" s="10" t="s">
        <v>18</v>
      </c>
      <c r="D143" s="11">
        <v>15</v>
      </c>
    </row>
    <row r="144" spans="1:4" x14ac:dyDescent="0.45">
      <c r="A144" s="8">
        <f t="shared" si="2"/>
        <v>48521</v>
      </c>
      <c r="B144" s="9">
        <v>48521</v>
      </c>
      <c r="C144" s="10" t="s">
        <v>19</v>
      </c>
      <c r="D144" s="11">
        <v>16</v>
      </c>
    </row>
    <row r="145" spans="1:4" ht="18.600000000000001" thickBot="1" x14ac:dyDescent="0.5">
      <c r="A145" s="12">
        <f t="shared" si="2"/>
        <v>48541</v>
      </c>
      <c r="B145" s="13">
        <v>48541</v>
      </c>
      <c r="C145" s="14" t="s">
        <v>20</v>
      </c>
      <c r="D145" s="15">
        <v>17</v>
      </c>
    </row>
    <row r="146" spans="1:4" ht="18.600000000000001" thickTop="1" x14ac:dyDescent="0.45">
      <c r="A146" s="16">
        <f t="shared" si="2"/>
        <v>48580</v>
      </c>
      <c r="B146" s="17">
        <v>48580</v>
      </c>
      <c r="C146" s="18" t="s">
        <v>4</v>
      </c>
      <c r="D146" s="19">
        <v>1</v>
      </c>
    </row>
    <row r="147" spans="1:4" x14ac:dyDescent="0.45">
      <c r="A147" s="8">
        <f t="shared" si="2"/>
        <v>48589</v>
      </c>
      <c r="B147" s="9">
        <v>48589</v>
      </c>
      <c r="C147" s="10" t="s">
        <v>5</v>
      </c>
      <c r="D147" s="11">
        <v>2</v>
      </c>
    </row>
    <row r="148" spans="1:4" x14ac:dyDescent="0.45">
      <c r="A148" s="8">
        <f t="shared" si="2"/>
        <v>48621</v>
      </c>
      <c r="B148" s="9">
        <v>48621</v>
      </c>
      <c r="C148" s="10" t="s">
        <v>6</v>
      </c>
      <c r="D148" s="11">
        <v>3</v>
      </c>
    </row>
    <row r="149" spans="1:4" x14ac:dyDescent="0.45">
      <c r="A149" s="8">
        <f t="shared" si="2"/>
        <v>48633</v>
      </c>
      <c r="B149" s="9">
        <v>48633</v>
      </c>
      <c r="C149" s="10" t="s">
        <v>7</v>
      </c>
      <c r="D149" s="11">
        <v>4</v>
      </c>
    </row>
    <row r="150" spans="1:4" x14ac:dyDescent="0.45">
      <c r="A150" s="8">
        <f t="shared" si="2"/>
        <v>48658</v>
      </c>
      <c r="B150" s="9">
        <v>48658</v>
      </c>
      <c r="C150" s="10" t="s">
        <v>9</v>
      </c>
      <c r="D150" s="11">
        <v>5</v>
      </c>
    </row>
    <row r="151" spans="1:4" x14ac:dyDescent="0.45">
      <c r="A151" s="8">
        <f t="shared" si="2"/>
        <v>48659</v>
      </c>
      <c r="B151" s="9">
        <v>48659</v>
      </c>
      <c r="C151" s="10" t="s">
        <v>8</v>
      </c>
      <c r="D151" s="11">
        <v>6</v>
      </c>
    </row>
    <row r="152" spans="1:4" x14ac:dyDescent="0.45">
      <c r="A152" s="8">
        <f t="shared" si="2"/>
        <v>48698</v>
      </c>
      <c r="B152" s="9">
        <v>48698</v>
      </c>
      <c r="C152" s="10" t="s">
        <v>10</v>
      </c>
      <c r="D152" s="11">
        <v>7</v>
      </c>
    </row>
    <row r="153" spans="1:4" x14ac:dyDescent="0.45">
      <c r="A153" s="8">
        <f t="shared" si="2"/>
        <v>48702</v>
      </c>
      <c r="B153" s="9">
        <v>48702</v>
      </c>
      <c r="C153" s="10" t="s">
        <v>11</v>
      </c>
      <c r="D153" s="11">
        <v>8</v>
      </c>
    </row>
    <row r="154" spans="1:4" x14ac:dyDescent="0.45">
      <c r="A154" s="8">
        <f t="shared" si="2"/>
        <v>48703</v>
      </c>
      <c r="B154" s="9">
        <v>48703</v>
      </c>
      <c r="C154" s="10" t="s">
        <v>12</v>
      </c>
      <c r="D154" s="11">
        <v>9</v>
      </c>
    </row>
    <row r="155" spans="1:4" x14ac:dyDescent="0.45">
      <c r="A155" s="8">
        <f t="shared" si="2"/>
        <v>48704</v>
      </c>
      <c r="B155" s="9">
        <v>48704</v>
      </c>
      <c r="C155" s="10" t="s">
        <v>13</v>
      </c>
      <c r="D155" s="11">
        <v>10</v>
      </c>
    </row>
    <row r="156" spans="1:4" x14ac:dyDescent="0.45">
      <c r="A156" s="8">
        <f t="shared" si="2"/>
        <v>48778</v>
      </c>
      <c r="B156" s="9">
        <v>48778</v>
      </c>
      <c r="C156" s="10" t="s">
        <v>14</v>
      </c>
      <c r="D156" s="11">
        <v>11</v>
      </c>
    </row>
    <row r="157" spans="1:4" x14ac:dyDescent="0.45">
      <c r="A157" s="8">
        <f t="shared" si="2"/>
        <v>48802</v>
      </c>
      <c r="B157" s="9">
        <v>48802</v>
      </c>
      <c r="C157" s="10" t="s">
        <v>15</v>
      </c>
      <c r="D157" s="11">
        <v>12</v>
      </c>
    </row>
    <row r="158" spans="1:4" x14ac:dyDescent="0.45">
      <c r="A158" s="8">
        <f t="shared" si="2"/>
        <v>48841</v>
      </c>
      <c r="B158" s="9">
        <v>48841</v>
      </c>
      <c r="C158" s="10" t="s">
        <v>16</v>
      </c>
      <c r="D158" s="11">
        <v>13</v>
      </c>
    </row>
    <row r="159" spans="1:4" x14ac:dyDescent="0.45">
      <c r="A159" s="8">
        <f t="shared" si="2"/>
        <v>48845</v>
      </c>
      <c r="B159" s="9">
        <v>48845</v>
      </c>
      <c r="C159" s="10" t="s">
        <v>17</v>
      </c>
      <c r="D159" s="11">
        <v>14</v>
      </c>
    </row>
    <row r="160" spans="1:4" x14ac:dyDescent="0.45">
      <c r="A160" s="8">
        <f t="shared" si="2"/>
        <v>48862</v>
      </c>
      <c r="B160" s="9">
        <v>48862</v>
      </c>
      <c r="C160" s="10" t="s">
        <v>18</v>
      </c>
      <c r="D160" s="11">
        <v>15</v>
      </c>
    </row>
    <row r="161" spans="1:4" x14ac:dyDescent="0.45">
      <c r="A161" s="8">
        <f t="shared" si="2"/>
        <v>48886</v>
      </c>
      <c r="B161" s="9">
        <v>48886</v>
      </c>
      <c r="C161" s="10" t="s">
        <v>19</v>
      </c>
      <c r="D161" s="11">
        <v>16</v>
      </c>
    </row>
    <row r="162" spans="1:4" ht="18.600000000000001" thickBot="1" x14ac:dyDescent="0.5">
      <c r="A162" s="12">
        <f t="shared" si="2"/>
        <v>48906</v>
      </c>
      <c r="B162" s="13">
        <v>48906</v>
      </c>
      <c r="C162" s="14" t="s">
        <v>20</v>
      </c>
      <c r="D162" s="15">
        <v>17</v>
      </c>
    </row>
    <row r="163" spans="1:4" ht="18.600000000000001" thickTop="1" x14ac:dyDescent="0.45">
      <c r="A163" s="16">
        <f t="shared" si="2"/>
        <v>48945</v>
      </c>
      <c r="B163" s="17">
        <v>48945</v>
      </c>
      <c r="C163" s="18" t="s">
        <v>4</v>
      </c>
      <c r="D163" s="19">
        <v>1</v>
      </c>
    </row>
    <row r="164" spans="1:4" x14ac:dyDescent="0.45">
      <c r="A164" s="8">
        <f t="shared" si="2"/>
        <v>48946</v>
      </c>
      <c r="B164" s="9">
        <v>48946</v>
      </c>
      <c r="C164" s="10" t="s">
        <v>8</v>
      </c>
      <c r="D164" s="11">
        <v>2</v>
      </c>
    </row>
    <row r="165" spans="1:4" x14ac:dyDescent="0.45">
      <c r="A165" s="8">
        <f t="shared" si="2"/>
        <v>48953</v>
      </c>
      <c r="B165" s="9">
        <v>48953</v>
      </c>
      <c r="C165" s="10" t="s">
        <v>5</v>
      </c>
      <c r="D165" s="11">
        <v>3</v>
      </c>
    </row>
    <row r="166" spans="1:4" x14ac:dyDescent="0.45">
      <c r="A166" s="8">
        <f t="shared" si="2"/>
        <v>48986</v>
      </c>
      <c r="B166" s="9">
        <v>48986</v>
      </c>
      <c r="C166" s="10" t="s">
        <v>6</v>
      </c>
      <c r="D166" s="11">
        <v>4</v>
      </c>
    </row>
    <row r="167" spans="1:4" x14ac:dyDescent="0.45">
      <c r="A167" s="8">
        <f t="shared" si="2"/>
        <v>48998</v>
      </c>
      <c r="B167" s="9">
        <v>48998</v>
      </c>
      <c r="C167" s="10" t="s">
        <v>7</v>
      </c>
      <c r="D167" s="11">
        <v>5</v>
      </c>
    </row>
    <row r="168" spans="1:4" x14ac:dyDescent="0.45">
      <c r="A168" s="8">
        <f t="shared" si="2"/>
        <v>49023</v>
      </c>
      <c r="B168" s="9">
        <v>49023</v>
      </c>
      <c r="C168" s="10" t="s">
        <v>9</v>
      </c>
      <c r="D168" s="11">
        <v>6</v>
      </c>
    </row>
    <row r="169" spans="1:4" x14ac:dyDescent="0.45">
      <c r="A169" s="8">
        <f t="shared" si="2"/>
        <v>49063</v>
      </c>
      <c r="B169" s="9">
        <v>49063</v>
      </c>
      <c r="C169" s="10" t="s">
        <v>10</v>
      </c>
      <c r="D169" s="11">
        <v>7</v>
      </c>
    </row>
    <row r="170" spans="1:4" x14ac:dyDescent="0.45">
      <c r="A170" s="8">
        <f t="shared" si="2"/>
        <v>49067</v>
      </c>
      <c r="B170" s="9">
        <v>49067</v>
      </c>
      <c r="C170" s="10" t="s">
        <v>11</v>
      </c>
      <c r="D170" s="11">
        <v>8</v>
      </c>
    </row>
    <row r="171" spans="1:4" x14ac:dyDescent="0.45">
      <c r="A171" s="8">
        <f t="shared" si="2"/>
        <v>49068</v>
      </c>
      <c r="B171" s="9">
        <v>49068</v>
      </c>
      <c r="C171" s="10" t="s">
        <v>12</v>
      </c>
      <c r="D171" s="11">
        <v>9</v>
      </c>
    </row>
    <row r="172" spans="1:4" x14ac:dyDescent="0.45">
      <c r="A172" s="8">
        <f t="shared" si="2"/>
        <v>49069</v>
      </c>
      <c r="B172" s="9">
        <v>49069</v>
      </c>
      <c r="C172" s="10" t="s">
        <v>13</v>
      </c>
      <c r="D172" s="11">
        <v>10</v>
      </c>
    </row>
    <row r="173" spans="1:4" x14ac:dyDescent="0.45">
      <c r="A173" s="8">
        <f t="shared" si="2"/>
        <v>49142</v>
      </c>
      <c r="B173" s="9">
        <v>49142</v>
      </c>
      <c r="C173" s="10" t="s">
        <v>14</v>
      </c>
      <c r="D173" s="11">
        <v>11</v>
      </c>
    </row>
    <row r="174" spans="1:4" x14ac:dyDescent="0.45">
      <c r="A174" s="8">
        <f t="shared" si="2"/>
        <v>49167</v>
      </c>
      <c r="B174" s="9">
        <v>49167</v>
      </c>
      <c r="C174" s="10" t="s">
        <v>15</v>
      </c>
      <c r="D174" s="11">
        <v>12</v>
      </c>
    </row>
    <row r="175" spans="1:4" x14ac:dyDescent="0.45">
      <c r="A175" s="8">
        <f t="shared" si="2"/>
        <v>49205</v>
      </c>
      <c r="B175" s="9">
        <v>49205</v>
      </c>
      <c r="C175" s="10" t="s">
        <v>16</v>
      </c>
      <c r="D175" s="11">
        <v>13</v>
      </c>
    </row>
    <row r="176" spans="1:4" x14ac:dyDescent="0.45">
      <c r="A176" s="8">
        <f t="shared" si="2"/>
        <v>49210</v>
      </c>
      <c r="B176" s="9">
        <v>49210</v>
      </c>
      <c r="C176" s="10" t="s">
        <v>17</v>
      </c>
      <c r="D176" s="11">
        <v>14</v>
      </c>
    </row>
    <row r="177" spans="1:4" x14ac:dyDescent="0.45">
      <c r="A177" s="8">
        <f t="shared" si="2"/>
        <v>49226</v>
      </c>
      <c r="B177" s="9">
        <v>49226</v>
      </c>
      <c r="C177" s="10" t="s">
        <v>18</v>
      </c>
      <c r="D177" s="11">
        <v>15</v>
      </c>
    </row>
    <row r="178" spans="1:4" x14ac:dyDescent="0.45">
      <c r="A178" s="8">
        <f t="shared" si="2"/>
        <v>49251</v>
      </c>
      <c r="B178" s="9">
        <v>49251</v>
      </c>
      <c r="C178" s="10" t="s">
        <v>19</v>
      </c>
      <c r="D178" s="11">
        <v>16</v>
      </c>
    </row>
    <row r="179" spans="1:4" ht="18.600000000000001" thickBot="1" x14ac:dyDescent="0.5">
      <c r="A179" s="12">
        <f t="shared" si="2"/>
        <v>49271</v>
      </c>
      <c r="B179" s="13">
        <v>49271</v>
      </c>
      <c r="C179" s="14" t="s">
        <v>20</v>
      </c>
      <c r="D179" s="15">
        <v>17</v>
      </c>
    </row>
    <row r="180" spans="1:4" ht="18.600000000000001" thickTop="1" x14ac:dyDescent="0.45">
      <c r="A180" s="16">
        <f t="shared" si="2"/>
        <v>49310</v>
      </c>
      <c r="B180" s="17">
        <v>49310</v>
      </c>
      <c r="C180" s="18" t="s">
        <v>4</v>
      </c>
      <c r="D180" s="19">
        <v>1</v>
      </c>
    </row>
    <row r="181" spans="1:4" x14ac:dyDescent="0.45">
      <c r="A181" s="8">
        <f t="shared" si="2"/>
        <v>49317</v>
      </c>
      <c r="B181" s="9">
        <v>49317</v>
      </c>
      <c r="C181" s="10" t="s">
        <v>5</v>
      </c>
      <c r="D181" s="11">
        <v>2</v>
      </c>
    </row>
    <row r="182" spans="1:4" x14ac:dyDescent="0.45">
      <c r="A182" s="8">
        <f t="shared" si="2"/>
        <v>49351</v>
      </c>
      <c r="B182" s="9">
        <v>49351</v>
      </c>
      <c r="C182" s="10" t="s">
        <v>6</v>
      </c>
      <c r="D182" s="11">
        <v>3</v>
      </c>
    </row>
    <row r="183" spans="1:4" x14ac:dyDescent="0.45">
      <c r="A183" s="8">
        <f t="shared" si="2"/>
        <v>49352</v>
      </c>
      <c r="B183" s="9">
        <v>49352</v>
      </c>
      <c r="C183" s="10" t="s">
        <v>8</v>
      </c>
      <c r="D183" s="11">
        <v>4</v>
      </c>
    </row>
    <row r="184" spans="1:4" x14ac:dyDescent="0.45">
      <c r="A184" s="8">
        <f t="shared" si="2"/>
        <v>49363</v>
      </c>
      <c r="B184" s="9">
        <v>49363</v>
      </c>
      <c r="C184" s="10" t="s">
        <v>7</v>
      </c>
      <c r="D184" s="11">
        <v>5</v>
      </c>
    </row>
    <row r="185" spans="1:4" x14ac:dyDescent="0.45">
      <c r="A185" s="8">
        <f t="shared" si="2"/>
        <v>49389</v>
      </c>
      <c r="B185" s="9">
        <v>49389</v>
      </c>
      <c r="C185" s="10" t="s">
        <v>9</v>
      </c>
      <c r="D185" s="11">
        <v>6</v>
      </c>
    </row>
    <row r="186" spans="1:4" x14ac:dyDescent="0.45">
      <c r="A186" s="8">
        <f t="shared" si="2"/>
        <v>49428</v>
      </c>
      <c r="B186" s="9">
        <v>49428</v>
      </c>
      <c r="C186" s="10" t="s">
        <v>10</v>
      </c>
      <c r="D186" s="11">
        <v>7</v>
      </c>
    </row>
    <row r="187" spans="1:4" x14ac:dyDescent="0.45">
      <c r="A187" s="8">
        <f t="shared" si="2"/>
        <v>49429</v>
      </c>
      <c r="B187" s="9">
        <v>49429</v>
      </c>
      <c r="C187" s="10" t="s">
        <v>8</v>
      </c>
      <c r="D187" s="11">
        <v>8</v>
      </c>
    </row>
    <row r="188" spans="1:4" x14ac:dyDescent="0.45">
      <c r="A188" s="8">
        <f t="shared" si="2"/>
        <v>49432</v>
      </c>
      <c r="B188" s="9">
        <v>49432</v>
      </c>
      <c r="C188" s="10" t="s">
        <v>11</v>
      </c>
      <c r="D188" s="11">
        <v>9</v>
      </c>
    </row>
    <row r="189" spans="1:4" x14ac:dyDescent="0.45">
      <c r="A189" s="8">
        <f t="shared" si="2"/>
        <v>49433</v>
      </c>
      <c r="B189" s="9">
        <v>49433</v>
      </c>
      <c r="C189" s="10" t="s">
        <v>12</v>
      </c>
      <c r="D189" s="11">
        <v>10</v>
      </c>
    </row>
    <row r="190" spans="1:4" x14ac:dyDescent="0.45">
      <c r="A190" s="8">
        <f t="shared" si="2"/>
        <v>49434</v>
      </c>
      <c r="B190" s="9">
        <v>49434</v>
      </c>
      <c r="C190" s="10" t="s">
        <v>13</v>
      </c>
      <c r="D190" s="11">
        <v>11</v>
      </c>
    </row>
    <row r="191" spans="1:4" x14ac:dyDescent="0.45">
      <c r="A191" s="8">
        <f t="shared" si="2"/>
        <v>49506</v>
      </c>
      <c r="B191" s="9">
        <v>49506</v>
      </c>
      <c r="C191" s="10" t="s">
        <v>14</v>
      </c>
      <c r="D191" s="11">
        <v>12</v>
      </c>
    </row>
    <row r="192" spans="1:4" x14ac:dyDescent="0.45">
      <c r="A192" s="8">
        <f t="shared" si="2"/>
        <v>49532</v>
      </c>
      <c r="B192" s="9">
        <v>49532</v>
      </c>
      <c r="C192" s="10" t="s">
        <v>15</v>
      </c>
      <c r="D192" s="11">
        <v>13</v>
      </c>
    </row>
    <row r="193" spans="1:4" x14ac:dyDescent="0.45">
      <c r="A193" s="8">
        <f t="shared" si="2"/>
        <v>49569</v>
      </c>
      <c r="B193" s="9">
        <v>49569</v>
      </c>
      <c r="C193" s="10" t="s">
        <v>16</v>
      </c>
      <c r="D193" s="11">
        <v>14</v>
      </c>
    </row>
    <row r="194" spans="1:4" x14ac:dyDescent="0.45">
      <c r="A194" s="8">
        <f t="shared" ref="A194:A216" si="3">B194</f>
        <v>49575</v>
      </c>
      <c r="B194" s="9">
        <v>49575</v>
      </c>
      <c r="C194" s="10" t="s">
        <v>17</v>
      </c>
      <c r="D194" s="11">
        <v>15</v>
      </c>
    </row>
    <row r="195" spans="1:4" x14ac:dyDescent="0.45">
      <c r="A195" s="8">
        <f t="shared" si="3"/>
        <v>49576</v>
      </c>
      <c r="B195" s="9">
        <v>49576</v>
      </c>
      <c r="C195" s="10" t="s">
        <v>8</v>
      </c>
      <c r="D195" s="11">
        <v>16</v>
      </c>
    </row>
    <row r="196" spans="1:4" x14ac:dyDescent="0.45">
      <c r="A196" s="8">
        <f t="shared" si="3"/>
        <v>49590</v>
      </c>
      <c r="B196" s="9">
        <v>49590</v>
      </c>
      <c r="C196" s="10" t="s">
        <v>18</v>
      </c>
      <c r="D196" s="11">
        <v>17</v>
      </c>
    </row>
    <row r="197" spans="1:4" x14ac:dyDescent="0.45">
      <c r="A197" s="8">
        <f t="shared" si="3"/>
        <v>49616</v>
      </c>
      <c r="B197" s="9">
        <v>49616</v>
      </c>
      <c r="C197" s="10" t="s">
        <v>19</v>
      </c>
      <c r="D197" s="11">
        <v>18</v>
      </c>
    </row>
    <row r="198" spans="1:4" ht="18.600000000000001" thickBot="1" x14ac:dyDescent="0.5">
      <c r="A198" s="12">
        <f t="shared" si="3"/>
        <v>49636</v>
      </c>
      <c r="B198" s="13">
        <v>49636</v>
      </c>
      <c r="C198" s="14" t="s">
        <v>20</v>
      </c>
      <c r="D198" s="15">
        <v>19</v>
      </c>
    </row>
    <row r="199" spans="1:4" ht="18.600000000000001" thickTop="1" x14ac:dyDescent="0.45">
      <c r="A199" s="16">
        <f t="shared" si="3"/>
        <v>49675</v>
      </c>
      <c r="B199" s="17">
        <v>49675</v>
      </c>
      <c r="C199" s="18" t="s">
        <v>4</v>
      </c>
      <c r="D199" s="19">
        <v>1</v>
      </c>
    </row>
    <row r="200" spans="1:4" x14ac:dyDescent="0.45">
      <c r="A200" s="8">
        <f t="shared" si="3"/>
        <v>49688</v>
      </c>
      <c r="B200" s="9">
        <v>49688</v>
      </c>
      <c r="C200" s="10" t="s">
        <v>5</v>
      </c>
      <c r="D200" s="11">
        <v>2</v>
      </c>
    </row>
    <row r="201" spans="1:4" x14ac:dyDescent="0.45">
      <c r="A201" s="8">
        <f t="shared" si="3"/>
        <v>49716</v>
      </c>
      <c r="B201" s="9">
        <v>49716</v>
      </c>
      <c r="C201" s="10" t="s">
        <v>6</v>
      </c>
      <c r="D201" s="11">
        <v>3</v>
      </c>
    </row>
    <row r="202" spans="1:4" x14ac:dyDescent="0.45">
      <c r="A202" s="8">
        <f t="shared" si="3"/>
        <v>49728</v>
      </c>
      <c r="B202" s="9">
        <v>49728</v>
      </c>
      <c r="C202" s="10" t="s">
        <v>7</v>
      </c>
      <c r="D202" s="11">
        <v>4</v>
      </c>
    </row>
    <row r="203" spans="1:4" x14ac:dyDescent="0.45">
      <c r="A203" s="8">
        <f t="shared" si="3"/>
        <v>49754</v>
      </c>
      <c r="B203" s="9">
        <v>49754</v>
      </c>
      <c r="C203" s="10" t="s">
        <v>9</v>
      </c>
      <c r="D203" s="11">
        <v>5</v>
      </c>
    </row>
    <row r="204" spans="1:4" x14ac:dyDescent="0.45">
      <c r="A204" s="8">
        <f t="shared" si="3"/>
        <v>49794</v>
      </c>
      <c r="B204" s="9">
        <v>49794</v>
      </c>
      <c r="C204" s="10" t="s">
        <v>10</v>
      </c>
      <c r="D204" s="11">
        <v>6</v>
      </c>
    </row>
    <row r="205" spans="1:4" x14ac:dyDescent="0.45">
      <c r="A205" s="8">
        <f t="shared" si="3"/>
        <v>49798</v>
      </c>
      <c r="B205" s="9">
        <v>49798</v>
      </c>
      <c r="C205" s="10" t="s">
        <v>11</v>
      </c>
      <c r="D205" s="11">
        <v>7</v>
      </c>
    </row>
    <row r="206" spans="1:4" x14ac:dyDescent="0.45">
      <c r="A206" s="8">
        <f t="shared" si="3"/>
        <v>49799</v>
      </c>
      <c r="B206" s="9">
        <v>49799</v>
      </c>
      <c r="C206" s="10" t="s">
        <v>12</v>
      </c>
      <c r="D206" s="11">
        <v>8</v>
      </c>
    </row>
    <row r="207" spans="1:4" x14ac:dyDescent="0.45">
      <c r="A207" s="8">
        <f t="shared" si="3"/>
        <v>49800</v>
      </c>
      <c r="B207" s="9">
        <v>49800</v>
      </c>
      <c r="C207" s="10" t="s">
        <v>13</v>
      </c>
      <c r="D207" s="11">
        <v>9</v>
      </c>
    </row>
    <row r="208" spans="1:4" x14ac:dyDescent="0.45">
      <c r="A208" s="8">
        <f t="shared" si="3"/>
        <v>49801</v>
      </c>
      <c r="B208" s="9">
        <v>49801</v>
      </c>
      <c r="C208" s="10" t="s">
        <v>8</v>
      </c>
      <c r="D208" s="11">
        <v>10</v>
      </c>
    </row>
    <row r="209" spans="1:4" x14ac:dyDescent="0.45">
      <c r="A209" s="8">
        <f t="shared" si="3"/>
        <v>49877</v>
      </c>
      <c r="B209" s="9">
        <v>49877</v>
      </c>
      <c r="C209" s="10" t="s">
        <v>14</v>
      </c>
      <c r="D209" s="11">
        <v>11</v>
      </c>
    </row>
    <row r="210" spans="1:4" x14ac:dyDescent="0.45">
      <c r="A210" s="8">
        <f t="shared" si="3"/>
        <v>49898</v>
      </c>
      <c r="B210" s="9">
        <v>49898</v>
      </c>
      <c r="C210" s="10" t="s">
        <v>15</v>
      </c>
      <c r="D210" s="11">
        <v>12</v>
      </c>
    </row>
    <row r="211" spans="1:4" x14ac:dyDescent="0.45">
      <c r="A211" s="8">
        <f t="shared" si="3"/>
        <v>49933</v>
      </c>
      <c r="B211" s="9">
        <v>49933</v>
      </c>
      <c r="C211" s="10" t="s">
        <v>16</v>
      </c>
      <c r="D211" s="11">
        <v>13</v>
      </c>
    </row>
    <row r="212" spans="1:4" x14ac:dyDescent="0.45">
      <c r="A212" s="8">
        <f t="shared" si="3"/>
        <v>49940</v>
      </c>
      <c r="B212" s="9">
        <v>49940</v>
      </c>
      <c r="C212" s="10" t="s">
        <v>17</v>
      </c>
      <c r="D212" s="11">
        <v>14</v>
      </c>
    </row>
    <row r="213" spans="1:4" x14ac:dyDescent="0.45">
      <c r="A213" s="8">
        <f t="shared" si="3"/>
        <v>49961</v>
      </c>
      <c r="B213" s="9">
        <v>49961</v>
      </c>
      <c r="C213" s="10" t="s">
        <v>18</v>
      </c>
      <c r="D213" s="11">
        <v>15</v>
      </c>
    </row>
    <row r="214" spans="1:4" x14ac:dyDescent="0.45">
      <c r="A214" s="8">
        <f t="shared" si="3"/>
        <v>49982</v>
      </c>
      <c r="B214" s="9">
        <v>49982</v>
      </c>
      <c r="C214" s="10" t="s">
        <v>19</v>
      </c>
      <c r="D214" s="11">
        <v>16</v>
      </c>
    </row>
    <row r="215" spans="1:4" x14ac:dyDescent="0.45">
      <c r="A215" s="8">
        <f t="shared" si="3"/>
        <v>50002</v>
      </c>
      <c r="B215" s="9">
        <v>50002</v>
      </c>
      <c r="C215" s="10" t="s">
        <v>20</v>
      </c>
      <c r="D215" s="11">
        <v>17</v>
      </c>
    </row>
    <row r="216" spans="1:4" x14ac:dyDescent="0.45">
      <c r="A216" s="12">
        <f t="shared" si="3"/>
        <v>50003</v>
      </c>
      <c r="B216" s="13">
        <v>50003</v>
      </c>
      <c r="C216" s="14" t="s">
        <v>8</v>
      </c>
      <c r="D216" s="15">
        <v>18</v>
      </c>
    </row>
  </sheetData>
  <autoFilter ref="A1:D1" xr:uid="{AAEDF8BD-A72C-4B58-BD49-2425DE8F9136}"/>
  <phoneticPr fontId="1"/>
  <conditionalFormatting sqref="A2:D216">
    <cfRule type="expression" dxfId="0" priority="1" stopIfTrue="1">
      <formula>ISODD(ROW())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2027</vt:lpstr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2026-05-14T05:08:33Z</dcterms:modified>
</cp:coreProperties>
</file>